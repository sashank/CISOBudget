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slicers/slicer2.xml" ContentType="application/vnd.ms-excel.slicer+xml"/>
  <Override PartName="/xl/charts/chart13.xml" ContentType="application/vnd.openxmlformats-officedocument.drawingml.chart+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slicers/slicer3.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tgold\Google Drive\peerlyst-IS budget\"/>
    </mc:Choice>
  </mc:AlternateContent>
  <workbookProtection workbookPassword="BED3" lockStructure="1"/>
  <bookViews>
    <workbookView xWindow="0" yWindow="0" windowWidth="38400" windowHeight="12135"/>
  </bookViews>
  <sheets>
    <sheet name="Guide" sheetId="5" r:id="rId1"/>
    <sheet name="Report" sheetId="2" r:id="rId2"/>
    <sheet name="Profile Report" sheetId="11" r:id="rId3"/>
    <sheet name="Entry" sheetId="1" r:id="rId4"/>
    <sheet name="Projects" sheetId="7" r:id="rId5"/>
    <sheet name="Resources" sheetId="6" r:id="rId6"/>
    <sheet name="Dropdown" sheetId="3" r:id="rId7"/>
    <sheet name="Profile" sheetId="4" r:id="rId8"/>
    <sheet name="Release Notes" sheetId="9" r:id="rId9"/>
    <sheet name="Calculations" sheetId="8" state="hidden" r:id="rId10"/>
  </sheets>
  <functionGroups builtInGroupCount="18"/>
  <definedNames>
    <definedName name="_xlnm._FilterDatabase" localSheetId="3" hidden="1">Entry!$B$8:$E$17</definedName>
    <definedName name="BudgetPercentage">Entry!$AG$1</definedName>
    <definedName name="eMessage">Report!$B$9</definedName>
    <definedName name="eMessageP">'Profile Report'!$B$9</definedName>
    <definedName name="eMonth">Report!$C$7</definedName>
    <definedName name="eMonthP">'Profile Report'!$C$7</definedName>
    <definedName name="EntryDirect">Entry!$H$6</definedName>
    <definedName name="EntryMain">Entry!$B$6</definedName>
    <definedName name="EntryOtherCost">Entry!$M$6</definedName>
    <definedName name="EntryPct">Entry!$A$3</definedName>
    <definedName name="EntryPName">Entry!$D$6</definedName>
    <definedName name="EntryRes">Entry!$K$6</definedName>
    <definedName name="EntryTag">Entry!$E$6</definedName>
    <definedName name="ERStart">Resources!$E$3</definedName>
    <definedName name="eYear">Report!$C$6</definedName>
    <definedName name="eYearP">'Profile Report'!$C$6</definedName>
    <definedName name="ifProject">Entry!$AE$5</definedName>
    <definedName name="IRStart">Resources!$A$3</definedName>
    <definedName name="noProjectMsg">Projects!$X$1</definedName>
    <definedName name="proDirect">Projects!$E$1</definedName>
    <definedName name="ProjectList">OFFSET(Projects!$AA$2,0,0,MAX(COUNT(Projects!$Y$2:$Y$2362),1),1)</definedName>
    <definedName name="projectRow">Entry!$AF$5</definedName>
    <definedName name="proRES">Projects!$H$1</definedName>
    <definedName name="Slicer_CapEx___OpEx">#N/A</definedName>
    <definedName name="Slicer_Column1">#N/A</definedName>
    <definedName name="Slicer_Column11">#N/A</definedName>
    <definedName name="Slicer_Department_owner">#N/A</definedName>
    <definedName name="Slicer_Financial_Category">#N/A</definedName>
    <definedName name="Slicer_Main_Category">#N/A</definedName>
    <definedName name="Slicer_Priority">#N/A</definedName>
    <definedName name="Slicer_Profile">#N/A</definedName>
    <definedName name="Slicer_Res_Type">#N/A</definedName>
    <definedName name="Slicer_Sub">#N/A</definedName>
    <definedName name="Slicer_Tag">#N/A</definedName>
    <definedName name="sMonth">Report!$C$4</definedName>
    <definedName name="sMonthP">'Profile Report'!$C$4</definedName>
    <definedName name="sYear">Report!$C$3</definedName>
    <definedName name="sYearP">'Profile Report'!$C$3</definedName>
    <definedName name="tBudget">Calculations!$CT$2</definedName>
    <definedName name="tCost">Calculations!$CU$2</definedName>
    <definedName name="totalBudget">Entry!$B$1</definedName>
    <definedName name="totalYearHours">Dropdown!$R$2</definedName>
    <definedName name="tUtilized">Calculations!$CV$2</definedName>
  </definedNames>
  <calcPr calcId="152511"/>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V2" i="8" l="1"/>
  <c r="V3" i="8"/>
  <c r="V4" i="8"/>
  <c r="V5" i="8"/>
  <c r="V6" i="8"/>
  <c r="V7" i="8"/>
  <c r="V8" i="8"/>
  <c r="V9" i="8"/>
  <c r="V10" i="8"/>
  <c r="V11" i="8"/>
  <c r="V12" i="8"/>
  <c r="V13" i="8"/>
  <c r="V14" i="8"/>
  <c r="V15" i="8"/>
  <c r="V16" i="8"/>
  <c r="V17" i="8"/>
  <c r="V18" i="8"/>
  <c r="V19" i="8"/>
  <c r="V20" i="8"/>
  <c r="V21" i="8"/>
  <c r="V22" i="8"/>
  <c r="V23" i="8"/>
  <c r="V24" i="8"/>
  <c r="V25" i="8"/>
  <c r="V26" i="8"/>
  <c r="V27" i="8"/>
  <c r="V28" i="8"/>
  <c r="V29" i="8"/>
  <c r="V30" i="8"/>
  <c r="V31" i="8"/>
  <c r="V32" i="8"/>
  <c r="V33" i="8"/>
  <c r="V34" i="8"/>
  <c r="V35" i="8"/>
  <c r="V36" i="8"/>
  <c r="V37" i="8"/>
  <c r="V38" i="8"/>
  <c r="V39" i="8"/>
  <c r="V40" i="8"/>
  <c r="V41" i="8"/>
  <c r="V42" i="8"/>
  <c r="V43" i="8"/>
  <c r="V44" i="8"/>
  <c r="V45" i="8"/>
  <c r="V46" i="8"/>
  <c r="V47" i="8"/>
  <c r="V48" i="8"/>
  <c r="V49" i="8"/>
  <c r="V50" i="8"/>
  <c r="V51" i="8"/>
  <c r="V52" i="8"/>
  <c r="V53" i="8"/>
  <c r="V54" i="8"/>
  <c r="V55" i="8"/>
  <c r="V56" i="8"/>
  <c r="V57" i="8"/>
  <c r="V58" i="8"/>
  <c r="V59" i="8"/>
  <c r="V60" i="8"/>
  <c r="V61" i="8"/>
  <c r="V62" i="8"/>
  <c r="V63" i="8"/>
  <c r="V64" i="8"/>
  <c r="V65" i="8"/>
  <c r="V66" i="8"/>
  <c r="V67" i="8"/>
  <c r="V68" i="8"/>
  <c r="V69" i="8"/>
  <c r="V70" i="8"/>
  <c r="V71" i="8"/>
  <c r="V72" i="8"/>
  <c r="V73" i="8"/>
  <c r="V74" i="8"/>
  <c r="V75" i="8"/>
  <c r="V76" i="8"/>
  <c r="V77" i="8"/>
  <c r="V78" i="8"/>
  <c r="V79" i="8"/>
  <c r="V80" i="8"/>
  <c r="V81" i="8"/>
  <c r="V82" i="8"/>
  <c r="V83" i="8"/>
  <c r="V84" i="8"/>
  <c r="V85" i="8"/>
  <c r="V86" i="8"/>
  <c r="V87" i="8"/>
  <c r="V88" i="8"/>
  <c r="V89" i="8"/>
  <c r="V90" i="8"/>
  <c r="V91" i="8"/>
  <c r="V92" i="8"/>
  <c r="V93" i="8"/>
  <c r="V94" i="8"/>
  <c r="V95" i="8"/>
  <c r="V96" i="8"/>
  <c r="V97" i="8"/>
  <c r="V98" i="8"/>
  <c r="V99" i="8"/>
  <c r="V100" i="8"/>
  <c r="V101" i="8"/>
  <c r="V102" i="8"/>
  <c r="V103" i="8"/>
  <c r="V104" i="8"/>
  <c r="V105" i="8"/>
  <c r="V106" i="8"/>
  <c r="V107" i="8"/>
  <c r="V108" i="8"/>
  <c r="V109" i="8"/>
  <c r="V110" i="8"/>
  <c r="V111" i="8"/>
  <c r="V112" i="8"/>
  <c r="V113" i="8"/>
  <c r="V114" i="8"/>
  <c r="V115" i="8"/>
  <c r="V116" i="8"/>
  <c r="V117" i="8"/>
  <c r="V118" i="8"/>
  <c r="V119" i="8"/>
  <c r="V120" i="8"/>
  <c r="V121" i="8"/>
  <c r="V122" i="8"/>
  <c r="V123" i="8"/>
  <c r="V124" i="8"/>
  <c r="V125" i="8"/>
  <c r="V126" i="8"/>
  <c r="V127" i="8"/>
  <c r="V128" i="8"/>
  <c r="V129" i="8"/>
  <c r="V130" i="8"/>
  <c r="V131" i="8"/>
  <c r="V132" i="8"/>
  <c r="V133" i="8"/>
  <c r="V134" i="8"/>
  <c r="V135" i="8"/>
  <c r="V136" i="8"/>
  <c r="V137" i="8"/>
  <c r="V138" i="8"/>
  <c r="V139" i="8"/>
  <c r="V140" i="8"/>
  <c r="V141" i="8"/>
  <c r="V142" i="8"/>
  <c r="V143" i="8"/>
  <c r="V144" i="8"/>
  <c r="V145" i="8"/>
  <c r="V146" i="8"/>
  <c r="V147" i="8"/>
  <c r="V148" i="8"/>
  <c r="V149" i="8"/>
  <c r="V150" i="8"/>
  <c r="V151" i="8"/>
  <c r="V152" i="8"/>
  <c r="V153" i="8"/>
  <c r="V154" i="8"/>
  <c r="V155" i="8"/>
  <c r="V156" i="8"/>
  <c r="V157" i="8"/>
  <c r="V158" i="8"/>
  <c r="V159" i="8"/>
  <c r="V160" i="8"/>
  <c r="V161" i="8"/>
  <c r="V162" i="8"/>
  <c r="V163" i="8"/>
  <c r="V164" i="8"/>
  <c r="V165" i="8"/>
  <c r="V166" i="8"/>
  <c r="V167" i="8"/>
  <c r="V168" i="8"/>
  <c r="V169" i="8"/>
  <c r="V170" i="8"/>
  <c r="V171" i="8"/>
  <c r="V172" i="8"/>
  <c r="V173" i="8"/>
  <c r="V174" i="8"/>
  <c r="V175" i="8"/>
  <c r="V176" i="8"/>
  <c r="V177" i="8"/>
  <c r="V178" i="8"/>
  <c r="V179" i="8"/>
  <c r="V180" i="8"/>
  <c r="V181" i="8"/>
  <c r="V182" i="8"/>
  <c r="V183" i="8"/>
  <c r="V184" i="8"/>
  <c r="V185" i="8"/>
  <c r="V186" i="8"/>
  <c r="V187" i="8"/>
  <c r="V188" i="8"/>
  <c r="V189" i="8"/>
  <c r="V190" i="8"/>
  <c r="V191" i="8"/>
  <c r="V192" i="8"/>
  <c r="V193" i="8"/>
  <c r="V194" i="8"/>
  <c r="V195" i="8"/>
  <c r="V196" i="8"/>
  <c r="V197" i="8"/>
  <c r="V198" i="8"/>
  <c r="V199" i="8"/>
  <c r="V200" i="8"/>
  <c r="V201" i="8"/>
  <c r="V202" i="8"/>
  <c r="V203" i="8"/>
  <c r="V204" i="8"/>
  <c r="V205" i="8"/>
  <c r="V206" i="8"/>
  <c r="V207" i="8"/>
  <c r="V208" i="8"/>
  <c r="V209" i="8"/>
  <c r="V210" i="8"/>
  <c r="V211" i="8"/>
  <c r="V212" i="8"/>
  <c r="V213" i="8"/>
  <c r="V214" i="8"/>
  <c r="V215" i="8"/>
  <c r="V216" i="8"/>
  <c r="V217" i="8"/>
  <c r="V218" i="8"/>
  <c r="V219" i="8"/>
  <c r="V220" i="8"/>
  <c r="V221" i="8"/>
  <c r="V222" i="8"/>
  <c r="V223" i="8"/>
  <c r="V224" i="8"/>
  <c r="V225" i="8"/>
  <c r="V226" i="8"/>
  <c r="V227" i="8"/>
  <c r="V228" i="8"/>
  <c r="V229" i="8"/>
  <c r="V230" i="8"/>
  <c r="V231" i="8"/>
  <c r="V232" i="8"/>
  <c r="V233" i="8"/>
  <c r="V234" i="8"/>
  <c r="V235" i="8"/>
  <c r="V236" i="8"/>
  <c r="V237" i="8"/>
  <c r="V238" i="8"/>
  <c r="V239" i="8"/>
  <c r="V240" i="8"/>
  <c r="V241" i="8"/>
  <c r="V242" i="8"/>
  <c r="V243" i="8"/>
  <c r="V244" i="8"/>
  <c r="V245" i="8"/>
  <c r="V246" i="8"/>
  <c r="V247" i="8"/>
  <c r="V248" i="8"/>
  <c r="V249" i="8"/>
  <c r="V250" i="8"/>
  <c r="V251" i="8"/>
  <c r="V252" i="8"/>
  <c r="V253" i="8"/>
  <c r="V254" i="8"/>
  <c r="V255" i="8"/>
  <c r="V256" i="8"/>
  <c r="V257" i="8"/>
  <c r="V258" i="8"/>
  <c r="V259" i="8"/>
  <c r="V260" i="8"/>
  <c r="V261" i="8"/>
  <c r="V262" i="8"/>
  <c r="V263" i="8"/>
  <c r="V264" i="8"/>
  <c r="V265" i="8"/>
  <c r="V266" i="8"/>
  <c r="V267" i="8"/>
  <c r="V268" i="8"/>
  <c r="V269" i="8"/>
  <c r="V270" i="8"/>
  <c r="V271" i="8"/>
  <c r="V272" i="8"/>
  <c r="V273" i="8"/>
  <c r="V274" i="8"/>
  <c r="V275" i="8"/>
  <c r="V276" i="8"/>
  <c r="V277" i="8"/>
  <c r="V278" i="8"/>
  <c r="V279" i="8"/>
  <c r="V280" i="8"/>
  <c r="V281" i="8"/>
  <c r="V282" i="8"/>
  <c r="V283" i="8"/>
  <c r="V284" i="8"/>
  <c r="V285" i="8"/>
  <c r="T2" i="8"/>
  <c r="T3" i="8"/>
  <c r="T4" i="8"/>
  <c r="T5"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S2" i="8"/>
  <c r="S3" i="8"/>
  <c r="S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R2"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N2"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Q2" i="8"/>
  <c r="Q3" i="8"/>
  <c r="Q4" i="8"/>
  <c r="Q5" i="8"/>
  <c r="Q6" i="8"/>
  <c r="Q7" i="8"/>
  <c r="Q8" i="8"/>
  <c r="Q9" i="8"/>
  <c r="Q10" i="8"/>
  <c r="Q11" i="8"/>
  <c r="Q12" i="8"/>
  <c r="Q13" i="8"/>
  <c r="Q14" i="8"/>
  <c r="Q15" i="8"/>
  <c r="Q16" i="8"/>
  <c r="Q17" i="8"/>
  <c r="Q18" i="8"/>
  <c r="Q19" i="8"/>
  <c r="Q20" i="8"/>
  <c r="Q21" i="8"/>
  <c r="Q22" i="8"/>
  <c r="Q23" i="8"/>
  <c r="Q24" i="8"/>
  <c r="Q25" i="8"/>
  <c r="Q26" i="8"/>
  <c r="Q27" i="8"/>
  <c r="Q28" i="8"/>
  <c r="Q29" i="8"/>
  <c r="Q30" i="8"/>
  <c r="Q31" i="8"/>
  <c r="Q32" i="8"/>
  <c r="Q33" i="8"/>
  <c r="Q34" i="8"/>
  <c r="Q35" i="8"/>
  <c r="Q36" i="8"/>
  <c r="Q37" i="8"/>
  <c r="Q38" i="8"/>
  <c r="Q39" i="8"/>
  <c r="Q40" i="8"/>
  <c r="Q41" i="8"/>
  <c r="Q42" i="8"/>
  <c r="Q43" i="8"/>
  <c r="Q44" i="8"/>
  <c r="Q45" i="8"/>
  <c r="Q46" i="8"/>
  <c r="Q47" i="8"/>
  <c r="Q48" i="8"/>
  <c r="Q49" i="8"/>
  <c r="Q50" i="8"/>
  <c r="Q51" i="8"/>
  <c r="Q52" i="8"/>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CM5" i="8"/>
  <c r="CM6" i="8"/>
  <c r="CM7" i="8"/>
  <c r="CM8" i="8"/>
  <c r="CL5" i="8"/>
  <c r="CL6" i="8"/>
  <c r="CL7" i="8"/>
  <c r="CL8" i="8"/>
  <c r="CK5" i="8"/>
  <c r="CK6" i="8"/>
  <c r="CK7" i="8"/>
  <c r="CK8" i="8"/>
  <c r="O20" i="1" l="1"/>
  <c r="N20" i="1"/>
  <c r="M20" i="1"/>
  <c r="L20" i="1"/>
  <c r="O11" i="1" l="1"/>
  <c r="N11" i="1"/>
  <c r="M11" i="1"/>
  <c r="L11" i="1"/>
  <c r="A8" i="1" l="1"/>
  <c r="X86" i="1" l="1"/>
  <c r="X85" i="1"/>
  <c r="X84" i="1"/>
  <c r="X83" i="1"/>
  <c r="X82" i="1"/>
  <c r="X81" i="1"/>
  <c r="X80" i="1"/>
  <c r="X79" i="1"/>
  <c r="X78" i="1"/>
  <c r="X77" i="1"/>
  <c r="X76" i="1"/>
  <c r="X75" i="1"/>
  <c r="X74" i="1"/>
  <c r="X73" i="1"/>
  <c r="X72" i="1"/>
  <c r="X71" i="1"/>
  <c r="X70" i="1"/>
  <c r="X69" i="1"/>
  <c r="X68" i="1"/>
  <c r="X67" i="1"/>
  <c r="X66" i="1"/>
  <c r="X65" i="1"/>
  <c r="X64" i="1"/>
  <c r="X63" i="1"/>
  <c r="X62" i="1"/>
  <c r="X61" i="1"/>
  <c r="X60" i="1"/>
  <c r="X59" i="1"/>
  <c r="X54" i="1"/>
  <c r="X53" i="1"/>
  <c r="X50" i="1"/>
  <c r="X49" i="1"/>
  <c r="X48" i="1"/>
  <c r="X44" i="1"/>
  <c r="X39" i="1"/>
  <c r="X38" i="1"/>
  <c r="X34" i="1"/>
  <c r="X33" i="1"/>
  <c r="X32" i="1"/>
  <c r="X29" i="1"/>
  <c r="X28" i="1"/>
  <c r="X27" i="1"/>
  <c r="X24" i="1"/>
  <c r="X23" i="1"/>
  <c r="X22" i="1"/>
  <c r="X21" i="1"/>
  <c r="X19" i="1"/>
  <c r="X14" i="1"/>
  <c r="X13" i="1"/>
  <c r="X12" i="1"/>
  <c r="A55" i="1" l="1"/>
  <c r="N51" i="1"/>
  <c r="X51" i="1" s="1"/>
  <c r="N30" i="1"/>
  <c r="X30" i="1" s="1"/>
  <c r="N17" i="1"/>
  <c r="X17" i="1" s="1"/>
  <c r="N15" i="1"/>
  <c r="X15" i="1" s="1"/>
  <c r="N16" i="1"/>
  <c r="X16" i="1" s="1"/>
  <c r="N18" i="1"/>
  <c r="X18" i="1" s="1"/>
  <c r="N26" i="1"/>
  <c r="X26" i="1" s="1"/>
  <c r="N31" i="1"/>
  <c r="X31" i="1" s="1"/>
  <c r="N35" i="1"/>
  <c r="X35" i="1" s="1"/>
  <c r="N36" i="1"/>
  <c r="X36" i="1" s="1"/>
  <c r="N37" i="1"/>
  <c r="X37" i="1" s="1"/>
  <c r="N40" i="1"/>
  <c r="X40" i="1" s="1"/>
  <c r="N41" i="1"/>
  <c r="X41" i="1" s="1"/>
  <c r="N42" i="1"/>
  <c r="X42" i="1" s="1"/>
  <c r="N43" i="1"/>
  <c r="X43" i="1" s="1"/>
  <c r="N45" i="1"/>
  <c r="X45" i="1" s="1"/>
  <c r="N46" i="1"/>
  <c r="X46" i="1" s="1"/>
  <c r="N47" i="1"/>
  <c r="X47" i="1" s="1"/>
  <c r="N52" i="1"/>
  <c r="X52" i="1" s="1"/>
  <c r="N55" i="1"/>
  <c r="X55" i="1" s="1"/>
  <c r="N56" i="1"/>
  <c r="X56" i="1" s="1"/>
  <c r="N57" i="1"/>
  <c r="X57" i="1" s="1"/>
  <c r="N58" i="1"/>
  <c r="X58" i="1" s="1"/>
  <c r="CI2" i="8"/>
  <c r="B3" i="1" l="1"/>
  <c r="A51" i="1"/>
  <c r="A45" i="1"/>
  <c r="A40" i="1"/>
  <c r="A35" i="1"/>
  <c r="A30" i="1"/>
  <c r="A25" i="1"/>
  <c r="A20" i="1"/>
  <c r="A15" i="1"/>
  <c r="A6" i="1" l="1"/>
  <c r="AF6999" i="1"/>
  <c r="AF6998" i="1"/>
  <c r="AF6997" i="1"/>
  <c r="AF6996" i="1"/>
  <c r="AF6995" i="1"/>
  <c r="AF6994" i="1"/>
  <c r="AF6993" i="1"/>
  <c r="AF6992" i="1"/>
  <c r="AF6991" i="1"/>
  <c r="AF6990" i="1"/>
  <c r="AF6989" i="1"/>
  <c r="AF6988" i="1"/>
  <c r="AF6987" i="1"/>
  <c r="AF6986" i="1"/>
  <c r="AF6985" i="1"/>
  <c r="AF6984" i="1"/>
  <c r="AF6983" i="1"/>
  <c r="AF6982" i="1"/>
  <c r="AF6981" i="1"/>
  <c r="AF6980" i="1"/>
  <c r="AF6979" i="1"/>
  <c r="AF6978" i="1"/>
  <c r="AF6977" i="1"/>
  <c r="AF6976" i="1"/>
  <c r="AF6975" i="1"/>
  <c r="AF6974" i="1"/>
  <c r="AF6973" i="1"/>
  <c r="AF6972" i="1"/>
  <c r="AF6971" i="1"/>
  <c r="AF6970" i="1"/>
  <c r="AF6969" i="1"/>
  <c r="AF6968" i="1"/>
  <c r="AF6967" i="1"/>
  <c r="AF6966" i="1"/>
  <c r="AF6965" i="1"/>
  <c r="AF6964" i="1"/>
  <c r="AF6963" i="1"/>
  <c r="AF6962" i="1"/>
  <c r="AF6961" i="1"/>
  <c r="AF6960" i="1"/>
  <c r="AF6959" i="1"/>
  <c r="AF6958" i="1"/>
  <c r="AF6957" i="1"/>
  <c r="AF6956" i="1"/>
  <c r="AF6955" i="1"/>
  <c r="AF6954" i="1"/>
  <c r="AF6953" i="1"/>
  <c r="AF6952" i="1"/>
  <c r="AF6951" i="1"/>
  <c r="AF6950" i="1"/>
  <c r="AF6949" i="1"/>
  <c r="AF6948" i="1"/>
  <c r="AF6947" i="1"/>
  <c r="AF6946" i="1"/>
  <c r="AF6945" i="1"/>
  <c r="AF6944" i="1"/>
  <c r="AF6943" i="1"/>
  <c r="AF6942" i="1"/>
  <c r="AF6941" i="1"/>
  <c r="AF6940" i="1"/>
  <c r="AF6939" i="1"/>
  <c r="AF6938" i="1"/>
  <c r="AF6937" i="1"/>
  <c r="AF6936" i="1"/>
  <c r="AF6935" i="1"/>
  <c r="AF6934" i="1"/>
  <c r="AF6933" i="1"/>
  <c r="AF6932" i="1"/>
  <c r="AF6931" i="1"/>
  <c r="AF6930" i="1"/>
  <c r="AF6929" i="1"/>
  <c r="AF6928" i="1"/>
  <c r="AF6927" i="1"/>
  <c r="AF6926" i="1"/>
  <c r="AF6925" i="1"/>
  <c r="AF6924" i="1"/>
  <c r="AF6923" i="1"/>
  <c r="AF6922" i="1"/>
  <c r="AF6921" i="1"/>
  <c r="AF6920" i="1"/>
  <c r="AF6919" i="1"/>
  <c r="AF6918" i="1"/>
  <c r="AF6917" i="1"/>
  <c r="AF6916" i="1"/>
  <c r="AF6915" i="1"/>
  <c r="AF6914" i="1"/>
  <c r="AF6913" i="1"/>
  <c r="AF6912" i="1"/>
  <c r="AF6911" i="1"/>
  <c r="AF6910" i="1"/>
  <c r="AF6909" i="1"/>
  <c r="AF6908" i="1"/>
  <c r="AF6907" i="1"/>
  <c r="AF6906" i="1"/>
  <c r="AF6905" i="1"/>
  <c r="AF6904" i="1"/>
  <c r="AF6903" i="1"/>
  <c r="AF6902" i="1"/>
  <c r="AF6901" i="1"/>
  <c r="AF6900" i="1"/>
  <c r="AF6899" i="1"/>
  <c r="AF6898" i="1"/>
  <c r="AF6897" i="1"/>
  <c r="AF6896" i="1"/>
  <c r="AF6895" i="1"/>
  <c r="AF6894" i="1"/>
  <c r="AF6893" i="1"/>
  <c r="AF6892" i="1"/>
  <c r="AF6891" i="1"/>
  <c r="AF6890" i="1"/>
  <c r="AF6889" i="1"/>
  <c r="AF6888" i="1"/>
  <c r="AF6887" i="1"/>
  <c r="AF6886" i="1"/>
  <c r="AF6885" i="1"/>
  <c r="AF6884" i="1"/>
  <c r="AF6883" i="1"/>
  <c r="AF6882" i="1"/>
  <c r="AF6881" i="1"/>
  <c r="AF6880" i="1"/>
  <c r="AF6879" i="1"/>
  <c r="AF6878" i="1"/>
  <c r="AF6877" i="1"/>
  <c r="AF6876" i="1"/>
  <c r="AF6875" i="1"/>
  <c r="AF6874" i="1"/>
  <c r="AF6873" i="1"/>
  <c r="AF6872" i="1"/>
  <c r="AF6871" i="1"/>
  <c r="AF6870" i="1"/>
  <c r="AF6869" i="1"/>
  <c r="AF6868" i="1"/>
  <c r="AF6867" i="1"/>
  <c r="AF6866" i="1"/>
  <c r="AF6865" i="1"/>
  <c r="AF6864" i="1"/>
  <c r="AF6863" i="1"/>
  <c r="AF6862" i="1"/>
  <c r="AF6861" i="1"/>
  <c r="AF6860" i="1"/>
  <c r="AF6859" i="1"/>
  <c r="AF6858" i="1"/>
  <c r="AF6857" i="1"/>
  <c r="AF6856" i="1"/>
  <c r="AF6855" i="1"/>
  <c r="AF6854" i="1"/>
  <c r="AF6853" i="1"/>
  <c r="AF6852" i="1"/>
  <c r="AF6851" i="1"/>
  <c r="AF6850" i="1"/>
  <c r="AF6849" i="1"/>
  <c r="AF6848" i="1"/>
  <c r="AF6847" i="1"/>
  <c r="AF6846" i="1"/>
  <c r="AF6845" i="1"/>
  <c r="AF6844" i="1"/>
  <c r="AF6843" i="1"/>
  <c r="AF6842" i="1"/>
  <c r="AF6841" i="1"/>
  <c r="AF6840" i="1"/>
  <c r="AF6839" i="1"/>
  <c r="AF6838" i="1"/>
  <c r="AF6837" i="1"/>
  <c r="AF6836" i="1"/>
  <c r="AF6835" i="1"/>
  <c r="AF6834" i="1"/>
  <c r="AF6833" i="1"/>
  <c r="AF6832" i="1"/>
  <c r="AF6831" i="1"/>
  <c r="AF6830" i="1"/>
  <c r="AF6829" i="1"/>
  <c r="AF6828" i="1"/>
  <c r="AF6827" i="1"/>
  <c r="AF6826" i="1"/>
  <c r="AF6825" i="1"/>
  <c r="AF6824" i="1"/>
  <c r="AF6823" i="1"/>
  <c r="AF6822" i="1"/>
  <c r="AF6821" i="1"/>
  <c r="AF6820" i="1"/>
  <c r="AF6819" i="1"/>
  <c r="AF6818" i="1"/>
  <c r="AF6817" i="1"/>
  <c r="AF6816" i="1"/>
  <c r="AF6815" i="1"/>
  <c r="AF6814" i="1"/>
  <c r="AF6813" i="1"/>
  <c r="AF6812" i="1"/>
  <c r="AF6811" i="1"/>
  <c r="AF6810" i="1"/>
  <c r="AF6809" i="1"/>
  <c r="AF6808" i="1"/>
  <c r="AF6807" i="1"/>
  <c r="AF6806" i="1"/>
  <c r="AF6805" i="1"/>
  <c r="AF6804" i="1"/>
  <c r="AF6803" i="1"/>
  <c r="AF6802" i="1"/>
  <c r="AF6801" i="1"/>
  <c r="AF6800" i="1"/>
  <c r="AF6799" i="1"/>
  <c r="AF6798" i="1"/>
  <c r="AF6797" i="1"/>
  <c r="AF6796" i="1"/>
  <c r="AF6795" i="1"/>
  <c r="AF6794" i="1"/>
  <c r="AF6793" i="1"/>
  <c r="AF6792" i="1"/>
  <c r="AF6791" i="1"/>
  <c r="AF6790" i="1"/>
  <c r="AF6789" i="1"/>
  <c r="AF6788" i="1"/>
  <c r="AF6787" i="1"/>
  <c r="AF6786" i="1"/>
  <c r="AF6785" i="1"/>
  <c r="AF6784" i="1"/>
  <c r="AF6783" i="1"/>
  <c r="AF6782" i="1"/>
  <c r="AF6781" i="1"/>
  <c r="AF6780" i="1"/>
  <c r="AF6779" i="1"/>
  <c r="AF6778" i="1"/>
  <c r="AF6777" i="1"/>
  <c r="AF6776" i="1"/>
  <c r="AF6775" i="1"/>
  <c r="AF6774" i="1"/>
  <c r="AF6773" i="1"/>
  <c r="AF6772" i="1"/>
  <c r="AF6771" i="1"/>
  <c r="AF6770" i="1"/>
  <c r="AF6769" i="1"/>
  <c r="AF6768" i="1"/>
  <c r="AF6767" i="1"/>
  <c r="AF6766" i="1"/>
  <c r="AF6765" i="1"/>
  <c r="AF6764" i="1"/>
  <c r="AF6763" i="1"/>
  <c r="AF6762" i="1"/>
  <c r="AF6761" i="1"/>
  <c r="AF6760" i="1"/>
  <c r="AF6759" i="1"/>
  <c r="AF6758" i="1"/>
  <c r="AF6757" i="1"/>
  <c r="AF6756" i="1"/>
  <c r="AF6755" i="1"/>
  <c r="AF6754" i="1"/>
  <c r="AF6753" i="1"/>
  <c r="AF6752" i="1"/>
  <c r="AF6751" i="1"/>
  <c r="AF6750" i="1"/>
  <c r="AF6749" i="1"/>
  <c r="AF6748" i="1"/>
  <c r="AF6747" i="1"/>
  <c r="AF6746" i="1"/>
  <c r="AF6745" i="1"/>
  <c r="AF6744" i="1"/>
  <c r="AF6743" i="1"/>
  <c r="AF6742" i="1"/>
  <c r="AF6741" i="1"/>
  <c r="AF6740" i="1"/>
  <c r="AF6739" i="1"/>
  <c r="AF6738" i="1"/>
  <c r="AF6737" i="1"/>
  <c r="AF6736" i="1"/>
  <c r="AF6735" i="1"/>
  <c r="AF6734" i="1"/>
  <c r="AF6733" i="1"/>
  <c r="AF6732" i="1"/>
  <c r="AF6731" i="1"/>
  <c r="AF6730" i="1"/>
  <c r="AF6729" i="1"/>
  <c r="AF6728" i="1"/>
  <c r="AF6727" i="1"/>
  <c r="AF6726" i="1"/>
  <c r="AF6725" i="1"/>
  <c r="AF6724" i="1"/>
  <c r="AF6723" i="1"/>
  <c r="AF6722" i="1"/>
  <c r="AF6721" i="1"/>
  <c r="AF6720" i="1"/>
  <c r="AF6719" i="1"/>
  <c r="AF6718" i="1"/>
  <c r="AF6717" i="1"/>
  <c r="AF6716" i="1"/>
  <c r="AF6715" i="1"/>
  <c r="AF6714" i="1"/>
  <c r="AF6713" i="1"/>
  <c r="AF6712" i="1"/>
  <c r="AF6711" i="1"/>
  <c r="AF6710" i="1"/>
  <c r="AF6709" i="1"/>
  <c r="AF6708" i="1"/>
  <c r="AF6707" i="1"/>
  <c r="AF6706" i="1"/>
  <c r="AF6705" i="1"/>
  <c r="AF6704" i="1"/>
  <c r="AF6703" i="1"/>
  <c r="AF6702" i="1"/>
  <c r="AF6701" i="1"/>
  <c r="AF6700" i="1"/>
  <c r="AF6699" i="1"/>
  <c r="AF6698" i="1"/>
  <c r="AF6697" i="1"/>
  <c r="AF6696" i="1"/>
  <c r="AF6695" i="1"/>
  <c r="AF6694" i="1"/>
  <c r="AF6693" i="1"/>
  <c r="AF6692" i="1"/>
  <c r="AF6691" i="1"/>
  <c r="AF6690" i="1"/>
  <c r="AF6689" i="1"/>
  <c r="AF6688" i="1"/>
  <c r="AF6687" i="1"/>
  <c r="AF6686" i="1"/>
  <c r="AF6685" i="1"/>
  <c r="AF6684" i="1"/>
  <c r="AF6683" i="1"/>
  <c r="AF6682" i="1"/>
  <c r="AF6681" i="1"/>
  <c r="AF6680" i="1"/>
  <c r="AF6679" i="1"/>
  <c r="AF6678" i="1"/>
  <c r="AF6677" i="1"/>
  <c r="AF6676" i="1"/>
  <c r="AF6675" i="1"/>
  <c r="AF6674" i="1"/>
  <c r="AF6673" i="1"/>
  <c r="AF6672" i="1"/>
  <c r="AF6671" i="1"/>
  <c r="AF6670" i="1"/>
  <c r="AF6669" i="1"/>
  <c r="AF6668" i="1"/>
  <c r="AF6667" i="1"/>
  <c r="AF6666" i="1"/>
  <c r="AF6665" i="1"/>
  <c r="AF6664" i="1"/>
  <c r="AF6663" i="1"/>
  <c r="AF6662" i="1"/>
  <c r="AF6661" i="1"/>
  <c r="AF6660" i="1"/>
  <c r="AF6659" i="1"/>
  <c r="AF6658" i="1"/>
  <c r="AF6657" i="1"/>
  <c r="AF6656" i="1"/>
  <c r="AF6655" i="1"/>
  <c r="AF6654" i="1"/>
  <c r="AF6653" i="1"/>
  <c r="AF6652" i="1"/>
  <c r="AF6651" i="1"/>
  <c r="AF6650" i="1"/>
  <c r="AF6649" i="1"/>
  <c r="AF6648" i="1"/>
  <c r="AF6647" i="1"/>
  <c r="AF6646" i="1"/>
  <c r="AF6645" i="1"/>
  <c r="AF6644" i="1"/>
  <c r="AF6643" i="1"/>
  <c r="AF6642" i="1"/>
  <c r="AF6641" i="1"/>
  <c r="AF6640" i="1"/>
  <c r="AF6639" i="1"/>
  <c r="AF6638" i="1"/>
  <c r="AF6637" i="1"/>
  <c r="AF6636" i="1"/>
  <c r="AF6635" i="1"/>
  <c r="AF6634" i="1"/>
  <c r="AF6633" i="1"/>
  <c r="AF6632" i="1"/>
  <c r="AF6631" i="1"/>
  <c r="AF6630" i="1"/>
  <c r="AF6629" i="1"/>
  <c r="AF6628" i="1"/>
  <c r="AF6627" i="1"/>
  <c r="AF6626" i="1"/>
  <c r="AF6625" i="1"/>
  <c r="AF6624" i="1"/>
  <c r="AF6623" i="1"/>
  <c r="AF6622" i="1"/>
  <c r="AF6621" i="1"/>
  <c r="AF6620" i="1"/>
  <c r="AF6619" i="1"/>
  <c r="AF6618" i="1"/>
  <c r="AF6617" i="1"/>
  <c r="AF6616" i="1"/>
  <c r="AF6615" i="1"/>
  <c r="AF6614" i="1"/>
  <c r="AF6613" i="1"/>
  <c r="AF6612" i="1"/>
  <c r="AF6611" i="1"/>
  <c r="AF6610" i="1"/>
  <c r="AF6609" i="1"/>
  <c r="AF6608" i="1"/>
  <c r="AF6607" i="1"/>
  <c r="AF6606" i="1"/>
  <c r="AF6605" i="1"/>
  <c r="AF6604" i="1"/>
  <c r="AF6603" i="1"/>
  <c r="AF6602" i="1"/>
  <c r="AF6601" i="1"/>
  <c r="AF6600" i="1"/>
  <c r="AF6599" i="1"/>
  <c r="AF6598" i="1"/>
  <c r="AF6597" i="1"/>
  <c r="AF6596" i="1"/>
  <c r="AF6595" i="1"/>
  <c r="AF6594" i="1"/>
  <c r="AF6593" i="1"/>
  <c r="AF6592" i="1"/>
  <c r="AF6591" i="1"/>
  <c r="AF6590" i="1"/>
  <c r="AF6589" i="1"/>
  <c r="AF6588" i="1"/>
  <c r="AF6587" i="1"/>
  <c r="AF6586" i="1"/>
  <c r="AF6585" i="1"/>
  <c r="AF6584" i="1"/>
  <c r="AF6583" i="1"/>
  <c r="AF6582" i="1"/>
  <c r="AF6581" i="1"/>
  <c r="AF6580" i="1"/>
  <c r="AF6579" i="1"/>
  <c r="AF6578" i="1"/>
  <c r="AF6577" i="1"/>
  <c r="AF6576" i="1"/>
  <c r="AF6575" i="1"/>
  <c r="AF6574" i="1"/>
  <c r="AF6573" i="1"/>
  <c r="AF6572" i="1"/>
  <c r="AF6571" i="1"/>
  <c r="AF6570" i="1"/>
  <c r="AF6569" i="1"/>
  <c r="AF6568" i="1"/>
  <c r="AF6567" i="1"/>
  <c r="AF6566" i="1"/>
  <c r="AF6565" i="1"/>
  <c r="AF6564" i="1"/>
  <c r="AF6563" i="1"/>
  <c r="AF6562" i="1"/>
  <c r="AF6561" i="1"/>
  <c r="AF6560" i="1"/>
  <c r="AF6559" i="1"/>
  <c r="AF6558" i="1"/>
  <c r="AF6557" i="1"/>
  <c r="AF6556" i="1"/>
  <c r="AF6555" i="1"/>
  <c r="AF6554" i="1"/>
  <c r="AF6553" i="1"/>
  <c r="AF6552" i="1"/>
  <c r="AF6551" i="1"/>
  <c r="AF6550" i="1"/>
  <c r="AF6549" i="1"/>
  <c r="AF6548" i="1"/>
  <c r="AF6547" i="1"/>
  <c r="AF6546" i="1"/>
  <c r="AF6545" i="1"/>
  <c r="AF6544" i="1"/>
  <c r="AF6543" i="1"/>
  <c r="AF6542" i="1"/>
  <c r="AF6541" i="1"/>
  <c r="AF6540" i="1"/>
  <c r="AF6539" i="1"/>
  <c r="AF6538" i="1"/>
  <c r="AF6537" i="1"/>
  <c r="AF6536" i="1"/>
  <c r="AF6535" i="1"/>
  <c r="AF6534" i="1"/>
  <c r="AF6533" i="1"/>
  <c r="AF6532" i="1"/>
  <c r="AF6531" i="1"/>
  <c r="AF6530" i="1"/>
  <c r="AF6529" i="1"/>
  <c r="AF6528" i="1"/>
  <c r="AF6527" i="1"/>
  <c r="AF6526" i="1"/>
  <c r="AF6525" i="1"/>
  <c r="AF6524" i="1"/>
  <c r="AF6523" i="1"/>
  <c r="AF6522" i="1"/>
  <c r="AF6521" i="1"/>
  <c r="AF6520" i="1"/>
  <c r="AF6519" i="1"/>
  <c r="AF6518" i="1"/>
  <c r="AF6517" i="1"/>
  <c r="AF6516" i="1"/>
  <c r="AF6515" i="1"/>
  <c r="AF6514" i="1"/>
  <c r="AF6513" i="1"/>
  <c r="AF6512" i="1"/>
  <c r="AF6511" i="1"/>
  <c r="AF6510" i="1"/>
  <c r="AF6509" i="1"/>
  <c r="AF6508" i="1"/>
  <c r="AF6507" i="1"/>
  <c r="AF6506" i="1"/>
  <c r="AF6505" i="1"/>
  <c r="AF6504" i="1"/>
  <c r="AF6503" i="1"/>
  <c r="AF6502" i="1"/>
  <c r="AF6501" i="1"/>
  <c r="AF6500" i="1"/>
  <c r="AF6499" i="1"/>
  <c r="AF6498" i="1"/>
  <c r="AF6497" i="1"/>
  <c r="AF6496" i="1"/>
  <c r="AF6495" i="1"/>
  <c r="AF6494" i="1"/>
  <c r="AF6493" i="1"/>
  <c r="AF6492" i="1"/>
  <c r="AF6491" i="1"/>
  <c r="AF6490" i="1"/>
  <c r="AF6489" i="1"/>
  <c r="AF6488" i="1"/>
  <c r="AF6487" i="1"/>
  <c r="AF6486" i="1"/>
  <c r="AF6485" i="1"/>
  <c r="AF6484" i="1"/>
  <c r="AF6483" i="1"/>
  <c r="AF6482" i="1"/>
  <c r="AF6481" i="1"/>
  <c r="AF6480" i="1"/>
  <c r="AF6479" i="1"/>
  <c r="AF6478" i="1"/>
  <c r="AF6477" i="1"/>
  <c r="AF6476" i="1"/>
  <c r="AF6475" i="1"/>
  <c r="AF6474" i="1"/>
  <c r="AF6473" i="1"/>
  <c r="AF6472" i="1"/>
  <c r="AF6471" i="1"/>
  <c r="AF6470" i="1"/>
  <c r="AF6469" i="1"/>
  <c r="AF6468" i="1"/>
  <c r="AF6467" i="1"/>
  <c r="AF6466" i="1"/>
  <c r="AF6465" i="1"/>
  <c r="AF6464" i="1"/>
  <c r="AF6463" i="1"/>
  <c r="AF6462" i="1"/>
  <c r="AF6461" i="1"/>
  <c r="AF6460" i="1"/>
  <c r="AF6459" i="1"/>
  <c r="AF6458" i="1"/>
  <c r="AF6457" i="1"/>
  <c r="AF6456" i="1"/>
  <c r="AF6455" i="1"/>
  <c r="AF6454" i="1"/>
  <c r="AF6453" i="1"/>
  <c r="AF6452" i="1"/>
  <c r="AF6451" i="1"/>
  <c r="AF6450" i="1"/>
  <c r="AF6449" i="1"/>
  <c r="AF6448" i="1"/>
  <c r="AF6447" i="1"/>
  <c r="AF6446" i="1"/>
  <c r="AF6445" i="1"/>
  <c r="AF6444" i="1"/>
  <c r="AF6443" i="1"/>
  <c r="AF6442" i="1"/>
  <c r="AF6441" i="1"/>
  <c r="AF6440" i="1"/>
  <c r="AF6439" i="1"/>
  <c r="AF6438" i="1"/>
  <c r="AF6437" i="1"/>
  <c r="AF6436" i="1"/>
  <c r="AF6435" i="1"/>
  <c r="AF6434" i="1"/>
  <c r="AF6433" i="1"/>
  <c r="AF6432" i="1"/>
  <c r="AF6431" i="1"/>
  <c r="AF6430" i="1"/>
  <c r="AF6429" i="1"/>
  <c r="AF6428" i="1"/>
  <c r="AF6427" i="1"/>
  <c r="AF6426" i="1"/>
  <c r="AF6425" i="1"/>
  <c r="AF6424" i="1"/>
  <c r="AF6423" i="1"/>
  <c r="AF6422" i="1"/>
  <c r="AF6421" i="1"/>
  <c r="AF6420" i="1"/>
  <c r="AF6419" i="1"/>
  <c r="AF6418" i="1"/>
  <c r="AF6417" i="1"/>
  <c r="AF6416" i="1"/>
  <c r="AF6415" i="1"/>
  <c r="AF6414" i="1"/>
  <c r="AF6413" i="1"/>
  <c r="AF6412" i="1"/>
  <c r="AF6411" i="1"/>
  <c r="AF6410" i="1"/>
  <c r="AF6409" i="1"/>
  <c r="AF6408" i="1"/>
  <c r="AF6407" i="1"/>
  <c r="AF6406" i="1"/>
  <c r="AF6405" i="1"/>
  <c r="AF6404" i="1"/>
  <c r="AF6403" i="1"/>
  <c r="AF6402" i="1"/>
  <c r="AF6401" i="1"/>
  <c r="AF6400" i="1"/>
  <c r="AF6399" i="1"/>
  <c r="AF6398" i="1"/>
  <c r="AF6397" i="1"/>
  <c r="AF6396" i="1"/>
  <c r="AF6395" i="1"/>
  <c r="AF6394" i="1"/>
  <c r="AF6393" i="1"/>
  <c r="AF6392" i="1"/>
  <c r="AF6391" i="1"/>
  <c r="AF6390" i="1"/>
  <c r="AF6389" i="1"/>
  <c r="AF6388" i="1"/>
  <c r="AF6387" i="1"/>
  <c r="AF6386" i="1"/>
  <c r="AF6385" i="1"/>
  <c r="AF6384" i="1"/>
  <c r="AF6383" i="1"/>
  <c r="AF6382" i="1"/>
  <c r="AF6381" i="1"/>
  <c r="AF6380" i="1"/>
  <c r="AF6379" i="1"/>
  <c r="AF6378" i="1"/>
  <c r="AF6377" i="1"/>
  <c r="AF6376" i="1"/>
  <c r="AF6375" i="1"/>
  <c r="AF6374" i="1"/>
  <c r="AF6373" i="1"/>
  <c r="AF6372" i="1"/>
  <c r="AF6371" i="1"/>
  <c r="AF6370" i="1"/>
  <c r="AF6369" i="1"/>
  <c r="AF6368" i="1"/>
  <c r="AF6367" i="1"/>
  <c r="AF6366" i="1"/>
  <c r="AF6365" i="1"/>
  <c r="AF6364" i="1"/>
  <c r="AF6363" i="1"/>
  <c r="AF6362" i="1"/>
  <c r="AF6361" i="1"/>
  <c r="AF6360" i="1"/>
  <c r="AF6359" i="1"/>
  <c r="AF6358" i="1"/>
  <c r="AF6357" i="1"/>
  <c r="AF6356" i="1"/>
  <c r="AF6355" i="1"/>
  <c r="AF6354" i="1"/>
  <c r="AF6353" i="1"/>
  <c r="AF6352" i="1"/>
  <c r="AF6351" i="1"/>
  <c r="AF6350" i="1"/>
  <c r="AF6349" i="1"/>
  <c r="AF6348" i="1"/>
  <c r="AF6347" i="1"/>
  <c r="AF6346" i="1"/>
  <c r="AF6345" i="1"/>
  <c r="AF6344" i="1"/>
  <c r="AF6343" i="1"/>
  <c r="AF6342" i="1"/>
  <c r="AF6341" i="1"/>
  <c r="AF6340" i="1"/>
  <c r="AF6339" i="1"/>
  <c r="AF6338" i="1"/>
  <c r="AF6337" i="1"/>
  <c r="AF6336" i="1"/>
  <c r="AF6335" i="1"/>
  <c r="AF6334" i="1"/>
  <c r="AF6333" i="1"/>
  <c r="AF6332" i="1"/>
  <c r="AF6331" i="1"/>
  <c r="AF6330" i="1"/>
  <c r="AF6329" i="1"/>
  <c r="AF6328" i="1"/>
  <c r="AF6327" i="1"/>
  <c r="AF6326" i="1"/>
  <c r="AF6325" i="1"/>
  <c r="AF6324" i="1"/>
  <c r="AF6323" i="1"/>
  <c r="AF6322" i="1"/>
  <c r="AF6321" i="1"/>
  <c r="AF6320" i="1"/>
  <c r="AF6319" i="1"/>
  <c r="AF6318" i="1"/>
  <c r="AF6317" i="1"/>
  <c r="AF6316" i="1"/>
  <c r="AF6315" i="1"/>
  <c r="AF6314" i="1"/>
  <c r="AF6313" i="1"/>
  <c r="AF6312" i="1"/>
  <c r="AF6311" i="1"/>
  <c r="AF6310" i="1"/>
  <c r="AF6309" i="1"/>
  <c r="AF6308" i="1"/>
  <c r="AF6307" i="1"/>
  <c r="AF6306" i="1"/>
  <c r="AF6305" i="1"/>
  <c r="AF6304" i="1"/>
  <c r="AF6303" i="1"/>
  <c r="AF6302" i="1"/>
  <c r="AF6301" i="1"/>
  <c r="AF6300" i="1"/>
  <c r="AF6299" i="1"/>
  <c r="AF6298" i="1"/>
  <c r="AF6297" i="1"/>
  <c r="AF6296" i="1"/>
  <c r="AF6295" i="1"/>
  <c r="AF6294" i="1"/>
  <c r="AF6293" i="1"/>
  <c r="AF6292" i="1"/>
  <c r="AF6291" i="1"/>
  <c r="AF6290" i="1"/>
  <c r="AF6289" i="1"/>
  <c r="AF6288" i="1"/>
  <c r="AF6287" i="1"/>
  <c r="AF6286" i="1"/>
  <c r="AF6285" i="1"/>
  <c r="AF6284" i="1"/>
  <c r="AF6283" i="1"/>
  <c r="AF6282" i="1"/>
  <c r="AF6281" i="1"/>
  <c r="AF6280" i="1"/>
  <c r="AF6279" i="1"/>
  <c r="AF6278" i="1"/>
  <c r="AF6277" i="1"/>
  <c r="AF6276" i="1"/>
  <c r="AF6275" i="1"/>
  <c r="AF6274" i="1"/>
  <c r="AF6273" i="1"/>
  <c r="AF6272" i="1"/>
  <c r="AF6271" i="1"/>
  <c r="AF6270" i="1"/>
  <c r="AF6269" i="1"/>
  <c r="AF6268" i="1"/>
  <c r="AF6267" i="1"/>
  <c r="AF6266" i="1"/>
  <c r="AF6265" i="1"/>
  <c r="AF6264" i="1"/>
  <c r="AF6263" i="1"/>
  <c r="AF6262" i="1"/>
  <c r="AF6261" i="1"/>
  <c r="AF6260" i="1"/>
  <c r="AF6259" i="1"/>
  <c r="AF6258" i="1"/>
  <c r="AF6257" i="1"/>
  <c r="AF6256" i="1"/>
  <c r="AF6255" i="1"/>
  <c r="AF6254" i="1"/>
  <c r="AF6253" i="1"/>
  <c r="AF6252" i="1"/>
  <c r="AF6251" i="1"/>
  <c r="AF6250" i="1"/>
  <c r="AF6249" i="1"/>
  <c r="AF6248" i="1"/>
  <c r="AF6247" i="1"/>
  <c r="AF6246" i="1"/>
  <c r="AF6245" i="1"/>
  <c r="AF6244" i="1"/>
  <c r="AF6243" i="1"/>
  <c r="AF6242" i="1"/>
  <c r="AF6241" i="1"/>
  <c r="AF6240" i="1"/>
  <c r="AF6239" i="1"/>
  <c r="AF6238" i="1"/>
  <c r="AF6237" i="1"/>
  <c r="AF6236" i="1"/>
  <c r="AF6235" i="1"/>
  <c r="AF6234" i="1"/>
  <c r="AF6233" i="1"/>
  <c r="AF6232" i="1"/>
  <c r="AF6231" i="1"/>
  <c r="AF6230" i="1"/>
  <c r="AF6229" i="1"/>
  <c r="AF6228" i="1"/>
  <c r="AF6227" i="1"/>
  <c r="AF6226" i="1"/>
  <c r="AF6225" i="1"/>
  <c r="AF6224" i="1"/>
  <c r="AF6223" i="1"/>
  <c r="AF6222" i="1"/>
  <c r="AF6221" i="1"/>
  <c r="AF6220" i="1"/>
  <c r="AF6219" i="1"/>
  <c r="AF6218" i="1"/>
  <c r="AF6217" i="1"/>
  <c r="AF6216" i="1"/>
  <c r="AF6215" i="1"/>
  <c r="AF6214" i="1"/>
  <c r="AF6213" i="1"/>
  <c r="AF6212" i="1"/>
  <c r="AF6211" i="1"/>
  <c r="AF6210" i="1"/>
  <c r="AF6209" i="1"/>
  <c r="AF6208" i="1"/>
  <c r="AF6207" i="1"/>
  <c r="AF6206" i="1"/>
  <c r="AF6205" i="1"/>
  <c r="AF6204" i="1"/>
  <c r="AF6203" i="1"/>
  <c r="AF6202" i="1"/>
  <c r="AF6201" i="1"/>
  <c r="AF6200" i="1"/>
  <c r="AF6199" i="1"/>
  <c r="AF6198" i="1"/>
  <c r="AF6197" i="1"/>
  <c r="AF6196" i="1"/>
  <c r="AF6195" i="1"/>
  <c r="AF6194" i="1"/>
  <c r="AF6193" i="1"/>
  <c r="AF6192" i="1"/>
  <c r="AF6191" i="1"/>
  <c r="AF6190" i="1"/>
  <c r="AF6189" i="1"/>
  <c r="AF6188" i="1"/>
  <c r="AF6187" i="1"/>
  <c r="AF6186" i="1"/>
  <c r="AF6185" i="1"/>
  <c r="AF6184" i="1"/>
  <c r="AF6183" i="1"/>
  <c r="AF6182" i="1"/>
  <c r="AF6181" i="1"/>
  <c r="AF6180" i="1"/>
  <c r="AF6179" i="1"/>
  <c r="AF6178" i="1"/>
  <c r="AF6177" i="1"/>
  <c r="AF6176" i="1"/>
  <c r="AF6175" i="1"/>
  <c r="AF6174" i="1"/>
  <c r="AF6173" i="1"/>
  <c r="AF6172" i="1"/>
  <c r="AF6171" i="1"/>
  <c r="AF6170" i="1"/>
  <c r="AF6169" i="1"/>
  <c r="AF6168" i="1"/>
  <c r="AF6167" i="1"/>
  <c r="AF6166" i="1"/>
  <c r="AF6165" i="1"/>
  <c r="AF6164" i="1"/>
  <c r="AF6163" i="1"/>
  <c r="AF6162" i="1"/>
  <c r="AF6161" i="1"/>
  <c r="AF6160" i="1"/>
  <c r="AF6159" i="1"/>
  <c r="AF6158" i="1"/>
  <c r="AF6157" i="1"/>
  <c r="AF6156" i="1"/>
  <c r="AF6155" i="1"/>
  <c r="AF6154" i="1"/>
  <c r="AF6153" i="1"/>
  <c r="AF6152" i="1"/>
  <c r="AF6151" i="1"/>
  <c r="AF6150" i="1"/>
  <c r="AF6149" i="1"/>
  <c r="AF6148" i="1"/>
  <c r="AF6147" i="1"/>
  <c r="AF6146" i="1"/>
  <c r="AF6145" i="1"/>
  <c r="AF6144" i="1"/>
  <c r="AF6143" i="1"/>
  <c r="AF6142" i="1"/>
  <c r="AF6141" i="1"/>
  <c r="AF6140" i="1"/>
  <c r="AF6139" i="1"/>
  <c r="AF6138" i="1"/>
  <c r="AF6137" i="1"/>
  <c r="AF6136" i="1"/>
  <c r="AF6135" i="1"/>
  <c r="AF6134" i="1"/>
  <c r="AF6133" i="1"/>
  <c r="AF6132" i="1"/>
  <c r="AF6131" i="1"/>
  <c r="AF6130" i="1"/>
  <c r="AF6129" i="1"/>
  <c r="AF6128" i="1"/>
  <c r="AF6127" i="1"/>
  <c r="AF6126" i="1"/>
  <c r="AF6125" i="1"/>
  <c r="AF6124" i="1"/>
  <c r="AF6123" i="1"/>
  <c r="AF6122" i="1"/>
  <c r="AF6121" i="1"/>
  <c r="AF6120" i="1"/>
  <c r="AF6119" i="1"/>
  <c r="AF6118" i="1"/>
  <c r="AF6117" i="1"/>
  <c r="AF6116" i="1"/>
  <c r="AF6115" i="1"/>
  <c r="AF6114" i="1"/>
  <c r="AF6113" i="1"/>
  <c r="AF6112" i="1"/>
  <c r="AF6111" i="1"/>
  <c r="AF6110" i="1"/>
  <c r="AF6109" i="1"/>
  <c r="AF6108" i="1"/>
  <c r="AF6107" i="1"/>
  <c r="AF6106" i="1"/>
  <c r="AF6105" i="1"/>
  <c r="AF6104" i="1"/>
  <c r="AF6103" i="1"/>
  <c r="AF6102" i="1"/>
  <c r="AF6101" i="1"/>
  <c r="AF6100" i="1"/>
  <c r="AF6099" i="1"/>
  <c r="AF6098" i="1"/>
  <c r="AF6097" i="1"/>
  <c r="AF6096" i="1"/>
  <c r="AF6095" i="1"/>
  <c r="AF6094" i="1"/>
  <c r="AF6093" i="1"/>
  <c r="AF6092" i="1"/>
  <c r="AF6091" i="1"/>
  <c r="AF6090" i="1"/>
  <c r="AF6089" i="1"/>
  <c r="AF6088" i="1"/>
  <c r="AF6087" i="1"/>
  <c r="AF6086" i="1"/>
  <c r="AF6085" i="1"/>
  <c r="AF6084" i="1"/>
  <c r="AF6083" i="1"/>
  <c r="AF6082" i="1"/>
  <c r="AF6081" i="1"/>
  <c r="AF6080" i="1"/>
  <c r="AF6079" i="1"/>
  <c r="AF6078" i="1"/>
  <c r="AF6077" i="1"/>
  <c r="AF6076" i="1"/>
  <c r="AF6075" i="1"/>
  <c r="AF6074" i="1"/>
  <c r="AF6073" i="1"/>
  <c r="AF6072" i="1"/>
  <c r="AF6071" i="1"/>
  <c r="AF6070" i="1"/>
  <c r="AF6069" i="1"/>
  <c r="AF6068" i="1"/>
  <c r="AF6067" i="1"/>
  <c r="AF6066" i="1"/>
  <c r="AF6065" i="1"/>
  <c r="AF6064" i="1"/>
  <c r="AF6063" i="1"/>
  <c r="AF6062" i="1"/>
  <c r="AF6061" i="1"/>
  <c r="AF6060" i="1"/>
  <c r="AF6059" i="1"/>
  <c r="AF6058" i="1"/>
  <c r="AF6057" i="1"/>
  <c r="AF6056" i="1"/>
  <c r="AF6055" i="1"/>
  <c r="AF6054" i="1"/>
  <c r="AF6053" i="1"/>
  <c r="AF6052" i="1"/>
  <c r="AF6051" i="1"/>
  <c r="AF6050" i="1"/>
  <c r="AF6049" i="1"/>
  <c r="AF6048" i="1"/>
  <c r="AF6047" i="1"/>
  <c r="AF6046" i="1"/>
  <c r="AF6045" i="1"/>
  <c r="AF6044" i="1"/>
  <c r="AF6043" i="1"/>
  <c r="AF6042" i="1"/>
  <c r="AF6041" i="1"/>
  <c r="AF6040" i="1"/>
  <c r="AF6039" i="1"/>
  <c r="AF6038" i="1"/>
  <c r="AF6037" i="1"/>
  <c r="AF6036" i="1"/>
  <c r="AF6035" i="1"/>
  <c r="AF6034" i="1"/>
  <c r="AF6033" i="1"/>
  <c r="AF6032" i="1"/>
  <c r="AF6031" i="1"/>
  <c r="AF6030" i="1"/>
  <c r="AF6029" i="1"/>
  <c r="AF6028" i="1"/>
  <c r="AF6027" i="1"/>
  <c r="AF6026" i="1"/>
  <c r="AF6025" i="1"/>
  <c r="AF6024" i="1"/>
  <c r="AF6023" i="1"/>
  <c r="AF6022" i="1"/>
  <c r="AF6021" i="1"/>
  <c r="AF6020" i="1"/>
  <c r="AF6019" i="1"/>
  <c r="AF6018" i="1"/>
  <c r="AF6017" i="1"/>
  <c r="AF6016" i="1"/>
  <c r="AF6015" i="1"/>
  <c r="AF6014" i="1"/>
  <c r="AF6013" i="1"/>
  <c r="AF6012" i="1"/>
  <c r="AF6011" i="1"/>
  <c r="AF6010" i="1"/>
  <c r="AF6009" i="1"/>
  <c r="AF6008" i="1"/>
  <c r="AF6007" i="1"/>
  <c r="AF6006" i="1"/>
  <c r="AF6005" i="1"/>
  <c r="AF6004" i="1"/>
  <c r="AF6003" i="1"/>
  <c r="AF6002" i="1"/>
  <c r="AF6001" i="1"/>
  <c r="AF6000" i="1"/>
  <c r="AF5999" i="1"/>
  <c r="AF5998" i="1"/>
  <c r="AF5997" i="1"/>
  <c r="AF5996" i="1"/>
  <c r="AF5995" i="1"/>
  <c r="AF5994" i="1"/>
  <c r="AF5993" i="1"/>
  <c r="AF5992" i="1"/>
  <c r="AF5991" i="1"/>
  <c r="AF5990" i="1"/>
  <c r="AF5989" i="1"/>
  <c r="AF5988" i="1"/>
  <c r="AF5987" i="1"/>
  <c r="AF5986" i="1"/>
  <c r="AF5985" i="1"/>
  <c r="AF5984" i="1"/>
  <c r="AF5983" i="1"/>
  <c r="AF5982" i="1"/>
  <c r="AF5981" i="1"/>
  <c r="AF5980" i="1"/>
  <c r="AF5979" i="1"/>
  <c r="AF5978" i="1"/>
  <c r="AF5977" i="1"/>
  <c r="AF5976" i="1"/>
  <c r="AF5975" i="1"/>
  <c r="AF5974" i="1"/>
  <c r="AF5973" i="1"/>
  <c r="AF5972" i="1"/>
  <c r="AF5971" i="1"/>
  <c r="AF5970" i="1"/>
  <c r="AF5969" i="1"/>
  <c r="AF5968" i="1"/>
  <c r="AF5967" i="1"/>
  <c r="AF5966" i="1"/>
  <c r="AF5965" i="1"/>
  <c r="AF5964" i="1"/>
  <c r="AF5963" i="1"/>
  <c r="AF5962" i="1"/>
  <c r="AF5961" i="1"/>
  <c r="AF5960" i="1"/>
  <c r="AF5959" i="1"/>
  <c r="AF5958" i="1"/>
  <c r="AF5957" i="1"/>
  <c r="AF5956" i="1"/>
  <c r="AF5955" i="1"/>
  <c r="AF5954" i="1"/>
  <c r="AF5953" i="1"/>
  <c r="AF5952" i="1"/>
  <c r="AF5951" i="1"/>
  <c r="AF5950" i="1"/>
  <c r="AF5949" i="1"/>
  <c r="AF5948" i="1"/>
  <c r="AF5947" i="1"/>
  <c r="AF5946" i="1"/>
  <c r="AF5945" i="1"/>
  <c r="AF5944" i="1"/>
  <c r="AF5943" i="1"/>
  <c r="AF5942" i="1"/>
  <c r="AF5941" i="1"/>
  <c r="AF5940" i="1"/>
  <c r="AF5939" i="1"/>
  <c r="AF5938" i="1"/>
  <c r="AF5937" i="1"/>
  <c r="AF5936" i="1"/>
  <c r="AF5935" i="1"/>
  <c r="AF5934" i="1"/>
  <c r="AF5933" i="1"/>
  <c r="AF5932" i="1"/>
  <c r="AF5931" i="1"/>
  <c r="AF5930" i="1"/>
  <c r="AF5929" i="1"/>
  <c r="AF5928" i="1"/>
  <c r="AF5927" i="1"/>
  <c r="AF5926" i="1"/>
  <c r="AF5925" i="1"/>
  <c r="AF5924" i="1"/>
  <c r="AF5923" i="1"/>
  <c r="AF5922" i="1"/>
  <c r="AF5921" i="1"/>
  <c r="AF5920" i="1"/>
  <c r="AF5919" i="1"/>
  <c r="AF5918" i="1"/>
  <c r="AF5917" i="1"/>
  <c r="AF5916" i="1"/>
  <c r="AF5915" i="1"/>
  <c r="AF5914" i="1"/>
  <c r="AF5913" i="1"/>
  <c r="AF5912" i="1"/>
  <c r="AF5911" i="1"/>
  <c r="AF5910" i="1"/>
  <c r="AF5909" i="1"/>
  <c r="AF5908" i="1"/>
  <c r="AF5907" i="1"/>
  <c r="AF5906" i="1"/>
  <c r="AF5905" i="1"/>
  <c r="AF5904" i="1"/>
  <c r="AF5903" i="1"/>
  <c r="AF5902" i="1"/>
  <c r="AF5901" i="1"/>
  <c r="AF5900" i="1"/>
  <c r="AF5899" i="1"/>
  <c r="AF5898" i="1"/>
  <c r="AF5897" i="1"/>
  <c r="AF5896" i="1"/>
  <c r="AF5895" i="1"/>
  <c r="AF5894" i="1"/>
  <c r="AF5893" i="1"/>
  <c r="AF5892" i="1"/>
  <c r="AF5891" i="1"/>
  <c r="AF5890" i="1"/>
  <c r="AF5889" i="1"/>
  <c r="AF5888" i="1"/>
  <c r="AF5887" i="1"/>
  <c r="AF5886" i="1"/>
  <c r="AF5885" i="1"/>
  <c r="AF5884" i="1"/>
  <c r="AF5883" i="1"/>
  <c r="AF5882" i="1"/>
  <c r="AF5881" i="1"/>
  <c r="AF5880" i="1"/>
  <c r="AF5879" i="1"/>
  <c r="AF5878" i="1"/>
  <c r="AF5877" i="1"/>
  <c r="AF5876" i="1"/>
  <c r="AF5875" i="1"/>
  <c r="AF5874" i="1"/>
  <c r="AF5873" i="1"/>
  <c r="AF5872" i="1"/>
  <c r="AF5871" i="1"/>
  <c r="AF5870" i="1"/>
  <c r="AF5869" i="1"/>
  <c r="AF5868" i="1"/>
  <c r="AF5867" i="1"/>
  <c r="AF5866" i="1"/>
  <c r="AF5865" i="1"/>
  <c r="AF5864" i="1"/>
  <c r="AF5863" i="1"/>
  <c r="AF5862" i="1"/>
  <c r="AF5861" i="1"/>
  <c r="AF5860" i="1"/>
  <c r="AF5859" i="1"/>
  <c r="AF5858" i="1"/>
  <c r="AF5857" i="1"/>
  <c r="AF5856" i="1"/>
  <c r="AF5855" i="1"/>
  <c r="AF5854" i="1"/>
  <c r="AF5853" i="1"/>
  <c r="AF5852" i="1"/>
  <c r="AF5851" i="1"/>
  <c r="AF5850" i="1"/>
  <c r="AF5849" i="1"/>
  <c r="AF5848" i="1"/>
  <c r="AF5847" i="1"/>
  <c r="AF5846" i="1"/>
  <c r="AF5845" i="1"/>
  <c r="AF5844" i="1"/>
  <c r="AF5843" i="1"/>
  <c r="AF5842" i="1"/>
  <c r="AF5841" i="1"/>
  <c r="AF5840" i="1"/>
  <c r="AF5839" i="1"/>
  <c r="AF5838" i="1"/>
  <c r="AF5837" i="1"/>
  <c r="AF5836" i="1"/>
  <c r="AF5835" i="1"/>
  <c r="AF5834" i="1"/>
  <c r="AF5833" i="1"/>
  <c r="AF5832" i="1"/>
  <c r="AF5831" i="1"/>
  <c r="AF5830" i="1"/>
  <c r="AF5829" i="1"/>
  <c r="AF5828" i="1"/>
  <c r="AF5827" i="1"/>
  <c r="AF5826" i="1"/>
  <c r="AF5825" i="1"/>
  <c r="AF5824" i="1"/>
  <c r="AF5823" i="1"/>
  <c r="AF5822" i="1"/>
  <c r="AF5821" i="1"/>
  <c r="AF5820" i="1"/>
  <c r="AF5819" i="1"/>
  <c r="AF5818" i="1"/>
  <c r="AF5817" i="1"/>
  <c r="AF5816" i="1"/>
  <c r="AF5815" i="1"/>
  <c r="AF5814" i="1"/>
  <c r="AF5813" i="1"/>
  <c r="AF5812" i="1"/>
  <c r="AF5811" i="1"/>
  <c r="AF5810" i="1"/>
  <c r="AF5809" i="1"/>
  <c r="AF5808" i="1"/>
  <c r="AF5807" i="1"/>
  <c r="AF5806" i="1"/>
  <c r="AF5805" i="1"/>
  <c r="AF5804" i="1"/>
  <c r="AF5803" i="1"/>
  <c r="AF5802" i="1"/>
  <c r="AF5801" i="1"/>
  <c r="AF5800" i="1"/>
  <c r="AF5799" i="1"/>
  <c r="AF5798" i="1"/>
  <c r="AF5797" i="1"/>
  <c r="AF5796" i="1"/>
  <c r="AF5795" i="1"/>
  <c r="AF5794" i="1"/>
  <c r="AF5793" i="1"/>
  <c r="AF5792" i="1"/>
  <c r="AF5791" i="1"/>
  <c r="AF5790" i="1"/>
  <c r="AF5789" i="1"/>
  <c r="AF5788" i="1"/>
  <c r="AF5787" i="1"/>
  <c r="AF5786" i="1"/>
  <c r="AF5785" i="1"/>
  <c r="AF5784" i="1"/>
  <c r="AF5783" i="1"/>
  <c r="AF5782" i="1"/>
  <c r="AF5781" i="1"/>
  <c r="AF5780" i="1"/>
  <c r="AF5779" i="1"/>
  <c r="AF5778" i="1"/>
  <c r="AF5777" i="1"/>
  <c r="AF5776" i="1"/>
  <c r="AF5775" i="1"/>
  <c r="AF5774" i="1"/>
  <c r="AF5773" i="1"/>
  <c r="AF5772" i="1"/>
  <c r="AF5771" i="1"/>
  <c r="AF5770" i="1"/>
  <c r="AF5769" i="1"/>
  <c r="AF5768" i="1"/>
  <c r="AF5767" i="1"/>
  <c r="AF5766" i="1"/>
  <c r="AF5765" i="1"/>
  <c r="AF5764" i="1"/>
  <c r="AF5763" i="1"/>
  <c r="AF5762" i="1"/>
  <c r="AF5761" i="1"/>
  <c r="AF5760" i="1"/>
  <c r="AF5759" i="1"/>
  <c r="AF5758" i="1"/>
  <c r="AF5757" i="1"/>
  <c r="AF5756" i="1"/>
  <c r="AF5755" i="1"/>
  <c r="AF5754" i="1"/>
  <c r="AF5753" i="1"/>
  <c r="AF5752" i="1"/>
  <c r="AF5751" i="1"/>
  <c r="AF5750" i="1"/>
  <c r="AF5749" i="1"/>
  <c r="AF5748" i="1"/>
  <c r="AF5747" i="1"/>
  <c r="AF5746" i="1"/>
  <c r="AF5745" i="1"/>
  <c r="AF5744" i="1"/>
  <c r="AF5743" i="1"/>
  <c r="AF5742" i="1"/>
  <c r="AF5741" i="1"/>
  <c r="AF5740" i="1"/>
  <c r="AF5739" i="1"/>
  <c r="AF5738" i="1"/>
  <c r="AF5737" i="1"/>
  <c r="AF5736" i="1"/>
  <c r="AF5735" i="1"/>
  <c r="AF5734" i="1"/>
  <c r="AF5733" i="1"/>
  <c r="AF5732" i="1"/>
  <c r="AF5731" i="1"/>
  <c r="AF5730" i="1"/>
  <c r="AF5729" i="1"/>
  <c r="AF5728" i="1"/>
  <c r="AF5727" i="1"/>
  <c r="AF5726" i="1"/>
  <c r="AF5725" i="1"/>
  <c r="AF5724" i="1"/>
  <c r="AF5723" i="1"/>
  <c r="AF5722" i="1"/>
  <c r="AF5721" i="1"/>
  <c r="AF5720" i="1"/>
  <c r="AF5719" i="1"/>
  <c r="AF5718" i="1"/>
  <c r="AF5717" i="1"/>
  <c r="AF5716" i="1"/>
  <c r="AF5715" i="1"/>
  <c r="AF5714" i="1"/>
  <c r="AF5713" i="1"/>
  <c r="AF5712" i="1"/>
  <c r="AF5711" i="1"/>
  <c r="AF5710" i="1"/>
  <c r="AF5709" i="1"/>
  <c r="AF5708" i="1"/>
  <c r="AF5707" i="1"/>
  <c r="AF5706" i="1"/>
  <c r="AF5705" i="1"/>
  <c r="AF5704" i="1"/>
  <c r="AF5703" i="1"/>
  <c r="AF5702" i="1"/>
  <c r="AF5701" i="1"/>
  <c r="AF5700" i="1"/>
  <c r="AF5699" i="1"/>
  <c r="AF5698" i="1"/>
  <c r="AF5697" i="1"/>
  <c r="AF5696" i="1"/>
  <c r="AF5695" i="1"/>
  <c r="AF5694" i="1"/>
  <c r="AF5693" i="1"/>
  <c r="AF5692" i="1"/>
  <c r="AF5691" i="1"/>
  <c r="AF5690" i="1"/>
  <c r="AF5689" i="1"/>
  <c r="AF5688" i="1"/>
  <c r="AF5687" i="1"/>
  <c r="AF5686" i="1"/>
  <c r="AF5685" i="1"/>
  <c r="AF5684" i="1"/>
  <c r="AF5683" i="1"/>
  <c r="AF5682" i="1"/>
  <c r="AF5681" i="1"/>
  <c r="AF5680" i="1"/>
  <c r="AF5679" i="1"/>
  <c r="AF5678" i="1"/>
  <c r="AF5677" i="1"/>
  <c r="AF5676" i="1"/>
  <c r="AF5675" i="1"/>
  <c r="AF5674" i="1"/>
  <c r="AF5673" i="1"/>
  <c r="AF5672" i="1"/>
  <c r="AF5671" i="1"/>
  <c r="AF5670" i="1"/>
  <c r="AF5669" i="1"/>
  <c r="AF5668" i="1"/>
  <c r="AF5667" i="1"/>
  <c r="AF5666" i="1"/>
  <c r="AF5665" i="1"/>
  <c r="AF5664" i="1"/>
  <c r="AF5663" i="1"/>
  <c r="AF5662" i="1"/>
  <c r="AF5661" i="1"/>
  <c r="AF5660" i="1"/>
  <c r="AF5659" i="1"/>
  <c r="AF5658" i="1"/>
  <c r="AF5657" i="1"/>
  <c r="AF5656" i="1"/>
  <c r="AF5655" i="1"/>
  <c r="AF5654" i="1"/>
  <c r="AF5653" i="1"/>
  <c r="AF5652" i="1"/>
  <c r="AF5651" i="1"/>
  <c r="AF5650" i="1"/>
  <c r="AF5649" i="1"/>
  <c r="AF5648" i="1"/>
  <c r="AF5647" i="1"/>
  <c r="AF5646" i="1"/>
  <c r="AF5645" i="1"/>
  <c r="AF5644" i="1"/>
  <c r="AF5643" i="1"/>
  <c r="AF5642" i="1"/>
  <c r="AF5641" i="1"/>
  <c r="AF5640" i="1"/>
  <c r="AF5639" i="1"/>
  <c r="AF5638" i="1"/>
  <c r="AF5637" i="1"/>
  <c r="AF5636" i="1"/>
  <c r="AF5635" i="1"/>
  <c r="AF5634" i="1"/>
  <c r="AF5633" i="1"/>
  <c r="AF5632" i="1"/>
  <c r="AF5631" i="1"/>
  <c r="AF5630" i="1"/>
  <c r="AF5629" i="1"/>
  <c r="AF5628" i="1"/>
  <c r="AF5627" i="1"/>
  <c r="AF5626" i="1"/>
  <c r="AF5625" i="1"/>
  <c r="AF5624" i="1"/>
  <c r="AF5623" i="1"/>
  <c r="AF5622" i="1"/>
  <c r="AF5621" i="1"/>
  <c r="AF5620" i="1"/>
  <c r="AF5619" i="1"/>
  <c r="AF5618" i="1"/>
  <c r="AF5617" i="1"/>
  <c r="AF5616" i="1"/>
  <c r="AF5615" i="1"/>
  <c r="AF5614" i="1"/>
  <c r="AF5613" i="1"/>
  <c r="AF5612" i="1"/>
  <c r="AF5611" i="1"/>
  <c r="AF5610" i="1"/>
  <c r="AF5609" i="1"/>
  <c r="AF5608" i="1"/>
  <c r="AF5607" i="1"/>
  <c r="AF5606" i="1"/>
  <c r="AF5605" i="1"/>
  <c r="AF5604" i="1"/>
  <c r="AF5603" i="1"/>
  <c r="AF5602" i="1"/>
  <c r="AF5601" i="1"/>
  <c r="AF5600" i="1"/>
  <c r="AF5599" i="1"/>
  <c r="AF5598" i="1"/>
  <c r="AF5597" i="1"/>
  <c r="AF5596" i="1"/>
  <c r="AF5595" i="1"/>
  <c r="AF5594" i="1"/>
  <c r="AF5593" i="1"/>
  <c r="AF5592" i="1"/>
  <c r="AF5591" i="1"/>
  <c r="AF5590" i="1"/>
  <c r="AF5589" i="1"/>
  <c r="AF5588" i="1"/>
  <c r="AF5587" i="1"/>
  <c r="AF5586" i="1"/>
  <c r="AF5585" i="1"/>
  <c r="AF5584" i="1"/>
  <c r="AF5583" i="1"/>
  <c r="AF5582" i="1"/>
  <c r="AF5581" i="1"/>
  <c r="AF5580" i="1"/>
  <c r="AF5579" i="1"/>
  <c r="AF5578" i="1"/>
  <c r="AF5577" i="1"/>
  <c r="AF5576" i="1"/>
  <c r="AF5575" i="1"/>
  <c r="AF5574" i="1"/>
  <c r="AF5573" i="1"/>
  <c r="AF5572" i="1"/>
  <c r="AF5571" i="1"/>
  <c r="AF5570" i="1"/>
  <c r="AF5569" i="1"/>
  <c r="AF5568" i="1"/>
  <c r="AF5567" i="1"/>
  <c r="AF5566" i="1"/>
  <c r="AF5565" i="1"/>
  <c r="AF5564" i="1"/>
  <c r="AF5563" i="1"/>
  <c r="AF5562" i="1"/>
  <c r="AF5561" i="1"/>
  <c r="AF5560" i="1"/>
  <c r="AF5559" i="1"/>
  <c r="AF5558" i="1"/>
  <c r="AF5557" i="1"/>
  <c r="AF5556" i="1"/>
  <c r="AF5555" i="1"/>
  <c r="AF5554" i="1"/>
  <c r="AF5553" i="1"/>
  <c r="AF5552" i="1"/>
  <c r="AF5551" i="1"/>
  <c r="AF5550" i="1"/>
  <c r="AF5549" i="1"/>
  <c r="AF5548" i="1"/>
  <c r="AF5547" i="1"/>
  <c r="AF5546" i="1"/>
  <c r="AF5545" i="1"/>
  <c r="AF5544" i="1"/>
  <c r="AF5543" i="1"/>
  <c r="AF5542" i="1"/>
  <c r="AF5541" i="1"/>
  <c r="AF5540" i="1"/>
  <c r="AF5539" i="1"/>
  <c r="AF5538" i="1"/>
  <c r="AF5537" i="1"/>
  <c r="AF5536" i="1"/>
  <c r="AF5535" i="1"/>
  <c r="AF5534" i="1"/>
  <c r="AF5533" i="1"/>
  <c r="AF5532" i="1"/>
  <c r="AF5531" i="1"/>
  <c r="AF5530" i="1"/>
  <c r="AF5529" i="1"/>
  <c r="AF5528" i="1"/>
  <c r="AF5527" i="1"/>
  <c r="AF5526" i="1"/>
  <c r="AF5525" i="1"/>
  <c r="AF5524" i="1"/>
  <c r="AF5523" i="1"/>
  <c r="AF5522" i="1"/>
  <c r="AF5521" i="1"/>
  <c r="AF5520" i="1"/>
  <c r="AF5519" i="1"/>
  <c r="AF5518" i="1"/>
  <c r="AF5517" i="1"/>
  <c r="AF5516" i="1"/>
  <c r="AF5515" i="1"/>
  <c r="AF5514" i="1"/>
  <c r="AF5513" i="1"/>
  <c r="AF5512" i="1"/>
  <c r="AF5511" i="1"/>
  <c r="AF5510" i="1"/>
  <c r="AF5509" i="1"/>
  <c r="AF5508" i="1"/>
  <c r="AF5507" i="1"/>
  <c r="AF5506" i="1"/>
  <c r="AF5505" i="1"/>
  <c r="AF5504" i="1"/>
  <c r="AF5503" i="1"/>
  <c r="AF5502" i="1"/>
  <c r="AF5501" i="1"/>
  <c r="AF5500" i="1"/>
  <c r="AF5499" i="1"/>
  <c r="AF5498" i="1"/>
  <c r="AF5497" i="1"/>
  <c r="AF5496" i="1"/>
  <c r="AF5495" i="1"/>
  <c r="AF5494" i="1"/>
  <c r="AF5493" i="1"/>
  <c r="AF5492" i="1"/>
  <c r="AF5491" i="1"/>
  <c r="AF5490" i="1"/>
  <c r="AF5489" i="1"/>
  <c r="AF5488" i="1"/>
  <c r="AF5487" i="1"/>
  <c r="AF5486" i="1"/>
  <c r="AF5485" i="1"/>
  <c r="AF5484" i="1"/>
  <c r="AF5483" i="1"/>
  <c r="AF5482" i="1"/>
  <c r="AF5481" i="1"/>
  <c r="AF5480" i="1"/>
  <c r="AF5479" i="1"/>
  <c r="AF5478" i="1"/>
  <c r="AF5477" i="1"/>
  <c r="AF5476" i="1"/>
  <c r="AF5475" i="1"/>
  <c r="AF5474" i="1"/>
  <c r="AF5473" i="1"/>
  <c r="AF5472" i="1"/>
  <c r="AF5471" i="1"/>
  <c r="AF5470" i="1"/>
  <c r="AF5469" i="1"/>
  <c r="AF5468" i="1"/>
  <c r="AF5467" i="1"/>
  <c r="AF5466" i="1"/>
  <c r="AF5465" i="1"/>
  <c r="AF5464" i="1"/>
  <c r="AF5463" i="1"/>
  <c r="AF5462" i="1"/>
  <c r="AF5461" i="1"/>
  <c r="AF5460" i="1"/>
  <c r="AF5459" i="1"/>
  <c r="AF5458" i="1"/>
  <c r="AF5457" i="1"/>
  <c r="AF5456" i="1"/>
  <c r="AF5455" i="1"/>
  <c r="AF5454" i="1"/>
  <c r="AF5453" i="1"/>
  <c r="AF5452" i="1"/>
  <c r="AF5451" i="1"/>
  <c r="AF5450" i="1"/>
  <c r="AF5449" i="1"/>
  <c r="AF5448" i="1"/>
  <c r="AF5447" i="1"/>
  <c r="AF5446" i="1"/>
  <c r="AF5445" i="1"/>
  <c r="AF5444" i="1"/>
  <c r="AF5443" i="1"/>
  <c r="AF5442" i="1"/>
  <c r="AF5441" i="1"/>
  <c r="AF5440" i="1"/>
  <c r="AF5439" i="1"/>
  <c r="AF5438" i="1"/>
  <c r="AF5437" i="1"/>
  <c r="AF5436" i="1"/>
  <c r="AF5435" i="1"/>
  <c r="AF5434" i="1"/>
  <c r="AF5433" i="1"/>
  <c r="AF5432" i="1"/>
  <c r="AF5431" i="1"/>
  <c r="AF5430" i="1"/>
  <c r="AF5429" i="1"/>
  <c r="AF5428" i="1"/>
  <c r="AF5427" i="1"/>
  <c r="AF5426" i="1"/>
  <c r="AF5425" i="1"/>
  <c r="AF5424" i="1"/>
  <c r="AF5423" i="1"/>
  <c r="AF5422" i="1"/>
  <c r="AF5421" i="1"/>
  <c r="AF5420" i="1"/>
  <c r="AF5419" i="1"/>
  <c r="AF5418" i="1"/>
  <c r="AF5417" i="1"/>
  <c r="AF5416" i="1"/>
  <c r="AF5415" i="1"/>
  <c r="AF5414" i="1"/>
  <c r="AF5413" i="1"/>
  <c r="AF5412" i="1"/>
  <c r="AF5411" i="1"/>
  <c r="AF5410" i="1"/>
  <c r="AF5409" i="1"/>
  <c r="AF5408" i="1"/>
  <c r="AF5407" i="1"/>
  <c r="AF5406" i="1"/>
  <c r="AF5405" i="1"/>
  <c r="AF5404" i="1"/>
  <c r="AF5403" i="1"/>
  <c r="AF5402" i="1"/>
  <c r="AF5401" i="1"/>
  <c r="AF5400" i="1"/>
  <c r="AF5399" i="1"/>
  <c r="AF5398" i="1"/>
  <c r="AF5397" i="1"/>
  <c r="AF5396" i="1"/>
  <c r="AF5395" i="1"/>
  <c r="AF5394" i="1"/>
  <c r="AF5393" i="1"/>
  <c r="AF5392" i="1"/>
  <c r="AF5391" i="1"/>
  <c r="AF5390" i="1"/>
  <c r="AF5389" i="1"/>
  <c r="AF5388" i="1"/>
  <c r="AF5387" i="1"/>
  <c r="AF5386" i="1"/>
  <c r="AF5385" i="1"/>
  <c r="AF5384" i="1"/>
  <c r="AF5383" i="1"/>
  <c r="AF5382" i="1"/>
  <c r="AF5381" i="1"/>
  <c r="AF5380" i="1"/>
  <c r="AF5379" i="1"/>
  <c r="AF5378" i="1"/>
  <c r="AF5377" i="1"/>
  <c r="AF5376" i="1"/>
  <c r="AF5375" i="1"/>
  <c r="AF5374" i="1"/>
  <c r="AF5373" i="1"/>
  <c r="AF5372" i="1"/>
  <c r="AF5371" i="1"/>
  <c r="AF5370" i="1"/>
  <c r="AF5369" i="1"/>
  <c r="AF5368" i="1"/>
  <c r="AF5367" i="1"/>
  <c r="AF5366" i="1"/>
  <c r="AF5365" i="1"/>
  <c r="AF5364" i="1"/>
  <c r="AF5363" i="1"/>
  <c r="AF5362" i="1"/>
  <c r="AF5361" i="1"/>
  <c r="AF5360" i="1"/>
  <c r="AF5359" i="1"/>
  <c r="AF5358" i="1"/>
  <c r="AF5357" i="1"/>
  <c r="AF5356" i="1"/>
  <c r="AF5355" i="1"/>
  <c r="AF5354" i="1"/>
  <c r="AF5353" i="1"/>
  <c r="AF5352" i="1"/>
  <c r="AF5351" i="1"/>
  <c r="AF5350" i="1"/>
  <c r="AF5349" i="1"/>
  <c r="AF5348" i="1"/>
  <c r="AF5347" i="1"/>
  <c r="AF5346" i="1"/>
  <c r="AF5345" i="1"/>
  <c r="AF5344" i="1"/>
  <c r="AF5343" i="1"/>
  <c r="AF5342" i="1"/>
  <c r="AF5341" i="1"/>
  <c r="AF5340" i="1"/>
  <c r="AF5339" i="1"/>
  <c r="AF5338" i="1"/>
  <c r="AF5337" i="1"/>
  <c r="AF5336" i="1"/>
  <c r="AF5335" i="1"/>
  <c r="AF5334" i="1"/>
  <c r="AF5333" i="1"/>
  <c r="AF5332" i="1"/>
  <c r="AF5331" i="1"/>
  <c r="AF5330" i="1"/>
  <c r="AF5329" i="1"/>
  <c r="AF5328" i="1"/>
  <c r="AF5327" i="1"/>
  <c r="AF5326" i="1"/>
  <c r="AF5325" i="1"/>
  <c r="AF5324" i="1"/>
  <c r="AF5323" i="1"/>
  <c r="AF5322" i="1"/>
  <c r="AF5321" i="1"/>
  <c r="AF5320" i="1"/>
  <c r="AF5319" i="1"/>
  <c r="AF5318" i="1"/>
  <c r="AF5317" i="1"/>
  <c r="AF5316" i="1"/>
  <c r="AF5315" i="1"/>
  <c r="AF5314" i="1"/>
  <c r="AF5313" i="1"/>
  <c r="AF5312" i="1"/>
  <c r="AF5311" i="1"/>
  <c r="AF5310" i="1"/>
  <c r="AF5309" i="1"/>
  <c r="AF5308" i="1"/>
  <c r="AF5307" i="1"/>
  <c r="AF5306" i="1"/>
  <c r="AF5305" i="1"/>
  <c r="AF5304" i="1"/>
  <c r="AF5303" i="1"/>
  <c r="AF5302" i="1"/>
  <c r="AF5301" i="1"/>
  <c r="AF5300" i="1"/>
  <c r="AF5299" i="1"/>
  <c r="AF5298" i="1"/>
  <c r="AF5297" i="1"/>
  <c r="AF5296" i="1"/>
  <c r="AF5295" i="1"/>
  <c r="AF5294" i="1"/>
  <c r="AF5293" i="1"/>
  <c r="AF5292" i="1"/>
  <c r="AF5291" i="1"/>
  <c r="AF5290" i="1"/>
  <c r="AF5289" i="1"/>
  <c r="AF5288" i="1"/>
  <c r="AF5287" i="1"/>
  <c r="AF5286" i="1"/>
  <c r="AF5285" i="1"/>
  <c r="AF5284" i="1"/>
  <c r="AF5283" i="1"/>
  <c r="AF5282" i="1"/>
  <c r="AF5281" i="1"/>
  <c r="AF5280" i="1"/>
  <c r="AF5279" i="1"/>
  <c r="AF5278" i="1"/>
  <c r="AF5277" i="1"/>
  <c r="AF5276" i="1"/>
  <c r="AF5275" i="1"/>
  <c r="AF5274" i="1"/>
  <c r="AF5273" i="1"/>
  <c r="AF5272" i="1"/>
  <c r="AF5271" i="1"/>
  <c r="AF5270" i="1"/>
  <c r="AF5269" i="1"/>
  <c r="AF5268" i="1"/>
  <c r="AF5267" i="1"/>
  <c r="AF5266" i="1"/>
  <c r="AF5265" i="1"/>
  <c r="AF5264" i="1"/>
  <c r="AF5263" i="1"/>
  <c r="AF5262" i="1"/>
  <c r="AF5261" i="1"/>
  <c r="AF5260" i="1"/>
  <c r="AF5259" i="1"/>
  <c r="AF5258" i="1"/>
  <c r="AF5257" i="1"/>
  <c r="AF5256" i="1"/>
  <c r="AF5255" i="1"/>
  <c r="AF5254" i="1"/>
  <c r="AF5253" i="1"/>
  <c r="AF5252" i="1"/>
  <c r="AF5251" i="1"/>
  <c r="AF5250" i="1"/>
  <c r="AF5249" i="1"/>
  <c r="AF5248" i="1"/>
  <c r="AF5247" i="1"/>
  <c r="AF5246" i="1"/>
  <c r="AF5245" i="1"/>
  <c r="AF5244" i="1"/>
  <c r="AF5243" i="1"/>
  <c r="AF5242" i="1"/>
  <c r="AF5241" i="1"/>
  <c r="AF5240" i="1"/>
  <c r="AF5239" i="1"/>
  <c r="AF5238" i="1"/>
  <c r="AF5237" i="1"/>
  <c r="AF5236" i="1"/>
  <c r="AF5235" i="1"/>
  <c r="AF5234" i="1"/>
  <c r="AF5233" i="1"/>
  <c r="AF5232" i="1"/>
  <c r="AF5231" i="1"/>
  <c r="AF5230" i="1"/>
  <c r="AF5229" i="1"/>
  <c r="AF5228" i="1"/>
  <c r="AF5227" i="1"/>
  <c r="AF5226" i="1"/>
  <c r="AF5225" i="1"/>
  <c r="AF5224" i="1"/>
  <c r="AF5223" i="1"/>
  <c r="AF5222" i="1"/>
  <c r="AF5221" i="1"/>
  <c r="AF5220" i="1"/>
  <c r="AF5219" i="1"/>
  <c r="AF5218" i="1"/>
  <c r="AF5217" i="1"/>
  <c r="AF5216" i="1"/>
  <c r="AF5215" i="1"/>
  <c r="AF5214" i="1"/>
  <c r="AF5213" i="1"/>
  <c r="AF5212" i="1"/>
  <c r="AF5211" i="1"/>
  <c r="AF5210" i="1"/>
  <c r="AF5209" i="1"/>
  <c r="AF5208" i="1"/>
  <c r="AF5207" i="1"/>
  <c r="AF5206" i="1"/>
  <c r="AF5205" i="1"/>
  <c r="AF5204" i="1"/>
  <c r="AF5203" i="1"/>
  <c r="AF5202" i="1"/>
  <c r="AF5201" i="1"/>
  <c r="AF5200" i="1"/>
  <c r="AF5199" i="1"/>
  <c r="AF5198" i="1"/>
  <c r="AF5197" i="1"/>
  <c r="AF5196" i="1"/>
  <c r="AF5195" i="1"/>
  <c r="AF5194" i="1"/>
  <c r="AF5193" i="1"/>
  <c r="AF5192" i="1"/>
  <c r="AF5191" i="1"/>
  <c r="AF5190" i="1"/>
  <c r="AF5189" i="1"/>
  <c r="AF5188" i="1"/>
  <c r="AF5187" i="1"/>
  <c r="AF5186" i="1"/>
  <c r="AF5185" i="1"/>
  <c r="AF5184" i="1"/>
  <c r="AF5183" i="1"/>
  <c r="AF5182" i="1"/>
  <c r="AF5181" i="1"/>
  <c r="AF5180" i="1"/>
  <c r="AF5179" i="1"/>
  <c r="AF5178" i="1"/>
  <c r="AF5177" i="1"/>
  <c r="AF5176" i="1"/>
  <c r="AF5175" i="1"/>
  <c r="AF5174" i="1"/>
  <c r="AF5173" i="1"/>
  <c r="AF5172" i="1"/>
  <c r="AF5171" i="1"/>
  <c r="AF5170" i="1"/>
  <c r="AF5169" i="1"/>
  <c r="AF5168" i="1"/>
  <c r="AF5167" i="1"/>
  <c r="AF5166" i="1"/>
  <c r="AF5165" i="1"/>
  <c r="AF5164" i="1"/>
  <c r="AF5163" i="1"/>
  <c r="AF5162" i="1"/>
  <c r="AF5161" i="1"/>
  <c r="AF5160" i="1"/>
  <c r="AF5159" i="1"/>
  <c r="AF5158" i="1"/>
  <c r="AF5157" i="1"/>
  <c r="AF5156" i="1"/>
  <c r="AF5155" i="1"/>
  <c r="AF5154" i="1"/>
  <c r="AF5153" i="1"/>
  <c r="AF5152" i="1"/>
  <c r="AF5151" i="1"/>
  <c r="AF5150" i="1"/>
  <c r="AF5149" i="1"/>
  <c r="AF5148" i="1"/>
  <c r="AF5147" i="1"/>
  <c r="AF5146" i="1"/>
  <c r="AF5145" i="1"/>
  <c r="AF5144" i="1"/>
  <c r="AF5143" i="1"/>
  <c r="AF5142" i="1"/>
  <c r="AF5141" i="1"/>
  <c r="AF5140" i="1"/>
  <c r="AF5139" i="1"/>
  <c r="AF5138" i="1"/>
  <c r="AF5137" i="1"/>
  <c r="AF5136" i="1"/>
  <c r="AF5135" i="1"/>
  <c r="AF5134" i="1"/>
  <c r="AF5133" i="1"/>
  <c r="AF5132" i="1"/>
  <c r="AF5131" i="1"/>
  <c r="AF5130" i="1"/>
  <c r="AF5129" i="1"/>
  <c r="AF5128" i="1"/>
  <c r="AF5127" i="1"/>
  <c r="AF5126" i="1"/>
  <c r="AF5125" i="1"/>
  <c r="AF5124" i="1"/>
  <c r="AF5123" i="1"/>
  <c r="AF5122" i="1"/>
  <c r="AF5121" i="1"/>
  <c r="AF5120" i="1"/>
  <c r="AF5119" i="1"/>
  <c r="AF5118" i="1"/>
  <c r="AF5117" i="1"/>
  <c r="AF5116" i="1"/>
  <c r="AF5115" i="1"/>
  <c r="AF5114" i="1"/>
  <c r="AF5113" i="1"/>
  <c r="AF5112" i="1"/>
  <c r="AF5111" i="1"/>
  <c r="AF5110" i="1"/>
  <c r="AF5109" i="1"/>
  <c r="AF5108" i="1"/>
  <c r="AF5107" i="1"/>
  <c r="AF5106" i="1"/>
  <c r="AF5105" i="1"/>
  <c r="AF5104" i="1"/>
  <c r="AF5103" i="1"/>
  <c r="AF5102" i="1"/>
  <c r="AF5101" i="1"/>
  <c r="AF5100" i="1"/>
  <c r="AF5099" i="1"/>
  <c r="AF5098" i="1"/>
  <c r="AF5097" i="1"/>
  <c r="AF5096" i="1"/>
  <c r="AF5095" i="1"/>
  <c r="AF5094" i="1"/>
  <c r="AF5093" i="1"/>
  <c r="AF5092" i="1"/>
  <c r="AF5091" i="1"/>
  <c r="AF5090" i="1"/>
  <c r="AF5089" i="1"/>
  <c r="AF5088" i="1"/>
  <c r="AF5087" i="1"/>
  <c r="AF5086" i="1"/>
  <c r="AF5085" i="1"/>
  <c r="AF5084" i="1"/>
  <c r="AF5083" i="1"/>
  <c r="AF5082" i="1"/>
  <c r="AF5081" i="1"/>
  <c r="AF5080" i="1"/>
  <c r="AF5079" i="1"/>
  <c r="AF5078" i="1"/>
  <c r="AF5077" i="1"/>
  <c r="AF5076" i="1"/>
  <c r="AF5075" i="1"/>
  <c r="AF5074" i="1"/>
  <c r="AF5073" i="1"/>
  <c r="AF5072" i="1"/>
  <c r="AF5071" i="1"/>
  <c r="AF5070" i="1"/>
  <c r="AF5069" i="1"/>
  <c r="AF5068" i="1"/>
  <c r="AF5067" i="1"/>
  <c r="AF5066" i="1"/>
  <c r="AF5065" i="1"/>
  <c r="AF5064" i="1"/>
  <c r="AF5063" i="1"/>
  <c r="AF5062" i="1"/>
  <c r="AF5061" i="1"/>
  <c r="AF5060" i="1"/>
  <c r="AF5059" i="1"/>
  <c r="AF5058" i="1"/>
  <c r="AF5057" i="1"/>
  <c r="AF5056" i="1"/>
  <c r="AF5055" i="1"/>
  <c r="AF5054" i="1"/>
  <c r="AF5053" i="1"/>
  <c r="AF5052" i="1"/>
  <c r="AF5051" i="1"/>
  <c r="AF5050" i="1"/>
  <c r="AF5049" i="1"/>
  <c r="AF5048" i="1"/>
  <c r="AF5047" i="1"/>
  <c r="AF5046" i="1"/>
  <c r="AF5045" i="1"/>
  <c r="AF5044" i="1"/>
  <c r="AF5043" i="1"/>
  <c r="AF5042" i="1"/>
  <c r="AF5041" i="1"/>
  <c r="AF5040" i="1"/>
  <c r="AF5039" i="1"/>
  <c r="AF5038" i="1"/>
  <c r="AF5037" i="1"/>
  <c r="AF5036" i="1"/>
  <c r="AF5035" i="1"/>
  <c r="AF5034" i="1"/>
  <c r="AF5033" i="1"/>
  <c r="AF5032" i="1"/>
  <c r="AF5031" i="1"/>
  <c r="AF5030" i="1"/>
  <c r="AF5029" i="1"/>
  <c r="AF5028" i="1"/>
  <c r="AF5027" i="1"/>
  <c r="AF5026" i="1"/>
  <c r="AF5025" i="1"/>
  <c r="AF5024" i="1"/>
  <c r="AF5023" i="1"/>
  <c r="AF5022" i="1"/>
  <c r="AF5021" i="1"/>
  <c r="AF5020" i="1"/>
  <c r="AF5019" i="1"/>
  <c r="AF5018" i="1"/>
  <c r="AF5017" i="1"/>
  <c r="AF5016" i="1"/>
  <c r="AF5015" i="1"/>
  <c r="AF5014" i="1"/>
  <c r="AF5013" i="1"/>
  <c r="AF5012" i="1"/>
  <c r="AF5011" i="1"/>
  <c r="AF5010" i="1"/>
  <c r="AF5009" i="1"/>
  <c r="AF5008" i="1"/>
  <c r="AF5007" i="1"/>
  <c r="AF5006" i="1"/>
  <c r="AF5005" i="1"/>
  <c r="AF5004" i="1"/>
  <c r="AF5003" i="1"/>
  <c r="AF5002" i="1"/>
  <c r="AF5001" i="1"/>
  <c r="AF5000" i="1"/>
  <c r="AF4999" i="1"/>
  <c r="AF4998" i="1"/>
  <c r="AF4997" i="1"/>
  <c r="AF4996" i="1"/>
  <c r="AF4995" i="1"/>
  <c r="AF4994" i="1"/>
  <c r="AF4993" i="1"/>
  <c r="AF4992" i="1"/>
  <c r="AF4991" i="1"/>
  <c r="AF4990" i="1"/>
  <c r="AF4989" i="1"/>
  <c r="AF4988" i="1"/>
  <c r="AF4987" i="1"/>
  <c r="AF4986" i="1"/>
  <c r="AF4985" i="1"/>
  <c r="AF4984" i="1"/>
  <c r="AF4983" i="1"/>
  <c r="AF4982" i="1"/>
  <c r="AF4981" i="1"/>
  <c r="AF4980" i="1"/>
  <c r="AF4979" i="1"/>
  <c r="AF4978" i="1"/>
  <c r="AF4977" i="1"/>
  <c r="AF4976" i="1"/>
  <c r="AF4975" i="1"/>
  <c r="AF4974" i="1"/>
  <c r="AF4973" i="1"/>
  <c r="AF4972" i="1"/>
  <c r="AF4971" i="1"/>
  <c r="AF4970" i="1"/>
  <c r="AF4969" i="1"/>
  <c r="AF4968" i="1"/>
  <c r="AF4967" i="1"/>
  <c r="AF4966" i="1"/>
  <c r="AF4965" i="1"/>
  <c r="AF4964" i="1"/>
  <c r="AF4963" i="1"/>
  <c r="AF4962" i="1"/>
  <c r="AF4961" i="1"/>
  <c r="AF4960" i="1"/>
  <c r="AF4959" i="1"/>
  <c r="AF4958" i="1"/>
  <c r="AF4957" i="1"/>
  <c r="AF4956" i="1"/>
  <c r="AF4955" i="1"/>
  <c r="AF4954" i="1"/>
  <c r="AF4953" i="1"/>
  <c r="AF4952" i="1"/>
  <c r="AF4951" i="1"/>
  <c r="AF4950" i="1"/>
  <c r="AF4949" i="1"/>
  <c r="AF4948" i="1"/>
  <c r="AF4947" i="1"/>
  <c r="AF4946" i="1"/>
  <c r="AF4945" i="1"/>
  <c r="AF4944" i="1"/>
  <c r="AF4943" i="1"/>
  <c r="AF4942" i="1"/>
  <c r="AF4941" i="1"/>
  <c r="AF4940" i="1"/>
  <c r="AF4939" i="1"/>
  <c r="AF4938" i="1"/>
  <c r="AF4937" i="1"/>
  <c r="AF4936" i="1"/>
  <c r="AF4935" i="1"/>
  <c r="AF4934" i="1"/>
  <c r="AF4933" i="1"/>
  <c r="AF4932" i="1"/>
  <c r="AF4931" i="1"/>
  <c r="AF4930" i="1"/>
  <c r="AF4929" i="1"/>
  <c r="AF4928" i="1"/>
  <c r="AF4927" i="1"/>
  <c r="AF4926" i="1"/>
  <c r="AF4925" i="1"/>
  <c r="AF4924" i="1"/>
  <c r="AF4923" i="1"/>
  <c r="AF4922" i="1"/>
  <c r="AF4921" i="1"/>
  <c r="AF4920" i="1"/>
  <c r="AF4919" i="1"/>
  <c r="AF4918" i="1"/>
  <c r="AF4917" i="1"/>
  <c r="AF4916" i="1"/>
  <c r="AF4915" i="1"/>
  <c r="AF4914" i="1"/>
  <c r="AF4913" i="1"/>
  <c r="AF4912" i="1"/>
  <c r="AF4911" i="1"/>
  <c r="AF4910" i="1"/>
  <c r="AF4909" i="1"/>
  <c r="AF4908" i="1"/>
  <c r="AF4907" i="1"/>
  <c r="AF4906" i="1"/>
  <c r="AF4905" i="1"/>
  <c r="AF4904" i="1"/>
  <c r="AF4903" i="1"/>
  <c r="AF4902" i="1"/>
  <c r="AF4901" i="1"/>
  <c r="AF4900" i="1"/>
  <c r="AF4899" i="1"/>
  <c r="AF4898" i="1"/>
  <c r="AF4897" i="1"/>
  <c r="AF4896" i="1"/>
  <c r="AF4895" i="1"/>
  <c r="AF4894" i="1"/>
  <c r="AF4893" i="1"/>
  <c r="AF4892" i="1"/>
  <c r="AF4891" i="1"/>
  <c r="AF4890" i="1"/>
  <c r="AF4889" i="1"/>
  <c r="AF4888" i="1"/>
  <c r="AF4887" i="1"/>
  <c r="AF4886" i="1"/>
  <c r="AF4885" i="1"/>
  <c r="AF4884" i="1"/>
  <c r="AF4883" i="1"/>
  <c r="AF4882" i="1"/>
  <c r="AF4881" i="1"/>
  <c r="AF4880" i="1"/>
  <c r="AF4879" i="1"/>
  <c r="AF4878" i="1"/>
  <c r="AF4877" i="1"/>
  <c r="AF4876" i="1"/>
  <c r="AF4875" i="1"/>
  <c r="AF4874" i="1"/>
  <c r="AF4873" i="1"/>
  <c r="AF4872" i="1"/>
  <c r="AF4871" i="1"/>
  <c r="AF4870" i="1"/>
  <c r="AF4869" i="1"/>
  <c r="AF4868" i="1"/>
  <c r="AF4867" i="1"/>
  <c r="AF4866" i="1"/>
  <c r="AF4865" i="1"/>
  <c r="AF4864" i="1"/>
  <c r="AF4863" i="1"/>
  <c r="AF4862" i="1"/>
  <c r="AF4861" i="1"/>
  <c r="AF4860" i="1"/>
  <c r="AF4859" i="1"/>
  <c r="AF4858" i="1"/>
  <c r="AF4857" i="1"/>
  <c r="AF4856" i="1"/>
  <c r="AF4855" i="1"/>
  <c r="AF4854" i="1"/>
  <c r="AF4853" i="1"/>
  <c r="AF4852" i="1"/>
  <c r="AF4851" i="1"/>
  <c r="AF4850" i="1"/>
  <c r="AF4849" i="1"/>
  <c r="AF4848" i="1"/>
  <c r="AF4847" i="1"/>
  <c r="AF4846" i="1"/>
  <c r="AF4845" i="1"/>
  <c r="AF4844" i="1"/>
  <c r="AF4843" i="1"/>
  <c r="AF4842" i="1"/>
  <c r="AF4841" i="1"/>
  <c r="AF4840" i="1"/>
  <c r="AF4839" i="1"/>
  <c r="AF4838" i="1"/>
  <c r="AF4837" i="1"/>
  <c r="AF4836" i="1"/>
  <c r="AF4835" i="1"/>
  <c r="AF4834" i="1"/>
  <c r="AF4833" i="1"/>
  <c r="AF4832" i="1"/>
  <c r="AF4831" i="1"/>
  <c r="AF4830" i="1"/>
  <c r="AF4829" i="1"/>
  <c r="AF4828" i="1"/>
  <c r="AF4827" i="1"/>
  <c r="AF4826" i="1"/>
  <c r="AF4825" i="1"/>
  <c r="AF4824" i="1"/>
  <c r="AF4823" i="1"/>
  <c r="AF4822" i="1"/>
  <c r="AF4821" i="1"/>
  <c r="AF4820" i="1"/>
  <c r="AF4819" i="1"/>
  <c r="AF4818" i="1"/>
  <c r="AF4817" i="1"/>
  <c r="AF4816" i="1"/>
  <c r="AF4815" i="1"/>
  <c r="AF4814" i="1"/>
  <c r="AF4813" i="1"/>
  <c r="AF4812" i="1"/>
  <c r="AF4811" i="1"/>
  <c r="AF4810" i="1"/>
  <c r="AF4809" i="1"/>
  <c r="AF4808" i="1"/>
  <c r="AF4807" i="1"/>
  <c r="AF4806" i="1"/>
  <c r="AF4805" i="1"/>
  <c r="AF4804" i="1"/>
  <c r="AF4803" i="1"/>
  <c r="AF4802" i="1"/>
  <c r="AF4801" i="1"/>
  <c r="AF4800" i="1"/>
  <c r="AF4799" i="1"/>
  <c r="AF4798" i="1"/>
  <c r="AF4797" i="1"/>
  <c r="AF4796" i="1"/>
  <c r="AF4795" i="1"/>
  <c r="AF4794" i="1"/>
  <c r="AF4793" i="1"/>
  <c r="AF4792" i="1"/>
  <c r="AF4791" i="1"/>
  <c r="AF4790" i="1"/>
  <c r="AF4789" i="1"/>
  <c r="AF4788" i="1"/>
  <c r="AF4787" i="1"/>
  <c r="AF4786" i="1"/>
  <c r="AF4785" i="1"/>
  <c r="AF4784" i="1"/>
  <c r="AF4783" i="1"/>
  <c r="AF4782" i="1"/>
  <c r="AF4781" i="1"/>
  <c r="AF4780" i="1"/>
  <c r="AF4779" i="1"/>
  <c r="AF4778" i="1"/>
  <c r="AF4777" i="1"/>
  <c r="AF4776" i="1"/>
  <c r="AF4775" i="1"/>
  <c r="AF4774" i="1"/>
  <c r="AF4773" i="1"/>
  <c r="AF4772" i="1"/>
  <c r="AF4771" i="1"/>
  <c r="AF4770" i="1"/>
  <c r="AF4769" i="1"/>
  <c r="AF4768" i="1"/>
  <c r="AF4767" i="1"/>
  <c r="AF4766" i="1"/>
  <c r="AF4765" i="1"/>
  <c r="AF4764" i="1"/>
  <c r="AF4763" i="1"/>
  <c r="AF4762" i="1"/>
  <c r="AF4761" i="1"/>
  <c r="AF4760" i="1"/>
  <c r="AF4759" i="1"/>
  <c r="AF4758" i="1"/>
  <c r="AF4757" i="1"/>
  <c r="AF4756" i="1"/>
  <c r="AF4755" i="1"/>
  <c r="AF4754" i="1"/>
  <c r="AF4753" i="1"/>
  <c r="AF4752" i="1"/>
  <c r="AF4751" i="1"/>
  <c r="AF4750" i="1"/>
  <c r="AF4749" i="1"/>
  <c r="AF4748" i="1"/>
  <c r="AF4747" i="1"/>
  <c r="AF4746" i="1"/>
  <c r="AF4745" i="1"/>
  <c r="AF4744" i="1"/>
  <c r="AF4743" i="1"/>
  <c r="AF4742" i="1"/>
  <c r="AF4741" i="1"/>
  <c r="AF4740" i="1"/>
  <c r="AF4739" i="1"/>
  <c r="AF4738" i="1"/>
  <c r="AF4737" i="1"/>
  <c r="AF4736" i="1"/>
  <c r="AF4735" i="1"/>
  <c r="AF4734" i="1"/>
  <c r="AF4733" i="1"/>
  <c r="AF4732" i="1"/>
  <c r="AF4731" i="1"/>
  <c r="AF4730" i="1"/>
  <c r="AF4729" i="1"/>
  <c r="AF4728" i="1"/>
  <c r="AF4727" i="1"/>
  <c r="AF4726" i="1"/>
  <c r="AF4725" i="1"/>
  <c r="AF4724" i="1"/>
  <c r="AF4723" i="1"/>
  <c r="AF4722" i="1"/>
  <c r="AF4721" i="1"/>
  <c r="AF4720" i="1"/>
  <c r="AF4719" i="1"/>
  <c r="AF4718" i="1"/>
  <c r="AF4717" i="1"/>
  <c r="AF4716" i="1"/>
  <c r="AF4715" i="1"/>
  <c r="AF4714" i="1"/>
  <c r="AF4713" i="1"/>
  <c r="AF4712" i="1"/>
  <c r="AF4711" i="1"/>
  <c r="AF4710" i="1"/>
  <c r="AF4709" i="1"/>
  <c r="AF4708" i="1"/>
  <c r="AF4707" i="1"/>
  <c r="AF4706" i="1"/>
  <c r="AF4705" i="1"/>
  <c r="AF4704" i="1"/>
  <c r="AF4703" i="1"/>
  <c r="AF4702" i="1"/>
  <c r="AF4701" i="1"/>
  <c r="AF4700" i="1"/>
  <c r="AF4699" i="1"/>
  <c r="AF4698" i="1"/>
  <c r="AF4697" i="1"/>
  <c r="AF4696" i="1"/>
  <c r="AF4695" i="1"/>
  <c r="AF4694" i="1"/>
  <c r="AF4693" i="1"/>
  <c r="AF4692" i="1"/>
  <c r="AF4691" i="1"/>
  <c r="AF4690" i="1"/>
  <c r="AF4689" i="1"/>
  <c r="AF4688" i="1"/>
  <c r="AF4687" i="1"/>
  <c r="AF4686" i="1"/>
  <c r="AF4685" i="1"/>
  <c r="AF4684" i="1"/>
  <c r="AF4683" i="1"/>
  <c r="AF4682" i="1"/>
  <c r="AF4681" i="1"/>
  <c r="AF4680" i="1"/>
  <c r="AF4679" i="1"/>
  <c r="AF4678" i="1"/>
  <c r="AF4677" i="1"/>
  <c r="AF4676" i="1"/>
  <c r="AF4675" i="1"/>
  <c r="AF4674" i="1"/>
  <c r="AF4673" i="1"/>
  <c r="AF4672" i="1"/>
  <c r="AF4671" i="1"/>
  <c r="AF4670" i="1"/>
  <c r="AF4669" i="1"/>
  <c r="AF4668" i="1"/>
  <c r="AF4667" i="1"/>
  <c r="AF4666" i="1"/>
  <c r="AF4665" i="1"/>
  <c r="AF4664" i="1"/>
  <c r="AF4663" i="1"/>
  <c r="AF4662" i="1"/>
  <c r="AF4661" i="1"/>
  <c r="AF4660" i="1"/>
  <c r="AF4659" i="1"/>
  <c r="AF4658" i="1"/>
  <c r="AF4657" i="1"/>
  <c r="AF4656" i="1"/>
  <c r="AF4655" i="1"/>
  <c r="AF4654" i="1"/>
  <c r="AF4653" i="1"/>
  <c r="AF4652" i="1"/>
  <c r="AF4651" i="1"/>
  <c r="AF4650" i="1"/>
  <c r="AF4649" i="1"/>
  <c r="AF4648" i="1"/>
  <c r="AF4647" i="1"/>
  <c r="AF4646" i="1"/>
  <c r="AF4645" i="1"/>
  <c r="AF4644" i="1"/>
  <c r="AF4643" i="1"/>
  <c r="AF4642" i="1"/>
  <c r="AF4641" i="1"/>
  <c r="AF4640" i="1"/>
  <c r="AF4639" i="1"/>
  <c r="AF4638" i="1"/>
  <c r="AF4637" i="1"/>
  <c r="AF4636" i="1"/>
  <c r="AF4635" i="1"/>
  <c r="AF4634" i="1"/>
  <c r="AF4633" i="1"/>
  <c r="AF4632" i="1"/>
  <c r="AF4631" i="1"/>
  <c r="AF4630" i="1"/>
  <c r="AF4629" i="1"/>
  <c r="AF4628" i="1"/>
  <c r="AF4627" i="1"/>
  <c r="AF4626" i="1"/>
  <c r="AF4625" i="1"/>
  <c r="AF4624" i="1"/>
  <c r="AF4623" i="1"/>
  <c r="AF4622" i="1"/>
  <c r="AF4621" i="1"/>
  <c r="AF4620" i="1"/>
  <c r="AF4619" i="1"/>
  <c r="AF4618" i="1"/>
  <c r="AF4617" i="1"/>
  <c r="AF4616" i="1"/>
  <c r="AF4615" i="1"/>
  <c r="AF4614" i="1"/>
  <c r="AF4613" i="1"/>
  <c r="AF4612" i="1"/>
  <c r="AF4611" i="1"/>
  <c r="AF4610" i="1"/>
  <c r="AF4609" i="1"/>
  <c r="AF4608" i="1"/>
  <c r="AF4607" i="1"/>
  <c r="AF4606" i="1"/>
  <c r="AF4605" i="1"/>
  <c r="AF4604" i="1"/>
  <c r="AF4603" i="1"/>
  <c r="AF4602" i="1"/>
  <c r="AF4601" i="1"/>
  <c r="AF4600" i="1"/>
  <c r="AF4599" i="1"/>
  <c r="AF4598" i="1"/>
  <c r="AF4597" i="1"/>
  <c r="AF4596" i="1"/>
  <c r="AF4595" i="1"/>
  <c r="AF4594" i="1"/>
  <c r="AF4593" i="1"/>
  <c r="AF4592" i="1"/>
  <c r="AF4591" i="1"/>
  <c r="AF4590" i="1"/>
  <c r="AF4589" i="1"/>
  <c r="AF4588" i="1"/>
  <c r="AF4587" i="1"/>
  <c r="AF4586" i="1"/>
  <c r="AF4585" i="1"/>
  <c r="AF4584" i="1"/>
  <c r="AF4583" i="1"/>
  <c r="AF4582" i="1"/>
  <c r="AF4581" i="1"/>
  <c r="AF4580" i="1"/>
  <c r="AF4579" i="1"/>
  <c r="AF4578" i="1"/>
  <c r="AF4577" i="1"/>
  <c r="AF4576" i="1"/>
  <c r="AF4575" i="1"/>
  <c r="AF4574" i="1"/>
  <c r="AF4573" i="1"/>
  <c r="AF4572" i="1"/>
  <c r="AF4571" i="1"/>
  <c r="AF4570" i="1"/>
  <c r="AF4569" i="1"/>
  <c r="AF4568" i="1"/>
  <c r="AF4567" i="1"/>
  <c r="AF4566" i="1"/>
  <c r="AF4565" i="1"/>
  <c r="AF4564" i="1"/>
  <c r="AF4563" i="1"/>
  <c r="AF4562" i="1"/>
  <c r="AF4561" i="1"/>
  <c r="AF4560" i="1"/>
  <c r="AF4559" i="1"/>
  <c r="AF4558" i="1"/>
  <c r="AF4557" i="1"/>
  <c r="AF4556" i="1"/>
  <c r="AF4555" i="1"/>
  <c r="AF4554" i="1"/>
  <c r="AF4553" i="1"/>
  <c r="AF4552" i="1"/>
  <c r="AF4551" i="1"/>
  <c r="AF4550" i="1"/>
  <c r="AF4549" i="1"/>
  <c r="AF4548" i="1"/>
  <c r="AF4547" i="1"/>
  <c r="AF4546" i="1"/>
  <c r="AF4545" i="1"/>
  <c r="AF4544" i="1"/>
  <c r="AF4543" i="1"/>
  <c r="AF4542" i="1"/>
  <c r="AF4541" i="1"/>
  <c r="AF4540" i="1"/>
  <c r="AF4539" i="1"/>
  <c r="AF4538" i="1"/>
  <c r="AF4537" i="1"/>
  <c r="AF4536" i="1"/>
  <c r="AF4535" i="1"/>
  <c r="AF4534" i="1"/>
  <c r="AF4533" i="1"/>
  <c r="AF4532" i="1"/>
  <c r="AF4531" i="1"/>
  <c r="AF4530" i="1"/>
  <c r="AF4529" i="1"/>
  <c r="AF4528" i="1"/>
  <c r="AF4527" i="1"/>
  <c r="AF4526" i="1"/>
  <c r="AF4525" i="1"/>
  <c r="AF4524" i="1"/>
  <c r="AF4523" i="1"/>
  <c r="AF4522" i="1"/>
  <c r="AF4521" i="1"/>
  <c r="AF4520" i="1"/>
  <c r="AF4519" i="1"/>
  <c r="AF4518" i="1"/>
  <c r="AF4517" i="1"/>
  <c r="AF4516" i="1"/>
  <c r="AF4515" i="1"/>
  <c r="AF4514" i="1"/>
  <c r="AF4513" i="1"/>
  <c r="AF4512" i="1"/>
  <c r="AF4511" i="1"/>
  <c r="AF4510" i="1"/>
  <c r="AF4509" i="1"/>
  <c r="AF4508" i="1"/>
  <c r="AF4507" i="1"/>
  <c r="AF4506" i="1"/>
  <c r="AF4505" i="1"/>
  <c r="AF4504" i="1"/>
  <c r="AF4503" i="1"/>
  <c r="AF4502" i="1"/>
  <c r="AF4501" i="1"/>
  <c r="AF4500" i="1"/>
  <c r="AF4499" i="1"/>
  <c r="AF4498" i="1"/>
  <c r="AF4497" i="1"/>
  <c r="AF4496" i="1"/>
  <c r="AF4495" i="1"/>
  <c r="AF4494" i="1"/>
  <c r="AF4493" i="1"/>
  <c r="AF4492" i="1"/>
  <c r="AF4491" i="1"/>
  <c r="AF4490" i="1"/>
  <c r="AF4489" i="1"/>
  <c r="AF4488" i="1"/>
  <c r="AF4487" i="1"/>
  <c r="AF4486" i="1"/>
  <c r="AF4485" i="1"/>
  <c r="AF4484" i="1"/>
  <c r="AF4483" i="1"/>
  <c r="AF4482" i="1"/>
  <c r="AF4481" i="1"/>
  <c r="AF4480" i="1"/>
  <c r="AF4479" i="1"/>
  <c r="AF4478" i="1"/>
  <c r="AF4477" i="1"/>
  <c r="AF4476" i="1"/>
  <c r="AF4475" i="1"/>
  <c r="AF4474" i="1"/>
  <c r="AF4473" i="1"/>
  <c r="AF4472" i="1"/>
  <c r="AF4471" i="1"/>
  <c r="AF4470" i="1"/>
  <c r="AF4469" i="1"/>
  <c r="AF4468" i="1"/>
  <c r="AF4467" i="1"/>
  <c r="AF4466" i="1"/>
  <c r="AF4465" i="1"/>
  <c r="AF4464" i="1"/>
  <c r="AF4463" i="1"/>
  <c r="AF4462" i="1"/>
  <c r="AF4461" i="1"/>
  <c r="AF4460" i="1"/>
  <c r="AF4459" i="1"/>
  <c r="AF4458" i="1"/>
  <c r="AF4457" i="1"/>
  <c r="AF4456" i="1"/>
  <c r="AF4455" i="1"/>
  <c r="AF4454" i="1"/>
  <c r="AF4453" i="1"/>
  <c r="AF4452" i="1"/>
  <c r="AF4451" i="1"/>
  <c r="AF4450" i="1"/>
  <c r="AF4449" i="1"/>
  <c r="AF4448" i="1"/>
  <c r="AF4447" i="1"/>
  <c r="AF4446" i="1"/>
  <c r="AF4445" i="1"/>
  <c r="AF4444" i="1"/>
  <c r="AF4443" i="1"/>
  <c r="AF4442" i="1"/>
  <c r="AF4441" i="1"/>
  <c r="AF4440" i="1"/>
  <c r="AF4439" i="1"/>
  <c r="AF4438" i="1"/>
  <c r="AF4437" i="1"/>
  <c r="AF4436" i="1"/>
  <c r="AF4435" i="1"/>
  <c r="AF4434" i="1"/>
  <c r="AF4433" i="1"/>
  <c r="AF4432" i="1"/>
  <c r="AF4431" i="1"/>
  <c r="AF4430" i="1"/>
  <c r="AF4429" i="1"/>
  <c r="AF4428" i="1"/>
  <c r="AF4427" i="1"/>
  <c r="AF4426" i="1"/>
  <c r="AF4425" i="1"/>
  <c r="AF4424" i="1"/>
  <c r="AF4423" i="1"/>
  <c r="AF4422" i="1"/>
  <c r="AF4421" i="1"/>
  <c r="AF4420" i="1"/>
  <c r="AF4419" i="1"/>
  <c r="AF4418" i="1"/>
  <c r="AF4417" i="1"/>
  <c r="AF4416" i="1"/>
  <c r="AF4415" i="1"/>
  <c r="AF4414" i="1"/>
  <c r="AF4413" i="1"/>
  <c r="AF4412" i="1"/>
  <c r="AF4411" i="1"/>
  <c r="AF4410" i="1"/>
  <c r="AF4409" i="1"/>
  <c r="AF4408" i="1"/>
  <c r="AF4407" i="1"/>
  <c r="AF4406" i="1"/>
  <c r="AF4405" i="1"/>
  <c r="AF4404" i="1"/>
  <c r="AF4403" i="1"/>
  <c r="AF4402" i="1"/>
  <c r="AF4401" i="1"/>
  <c r="AF4400" i="1"/>
  <c r="AF4399" i="1"/>
  <c r="AF4398" i="1"/>
  <c r="AF4397" i="1"/>
  <c r="AF4396" i="1"/>
  <c r="AF4395" i="1"/>
  <c r="AF4394" i="1"/>
  <c r="AF4393" i="1"/>
  <c r="AF4392" i="1"/>
  <c r="AF4391" i="1"/>
  <c r="AF4390" i="1"/>
  <c r="AF4389" i="1"/>
  <c r="AF4388" i="1"/>
  <c r="AF4387" i="1"/>
  <c r="AF4386" i="1"/>
  <c r="AF4385" i="1"/>
  <c r="AF4384" i="1"/>
  <c r="AF4383" i="1"/>
  <c r="AF4382" i="1"/>
  <c r="AF4381" i="1"/>
  <c r="AF4380" i="1"/>
  <c r="AF4379" i="1"/>
  <c r="AF4378" i="1"/>
  <c r="AF4377" i="1"/>
  <c r="AF4376" i="1"/>
  <c r="AF4375" i="1"/>
  <c r="AF4374" i="1"/>
  <c r="AF4373" i="1"/>
  <c r="AF4372" i="1"/>
  <c r="AF4371" i="1"/>
  <c r="AF4370" i="1"/>
  <c r="AF4369" i="1"/>
  <c r="AF4368" i="1"/>
  <c r="AF4367" i="1"/>
  <c r="AF4366" i="1"/>
  <c r="AF4365" i="1"/>
  <c r="AF4364" i="1"/>
  <c r="AF4363" i="1"/>
  <c r="AF4362" i="1"/>
  <c r="AF4361" i="1"/>
  <c r="AF4360" i="1"/>
  <c r="AF4359" i="1"/>
  <c r="AF4358" i="1"/>
  <c r="AF4357" i="1"/>
  <c r="AF4356" i="1"/>
  <c r="AF4355" i="1"/>
  <c r="AF4354" i="1"/>
  <c r="AF4353" i="1"/>
  <c r="AF4352" i="1"/>
  <c r="AF4351" i="1"/>
  <c r="AF4350" i="1"/>
  <c r="AF4349" i="1"/>
  <c r="AF4348" i="1"/>
  <c r="AF4347" i="1"/>
  <c r="AF4346" i="1"/>
  <c r="AF4345" i="1"/>
  <c r="AF4344" i="1"/>
  <c r="AF4343" i="1"/>
  <c r="AF4342" i="1"/>
  <c r="AF4341" i="1"/>
  <c r="AF4340" i="1"/>
  <c r="AF4339" i="1"/>
  <c r="AF4338" i="1"/>
  <c r="AF4337" i="1"/>
  <c r="AF4336" i="1"/>
  <c r="AF4335" i="1"/>
  <c r="AF4334" i="1"/>
  <c r="AF4333" i="1"/>
  <c r="AF4332" i="1"/>
  <c r="AF4331" i="1"/>
  <c r="AF4330" i="1"/>
  <c r="AF4329" i="1"/>
  <c r="AF4328" i="1"/>
  <c r="AF4327" i="1"/>
  <c r="AF4326" i="1"/>
  <c r="AF4325" i="1"/>
  <c r="AF4324" i="1"/>
  <c r="AF4323" i="1"/>
  <c r="AF4322" i="1"/>
  <c r="AF4321" i="1"/>
  <c r="AF4320" i="1"/>
  <c r="AF4319" i="1"/>
  <c r="AF4318" i="1"/>
  <c r="AF4317" i="1"/>
  <c r="AF4316" i="1"/>
  <c r="AF4315" i="1"/>
  <c r="AF4314" i="1"/>
  <c r="AF4313" i="1"/>
  <c r="AF4312" i="1"/>
  <c r="AF4311" i="1"/>
  <c r="AF4310" i="1"/>
  <c r="AF4309" i="1"/>
  <c r="AF4308" i="1"/>
  <c r="AF4307" i="1"/>
  <c r="AF4306" i="1"/>
  <c r="AF4305" i="1"/>
  <c r="AF4304" i="1"/>
  <c r="AF4303" i="1"/>
  <c r="AF4302" i="1"/>
  <c r="AF4301" i="1"/>
  <c r="AF4300" i="1"/>
  <c r="AF4299" i="1"/>
  <c r="AF4298" i="1"/>
  <c r="AF4297" i="1"/>
  <c r="AF4296" i="1"/>
  <c r="AF4295" i="1"/>
  <c r="AF4294" i="1"/>
  <c r="AF4293" i="1"/>
  <c r="AF4292" i="1"/>
  <c r="AF4291" i="1"/>
  <c r="AF4290" i="1"/>
  <c r="AF4289" i="1"/>
  <c r="AF4288" i="1"/>
  <c r="AF4287" i="1"/>
  <c r="AF4286" i="1"/>
  <c r="AF4285" i="1"/>
  <c r="AF4284" i="1"/>
  <c r="AF4283" i="1"/>
  <c r="AF4282" i="1"/>
  <c r="AF4281" i="1"/>
  <c r="AF4280" i="1"/>
  <c r="AF4279" i="1"/>
  <c r="AF4278" i="1"/>
  <c r="AF4277" i="1"/>
  <c r="AF4276" i="1"/>
  <c r="AF4275" i="1"/>
  <c r="AF4274" i="1"/>
  <c r="AF4273" i="1"/>
  <c r="AF4272" i="1"/>
  <c r="AF4271" i="1"/>
  <c r="AF4270" i="1"/>
  <c r="AF4269" i="1"/>
  <c r="AF4268" i="1"/>
  <c r="AF4267" i="1"/>
  <c r="AF4266" i="1"/>
  <c r="AF4265" i="1"/>
  <c r="AF4264" i="1"/>
  <c r="AF4263" i="1"/>
  <c r="AF4262" i="1"/>
  <c r="AF4261" i="1"/>
  <c r="AF4260" i="1"/>
  <c r="AF4259" i="1"/>
  <c r="AF4258" i="1"/>
  <c r="AF4257" i="1"/>
  <c r="AF4256" i="1"/>
  <c r="AF4255" i="1"/>
  <c r="AF4254" i="1"/>
  <c r="AF4253" i="1"/>
  <c r="AF4252" i="1"/>
  <c r="AF4251" i="1"/>
  <c r="AF4250" i="1"/>
  <c r="AF4249" i="1"/>
  <c r="AF4248" i="1"/>
  <c r="AF4247" i="1"/>
  <c r="AF4246" i="1"/>
  <c r="AF4245" i="1"/>
  <c r="AF4244" i="1"/>
  <c r="AF4243" i="1"/>
  <c r="AF4242" i="1"/>
  <c r="AF4241" i="1"/>
  <c r="AF4240" i="1"/>
  <c r="AF4239" i="1"/>
  <c r="AF4238" i="1"/>
  <c r="AF4237" i="1"/>
  <c r="AF4236" i="1"/>
  <c r="AF4235" i="1"/>
  <c r="AF4234" i="1"/>
  <c r="AF4233" i="1"/>
  <c r="AF4232" i="1"/>
  <c r="AF4231" i="1"/>
  <c r="AF4230" i="1"/>
  <c r="AF4229" i="1"/>
  <c r="AF4228" i="1"/>
  <c r="AF4227" i="1"/>
  <c r="AF4226" i="1"/>
  <c r="AF4225" i="1"/>
  <c r="AF4224" i="1"/>
  <c r="AF4223" i="1"/>
  <c r="AF4222" i="1"/>
  <c r="AF4221" i="1"/>
  <c r="AF4220" i="1"/>
  <c r="AF4219" i="1"/>
  <c r="AF4218" i="1"/>
  <c r="AF4217" i="1"/>
  <c r="AF4216" i="1"/>
  <c r="AF4215" i="1"/>
  <c r="AF4214" i="1"/>
  <c r="AF4213" i="1"/>
  <c r="AF4212" i="1"/>
  <c r="AF4211" i="1"/>
  <c r="AF4210" i="1"/>
  <c r="AF4209" i="1"/>
  <c r="AF4208" i="1"/>
  <c r="AF4207" i="1"/>
  <c r="AF4206" i="1"/>
  <c r="AF4205" i="1"/>
  <c r="AF4204" i="1"/>
  <c r="AF4203" i="1"/>
  <c r="AF4202" i="1"/>
  <c r="AF4201" i="1"/>
  <c r="AF4200" i="1"/>
  <c r="AF4199" i="1"/>
  <c r="AF4198" i="1"/>
  <c r="AF4197" i="1"/>
  <c r="AF4196" i="1"/>
  <c r="AF4195" i="1"/>
  <c r="AF4194" i="1"/>
  <c r="AF4193" i="1"/>
  <c r="AF4192" i="1"/>
  <c r="AF4191" i="1"/>
  <c r="AF4190" i="1"/>
  <c r="AF4189" i="1"/>
  <c r="AF4188" i="1"/>
  <c r="AF4187" i="1"/>
  <c r="AF4186" i="1"/>
  <c r="AF4185" i="1"/>
  <c r="AF4184" i="1"/>
  <c r="AF4183" i="1"/>
  <c r="AF4182" i="1"/>
  <c r="AF4181" i="1"/>
  <c r="AF4180" i="1"/>
  <c r="AF4179" i="1"/>
  <c r="AF4178" i="1"/>
  <c r="AF4177" i="1"/>
  <c r="AF4176" i="1"/>
  <c r="AF4175" i="1"/>
  <c r="AF4174" i="1"/>
  <c r="AF4173" i="1"/>
  <c r="AF4172" i="1"/>
  <c r="AF4171" i="1"/>
  <c r="AF4170" i="1"/>
  <c r="AF4169" i="1"/>
  <c r="AF4168" i="1"/>
  <c r="AF4167" i="1"/>
  <c r="AF4166" i="1"/>
  <c r="AF4165" i="1"/>
  <c r="AF4164" i="1"/>
  <c r="AF4163" i="1"/>
  <c r="AF4162" i="1"/>
  <c r="AF4161" i="1"/>
  <c r="AF4160" i="1"/>
  <c r="AF4159" i="1"/>
  <c r="AF4158" i="1"/>
  <c r="AF4157" i="1"/>
  <c r="AF4156" i="1"/>
  <c r="AF4155" i="1"/>
  <c r="AF4154" i="1"/>
  <c r="AF4153" i="1"/>
  <c r="AF4152" i="1"/>
  <c r="AF4151" i="1"/>
  <c r="AF4150" i="1"/>
  <c r="AF4149" i="1"/>
  <c r="AF4148" i="1"/>
  <c r="AF4147" i="1"/>
  <c r="AF4146" i="1"/>
  <c r="AF4145" i="1"/>
  <c r="AF4144" i="1"/>
  <c r="AF4143" i="1"/>
  <c r="AF4142" i="1"/>
  <c r="AF4141" i="1"/>
  <c r="AF4140" i="1"/>
  <c r="AF4139" i="1"/>
  <c r="AF4138" i="1"/>
  <c r="AF4137" i="1"/>
  <c r="AF4136" i="1"/>
  <c r="AF4135" i="1"/>
  <c r="AF4134" i="1"/>
  <c r="AF4133" i="1"/>
  <c r="AF4132" i="1"/>
  <c r="AF4131" i="1"/>
  <c r="AF4130" i="1"/>
  <c r="AF4129" i="1"/>
  <c r="AF4128" i="1"/>
  <c r="AF4127" i="1"/>
  <c r="AF4126" i="1"/>
  <c r="AF4125" i="1"/>
  <c r="AF4124" i="1"/>
  <c r="AF4123" i="1"/>
  <c r="AF4122" i="1"/>
  <c r="AF4121" i="1"/>
  <c r="AF4120" i="1"/>
  <c r="AF4119" i="1"/>
  <c r="AF4118" i="1"/>
  <c r="AF4117" i="1"/>
  <c r="AF4116" i="1"/>
  <c r="AF4115" i="1"/>
  <c r="AF4114" i="1"/>
  <c r="AF4113" i="1"/>
  <c r="AF4112" i="1"/>
  <c r="AF4111" i="1"/>
  <c r="AF4110" i="1"/>
  <c r="AF4109" i="1"/>
  <c r="AF4108" i="1"/>
  <c r="AF4107" i="1"/>
  <c r="AF4106" i="1"/>
  <c r="AF4105" i="1"/>
  <c r="AF4104" i="1"/>
  <c r="AF4103" i="1"/>
  <c r="AF4102" i="1"/>
  <c r="AF4101" i="1"/>
  <c r="AF4100" i="1"/>
  <c r="AF4099" i="1"/>
  <c r="AF4098" i="1"/>
  <c r="AF4097" i="1"/>
  <c r="AF4096" i="1"/>
  <c r="AF4095" i="1"/>
  <c r="AF4094" i="1"/>
  <c r="AF4093" i="1"/>
  <c r="AF4092" i="1"/>
  <c r="AF4091" i="1"/>
  <c r="AF4090" i="1"/>
  <c r="AF4089" i="1"/>
  <c r="AF4088" i="1"/>
  <c r="AF4087" i="1"/>
  <c r="AF4086" i="1"/>
  <c r="AF4085" i="1"/>
  <c r="AF4084" i="1"/>
  <c r="AF4083" i="1"/>
  <c r="AF4082" i="1"/>
  <c r="AF4081" i="1"/>
  <c r="AF4080" i="1"/>
  <c r="AF4079" i="1"/>
  <c r="AF4078" i="1"/>
  <c r="AF4077" i="1"/>
  <c r="AF4076" i="1"/>
  <c r="AF4075" i="1"/>
  <c r="AF4074" i="1"/>
  <c r="AF4073" i="1"/>
  <c r="AF4072" i="1"/>
  <c r="AF4071" i="1"/>
  <c r="AF4070" i="1"/>
  <c r="AF4069" i="1"/>
  <c r="AF4068" i="1"/>
  <c r="AF4067" i="1"/>
  <c r="AF4066" i="1"/>
  <c r="AF4065" i="1"/>
  <c r="AF4064" i="1"/>
  <c r="AF4063" i="1"/>
  <c r="AF4062" i="1"/>
  <c r="AF4061" i="1"/>
  <c r="AF4060" i="1"/>
  <c r="AF4059" i="1"/>
  <c r="AF4058" i="1"/>
  <c r="AF4057" i="1"/>
  <c r="AF4056" i="1"/>
  <c r="AF4055" i="1"/>
  <c r="AF4054" i="1"/>
  <c r="AF4053" i="1"/>
  <c r="AF4052" i="1"/>
  <c r="AF4051" i="1"/>
  <c r="AF4050" i="1"/>
  <c r="AF4049" i="1"/>
  <c r="AF4048" i="1"/>
  <c r="AF4047" i="1"/>
  <c r="AF4046" i="1"/>
  <c r="AF4045" i="1"/>
  <c r="AF4044" i="1"/>
  <c r="AF4043" i="1"/>
  <c r="AF4042" i="1"/>
  <c r="AF4041" i="1"/>
  <c r="AF4040" i="1"/>
  <c r="AF4039" i="1"/>
  <c r="AF4038" i="1"/>
  <c r="AF4037" i="1"/>
  <c r="AF4036" i="1"/>
  <c r="AF4035" i="1"/>
  <c r="AF4034" i="1"/>
  <c r="AF4033" i="1"/>
  <c r="AF4032" i="1"/>
  <c r="AF4031" i="1"/>
  <c r="AF4030" i="1"/>
  <c r="AF4029" i="1"/>
  <c r="AF4028" i="1"/>
  <c r="AF4027" i="1"/>
  <c r="AF4026" i="1"/>
  <c r="AF4025" i="1"/>
  <c r="AF4024" i="1"/>
  <c r="AF4023" i="1"/>
  <c r="AF4022" i="1"/>
  <c r="AF4021" i="1"/>
  <c r="AF4020" i="1"/>
  <c r="AF4019" i="1"/>
  <c r="AF4018" i="1"/>
  <c r="AF4017" i="1"/>
  <c r="AF4016" i="1"/>
  <c r="AF4015" i="1"/>
  <c r="AF4014" i="1"/>
  <c r="AF4013" i="1"/>
  <c r="AF4012" i="1"/>
  <c r="AF4011" i="1"/>
  <c r="AF4010" i="1"/>
  <c r="AF4009" i="1"/>
  <c r="AF4008" i="1"/>
  <c r="AF4007" i="1"/>
  <c r="AF4006" i="1"/>
  <c r="AF4005" i="1"/>
  <c r="AF4004" i="1"/>
  <c r="AF4003" i="1"/>
  <c r="AF4002" i="1"/>
  <c r="AF4001" i="1"/>
  <c r="AF4000" i="1"/>
  <c r="AF3999" i="1"/>
  <c r="AF3998" i="1"/>
  <c r="AF3997" i="1"/>
  <c r="AF3996" i="1"/>
  <c r="AF3995" i="1"/>
  <c r="AF3994" i="1"/>
  <c r="AF3993" i="1"/>
  <c r="AF3992" i="1"/>
  <c r="AF3991" i="1"/>
  <c r="AF3990" i="1"/>
  <c r="AF3989" i="1"/>
  <c r="AF3988" i="1"/>
  <c r="AF3987" i="1"/>
  <c r="AF3986" i="1"/>
  <c r="AF3985" i="1"/>
  <c r="AF3984" i="1"/>
  <c r="AF3983" i="1"/>
  <c r="AF3982" i="1"/>
  <c r="AF3981" i="1"/>
  <c r="AF3980" i="1"/>
  <c r="AF3979" i="1"/>
  <c r="AF3978" i="1"/>
  <c r="AF3977" i="1"/>
  <c r="AF3976" i="1"/>
  <c r="AF3975" i="1"/>
  <c r="AF3974" i="1"/>
  <c r="AF3973" i="1"/>
  <c r="AF3972" i="1"/>
  <c r="AF3971" i="1"/>
  <c r="AF3970" i="1"/>
  <c r="AF3969" i="1"/>
  <c r="AF3968" i="1"/>
  <c r="AF3967" i="1"/>
  <c r="AF3966" i="1"/>
  <c r="AF3965" i="1"/>
  <c r="AF3964" i="1"/>
  <c r="AF3963" i="1"/>
  <c r="AF3962" i="1"/>
  <c r="AF3961" i="1"/>
  <c r="AF3960" i="1"/>
  <c r="AF3959" i="1"/>
  <c r="AF3958" i="1"/>
  <c r="AF3957" i="1"/>
  <c r="AF3956" i="1"/>
  <c r="AF3955" i="1"/>
  <c r="AF3954" i="1"/>
  <c r="AF3953" i="1"/>
  <c r="AF3952" i="1"/>
  <c r="AF3951" i="1"/>
  <c r="AF3950" i="1"/>
  <c r="AF3949" i="1"/>
  <c r="AF3948" i="1"/>
  <c r="AF3947" i="1"/>
  <c r="AF3946" i="1"/>
  <c r="AF3945" i="1"/>
  <c r="AF3944" i="1"/>
  <c r="AF3943" i="1"/>
  <c r="AF3942" i="1"/>
  <c r="AF3941" i="1"/>
  <c r="AF3940" i="1"/>
  <c r="AF3939" i="1"/>
  <c r="AF3938" i="1"/>
  <c r="AF3937" i="1"/>
  <c r="AF3936" i="1"/>
  <c r="AF3935" i="1"/>
  <c r="AF3934" i="1"/>
  <c r="AF3933" i="1"/>
  <c r="AF3932" i="1"/>
  <c r="AF3931" i="1"/>
  <c r="AF3930" i="1"/>
  <c r="AF3929" i="1"/>
  <c r="AF3928" i="1"/>
  <c r="AF3927" i="1"/>
  <c r="AF3926" i="1"/>
  <c r="AF3925" i="1"/>
  <c r="AF3924" i="1"/>
  <c r="AF3923" i="1"/>
  <c r="AF3922" i="1"/>
  <c r="AF3921" i="1"/>
  <c r="AF3920" i="1"/>
  <c r="AF3919" i="1"/>
  <c r="AF3918" i="1"/>
  <c r="AF3917" i="1"/>
  <c r="AF3916" i="1"/>
  <c r="AF3915" i="1"/>
  <c r="AF3914" i="1"/>
  <c r="AF3913" i="1"/>
  <c r="AF3912" i="1"/>
  <c r="AF3911" i="1"/>
  <c r="AF3910" i="1"/>
  <c r="AF3909" i="1"/>
  <c r="AF3908" i="1"/>
  <c r="AF3907" i="1"/>
  <c r="AF3906" i="1"/>
  <c r="AF3905" i="1"/>
  <c r="AF3904" i="1"/>
  <c r="AF3903" i="1"/>
  <c r="AF3902" i="1"/>
  <c r="AF3901" i="1"/>
  <c r="AF3900" i="1"/>
  <c r="AF3899" i="1"/>
  <c r="AF3898" i="1"/>
  <c r="AF3897" i="1"/>
  <c r="AF3896" i="1"/>
  <c r="AF3895" i="1"/>
  <c r="AF3894" i="1"/>
  <c r="AF3893" i="1"/>
  <c r="AF3892" i="1"/>
  <c r="AF3891" i="1"/>
  <c r="AF3890" i="1"/>
  <c r="AF3889" i="1"/>
  <c r="AF3888" i="1"/>
  <c r="AF3887" i="1"/>
  <c r="AF3886" i="1"/>
  <c r="AF3885" i="1"/>
  <c r="AF3884" i="1"/>
  <c r="AF3883" i="1"/>
  <c r="AF3882" i="1"/>
  <c r="AF3881" i="1"/>
  <c r="AF3880" i="1"/>
  <c r="AF3879" i="1"/>
  <c r="AF3878" i="1"/>
  <c r="AF3877" i="1"/>
  <c r="AF3876" i="1"/>
  <c r="AF3875" i="1"/>
  <c r="AF3874" i="1"/>
  <c r="AF3873" i="1"/>
  <c r="AF3872" i="1"/>
  <c r="AF3871" i="1"/>
  <c r="AF3870" i="1"/>
  <c r="AF3869" i="1"/>
  <c r="AF3868" i="1"/>
  <c r="AF3867" i="1"/>
  <c r="AF3866" i="1"/>
  <c r="AF3865" i="1"/>
  <c r="AF3864" i="1"/>
  <c r="AF3863" i="1"/>
  <c r="AF3862" i="1"/>
  <c r="AF3861" i="1"/>
  <c r="AF3860" i="1"/>
  <c r="AF3859" i="1"/>
  <c r="AF3858" i="1"/>
  <c r="AF3857" i="1"/>
  <c r="AF3856" i="1"/>
  <c r="AF3855" i="1"/>
  <c r="AF3854" i="1"/>
  <c r="AF3853" i="1"/>
  <c r="AF3852" i="1"/>
  <c r="AF3851" i="1"/>
  <c r="AF3850" i="1"/>
  <c r="AF3849" i="1"/>
  <c r="AF3848" i="1"/>
  <c r="AF3847" i="1"/>
  <c r="AF3846" i="1"/>
  <c r="AF3845" i="1"/>
  <c r="AF3844" i="1"/>
  <c r="AF3843" i="1"/>
  <c r="AF3842" i="1"/>
  <c r="AF3841" i="1"/>
  <c r="AF3840" i="1"/>
  <c r="AF3839" i="1"/>
  <c r="AF3838" i="1"/>
  <c r="AF3837" i="1"/>
  <c r="AF3836" i="1"/>
  <c r="AF3835" i="1"/>
  <c r="AF3834" i="1"/>
  <c r="AF3833" i="1"/>
  <c r="AF3832" i="1"/>
  <c r="AF3831" i="1"/>
  <c r="AF3830" i="1"/>
  <c r="AF3829" i="1"/>
  <c r="AF3828" i="1"/>
  <c r="AF3827" i="1"/>
  <c r="AF3826" i="1"/>
  <c r="AF3825" i="1"/>
  <c r="AF3824" i="1"/>
  <c r="AF3823" i="1"/>
  <c r="AF3822" i="1"/>
  <c r="AF3821" i="1"/>
  <c r="AF3820" i="1"/>
  <c r="AF3819" i="1"/>
  <c r="AF3818" i="1"/>
  <c r="AF3817" i="1"/>
  <c r="AF3816" i="1"/>
  <c r="AF3815" i="1"/>
  <c r="AF3814" i="1"/>
  <c r="AF3813" i="1"/>
  <c r="AF3812" i="1"/>
  <c r="AF3811" i="1"/>
  <c r="AF3810" i="1"/>
  <c r="AF3809" i="1"/>
  <c r="AF3808" i="1"/>
  <c r="AF3807" i="1"/>
  <c r="AF3806" i="1"/>
  <c r="AF3805" i="1"/>
  <c r="AF3804" i="1"/>
  <c r="AF3803" i="1"/>
  <c r="AF3802" i="1"/>
  <c r="AF3801" i="1"/>
  <c r="AF3800" i="1"/>
  <c r="AF3799" i="1"/>
  <c r="AF3798" i="1"/>
  <c r="AF3797" i="1"/>
  <c r="AF3796" i="1"/>
  <c r="AF3795" i="1"/>
  <c r="AF3794" i="1"/>
  <c r="AF3793" i="1"/>
  <c r="AF3792" i="1"/>
  <c r="AF3791" i="1"/>
  <c r="AF3790" i="1"/>
  <c r="AF3789" i="1"/>
  <c r="AF3788" i="1"/>
  <c r="AF3787" i="1"/>
  <c r="AF3786" i="1"/>
  <c r="AF3785" i="1"/>
  <c r="AF3784" i="1"/>
  <c r="AF3783" i="1"/>
  <c r="AF3782" i="1"/>
  <c r="AF3781" i="1"/>
  <c r="AF3780" i="1"/>
  <c r="AF3779" i="1"/>
  <c r="AF3778" i="1"/>
  <c r="AF3777" i="1"/>
  <c r="AF3776" i="1"/>
  <c r="AF3775" i="1"/>
  <c r="AF3774" i="1"/>
  <c r="AF3773" i="1"/>
  <c r="AF3772" i="1"/>
  <c r="AF3771" i="1"/>
  <c r="AF3770" i="1"/>
  <c r="AF3769" i="1"/>
  <c r="AF3768" i="1"/>
  <c r="AF3767" i="1"/>
  <c r="AF3766" i="1"/>
  <c r="AF3765" i="1"/>
  <c r="AF3764" i="1"/>
  <c r="AF3763" i="1"/>
  <c r="AF3762" i="1"/>
  <c r="AF3761" i="1"/>
  <c r="AF3760" i="1"/>
  <c r="AF3759" i="1"/>
  <c r="AF3758" i="1"/>
  <c r="AF3757" i="1"/>
  <c r="AF3756" i="1"/>
  <c r="AF3755" i="1"/>
  <c r="AF3754" i="1"/>
  <c r="AF3753" i="1"/>
  <c r="AF3752" i="1"/>
  <c r="AF3751" i="1"/>
  <c r="AF3750" i="1"/>
  <c r="AF3749" i="1"/>
  <c r="AF3748" i="1"/>
  <c r="AF3747" i="1"/>
  <c r="AF3746" i="1"/>
  <c r="AF3745" i="1"/>
  <c r="AF3744" i="1"/>
  <c r="AF3743" i="1"/>
  <c r="AF3742" i="1"/>
  <c r="AF3741" i="1"/>
  <c r="AF3740" i="1"/>
  <c r="AF3739" i="1"/>
  <c r="AF3738" i="1"/>
  <c r="AF3737" i="1"/>
  <c r="AF3736" i="1"/>
  <c r="AF3735" i="1"/>
  <c r="AF3734" i="1"/>
  <c r="AF3733" i="1"/>
  <c r="AF3732" i="1"/>
  <c r="AF3731" i="1"/>
  <c r="AF3730" i="1"/>
  <c r="AF3729" i="1"/>
  <c r="AF3728" i="1"/>
  <c r="AF3727" i="1"/>
  <c r="AF3726" i="1"/>
  <c r="AF3725" i="1"/>
  <c r="AF3724" i="1"/>
  <c r="AF3723" i="1"/>
  <c r="AF3722" i="1"/>
  <c r="AF3721" i="1"/>
  <c r="AF3720" i="1"/>
  <c r="AF3719" i="1"/>
  <c r="AF3718" i="1"/>
  <c r="AF3717" i="1"/>
  <c r="AF3716" i="1"/>
  <c r="AF3715" i="1"/>
  <c r="AF3714" i="1"/>
  <c r="AF3713" i="1"/>
  <c r="AF3712" i="1"/>
  <c r="AF3711" i="1"/>
  <c r="AF3710" i="1"/>
  <c r="AF3709" i="1"/>
  <c r="AF3708" i="1"/>
  <c r="AF3707" i="1"/>
  <c r="AF3706" i="1"/>
  <c r="AF3705" i="1"/>
  <c r="AF3704" i="1"/>
  <c r="AF3703" i="1"/>
  <c r="AF3702" i="1"/>
  <c r="AF3701" i="1"/>
  <c r="AF3700" i="1"/>
  <c r="AF3699" i="1"/>
  <c r="AF3698" i="1"/>
  <c r="AF3697" i="1"/>
  <c r="AF3696" i="1"/>
  <c r="AF3695" i="1"/>
  <c r="AF3694" i="1"/>
  <c r="AF3693" i="1"/>
  <c r="AF3692" i="1"/>
  <c r="AF3691" i="1"/>
  <c r="AF3690" i="1"/>
  <c r="AF3689" i="1"/>
  <c r="AF3688" i="1"/>
  <c r="AF3687" i="1"/>
  <c r="AF3686" i="1"/>
  <c r="AF3685" i="1"/>
  <c r="AF3684" i="1"/>
  <c r="AF3683" i="1"/>
  <c r="AF3682" i="1"/>
  <c r="AF3681" i="1"/>
  <c r="AF3680" i="1"/>
  <c r="AF3679" i="1"/>
  <c r="AF3678" i="1"/>
  <c r="AF3677" i="1"/>
  <c r="AF3676" i="1"/>
  <c r="AF3675" i="1"/>
  <c r="AF3674" i="1"/>
  <c r="AF3673" i="1"/>
  <c r="AF3672" i="1"/>
  <c r="AF3671" i="1"/>
  <c r="AF3670" i="1"/>
  <c r="AF3669" i="1"/>
  <c r="AF3668" i="1"/>
  <c r="AF3667" i="1"/>
  <c r="AF3666" i="1"/>
  <c r="AF3665" i="1"/>
  <c r="AF3664" i="1"/>
  <c r="AF3663" i="1"/>
  <c r="AF3662" i="1"/>
  <c r="AF3661" i="1"/>
  <c r="AF3660" i="1"/>
  <c r="AF3659" i="1"/>
  <c r="AF3658" i="1"/>
  <c r="AF3657" i="1"/>
  <c r="AF3656" i="1"/>
  <c r="AF3655" i="1"/>
  <c r="AF3654" i="1"/>
  <c r="AF3653" i="1"/>
  <c r="AF3652" i="1"/>
  <c r="AF3651" i="1"/>
  <c r="AF3650" i="1"/>
  <c r="AF3649" i="1"/>
  <c r="AF3648" i="1"/>
  <c r="AF3647" i="1"/>
  <c r="AF3646" i="1"/>
  <c r="AF3645" i="1"/>
  <c r="AF3644" i="1"/>
  <c r="AF3643" i="1"/>
  <c r="AF3642" i="1"/>
  <c r="AF3641" i="1"/>
  <c r="AF3640" i="1"/>
  <c r="AF3639" i="1"/>
  <c r="AF3638" i="1"/>
  <c r="AF3637" i="1"/>
  <c r="AF3636" i="1"/>
  <c r="AF3635" i="1"/>
  <c r="AF3634" i="1"/>
  <c r="AF3633" i="1"/>
  <c r="AF3632" i="1"/>
  <c r="AF3631" i="1"/>
  <c r="AF3630" i="1"/>
  <c r="AF3629" i="1"/>
  <c r="AF3628" i="1"/>
  <c r="AF3627" i="1"/>
  <c r="AF3626" i="1"/>
  <c r="AF3625" i="1"/>
  <c r="AF3624" i="1"/>
  <c r="AF3623" i="1"/>
  <c r="AF3622" i="1"/>
  <c r="AF3621" i="1"/>
  <c r="AF3620" i="1"/>
  <c r="AF3619" i="1"/>
  <c r="AF3618" i="1"/>
  <c r="AF3617" i="1"/>
  <c r="AF3616" i="1"/>
  <c r="AF3615" i="1"/>
  <c r="AF3614" i="1"/>
  <c r="AF3613" i="1"/>
  <c r="AF3612" i="1"/>
  <c r="AF3611" i="1"/>
  <c r="AF3610" i="1"/>
  <c r="AF3609" i="1"/>
  <c r="AF3608" i="1"/>
  <c r="AF3607" i="1"/>
  <c r="AF3606" i="1"/>
  <c r="AF3605" i="1"/>
  <c r="AF3604" i="1"/>
  <c r="AF3603" i="1"/>
  <c r="AF3602" i="1"/>
  <c r="AF3601" i="1"/>
  <c r="AF3600" i="1"/>
  <c r="AF3599" i="1"/>
  <c r="AF3598" i="1"/>
  <c r="AF3597" i="1"/>
  <c r="AF3596" i="1"/>
  <c r="AF3595" i="1"/>
  <c r="AF3594" i="1"/>
  <c r="AF3593" i="1"/>
  <c r="AF3592" i="1"/>
  <c r="AF3591" i="1"/>
  <c r="AF3590" i="1"/>
  <c r="AF3589" i="1"/>
  <c r="AF3588" i="1"/>
  <c r="AF3587" i="1"/>
  <c r="AF3586" i="1"/>
  <c r="AF3585" i="1"/>
  <c r="AF3584" i="1"/>
  <c r="AF3583" i="1"/>
  <c r="AF3582" i="1"/>
  <c r="AF3581" i="1"/>
  <c r="AF3580" i="1"/>
  <c r="AF3579" i="1"/>
  <c r="AF3578" i="1"/>
  <c r="AF3577" i="1"/>
  <c r="AF3576" i="1"/>
  <c r="AF3575" i="1"/>
  <c r="AF3574" i="1"/>
  <c r="AF3573" i="1"/>
  <c r="AF3572" i="1"/>
  <c r="AF3571" i="1"/>
  <c r="AF3570" i="1"/>
  <c r="AF3569" i="1"/>
  <c r="AF3568" i="1"/>
  <c r="AF3567" i="1"/>
  <c r="AF3566" i="1"/>
  <c r="AF3565" i="1"/>
  <c r="AF3564" i="1"/>
  <c r="AF3563" i="1"/>
  <c r="AF3562" i="1"/>
  <c r="AF3561" i="1"/>
  <c r="AF3560" i="1"/>
  <c r="AF3559" i="1"/>
  <c r="AF3558" i="1"/>
  <c r="AF3557" i="1"/>
  <c r="AF3556" i="1"/>
  <c r="AF3555" i="1"/>
  <c r="AF3554" i="1"/>
  <c r="AF3553" i="1"/>
  <c r="AF3552" i="1"/>
  <c r="AF3551" i="1"/>
  <c r="AF3550" i="1"/>
  <c r="AF3549" i="1"/>
  <c r="AF3548" i="1"/>
  <c r="AF3547" i="1"/>
  <c r="AF3546" i="1"/>
  <c r="AF3545" i="1"/>
  <c r="AF3544" i="1"/>
  <c r="AF3543" i="1"/>
  <c r="AF3542" i="1"/>
  <c r="AF3541" i="1"/>
  <c r="AF3540" i="1"/>
  <c r="AF3539" i="1"/>
  <c r="AF3538" i="1"/>
  <c r="AF3537" i="1"/>
  <c r="AF3536" i="1"/>
  <c r="AF3535" i="1"/>
  <c r="AF3534" i="1"/>
  <c r="AF3533" i="1"/>
  <c r="AF3532" i="1"/>
  <c r="AF3531" i="1"/>
  <c r="AF3530" i="1"/>
  <c r="AF3529" i="1"/>
  <c r="AF3528" i="1"/>
  <c r="AF3527" i="1"/>
  <c r="AF3526" i="1"/>
  <c r="AF3525" i="1"/>
  <c r="AF3524" i="1"/>
  <c r="AF3523" i="1"/>
  <c r="AF3522" i="1"/>
  <c r="AF3521" i="1"/>
  <c r="AF3520" i="1"/>
  <c r="AF3519" i="1"/>
  <c r="AF3518" i="1"/>
  <c r="AF3517" i="1"/>
  <c r="AF3516" i="1"/>
  <c r="AF3515" i="1"/>
  <c r="AF3514" i="1"/>
  <c r="AF3513" i="1"/>
  <c r="AF3512" i="1"/>
  <c r="AF3511" i="1"/>
  <c r="AF3510" i="1"/>
  <c r="AF3509" i="1"/>
  <c r="AF3508" i="1"/>
  <c r="AF3507" i="1"/>
  <c r="AF3506" i="1"/>
  <c r="AF3505" i="1"/>
  <c r="AF3504" i="1"/>
  <c r="AF3503" i="1"/>
  <c r="AF3502" i="1"/>
  <c r="AF3501" i="1"/>
  <c r="AF3500" i="1"/>
  <c r="AF3499" i="1"/>
  <c r="AF3498" i="1"/>
  <c r="AF3497" i="1"/>
  <c r="AF3496" i="1"/>
  <c r="AF3495" i="1"/>
  <c r="AF3494" i="1"/>
  <c r="AF3493" i="1"/>
  <c r="AF3492" i="1"/>
  <c r="AF3491" i="1"/>
  <c r="AF3490" i="1"/>
  <c r="AF3489" i="1"/>
  <c r="AF3488" i="1"/>
  <c r="AF3487" i="1"/>
  <c r="AF3486" i="1"/>
  <c r="AF3485" i="1"/>
  <c r="AF3484" i="1"/>
  <c r="AF3483" i="1"/>
  <c r="AF3482" i="1"/>
  <c r="AF3481" i="1"/>
  <c r="AF3480" i="1"/>
  <c r="AF3479" i="1"/>
  <c r="AF3478" i="1"/>
  <c r="AF3477" i="1"/>
  <c r="AF3476" i="1"/>
  <c r="AF3475" i="1"/>
  <c r="AF3474" i="1"/>
  <c r="AF3473" i="1"/>
  <c r="AF3472" i="1"/>
  <c r="AF3471" i="1"/>
  <c r="AF3470" i="1"/>
  <c r="AF3469" i="1"/>
  <c r="AF3468" i="1"/>
  <c r="AF3467" i="1"/>
  <c r="AF3466" i="1"/>
  <c r="AF3465" i="1"/>
  <c r="AF3464" i="1"/>
  <c r="AF3463" i="1"/>
  <c r="AF3462" i="1"/>
  <c r="AF3461" i="1"/>
  <c r="AF3460" i="1"/>
  <c r="AF3459" i="1"/>
  <c r="AF3458" i="1"/>
  <c r="AF3457" i="1"/>
  <c r="AF3456" i="1"/>
  <c r="AF3455" i="1"/>
  <c r="AF3454" i="1"/>
  <c r="AF3453" i="1"/>
  <c r="AF3452" i="1"/>
  <c r="AF3451" i="1"/>
  <c r="AF3450" i="1"/>
  <c r="AF3449" i="1"/>
  <c r="AF3448" i="1"/>
  <c r="AF3447" i="1"/>
  <c r="AF3446" i="1"/>
  <c r="AF3445" i="1"/>
  <c r="AF3444" i="1"/>
  <c r="AF3443" i="1"/>
  <c r="AF3442" i="1"/>
  <c r="AF3441" i="1"/>
  <c r="AF3440" i="1"/>
  <c r="AF3439" i="1"/>
  <c r="AF3438" i="1"/>
  <c r="AF3437" i="1"/>
  <c r="AF3436" i="1"/>
  <c r="AF3435" i="1"/>
  <c r="AF3434" i="1"/>
  <c r="AF3433" i="1"/>
  <c r="AF3432" i="1"/>
  <c r="AF3431" i="1"/>
  <c r="AF3430" i="1"/>
  <c r="AF3429" i="1"/>
  <c r="AF3428" i="1"/>
  <c r="AF3427" i="1"/>
  <c r="AF3426" i="1"/>
  <c r="AF3425" i="1"/>
  <c r="AF3424" i="1"/>
  <c r="AF3423" i="1"/>
  <c r="AF3422" i="1"/>
  <c r="AF3421" i="1"/>
  <c r="AF3420" i="1"/>
  <c r="AF3419" i="1"/>
  <c r="AF3418" i="1"/>
  <c r="AF3417" i="1"/>
  <c r="AF3416" i="1"/>
  <c r="AF3415" i="1"/>
  <c r="AF3414" i="1"/>
  <c r="AF3413" i="1"/>
  <c r="AF3412" i="1"/>
  <c r="AF3411" i="1"/>
  <c r="AF3410" i="1"/>
  <c r="AF3409" i="1"/>
  <c r="AF3408" i="1"/>
  <c r="AF3407" i="1"/>
  <c r="AF3406" i="1"/>
  <c r="AF3405" i="1"/>
  <c r="AF3404" i="1"/>
  <c r="AF3403" i="1"/>
  <c r="AF3402" i="1"/>
  <c r="AF3401" i="1"/>
  <c r="AF3400" i="1"/>
  <c r="AF3399" i="1"/>
  <c r="AF3398" i="1"/>
  <c r="AF3397" i="1"/>
  <c r="AF3396" i="1"/>
  <c r="AF3395" i="1"/>
  <c r="AF3394" i="1"/>
  <c r="AF3393" i="1"/>
  <c r="AF3392" i="1"/>
  <c r="AF3391" i="1"/>
  <c r="AF3390" i="1"/>
  <c r="AF3389" i="1"/>
  <c r="AF3388" i="1"/>
  <c r="AF3387" i="1"/>
  <c r="AF3386" i="1"/>
  <c r="AF3385" i="1"/>
  <c r="AF3384" i="1"/>
  <c r="AF3383" i="1"/>
  <c r="AF3382" i="1"/>
  <c r="AF3381" i="1"/>
  <c r="AF3380" i="1"/>
  <c r="AF3379" i="1"/>
  <c r="AF3378" i="1"/>
  <c r="AF3377" i="1"/>
  <c r="AF3376" i="1"/>
  <c r="AF3375" i="1"/>
  <c r="AF3374" i="1"/>
  <c r="AF3373" i="1"/>
  <c r="AF3372" i="1"/>
  <c r="AF3371" i="1"/>
  <c r="AF3370" i="1"/>
  <c r="AF3369" i="1"/>
  <c r="AF3368" i="1"/>
  <c r="AF3367" i="1"/>
  <c r="AF3366" i="1"/>
  <c r="AF3365" i="1"/>
  <c r="AF3364" i="1"/>
  <c r="AF3363" i="1"/>
  <c r="AF3362" i="1"/>
  <c r="AF3361" i="1"/>
  <c r="AF3360" i="1"/>
  <c r="AF3359" i="1"/>
  <c r="AF3358" i="1"/>
  <c r="AF3357" i="1"/>
  <c r="AF3356" i="1"/>
  <c r="AF3355" i="1"/>
  <c r="AF3354" i="1"/>
  <c r="AF3353" i="1"/>
  <c r="AF3352" i="1"/>
  <c r="AF3351" i="1"/>
  <c r="AF3350" i="1"/>
  <c r="AF3349" i="1"/>
  <c r="AF3348" i="1"/>
  <c r="AF3347" i="1"/>
  <c r="AF3346" i="1"/>
  <c r="AF3345" i="1"/>
  <c r="AF3344" i="1"/>
  <c r="AF3343" i="1"/>
  <c r="AF3342" i="1"/>
  <c r="AF3341" i="1"/>
  <c r="AF3340" i="1"/>
  <c r="AF3339" i="1"/>
  <c r="AF3338" i="1"/>
  <c r="AF3337" i="1"/>
  <c r="AF3336" i="1"/>
  <c r="AF3335" i="1"/>
  <c r="AF3334" i="1"/>
  <c r="AF3333" i="1"/>
  <c r="AF3332" i="1"/>
  <c r="AF3331" i="1"/>
  <c r="AF3330" i="1"/>
  <c r="AF3329" i="1"/>
  <c r="AF3328" i="1"/>
  <c r="AF3327" i="1"/>
  <c r="AF3326" i="1"/>
  <c r="AF3325" i="1"/>
  <c r="AF3324" i="1"/>
  <c r="AF3323" i="1"/>
  <c r="AF3322" i="1"/>
  <c r="AF3321" i="1"/>
  <c r="AF3320" i="1"/>
  <c r="AF3319" i="1"/>
  <c r="AF3318" i="1"/>
  <c r="AF3317" i="1"/>
  <c r="AF3316" i="1"/>
  <c r="AF3315" i="1"/>
  <c r="AF3314" i="1"/>
  <c r="AF3313" i="1"/>
  <c r="AF3312" i="1"/>
  <c r="AF3311" i="1"/>
  <c r="AF3310" i="1"/>
  <c r="AF3309" i="1"/>
  <c r="AF3308" i="1"/>
  <c r="AF3307" i="1"/>
  <c r="AF3306" i="1"/>
  <c r="AF3305" i="1"/>
  <c r="AF3304" i="1"/>
  <c r="AF3303" i="1"/>
  <c r="AF3302" i="1"/>
  <c r="AF3301" i="1"/>
  <c r="AF3300" i="1"/>
  <c r="AF3299" i="1"/>
  <c r="AF3298" i="1"/>
  <c r="AF3297" i="1"/>
  <c r="AF3296" i="1"/>
  <c r="AF3295" i="1"/>
  <c r="AF3294" i="1"/>
  <c r="AF3293" i="1"/>
  <c r="AF3292" i="1"/>
  <c r="AF3291" i="1"/>
  <c r="AF3290" i="1"/>
  <c r="AF3289" i="1"/>
  <c r="AF3288" i="1"/>
  <c r="AF3287" i="1"/>
  <c r="AF3286" i="1"/>
  <c r="AF3285" i="1"/>
  <c r="AF3284" i="1"/>
  <c r="AF3283" i="1"/>
  <c r="AF3282" i="1"/>
  <c r="AF3281" i="1"/>
  <c r="AF3280" i="1"/>
  <c r="AF3279" i="1"/>
  <c r="AF3278" i="1"/>
  <c r="AF3277" i="1"/>
  <c r="AF3276" i="1"/>
  <c r="AF3275" i="1"/>
  <c r="AF3274" i="1"/>
  <c r="AF3273" i="1"/>
  <c r="AF3272" i="1"/>
  <c r="AF3271" i="1"/>
  <c r="AF3270" i="1"/>
  <c r="AF3269" i="1"/>
  <c r="AF3268" i="1"/>
  <c r="AF3267" i="1"/>
  <c r="AF3266" i="1"/>
  <c r="AF3265" i="1"/>
  <c r="AF3264" i="1"/>
  <c r="AF3263" i="1"/>
  <c r="AF3262" i="1"/>
  <c r="AF3261" i="1"/>
  <c r="AF3260" i="1"/>
  <c r="AF3259" i="1"/>
  <c r="AF3258" i="1"/>
  <c r="AF3257" i="1"/>
  <c r="AF3256" i="1"/>
  <c r="AF3255" i="1"/>
  <c r="AF3254" i="1"/>
  <c r="AF3253" i="1"/>
  <c r="AF3252" i="1"/>
  <c r="AF3251" i="1"/>
  <c r="AF3250" i="1"/>
  <c r="AF3249" i="1"/>
  <c r="AF3248" i="1"/>
  <c r="AF3247" i="1"/>
  <c r="AF3246" i="1"/>
  <c r="AF3245" i="1"/>
  <c r="AF3244" i="1"/>
  <c r="AF3243" i="1"/>
  <c r="AF3242" i="1"/>
  <c r="AF3241" i="1"/>
  <c r="AF3240" i="1"/>
  <c r="AF3239" i="1"/>
  <c r="AF3238" i="1"/>
  <c r="AF3237" i="1"/>
  <c r="AF3236" i="1"/>
  <c r="AF3235" i="1"/>
  <c r="AF3234" i="1"/>
  <c r="AF3233" i="1"/>
  <c r="AF3232" i="1"/>
  <c r="AF3231" i="1"/>
  <c r="AF3230" i="1"/>
  <c r="AF3229" i="1"/>
  <c r="AF3228" i="1"/>
  <c r="AF3227" i="1"/>
  <c r="AF3226" i="1"/>
  <c r="AF3225" i="1"/>
  <c r="AF3224" i="1"/>
  <c r="AF3223" i="1"/>
  <c r="AF3222" i="1"/>
  <c r="AF3221" i="1"/>
  <c r="AF3220" i="1"/>
  <c r="AF3219" i="1"/>
  <c r="AF3218" i="1"/>
  <c r="AF3217" i="1"/>
  <c r="AF3216" i="1"/>
  <c r="AF3215" i="1"/>
  <c r="AF3214" i="1"/>
  <c r="AF3213" i="1"/>
  <c r="AF3212" i="1"/>
  <c r="AF3211" i="1"/>
  <c r="AF3210" i="1"/>
  <c r="AF3209" i="1"/>
  <c r="AF3208" i="1"/>
  <c r="AF3207" i="1"/>
  <c r="AF3206" i="1"/>
  <c r="AF3205" i="1"/>
  <c r="AF3204" i="1"/>
  <c r="AF3203" i="1"/>
  <c r="AF3202" i="1"/>
  <c r="AF3201" i="1"/>
  <c r="AF3200" i="1"/>
  <c r="AF3199" i="1"/>
  <c r="AF3198" i="1"/>
  <c r="AF3197" i="1"/>
  <c r="AF3196" i="1"/>
  <c r="AF3195" i="1"/>
  <c r="AF3194" i="1"/>
  <c r="AF3193" i="1"/>
  <c r="AF3192" i="1"/>
  <c r="AF3191" i="1"/>
  <c r="AF3190" i="1"/>
  <c r="AF3189" i="1"/>
  <c r="AF3188" i="1"/>
  <c r="AF3187" i="1"/>
  <c r="AF3186" i="1"/>
  <c r="AF3185" i="1"/>
  <c r="AF3184" i="1"/>
  <c r="AF3183" i="1"/>
  <c r="AF3182" i="1"/>
  <c r="AF3181" i="1"/>
  <c r="AF3180" i="1"/>
  <c r="AF3179" i="1"/>
  <c r="AF3178" i="1"/>
  <c r="AF3177" i="1"/>
  <c r="AF3176" i="1"/>
  <c r="AF3175" i="1"/>
  <c r="AF3174" i="1"/>
  <c r="AF3173" i="1"/>
  <c r="AF3172" i="1"/>
  <c r="AF3171" i="1"/>
  <c r="AF3170" i="1"/>
  <c r="AF3169" i="1"/>
  <c r="AF3168" i="1"/>
  <c r="AF3167" i="1"/>
  <c r="AF3166" i="1"/>
  <c r="AF3165" i="1"/>
  <c r="AF3164" i="1"/>
  <c r="AF3163" i="1"/>
  <c r="AF3162" i="1"/>
  <c r="AF3161" i="1"/>
  <c r="AF3160" i="1"/>
  <c r="AF3159" i="1"/>
  <c r="AF3158" i="1"/>
  <c r="AF3157" i="1"/>
  <c r="AF3156" i="1"/>
  <c r="AF3155" i="1"/>
  <c r="AF3154" i="1"/>
  <c r="AF3153" i="1"/>
  <c r="AF3152" i="1"/>
  <c r="AF3151" i="1"/>
  <c r="AF3150" i="1"/>
  <c r="AF3149" i="1"/>
  <c r="AF3148" i="1"/>
  <c r="AF3147" i="1"/>
  <c r="AF3146" i="1"/>
  <c r="AF3145" i="1"/>
  <c r="AF3144" i="1"/>
  <c r="AF3143" i="1"/>
  <c r="AF3142" i="1"/>
  <c r="AF3141" i="1"/>
  <c r="AF3140" i="1"/>
  <c r="AF3139" i="1"/>
  <c r="AF3138" i="1"/>
  <c r="AF3137" i="1"/>
  <c r="AF3136" i="1"/>
  <c r="AF3135" i="1"/>
  <c r="AF3134" i="1"/>
  <c r="AF3133" i="1"/>
  <c r="AF3132" i="1"/>
  <c r="AF3131" i="1"/>
  <c r="AF3130" i="1"/>
  <c r="AF3129" i="1"/>
  <c r="AF3128" i="1"/>
  <c r="AF3127" i="1"/>
  <c r="AF3126" i="1"/>
  <c r="AF3125" i="1"/>
  <c r="AF3124" i="1"/>
  <c r="AF3123" i="1"/>
  <c r="AF3122" i="1"/>
  <c r="AF3121" i="1"/>
  <c r="AF3120" i="1"/>
  <c r="AF3119" i="1"/>
  <c r="AF3118" i="1"/>
  <c r="AF3117" i="1"/>
  <c r="AF3116" i="1"/>
  <c r="AF3115" i="1"/>
  <c r="AF3114" i="1"/>
  <c r="AF3113" i="1"/>
  <c r="AF3112" i="1"/>
  <c r="AF3111" i="1"/>
  <c r="AF3110" i="1"/>
  <c r="AF3109" i="1"/>
  <c r="AF3108" i="1"/>
  <c r="AF3107" i="1"/>
  <c r="AF3106" i="1"/>
  <c r="AF3105" i="1"/>
  <c r="AF3104" i="1"/>
  <c r="AF3103" i="1"/>
  <c r="AF3102" i="1"/>
  <c r="AF3101" i="1"/>
  <c r="AF3100" i="1"/>
  <c r="AF3099" i="1"/>
  <c r="AF3098" i="1"/>
  <c r="AF3097" i="1"/>
  <c r="AF3096" i="1"/>
  <c r="AF3095" i="1"/>
  <c r="AF3094" i="1"/>
  <c r="AF3093" i="1"/>
  <c r="AF3092" i="1"/>
  <c r="AF3091" i="1"/>
  <c r="AF3090" i="1"/>
  <c r="AF3089" i="1"/>
  <c r="AF3088" i="1"/>
  <c r="AF3087" i="1"/>
  <c r="AF3086" i="1"/>
  <c r="AF3085" i="1"/>
  <c r="AF3084" i="1"/>
  <c r="AF3083" i="1"/>
  <c r="AF3082" i="1"/>
  <c r="AF3081" i="1"/>
  <c r="AF3080" i="1"/>
  <c r="AF3079" i="1"/>
  <c r="AF3078" i="1"/>
  <c r="AF3077" i="1"/>
  <c r="AF3076" i="1"/>
  <c r="AF3075" i="1"/>
  <c r="AF3074" i="1"/>
  <c r="AF3073" i="1"/>
  <c r="AF3072" i="1"/>
  <c r="AF3071" i="1"/>
  <c r="AF3070" i="1"/>
  <c r="AF3069" i="1"/>
  <c r="AF3068" i="1"/>
  <c r="AF3067" i="1"/>
  <c r="AF3066" i="1"/>
  <c r="AF3065" i="1"/>
  <c r="AF3064" i="1"/>
  <c r="AF3063" i="1"/>
  <c r="AF3062" i="1"/>
  <c r="AF3061" i="1"/>
  <c r="AF3060" i="1"/>
  <c r="AF3059" i="1"/>
  <c r="AF3058" i="1"/>
  <c r="AF3057" i="1"/>
  <c r="AF3056" i="1"/>
  <c r="AF3055" i="1"/>
  <c r="AF3054" i="1"/>
  <c r="AF3053" i="1"/>
  <c r="AF3052" i="1"/>
  <c r="AF3051" i="1"/>
  <c r="AF3050" i="1"/>
  <c r="AF3049" i="1"/>
  <c r="AF3048" i="1"/>
  <c r="AF3047" i="1"/>
  <c r="AF3046" i="1"/>
  <c r="AF3045" i="1"/>
  <c r="AF3044" i="1"/>
  <c r="AF3043" i="1"/>
  <c r="AF3042" i="1"/>
  <c r="AF3041" i="1"/>
  <c r="AF3040" i="1"/>
  <c r="AF3039" i="1"/>
  <c r="AF3038" i="1"/>
  <c r="AF3037" i="1"/>
  <c r="AF3036" i="1"/>
  <c r="AF3035" i="1"/>
  <c r="AF3034" i="1"/>
  <c r="AF3033" i="1"/>
  <c r="AF3032" i="1"/>
  <c r="AF3031" i="1"/>
  <c r="AF3030" i="1"/>
  <c r="AF3029" i="1"/>
  <c r="AF3028" i="1"/>
  <c r="AF3027" i="1"/>
  <c r="AF3026" i="1"/>
  <c r="AF3025" i="1"/>
  <c r="AF3024" i="1"/>
  <c r="AF3023" i="1"/>
  <c r="AF3022" i="1"/>
  <c r="AF3021" i="1"/>
  <c r="AF3020" i="1"/>
  <c r="AF3019" i="1"/>
  <c r="AF3018" i="1"/>
  <c r="AF3017" i="1"/>
  <c r="AF3016" i="1"/>
  <c r="AF3015" i="1"/>
  <c r="AF3014" i="1"/>
  <c r="AF3013" i="1"/>
  <c r="AF3012" i="1"/>
  <c r="AF3011" i="1"/>
  <c r="AF3010" i="1"/>
  <c r="AF3009" i="1"/>
  <c r="AF3008" i="1"/>
  <c r="AF3007" i="1"/>
  <c r="AF3006" i="1"/>
  <c r="AF3005" i="1"/>
  <c r="AF3004" i="1"/>
  <c r="AF3003" i="1"/>
  <c r="AF3002" i="1"/>
  <c r="AF3001" i="1"/>
  <c r="AF3000" i="1"/>
  <c r="AF2999" i="1"/>
  <c r="AF2998" i="1"/>
  <c r="AF2997" i="1"/>
  <c r="AF2996" i="1"/>
  <c r="AF2995" i="1"/>
  <c r="AF2994" i="1"/>
  <c r="AF2993" i="1"/>
  <c r="AF2992" i="1"/>
  <c r="AF2991" i="1"/>
  <c r="AF2990" i="1"/>
  <c r="AF2989" i="1"/>
  <c r="AF2988" i="1"/>
  <c r="AF2987" i="1"/>
  <c r="AF2986" i="1"/>
  <c r="AF2985" i="1"/>
  <c r="AF2984" i="1"/>
  <c r="AF2983" i="1"/>
  <c r="AF2982" i="1"/>
  <c r="AF2981" i="1"/>
  <c r="AF2980" i="1"/>
  <c r="AF2979" i="1"/>
  <c r="AF2978" i="1"/>
  <c r="AF2977" i="1"/>
  <c r="AF2976" i="1"/>
  <c r="AF2975" i="1"/>
  <c r="AF2974" i="1"/>
  <c r="AF2973" i="1"/>
  <c r="AF2972" i="1"/>
  <c r="AF2971" i="1"/>
  <c r="AF2970" i="1"/>
  <c r="AF2969" i="1"/>
  <c r="AF2968" i="1"/>
  <c r="AF2967" i="1"/>
  <c r="AF2966" i="1"/>
  <c r="AF2965" i="1"/>
  <c r="AF2964" i="1"/>
  <c r="AF2963" i="1"/>
  <c r="AF2962" i="1"/>
  <c r="AF2961" i="1"/>
  <c r="AF2960" i="1"/>
  <c r="AF2959" i="1"/>
  <c r="AF2958" i="1"/>
  <c r="AF2957" i="1"/>
  <c r="AF2956" i="1"/>
  <c r="AF2955" i="1"/>
  <c r="AF2954" i="1"/>
  <c r="AF2953" i="1"/>
  <c r="AF2952" i="1"/>
  <c r="AF2951" i="1"/>
  <c r="AF2950" i="1"/>
  <c r="AF2949" i="1"/>
  <c r="AF2948" i="1"/>
  <c r="AF2947" i="1"/>
  <c r="AF2946" i="1"/>
  <c r="AF2945" i="1"/>
  <c r="AF2944" i="1"/>
  <c r="AF2943" i="1"/>
  <c r="AF2942" i="1"/>
  <c r="AF2941" i="1"/>
  <c r="AF2940" i="1"/>
  <c r="AF2939" i="1"/>
  <c r="AF2938" i="1"/>
  <c r="AF2937" i="1"/>
  <c r="AF2936" i="1"/>
  <c r="AF2935" i="1"/>
  <c r="AF2934" i="1"/>
  <c r="AF2933" i="1"/>
  <c r="AF2932" i="1"/>
  <c r="AF2931" i="1"/>
  <c r="AF2930" i="1"/>
  <c r="AF2929" i="1"/>
  <c r="AF2928" i="1"/>
  <c r="AF2927" i="1"/>
  <c r="AF2926" i="1"/>
  <c r="AF2925" i="1"/>
  <c r="AF2924" i="1"/>
  <c r="AF2923" i="1"/>
  <c r="AF2922" i="1"/>
  <c r="AF2921" i="1"/>
  <c r="AF2920" i="1"/>
  <c r="AF2919" i="1"/>
  <c r="AF2918" i="1"/>
  <c r="AF2917" i="1"/>
  <c r="AF2916" i="1"/>
  <c r="AF2915" i="1"/>
  <c r="AF2914" i="1"/>
  <c r="AF2913" i="1"/>
  <c r="AF2912" i="1"/>
  <c r="AF2911" i="1"/>
  <c r="AF2910" i="1"/>
  <c r="AF2909" i="1"/>
  <c r="AF2908" i="1"/>
  <c r="AF2907" i="1"/>
  <c r="AF2906" i="1"/>
  <c r="AF2905" i="1"/>
  <c r="AF2904" i="1"/>
  <c r="AF2903" i="1"/>
  <c r="AF2902" i="1"/>
  <c r="AF2901" i="1"/>
  <c r="AF2900" i="1"/>
  <c r="AF2899" i="1"/>
  <c r="AF2898" i="1"/>
  <c r="AF2897" i="1"/>
  <c r="AF2896" i="1"/>
  <c r="AF2895" i="1"/>
  <c r="AF2894" i="1"/>
  <c r="AF2893" i="1"/>
  <c r="AF2892" i="1"/>
  <c r="AF2891" i="1"/>
  <c r="AF2890" i="1"/>
  <c r="AF2889" i="1"/>
  <c r="AF2888" i="1"/>
  <c r="AF2887" i="1"/>
  <c r="AF2886" i="1"/>
  <c r="AF2885" i="1"/>
  <c r="AF2884" i="1"/>
  <c r="AF2883" i="1"/>
  <c r="AF2882" i="1"/>
  <c r="AF2881" i="1"/>
  <c r="AF2880" i="1"/>
  <c r="AF2879" i="1"/>
  <c r="AF2878" i="1"/>
  <c r="AF2877" i="1"/>
  <c r="AF2876" i="1"/>
  <c r="AF2875" i="1"/>
  <c r="AF2874" i="1"/>
  <c r="AF2873" i="1"/>
  <c r="AF2872" i="1"/>
  <c r="AF2871" i="1"/>
  <c r="AF2870" i="1"/>
  <c r="AF2869" i="1"/>
  <c r="AF2868" i="1"/>
  <c r="AF2867" i="1"/>
  <c r="AF2866" i="1"/>
  <c r="AF2865" i="1"/>
  <c r="AF2864" i="1"/>
  <c r="AF2863" i="1"/>
  <c r="AF2862" i="1"/>
  <c r="AF2861" i="1"/>
  <c r="AF2860" i="1"/>
  <c r="AF2859" i="1"/>
  <c r="AF2858" i="1"/>
  <c r="AF2857" i="1"/>
  <c r="AF2856" i="1"/>
  <c r="AF2855" i="1"/>
  <c r="AF2854" i="1"/>
  <c r="AF2853" i="1"/>
  <c r="AF2852" i="1"/>
  <c r="AF2851" i="1"/>
  <c r="AF2850" i="1"/>
  <c r="AF2849" i="1"/>
  <c r="AF2848" i="1"/>
  <c r="AF2847" i="1"/>
  <c r="AF2846" i="1"/>
  <c r="AF2845" i="1"/>
  <c r="AF2844" i="1"/>
  <c r="AF2843" i="1"/>
  <c r="AF2842" i="1"/>
  <c r="AF2841" i="1"/>
  <c r="AF2840" i="1"/>
  <c r="AF2839" i="1"/>
  <c r="AF2838" i="1"/>
  <c r="AF2837" i="1"/>
  <c r="AF2836" i="1"/>
  <c r="AF2835" i="1"/>
  <c r="AF2834" i="1"/>
  <c r="AF2833" i="1"/>
  <c r="AF2832" i="1"/>
  <c r="AF2831" i="1"/>
  <c r="AF2830" i="1"/>
  <c r="AF2829" i="1"/>
  <c r="AF2828" i="1"/>
  <c r="AF2827" i="1"/>
  <c r="AF2826" i="1"/>
  <c r="AF2825" i="1"/>
  <c r="AF2824" i="1"/>
  <c r="AF2823" i="1"/>
  <c r="AF2822" i="1"/>
  <c r="AF2821" i="1"/>
  <c r="AF2820" i="1"/>
  <c r="AF2819" i="1"/>
  <c r="AF2818" i="1"/>
  <c r="AF2817" i="1"/>
  <c r="AF2816" i="1"/>
  <c r="AF2815" i="1"/>
  <c r="AF2814" i="1"/>
  <c r="AF2813" i="1"/>
  <c r="AF2812" i="1"/>
  <c r="AF2811" i="1"/>
  <c r="AF2810" i="1"/>
  <c r="AF2809" i="1"/>
  <c r="AF2808" i="1"/>
  <c r="AF2807" i="1"/>
  <c r="AF2806" i="1"/>
  <c r="AF2805" i="1"/>
  <c r="AF2804" i="1"/>
  <c r="AF2803" i="1"/>
  <c r="AF2802" i="1"/>
  <c r="AF2801" i="1"/>
  <c r="AF2800" i="1"/>
  <c r="AF2799" i="1"/>
  <c r="AF2798" i="1"/>
  <c r="AF2797" i="1"/>
  <c r="AF2796" i="1"/>
  <c r="AF2795" i="1"/>
  <c r="AF2794" i="1"/>
  <c r="AF2793" i="1"/>
  <c r="AF2792" i="1"/>
  <c r="AF2791" i="1"/>
  <c r="AF2790" i="1"/>
  <c r="AF2789" i="1"/>
  <c r="AF2788" i="1"/>
  <c r="AF2787" i="1"/>
  <c r="AF2786" i="1"/>
  <c r="AF2785" i="1"/>
  <c r="AF2784" i="1"/>
  <c r="AF2783" i="1"/>
  <c r="AF2782" i="1"/>
  <c r="AF2781" i="1"/>
  <c r="AF2780" i="1"/>
  <c r="AF2779" i="1"/>
  <c r="AF2778" i="1"/>
  <c r="AF2777" i="1"/>
  <c r="AF2776" i="1"/>
  <c r="AF2775" i="1"/>
  <c r="AF2774" i="1"/>
  <c r="AF2773" i="1"/>
  <c r="AF2772" i="1"/>
  <c r="AF2771" i="1"/>
  <c r="AF2770" i="1"/>
  <c r="AF2769" i="1"/>
  <c r="AF2768" i="1"/>
  <c r="AF2767" i="1"/>
  <c r="AF2766" i="1"/>
  <c r="AF2765" i="1"/>
  <c r="AF2764" i="1"/>
  <c r="AF2763" i="1"/>
  <c r="AF2762" i="1"/>
  <c r="AF2761" i="1"/>
  <c r="AF2760" i="1"/>
  <c r="AF2759" i="1"/>
  <c r="AF2758" i="1"/>
  <c r="AF2757" i="1"/>
  <c r="AF2756" i="1"/>
  <c r="AF2755" i="1"/>
  <c r="AF2754" i="1"/>
  <c r="AF2753" i="1"/>
  <c r="AF2752" i="1"/>
  <c r="AF2751" i="1"/>
  <c r="AF2750" i="1"/>
  <c r="AF2749" i="1"/>
  <c r="AF2748" i="1"/>
  <c r="AF2747" i="1"/>
  <c r="AF2746" i="1"/>
  <c r="AF2745" i="1"/>
  <c r="AF2744" i="1"/>
  <c r="AF2743" i="1"/>
  <c r="AF2742" i="1"/>
  <c r="AF2741" i="1"/>
  <c r="AF2740" i="1"/>
  <c r="AF2739" i="1"/>
  <c r="AF2738" i="1"/>
  <c r="AF2737" i="1"/>
  <c r="AF2736" i="1"/>
  <c r="AF2735" i="1"/>
  <c r="AF2734" i="1"/>
  <c r="AF2733" i="1"/>
  <c r="AF2732" i="1"/>
  <c r="AF2731" i="1"/>
  <c r="AF2730" i="1"/>
  <c r="AF2729" i="1"/>
  <c r="AF2728" i="1"/>
  <c r="AF2727" i="1"/>
  <c r="AF2726" i="1"/>
  <c r="AF2725" i="1"/>
  <c r="AF2724" i="1"/>
  <c r="AF2723" i="1"/>
  <c r="AF2722" i="1"/>
  <c r="AF2721" i="1"/>
  <c r="AF2720" i="1"/>
  <c r="AF2719" i="1"/>
  <c r="AF2718" i="1"/>
  <c r="AF2717" i="1"/>
  <c r="AF2716" i="1"/>
  <c r="AF2715" i="1"/>
  <c r="AF2714" i="1"/>
  <c r="AF2713" i="1"/>
  <c r="AF2712" i="1"/>
  <c r="AF2711" i="1"/>
  <c r="AF2710" i="1"/>
  <c r="AF2709" i="1"/>
  <c r="AF2708" i="1"/>
  <c r="AF2707" i="1"/>
  <c r="AF2706" i="1"/>
  <c r="AF2705" i="1"/>
  <c r="AF2704" i="1"/>
  <c r="AF2703" i="1"/>
  <c r="AF2702" i="1"/>
  <c r="AF2701" i="1"/>
  <c r="AF2700" i="1"/>
  <c r="AF2699" i="1"/>
  <c r="AF2698" i="1"/>
  <c r="AF2697" i="1"/>
  <c r="AF2696" i="1"/>
  <c r="AF2695" i="1"/>
  <c r="AF2694" i="1"/>
  <c r="AF2693" i="1"/>
  <c r="AF2692" i="1"/>
  <c r="AF2691" i="1"/>
  <c r="AF2690" i="1"/>
  <c r="AF2689" i="1"/>
  <c r="AF2688" i="1"/>
  <c r="AF2687" i="1"/>
  <c r="AF2686" i="1"/>
  <c r="AF2685" i="1"/>
  <c r="AF2684" i="1"/>
  <c r="AF2683" i="1"/>
  <c r="AF2682" i="1"/>
  <c r="AF2681" i="1"/>
  <c r="AF2680" i="1"/>
  <c r="AF2679" i="1"/>
  <c r="AF2678" i="1"/>
  <c r="AF2677" i="1"/>
  <c r="AF2676" i="1"/>
  <c r="AF2675" i="1"/>
  <c r="AF2674" i="1"/>
  <c r="AF2673" i="1"/>
  <c r="AF2672" i="1"/>
  <c r="AF2671" i="1"/>
  <c r="AF2670" i="1"/>
  <c r="AF2669" i="1"/>
  <c r="AF2668" i="1"/>
  <c r="AF2667" i="1"/>
  <c r="AF2666" i="1"/>
  <c r="AF2665" i="1"/>
  <c r="AF2664" i="1"/>
  <c r="AF2663" i="1"/>
  <c r="AF2662" i="1"/>
  <c r="AF2661" i="1"/>
  <c r="AF2660" i="1"/>
  <c r="AF2659" i="1"/>
  <c r="AF2658" i="1"/>
  <c r="AF2657" i="1"/>
  <c r="AF2656" i="1"/>
  <c r="AF2655" i="1"/>
  <c r="AF2654" i="1"/>
  <c r="AF2653" i="1"/>
  <c r="AF2652" i="1"/>
  <c r="AF2651" i="1"/>
  <c r="AF2650" i="1"/>
  <c r="AF2649" i="1"/>
  <c r="AF2648" i="1"/>
  <c r="AF2647" i="1"/>
  <c r="AF2646" i="1"/>
  <c r="AF2645" i="1"/>
  <c r="AF2644" i="1"/>
  <c r="AF2643" i="1"/>
  <c r="AF2642" i="1"/>
  <c r="AF2641" i="1"/>
  <c r="AF2640" i="1"/>
  <c r="AF2639" i="1"/>
  <c r="AF2638" i="1"/>
  <c r="AF2637" i="1"/>
  <c r="AF2636" i="1"/>
  <c r="AF2635" i="1"/>
  <c r="AF2634" i="1"/>
  <c r="AF2633" i="1"/>
  <c r="AF2632" i="1"/>
  <c r="AF2631" i="1"/>
  <c r="AF2630" i="1"/>
  <c r="AF2629" i="1"/>
  <c r="AF2628" i="1"/>
  <c r="AF2627" i="1"/>
  <c r="AF2626" i="1"/>
  <c r="AF2625" i="1"/>
  <c r="AF2624" i="1"/>
  <c r="AF2623" i="1"/>
  <c r="AF2622" i="1"/>
  <c r="AF2621" i="1"/>
  <c r="AF2620" i="1"/>
  <c r="AF2619" i="1"/>
  <c r="AF2618" i="1"/>
  <c r="AF2617" i="1"/>
  <c r="AF2616" i="1"/>
  <c r="AF2615" i="1"/>
  <c r="AF2614" i="1"/>
  <c r="AF2613" i="1"/>
  <c r="AF2612" i="1"/>
  <c r="AF2611" i="1"/>
  <c r="AF2610" i="1"/>
  <c r="AF2609" i="1"/>
  <c r="AF2608" i="1"/>
  <c r="AF2607" i="1"/>
  <c r="AF2606" i="1"/>
  <c r="AF2605" i="1"/>
  <c r="AF2604" i="1"/>
  <c r="AF2603" i="1"/>
  <c r="AF2602" i="1"/>
  <c r="AF2601" i="1"/>
  <c r="AF2600" i="1"/>
  <c r="AF2599" i="1"/>
  <c r="AF2598" i="1"/>
  <c r="AF2597" i="1"/>
  <c r="AF2596" i="1"/>
  <c r="AF2595" i="1"/>
  <c r="AF2594" i="1"/>
  <c r="AF2593" i="1"/>
  <c r="AF2592" i="1"/>
  <c r="AF2591" i="1"/>
  <c r="AF2590" i="1"/>
  <c r="AF2589" i="1"/>
  <c r="AF2588" i="1"/>
  <c r="AF2587" i="1"/>
  <c r="AF2586" i="1"/>
  <c r="AF2585" i="1"/>
  <c r="AF2584" i="1"/>
  <c r="AF2583" i="1"/>
  <c r="AF2582" i="1"/>
  <c r="AF2581" i="1"/>
  <c r="AF2580" i="1"/>
  <c r="AF2579" i="1"/>
  <c r="AF2578" i="1"/>
  <c r="AF2577" i="1"/>
  <c r="AF2576" i="1"/>
  <c r="AF2575" i="1"/>
  <c r="AF2574" i="1"/>
  <c r="AF2573" i="1"/>
  <c r="AF2572" i="1"/>
  <c r="AF2571" i="1"/>
  <c r="AF2570" i="1"/>
  <c r="AF2569" i="1"/>
  <c r="AF2568" i="1"/>
  <c r="AF2567" i="1"/>
  <c r="AF2566" i="1"/>
  <c r="AF2565" i="1"/>
  <c r="AF2564" i="1"/>
  <c r="AF2563" i="1"/>
  <c r="AF2562" i="1"/>
  <c r="AF2561" i="1"/>
  <c r="AF2560" i="1"/>
  <c r="AF2559" i="1"/>
  <c r="AF2558" i="1"/>
  <c r="AF2557" i="1"/>
  <c r="AF2556" i="1"/>
  <c r="AF2555" i="1"/>
  <c r="AF2554" i="1"/>
  <c r="AF2553" i="1"/>
  <c r="AF2552" i="1"/>
  <c r="AF2551" i="1"/>
  <c r="AF2550" i="1"/>
  <c r="AF2549" i="1"/>
  <c r="AF2548" i="1"/>
  <c r="AF2547" i="1"/>
  <c r="AF2546" i="1"/>
  <c r="AF2545" i="1"/>
  <c r="AF2544" i="1"/>
  <c r="AF2543" i="1"/>
  <c r="AF2542" i="1"/>
  <c r="AF2541" i="1"/>
  <c r="AF2540" i="1"/>
  <c r="AF2539" i="1"/>
  <c r="AF2538" i="1"/>
  <c r="AF2537" i="1"/>
  <c r="AF2536" i="1"/>
  <c r="AF2535" i="1"/>
  <c r="AF2534" i="1"/>
  <c r="AF2533" i="1"/>
  <c r="AF2532" i="1"/>
  <c r="AF2531" i="1"/>
  <c r="AF2530" i="1"/>
  <c r="AF2529" i="1"/>
  <c r="AF2528" i="1"/>
  <c r="AF2527" i="1"/>
  <c r="AF2526" i="1"/>
  <c r="AF2525" i="1"/>
  <c r="AF2524" i="1"/>
  <c r="AF2523" i="1"/>
  <c r="AF2522" i="1"/>
  <c r="AF2521" i="1"/>
  <c r="AF2520" i="1"/>
  <c r="AF2519" i="1"/>
  <c r="AF2518" i="1"/>
  <c r="AF2517" i="1"/>
  <c r="AF2516" i="1"/>
  <c r="AF2515" i="1"/>
  <c r="AF2514" i="1"/>
  <c r="AF2513" i="1"/>
  <c r="AF2512" i="1"/>
  <c r="AF2511" i="1"/>
  <c r="AF2510" i="1"/>
  <c r="AF2509" i="1"/>
  <c r="AF2508" i="1"/>
  <c r="AF2507" i="1"/>
  <c r="AF2506" i="1"/>
  <c r="AF2505" i="1"/>
  <c r="AF2504" i="1"/>
  <c r="AF2503" i="1"/>
  <c r="AF2502" i="1"/>
  <c r="AF2501" i="1"/>
  <c r="AF2500" i="1"/>
  <c r="AF2499" i="1"/>
  <c r="AF2498" i="1"/>
  <c r="AF2497" i="1"/>
  <c r="AF2496" i="1"/>
  <c r="AF2495" i="1"/>
  <c r="AF2494" i="1"/>
  <c r="AF2493" i="1"/>
  <c r="AF2492" i="1"/>
  <c r="AF2491" i="1"/>
  <c r="AF2490" i="1"/>
  <c r="AF2489" i="1"/>
  <c r="AF2488" i="1"/>
  <c r="AF2487" i="1"/>
  <c r="AF2486" i="1"/>
  <c r="AF2485" i="1"/>
  <c r="AF2484" i="1"/>
  <c r="AF2483" i="1"/>
  <c r="AF2482" i="1"/>
  <c r="AF2481" i="1"/>
  <c r="AF2480" i="1"/>
  <c r="AF2479" i="1"/>
  <c r="AF2478" i="1"/>
  <c r="AF2477" i="1"/>
  <c r="AF2476" i="1"/>
  <c r="AF2475" i="1"/>
  <c r="AF2474" i="1"/>
  <c r="AF2473" i="1"/>
  <c r="AF2472" i="1"/>
  <c r="AF2471" i="1"/>
  <c r="AF2470" i="1"/>
  <c r="AF2469" i="1"/>
  <c r="AF2468" i="1"/>
  <c r="AF2467" i="1"/>
  <c r="AF2466" i="1"/>
  <c r="AF2465" i="1"/>
  <c r="AF2464" i="1"/>
  <c r="AF2463" i="1"/>
  <c r="AF2462" i="1"/>
  <c r="AF2461" i="1"/>
  <c r="AF2460" i="1"/>
  <c r="AF2459" i="1"/>
  <c r="AF2458" i="1"/>
  <c r="AF2457" i="1"/>
  <c r="AF2456" i="1"/>
  <c r="AF2455" i="1"/>
  <c r="AF2454" i="1"/>
  <c r="AF2453" i="1"/>
  <c r="AF2452" i="1"/>
  <c r="AF2451" i="1"/>
  <c r="AF2450" i="1"/>
  <c r="AF2449" i="1"/>
  <c r="AF2448" i="1"/>
  <c r="AF2447" i="1"/>
  <c r="AF2446" i="1"/>
  <c r="AF2445" i="1"/>
  <c r="AF2444" i="1"/>
  <c r="AF2443" i="1"/>
  <c r="AF2442" i="1"/>
  <c r="AF2441" i="1"/>
  <c r="AF2440" i="1"/>
  <c r="AF2439" i="1"/>
  <c r="AF2438" i="1"/>
  <c r="AF2437" i="1"/>
  <c r="AF2436" i="1"/>
  <c r="AF2435" i="1"/>
  <c r="AF2434" i="1"/>
  <c r="AF2433" i="1"/>
  <c r="AF2432" i="1"/>
  <c r="AF2431" i="1"/>
  <c r="AF2430" i="1"/>
  <c r="AF2429" i="1"/>
  <c r="AF2428" i="1"/>
  <c r="AF2427" i="1"/>
  <c r="AF2426" i="1"/>
  <c r="AF2425" i="1"/>
  <c r="AF2424" i="1"/>
  <c r="AF2423" i="1"/>
  <c r="AF2422" i="1"/>
  <c r="AF2421" i="1"/>
  <c r="AF2420" i="1"/>
  <c r="AF2419" i="1"/>
  <c r="AF2418" i="1"/>
  <c r="AF2417" i="1"/>
  <c r="AF2416" i="1"/>
  <c r="AF2415" i="1"/>
  <c r="AF2414" i="1"/>
  <c r="AF2413" i="1"/>
  <c r="AF2412" i="1"/>
  <c r="AF2411" i="1"/>
  <c r="AF2410" i="1"/>
  <c r="AF2409" i="1"/>
  <c r="AF2408" i="1"/>
  <c r="AF2407" i="1"/>
  <c r="AF2406" i="1"/>
  <c r="AF2405" i="1"/>
  <c r="AF2404" i="1"/>
  <c r="AF2403" i="1"/>
  <c r="AF2402" i="1"/>
  <c r="AF2401" i="1"/>
  <c r="AF2400" i="1"/>
  <c r="AF2399" i="1"/>
  <c r="AF2398" i="1"/>
  <c r="AF2397" i="1"/>
  <c r="AF2396" i="1"/>
  <c r="AF2395" i="1"/>
  <c r="AF2394" i="1"/>
  <c r="AF2393" i="1"/>
  <c r="AF2392" i="1"/>
  <c r="AF2391" i="1"/>
  <c r="AF2390" i="1"/>
  <c r="AF2389" i="1"/>
  <c r="AF2388" i="1"/>
  <c r="AF2387" i="1"/>
  <c r="AF2386" i="1"/>
  <c r="AF2385" i="1"/>
  <c r="AF2384" i="1"/>
  <c r="AF2383" i="1"/>
  <c r="AF2382" i="1"/>
  <c r="AF2381" i="1"/>
  <c r="AF2380" i="1"/>
  <c r="AF2379" i="1"/>
  <c r="AF2378" i="1"/>
  <c r="AF2377" i="1"/>
  <c r="AF2376" i="1"/>
  <c r="AF2375" i="1"/>
  <c r="AF2374" i="1"/>
  <c r="AF2373" i="1"/>
  <c r="AF2372" i="1"/>
  <c r="AF2371" i="1"/>
  <c r="AF2370" i="1"/>
  <c r="AF2369" i="1"/>
  <c r="AF2368" i="1"/>
  <c r="AF2367" i="1"/>
  <c r="AF2366" i="1"/>
  <c r="AF2365" i="1"/>
  <c r="AF2364" i="1"/>
  <c r="AF2363" i="1"/>
  <c r="AF2362" i="1"/>
  <c r="AF2361" i="1"/>
  <c r="AF2360" i="1"/>
  <c r="AF2359" i="1"/>
  <c r="AF2358" i="1"/>
  <c r="AF2357" i="1"/>
  <c r="AF2356" i="1"/>
  <c r="AF2355" i="1"/>
  <c r="AF2354" i="1"/>
  <c r="AF2353" i="1"/>
  <c r="AF2352" i="1"/>
  <c r="AF2351" i="1"/>
  <c r="AF2350" i="1"/>
  <c r="AF2349" i="1"/>
  <c r="AF2348" i="1"/>
  <c r="AF2347" i="1"/>
  <c r="AF2346" i="1"/>
  <c r="AF2345" i="1"/>
  <c r="AF2344" i="1"/>
  <c r="AF2343" i="1"/>
  <c r="AF2342" i="1"/>
  <c r="AF2341" i="1"/>
  <c r="AF2340" i="1"/>
  <c r="AF2339" i="1"/>
  <c r="AF2338" i="1"/>
  <c r="AF2337" i="1"/>
  <c r="AF2336" i="1"/>
  <c r="AF2335" i="1"/>
  <c r="AF2334" i="1"/>
  <c r="AF2333" i="1"/>
  <c r="AF2332" i="1"/>
  <c r="AF2331" i="1"/>
  <c r="AF2330" i="1"/>
  <c r="AF2329" i="1"/>
  <c r="AF2328" i="1"/>
  <c r="AF2327" i="1"/>
  <c r="AF2326" i="1"/>
  <c r="AF2325" i="1"/>
  <c r="AF2324" i="1"/>
  <c r="AF2323" i="1"/>
  <c r="AF2322" i="1"/>
  <c r="AF2321" i="1"/>
  <c r="AF2320" i="1"/>
  <c r="AF2319" i="1"/>
  <c r="AF2318" i="1"/>
  <c r="AF2317" i="1"/>
  <c r="AF2316" i="1"/>
  <c r="AF2315" i="1"/>
  <c r="AF2314" i="1"/>
  <c r="AF2313" i="1"/>
  <c r="AF2312" i="1"/>
  <c r="AF2311" i="1"/>
  <c r="AF2310" i="1"/>
  <c r="AF2309" i="1"/>
  <c r="AF2308" i="1"/>
  <c r="AF2307" i="1"/>
  <c r="AF2306" i="1"/>
  <c r="AF2305" i="1"/>
  <c r="AF2304" i="1"/>
  <c r="AF2303" i="1"/>
  <c r="AF2302" i="1"/>
  <c r="AF2301" i="1"/>
  <c r="AF2300" i="1"/>
  <c r="AF2299" i="1"/>
  <c r="AF2298" i="1"/>
  <c r="AF2297" i="1"/>
  <c r="AF2296" i="1"/>
  <c r="AF2295" i="1"/>
  <c r="AF2294" i="1"/>
  <c r="AF2293" i="1"/>
  <c r="AF2292" i="1"/>
  <c r="AF2291" i="1"/>
  <c r="AF2290" i="1"/>
  <c r="AF2289" i="1"/>
  <c r="AF2288" i="1"/>
  <c r="AF2287" i="1"/>
  <c r="AF2286" i="1"/>
  <c r="AF2285" i="1"/>
  <c r="AF2284" i="1"/>
  <c r="AF2283" i="1"/>
  <c r="AF2282" i="1"/>
  <c r="AF2281" i="1"/>
  <c r="AF2280" i="1"/>
  <c r="AF2279" i="1"/>
  <c r="AF2278" i="1"/>
  <c r="AF2277" i="1"/>
  <c r="AF2276" i="1"/>
  <c r="AF2275" i="1"/>
  <c r="AF2274" i="1"/>
  <c r="AF2273" i="1"/>
  <c r="AF2272" i="1"/>
  <c r="AF2271" i="1"/>
  <c r="AF2270" i="1"/>
  <c r="AF2269" i="1"/>
  <c r="AF2268" i="1"/>
  <c r="AF2267" i="1"/>
  <c r="AF2266" i="1"/>
  <c r="AF2265" i="1"/>
  <c r="AF2264" i="1"/>
  <c r="AF2263" i="1"/>
  <c r="AF2262" i="1"/>
  <c r="AF2261" i="1"/>
  <c r="AF2260" i="1"/>
  <c r="AF2259" i="1"/>
  <c r="AF2258" i="1"/>
  <c r="AF2257" i="1"/>
  <c r="AF2256" i="1"/>
  <c r="AF2255" i="1"/>
  <c r="AF2254" i="1"/>
  <c r="AF2253" i="1"/>
  <c r="AF2252" i="1"/>
  <c r="AF2251" i="1"/>
  <c r="AF2250" i="1"/>
  <c r="AF2249" i="1"/>
  <c r="AF2248" i="1"/>
  <c r="AF2247" i="1"/>
  <c r="AF2246" i="1"/>
  <c r="AF2245" i="1"/>
  <c r="AF2244" i="1"/>
  <c r="AF2243" i="1"/>
  <c r="AF2242" i="1"/>
  <c r="AF2241" i="1"/>
  <c r="AF2240" i="1"/>
  <c r="AF2239" i="1"/>
  <c r="AF2238" i="1"/>
  <c r="AF2237" i="1"/>
  <c r="AF2236" i="1"/>
  <c r="AF2235" i="1"/>
  <c r="AF2234" i="1"/>
  <c r="AF2233" i="1"/>
  <c r="AF2232" i="1"/>
  <c r="AF2231" i="1"/>
  <c r="AF2230" i="1"/>
  <c r="AF2229" i="1"/>
  <c r="AF2228" i="1"/>
  <c r="AF2227" i="1"/>
  <c r="AF2226" i="1"/>
  <c r="AF2225" i="1"/>
  <c r="AF2224" i="1"/>
  <c r="AF2223" i="1"/>
  <c r="AF2222" i="1"/>
  <c r="AF2221" i="1"/>
  <c r="AF2220" i="1"/>
  <c r="AF2219" i="1"/>
  <c r="AF2218" i="1"/>
  <c r="AF2217" i="1"/>
  <c r="AF2216" i="1"/>
  <c r="AF2215" i="1"/>
  <c r="AF2214" i="1"/>
  <c r="AF2213" i="1"/>
  <c r="AF2212" i="1"/>
  <c r="AF2211" i="1"/>
  <c r="AF2210" i="1"/>
  <c r="AF2209" i="1"/>
  <c r="AF2208" i="1"/>
  <c r="AF2207" i="1"/>
  <c r="AF2206" i="1"/>
  <c r="AF2205" i="1"/>
  <c r="AF2204" i="1"/>
  <c r="AF2203" i="1"/>
  <c r="AF2202" i="1"/>
  <c r="AF2201" i="1"/>
  <c r="AF2200" i="1"/>
  <c r="AF2199" i="1"/>
  <c r="AF2198" i="1"/>
  <c r="AF2197" i="1"/>
  <c r="AF2196" i="1"/>
  <c r="AF2195" i="1"/>
  <c r="AF2194" i="1"/>
  <c r="AF2193" i="1"/>
  <c r="AF2192" i="1"/>
  <c r="AF2191" i="1"/>
  <c r="AF2190" i="1"/>
  <c r="AF2189" i="1"/>
  <c r="AF2188" i="1"/>
  <c r="AF2187" i="1"/>
  <c r="AF2186" i="1"/>
  <c r="AF2185" i="1"/>
  <c r="AF2184" i="1"/>
  <c r="AF2183" i="1"/>
  <c r="AF2182" i="1"/>
  <c r="AF2181" i="1"/>
  <c r="AF2180" i="1"/>
  <c r="AF2179" i="1"/>
  <c r="AF2178" i="1"/>
  <c r="AF2177" i="1"/>
  <c r="AF2176" i="1"/>
  <c r="AF2175" i="1"/>
  <c r="AF2174" i="1"/>
  <c r="AF2173" i="1"/>
  <c r="AF2172" i="1"/>
  <c r="AF2171" i="1"/>
  <c r="AF2170" i="1"/>
  <c r="AF2169" i="1"/>
  <c r="AF2168" i="1"/>
  <c r="AF2167" i="1"/>
  <c r="AF2166" i="1"/>
  <c r="AF2165" i="1"/>
  <c r="AF2164" i="1"/>
  <c r="AF2163" i="1"/>
  <c r="AF2162" i="1"/>
  <c r="AF2161" i="1"/>
  <c r="AF2160" i="1"/>
  <c r="AF2159" i="1"/>
  <c r="AF2158" i="1"/>
  <c r="AF2157" i="1"/>
  <c r="AF2156" i="1"/>
  <c r="AF2155" i="1"/>
  <c r="AF2154" i="1"/>
  <c r="AF2153" i="1"/>
  <c r="AF2152" i="1"/>
  <c r="AF2151" i="1"/>
  <c r="AF2150" i="1"/>
  <c r="AF2149" i="1"/>
  <c r="AF2148" i="1"/>
  <c r="AF2147" i="1"/>
  <c r="AF2146" i="1"/>
  <c r="AF2145" i="1"/>
  <c r="AF2144" i="1"/>
  <c r="AF2143" i="1"/>
  <c r="AF2142" i="1"/>
  <c r="AF2141" i="1"/>
  <c r="AF2140" i="1"/>
  <c r="AF2139" i="1"/>
  <c r="AF2138" i="1"/>
  <c r="AF2137" i="1"/>
  <c r="AF2136" i="1"/>
  <c r="AF2135" i="1"/>
  <c r="AF2134" i="1"/>
  <c r="AF2133" i="1"/>
  <c r="AF2132" i="1"/>
  <c r="AF2131" i="1"/>
  <c r="AF2130" i="1"/>
  <c r="AF2129" i="1"/>
  <c r="AF2128" i="1"/>
  <c r="AF2127" i="1"/>
  <c r="AF2126" i="1"/>
  <c r="AF2125" i="1"/>
  <c r="AF2124" i="1"/>
  <c r="AF2123" i="1"/>
  <c r="AF2122" i="1"/>
  <c r="AF2121" i="1"/>
  <c r="AF2120" i="1"/>
  <c r="AF2119" i="1"/>
  <c r="AF2118" i="1"/>
  <c r="AF2117" i="1"/>
  <c r="AF2116" i="1"/>
  <c r="AF2115" i="1"/>
  <c r="AF2114" i="1"/>
  <c r="AF2113" i="1"/>
  <c r="AF2112" i="1"/>
  <c r="AF2111" i="1"/>
  <c r="AF2110" i="1"/>
  <c r="AF2109" i="1"/>
  <c r="AF2108" i="1"/>
  <c r="AF2107" i="1"/>
  <c r="AF2106" i="1"/>
  <c r="AF2105" i="1"/>
  <c r="AF2104" i="1"/>
  <c r="AF2103" i="1"/>
  <c r="AF2102" i="1"/>
  <c r="AF2101" i="1"/>
  <c r="AF2100" i="1"/>
  <c r="AF2099" i="1"/>
  <c r="AF2098" i="1"/>
  <c r="AF2097" i="1"/>
  <c r="AF2096" i="1"/>
  <c r="AF2095" i="1"/>
  <c r="AF2094" i="1"/>
  <c r="AF2093" i="1"/>
  <c r="AF2092" i="1"/>
  <c r="AF2091" i="1"/>
  <c r="AF2090" i="1"/>
  <c r="AF2089" i="1"/>
  <c r="AF2088" i="1"/>
  <c r="AF2087" i="1"/>
  <c r="AF2086" i="1"/>
  <c r="AF2085" i="1"/>
  <c r="AF2084" i="1"/>
  <c r="AF2083" i="1"/>
  <c r="AF2082" i="1"/>
  <c r="AF2081" i="1"/>
  <c r="AF2080" i="1"/>
  <c r="AF2079" i="1"/>
  <c r="AF2078" i="1"/>
  <c r="AF2077" i="1"/>
  <c r="AF2076" i="1"/>
  <c r="AF2075" i="1"/>
  <c r="AF2074" i="1"/>
  <c r="AF2073" i="1"/>
  <c r="AF2072" i="1"/>
  <c r="AF2071" i="1"/>
  <c r="AF2070" i="1"/>
  <c r="AF2069" i="1"/>
  <c r="AF2068" i="1"/>
  <c r="AF2067" i="1"/>
  <c r="AF2066" i="1"/>
  <c r="AF2065" i="1"/>
  <c r="AF2064" i="1"/>
  <c r="AF2063" i="1"/>
  <c r="AF2062" i="1"/>
  <c r="AF2061" i="1"/>
  <c r="AF2060" i="1"/>
  <c r="AF2059" i="1"/>
  <c r="AF2058" i="1"/>
  <c r="AF2057" i="1"/>
  <c r="AF2056" i="1"/>
  <c r="AF2055" i="1"/>
  <c r="AF2054" i="1"/>
  <c r="AF2053" i="1"/>
  <c r="AF2052" i="1"/>
  <c r="AF2051" i="1"/>
  <c r="AF2050" i="1"/>
  <c r="AF2049" i="1"/>
  <c r="AF2048" i="1"/>
  <c r="AF2047" i="1"/>
  <c r="AF2046" i="1"/>
  <c r="AF2045" i="1"/>
  <c r="AF2044" i="1"/>
  <c r="AF2043" i="1"/>
  <c r="AF2042" i="1"/>
  <c r="AF2041" i="1"/>
  <c r="AF2040" i="1"/>
  <c r="AF2039" i="1"/>
  <c r="AF2038" i="1"/>
  <c r="AF2037" i="1"/>
  <c r="AF2036" i="1"/>
  <c r="AF2035" i="1"/>
  <c r="AF2034" i="1"/>
  <c r="AF2033" i="1"/>
  <c r="AF2032" i="1"/>
  <c r="AF2031" i="1"/>
  <c r="AF2030" i="1"/>
  <c r="AF2029" i="1"/>
  <c r="AF2028" i="1"/>
  <c r="AF2027" i="1"/>
  <c r="AF2026" i="1"/>
  <c r="AF2025" i="1"/>
  <c r="AF2024" i="1"/>
  <c r="AF2023" i="1"/>
  <c r="AF2022" i="1"/>
  <c r="AF2021" i="1"/>
  <c r="AF2020" i="1"/>
  <c r="AF2019" i="1"/>
  <c r="AF2018" i="1"/>
  <c r="AF2017" i="1"/>
  <c r="AF2016" i="1"/>
  <c r="AF2015" i="1"/>
  <c r="AF2014" i="1"/>
  <c r="AF2013" i="1"/>
  <c r="AF2012" i="1"/>
  <c r="AF2011" i="1"/>
  <c r="AF2010" i="1"/>
  <c r="AF2009" i="1"/>
  <c r="AF2008" i="1"/>
  <c r="AF2007" i="1"/>
  <c r="AF2006" i="1"/>
  <c r="AF2005" i="1"/>
  <c r="AF2004" i="1"/>
  <c r="AF2003" i="1"/>
  <c r="AF2002" i="1"/>
  <c r="AF2001" i="1"/>
  <c r="AF2000" i="1"/>
  <c r="AF1999" i="1"/>
  <c r="AF1998" i="1"/>
  <c r="AF1997" i="1"/>
  <c r="AF1996" i="1"/>
  <c r="AF1995" i="1"/>
  <c r="AF1994" i="1"/>
  <c r="AF1993" i="1"/>
  <c r="AF1992" i="1"/>
  <c r="AF1991" i="1"/>
  <c r="AF1990" i="1"/>
  <c r="AF1989" i="1"/>
  <c r="AF1988" i="1"/>
  <c r="AF1987" i="1"/>
  <c r="AF1986" i="1"/>
  <c r="AF1985" i="1"/>
  <c r="AF1984" i="1"/>
  <c r="AF1983" i="1"/>
  <c r="AF1982" i="1"/>
  <c r="AF1981" i="1"/>
  <c r="AF1980" i="1"/>
  <c r="AF1979" i="1"/>
  <c r="AF1978" i="1"/>
  <c r="AF1977" i="1"/>
  <c r="AF1976" i="1"/>
  <c r="AF1975" i="1"/>
  <c r="AF1974" i="1"/>
  <c r="AF1973" i="1"/>
  <c r="AF1972" i="1"/>
  <c r="AF1971" i="1"/>
  <c r="AF1970" i="1"/>
  <c r="AF1969" i="1"/>
  <c r="AF1968" i="1"/>
  <c r="AF1967" i="1"/>
  <c r="AF1966" i="1"/>
  <c r="AF1965" i="1"/>
  <c r="AF1964" i="1"/>
  <c r="AF1963" i="1"/>
  <c r="AF1962" i="1"/>
  <c r="AF1961" i="1"/>
  <c r="AF1960" i="1"/>
  <c r="AF1959" i="1"/>
  <c r="AF1958" i="1"/>
  <c r="AF1957" i="1"/>
  <c r="AF1956" i="1"/>
  <c r="AF1955" i="1"/>
  <c r="AF1954" i="1"/>
  <c r="AF1953" i="1"/>
  <c r="AF1952" i="1"/>
  <c r="AF1951" i="1"/>
  <c r="AF1950" i="1"/>
  <c r="AF1949" i="1"/>
  <c r="AF1948" i="1"/>
  <c r="AF1947" i="1"/>
  <c r="AF1946" i="1"/>
  <c r="AF1945" i="1"/>
  <c r="AF1944" i="1"/>
  <c r="AF1943" i="1"/>
  <c r="AF1942" i="1"/>
  <c r="AF1941" i="1"/>
  <c r="AF1940" i="1"/>
  <c r="AF1939" i="1"/>
  <c r="AF1938" i="1"/>
  <c r="AF1937" i="1"/>
  <c r="AF1936" i="1"/>
  <c r="AF1935" i="1"/>
  <c r="AF1934" i="1"/>
  <c r="AF1933" i="1"/>
  <c r="AF1932" i="1"/>
  <c r="AF1931" i="1"/>
  <c r="AF1930" i="1"/>
  <c r="AF1929" i="1"/>
  <c r="AF1928" i="1"/>
  <c r="AF1927" i="1"/>
  <c r="AF1926" i="1"/>
  <c r="AF1925" i="1"/>
  <c r="AF1924" i="1"/>
  <c r="AF1923" i="1"/>
  <c r="AF1922" i="1"/>
  <c r="AF1921" i="1"/>
  <c r="AF1920" i="1"/>
  <c r="AF1919" i="1"/>
  <c r="AF1918" i="1"/>
  <c r="AF1917" i="1"/>
  <c r="AF1916" i="1"/>
  <c r="AF1915" i="1"/>
  <c r="AF1914" i="1"/>
  <c r="AF1913" i="1"/>
  <c r="AF1912" i="1"/>
  <c r="AF1911" i="1"/>
  <c r="AF1910" i="1"/>
  <c r="AF1909" i="1"/>
  <c r="AF1908" i="1"/>
  <c r="AF1907" i="1"/>
  <c r="AF1906" i="1"/>
  <c r="AF1905" i="1"/>
  <c r="AF1904" i="1"/>
  <c r="AF1903" i="1"/>
  <c r="AF1902" i="1"/>
  <c r="AF1901" i="1"/>
  <c r="AF1900" i="1"/>
  <c r="AF1899" i="1"/>
  <c r="AF1898" i="1"/>
  <c r="AF1897" i="1"/>
  <c r="AF1896" i="1"/>
  <c r="AF1895" i="1"/>
  <c r="AF1894" i="1"/>
  <c r="AF1893" i="1"/>
  <c r="AF1892" i="1"/>
  <c r="AF1891" i="1"/>
  <c r="AF1890" i="1"/>
  <c r="AF1889" i="1"/>
  <c r="AF1888" i="1"/>
  <c r="AF1887" i="1"/>
  <c r="AF1886" i="1"/>
  <c r="AF1885" i="1"/>
  <c r="AF1884" i="1"/>
  <c r="AF1883" i="1"/>
  <c r="AF1882" i="1"/>
  <c r="AF1881" i="1"/>
  <c r="AF1880" i="1"/>
  <c r="AF1879" i="1"/>
  <c r="AF1878" i="1"/>
  <c r="AF1877" i="1"/>
  <c r="AF1876" i="1"/>
  <c r="AF1875" i="1"/>
  <c r="AF1874" i="1"/>
  <c r="AF1873" i="1"/>
  <c r="AF1872" i="1"/>
  <c r="AF1871" i="1"/>
  <c r="AF1870" i="1"/>
  <c r="AF1869" i="1"/>
  <c r="AF1868" i="1"/>
  <c r="AF1867" i="1"/>
  <c r="AF1866" i="1"/>
  <c r="AF1865" i="1"/>
  <c r="AF1864" i="1"/>
  <c r="AF1863" i="1"/>
  <c r="AF1862" i="1"/>
  <c r="AF1861" i="1"/>
  <c r="AF1860" i="1"/>
  <c r="AF1859" i="1"/>
  <c r="AF1858" i="1"/>
  <c r="AF1857" i="1"/>
  <c r="AF1856" i="1"/>
  <c r="AF1855" i="1"/>
  <c r="AF1854" i="1"/>
  <c r="AF1853" i="1"/>
  <c r="AF1852" i="1"/>
  <c r="AF1851" i="1"/>
  <c r="AF1850" i="1"/>
  <c r="AF1849" i="1"/>
  <c r="AF1848" i="1"/>
  <c r="AF1847" i="1"/>
  <c r="AF1846" i="1"/>
  <c r="AF1845" i="1"/>
  <c r="AF1844" i="1"/>
  <c r="AF1843" i="1"/>
  <c r="AF1842" i="1"/>
  <c r="AF1841" i="1"/>
  <c r="AF1840" i="1"/>
  <c r="AF1839" i="1"/>
  <c r="AF1838" i="1"/>
  <c r="AF1837" i="1"/>
  <c r="AF1836" i="1"/>
  <c r="AF1835" i="1"/>
  <c r="AF1834" i="1"/>
  <c r="AF1833" i="1"/>
  <c r="AF1832" i="1"/>
  <c r="AF1831" i="1"/>
  <c r="AF1830" i="1"/>
  <c r="AF1829" i="1"/>
  <c r="AF1828" i="1"/>
  <c r="AF1827" i="1"/>
  <c r="AF1826" i="1"/>
  <c r="AF1825" i="1"/>
  <c r="AF1824" i="1"/>
  <c r="AF1823" i="1"/>
  <c r="AF1822" i="1"/>
  <c r="AF1821" i="1"/>
  <c r="AF1820" i="1"/>
  <c r="AF1819" i="1"/>
  <c r="AF1818" i="1"/>
  <c r="AF1817" i="1"/>
  <c r="AF1816" i="1"/>
  <c r="AF1815" i="1"/>
  <c r="AF1814" i="1"/>
  <c r="AF1813" i="1"/>
  <c r="AF1812" i="1"/>
  <c r="AF1811" i="1"/>
  <c r="AF1810" i="1"/>
  <c r="AF1809" i="1"/>
  <c r="AF1808" i="1"/>
  <c r="AF1807" i="1"/>
  <c r="AF1806" i="1"/>
  <c r="AF1805" i="1"/>
  <c r="AF1804" i="1"/>
  <c r="AF1803" i="1"/>
  <c r="AF1802" i="1"/>
  <c r="AF1801" i="1"/>
  <c r="AF1800" i="1"/>
  <c r="AF1799" i="1"/>
  <c r="AF1798" i="1"/>
  <c r="AF1797" i="1"/>
  <c r="AF1796" i="1"/>
  <c r="AF1795" i="1"/>
  <c r="AF1794" i="1"/>
  <c r="AF1793" i="1"/>
  <c r="AF1792" i="1"/>
  <c r="AF1791" i="1"/>
  <c r="AF1790" i="1"/>
  <c r="AF1789" i="1"/>
  <c r="AF1788" i="1"/>
  <c r="AF1787" i="1"/>
  <c r="AF1786" i="1"/>
  <c r="AF1785" i="1"/>
  <c r="AF1784" i="1"/>
  <c r="AF1783" i="1"/>
  <c r="AF1782" i="1"/>
  <c r="AF1781" i="1"/>
  <c r="AF1780" i="1"/>
  <c r="AF1779" i="1"/>
  <c r="AF1778" i="1"/>
  <c r="AF1777" i="1"/>
  <c r="AF1776" i="1"/>
  <c r="AF1775" i="1"/>
  <c r="AF1774" i="1"/>
  <c r="AF1773" i="1"/>
  <c r="AF1772" i="1"/>
  <c r="AF1771" i="1"/>
  <c r="AF1770" i="1"/>
  <c r="AF1769" i="1"/>
  <c r="AF1768" i="1"/>
  <c r="AF1767" i="1"/>
  <c r="AF1766" i="1"/>
  <c r="AF1765" i="1"/>
  <c r="AF1764" i="1"/>
  <c r="AF1763" i="1"/>
  <c r="AF1762" i="1"/>
  <c r="AF1761" i="1"/>
  <c r="AF1760" i="1"/>
  <c r="AF1759" i="1"/>
  <c r="AF1758" i="1"/>
  <c r="AF1757" i="1"/>
  <c r="AF1756" i="1"/>
  <c r="AF1755" i="1"/>
  <c r="AF1754" i="1"/>
  <c r="AF1753" i="1"/>
  <c r="AF1752" i="1"/>
  <c r="AF1751" i="1"/>
  <c r="AF1750" i="1"/>
  <c r="AF1749" i="1"/>
  <c r="AF1748" i="1"/>
  <c r="AF1747" i="1"/>
  <c r="AF1746" i="1"/>
  <c r="AF1745" i="1"/>
  <c r="AF1744" i="1"/>
  <c r="AF1743" i="1"/>
  <c r="AF1742" i="1"/>
  <c r="AF1741" i="1"/>
  <c r="AF1740" i="1"/>
  <c r="AF1739" i="1"/>
  <c r="AF1738" i="1"/>
  <c r="AF1737" i="1"/>
  <c r="AF1736" i="1"/>
  <c r="AF1735" i="1"/>
  <c r="AF1734" i="1"/>
  <c r="AF1733" i="1"/>
  <c r="AF1732" i="1"/>
  <c r="AF1731" i="1"/>
  <c r="AF1730" i="1"/>
  <c r="AF1729" i="1"/>
  <c r="AF1728" i="1"/>
  <c r="AF1727" i="1"/>
  <c r="AF1726" i="1"/>
  <c r="AF1725" i="1"/>
  <c r="AF1724" i="1"/>
  <c r="AF1723" i="1"/>
  <c r="AF1722" i="1"/>
  <c r="AF1721" i="1"/>
  <c r="AF1720" i="1"/>
  <c r="AF1719" i="1"/>
  <c r="AF1718" i="1"/>
  <c r="AF1717" i="1"/>
  <c r="AF1716" i="1"/>
  <c r="AF1715" i="1"/>
  <c r="AF1714" i="1"/>
  <c r="AF1713" i="1"/>
  <c r="AF1712" i="1"/>
  <c r="AF1711" i="1"/>
  <c r="AF1710" i="1"/>
  <c r="AF1709" i="1"/>
  <c r="AF1708" i="1"/>
  <c r="AF1707" i="1"/>
  <c r="AF1706" i="1"/>
  <c r="AF1705" i="1"/>
  <c r="AF1704" i="1"/>
  <c r="AF1703" i="1"/>
  <c r="AF1702" i="1"/>
  <c r="AF1701" i="1"/>
  <c r="AF1700" i="1"/>
  <c r="AF1699" i="1"/>
  <c r="AF1698" i="1"/>
  <c r="AF1697" i="1"/>
  <c r="AF1696" i="1"/>
  <c r="AF1695" i="1"/>
  <c r="AF1694" i="1"/>
  <c r="AF1693" i="1"/>
  <c r="AF1692" i="1"/>
  <c r="AF1691" i="1"/>
  <c r="AF1690" i="1"/>
  <c r="AF1689" i="1"/>
  <c r="AF1688" i="1"/>
  <c r="AF1687" i="1"/>
  <c r="AF1686" i="1"/>
  <c r="AF1685" i="1"/>
  <c r="AF1684" i="1"/>
  <c r="AF1683" i="1"/>
  <c r="AF1682" i="1"/>
  <c r="AF1681" i="1"/>
  <c r="AF1680" i="1"/>
  <c r="AF1679" i="1"/>
  <c r="AF1678" i="1"/>
  <c r="AF1677" i="1"/>
  <c r="AF1676" i="1"/>
  <c r="AF1675" i="1"/>
  <c r="AF1674" i="1"/>
  <c r="AF1673" i="1"/>
  <c r="AF1672" i="1"/>
  <c r="AF1671" i="1"/>
  <c r="AF1670" i="1"/>
  <c r="AF1669" i="1"/>
  <c r="AF1668" i="1"/>
  <c r="AF1667" i="1"/>
  <c r="AF1666" i="1"/>
  <c r="AF1665" i="1"/>
  <c r="AF1664" i="1"/>
  <c r="AF1663" i="1"/>
  <c r="AF1662" i="1"/>
  <c r="AF1661" i="1"/>
  <c r="AF1660" i="1"/>
  <c r="AF1659" i="1"/>
  <c r="AF1658" i="1"/>
  <c r="AF1657" i="1"/>
  <c r="AF1656" i="1"/>
  <c r="AF1655" i="1"/>
  <c r="AF1654" i="1"/>
  <c r="AF1653" i="1"/>
  <c r="AF1652" i="1"/>
  <c r="AF1651" i="1"/>
  <c r="AF1650" i="1"/>
  <c r="AF1649" i="1"/>
  <c r="AF1648" i="1"/>
  <c r="AF1647" i="1"/>
  <c r="AF1646" i="1"/>
  <c r="AF1645" i="1"/>
  <c r="AF1644" i="1"/>
  <c r="AF1643" i="1"/>
  <c r="AF1642" i="1"/>
  <c r="AF1641" i="1"/>
  <c r="AF1640" i="1"/>
  <c r="AF1639" i="1"/>
  <c r="AF1638" i="1"/>
  <c r="AF1637" i="1"/>
  <c r="AF1636" i="1"/>
  <c r="AF1635" i="1"/>
  <c r="AF1634" i="1"/>
  <c r="AF1633" i="1"/>
  <c r="AF1632" i="1"/>
  <c r="AF1631" i="1"/>
  <c r="AF1630" i="1"/>
  <c r="AF1629" i="1"/>
  <c r="AF1628" i="1"/>
  <c r="AF1627" i="1"/>
  <c r="AF1626" i="1"/>
  <c r="AF1625" i="1"/>
  <c r="AF1624" i="1"/>
  <c r="AF1623" i="1"/>
  <c r="AF1622" i="1"/>
  <c r="AF1621" i="1"/>
  <c r="AF1620" i="1"/>
  <c r="AF1619" i="1"/>
  <c r="AF1618" i="1"/>
  <c r="AF1617" i="1"/>
  <c r="AF1616" i="1"/>
  <c r="AF1615" i="1"/>
  <c r="AF1614" i="1"/>
  <c r="AF1613" i="1"/>
  <c r="AF1612" i="1"/>
  <c r="AF1611" i="1"/>
  <c r="AF1610" i="1"/>
  <c r="AF1609" i="1"/>
  <c r="AF1608" i="1"/>
  <c r="AF1607" i="1"/>
  <c r="AF1606" i="1"/>
  <c r="AF1605" i="1"/>
  <c r="AF1604" i="1"/>
  <c r="AF1603" i="1"/>
  <c r="AF1602" i="1"/>
  <c r="AF1601" i="1"/>
  <c r="AF1600" i="1"/>
  <c r="AF1599" i="1"/>
  <c r="AF1598" i="1"/>
  <c r="AF1597" i="1"/>
  <c r="AF1596" i="1"/>
  <c r="AF1595" i="1"/>
  <c r="AF1594" i="1"/>
  <c r="AF1593" i="1"/>
  <c r="AF1592" i="1"/>
  <c r="AF1591" i="1"/>
  <c r="AF1590" i="1"/>
  <c r="AF1589" i="1"/>
  <c r="AF1588" i="1"/>
  <c r="AF1587" i="1"/>
  <c r="AF1586" i="1"/>
  <c r="AF1585" i="1"/>
  <c r="AF1584" i="1"/>
  <c r="AF1583" i="1"/>
  <c r="AF1582" i="1"/>
  <c r="AF1581" i="1"/>
  <c r="AF1580" i="1"/>
  <c r="AF1579" i="1"/>
  <c r="AF1578" i="1"/>
  <c r="AF1577" i="1"/>
  <c r="AF1576" i="1"/>
  <c r="AF1575" i="1"/>
  <c r="AF1574" i="1"/>
  <c r="AF1573" i="1"/>
  <c r="AF1572" i="1"/>
  <c r="AF1571" i="1"/>
  <c r="AF1570" i="1"/>
  <c r="AF1569" i="1"/>
  <c r="AF1568" i="1"/>
  <c r="AF1567" i="1"/>
  <c r="AF1566" i="1"/>
  <c r="AF1565" i="1"/>
  <c r="AF1564" i="1"/>
  <c r="AF1563" i="1"/>
  <c r="AF1562" i="1"/>
  <c r="AF1561" i="1"/>
  <c r="AF1560" i="1"/>
  <c r="AF1559" i="1"/>
  <c r="AF1558" i="1"/>
  <c r="AF1557" i="1"/>
  <c r="AF1556" i="1"/>
  <c r="AF1555" i="1"/>
  <c r="AF1554" i="1"/>
  <c r="AF1553" i="1"/>
  <c r="AF1552" i="1"/>
  <c r="AF1551" i="1"/>
  <c r="AF1550" i="1"/>
  <c r="AF1549" i="1"/>
  <c r="AF1548" i="1"/>
  <c r="AF1547" i="1"/>
  <c r="AF1546" i="1"/>
  <c r="AF1545" i="1"/>
  <c r="AF1544" i="1"/>
  <c r="AF1543" i="1"/>
  <c r="AF1542" i="1"/>
  <c r="AF1541" i="1"/>
  <c r="AF1540" i="1"/>
  <c r="AF1539" i="1"/>
  <c r="AF1538" i="1"/>
  <c r="AF1537" i="1"/>
  <c r="AF1536" i="1"/>
  <c r="AF1535" i="1"/>
  <c r="AF1534" i="1"/>
  <c r="AF1533" i="1"/>
  <c r="AF1532" i="1"/>
  <c r="AF1531" i="1"/>
  <c r="AF1530" i="1"/>
  <c r="AF1529" i="1"/>
  <c r="AF1528" i="1"/>
  <c r="AF1527" i="1"/>
  <c r="AF1526" i="1"/>
  <c r="AF1525" i="1"/>
  <c r="AF1524" i="1"/>
  <c r="AF1523" i="1"/>
  <c r="AF1522" i="1"/>
  <c r="AF1521" i="1"/>
  <c r="AF1520" i="1"/>
  <c r="AF1519" i="1"/>
  <c r="AF1518" i="1"/>
  <c r="AF1517" i="1"/>
  <c r="AF1516" i="1"/>
  <c r="AF1515" i="1"/>
  <c r="AF1514" i="1"/>
  <c r="AF1513" i="1"/>
  <c r="AF1512" i="1"/>
  <c r="AF1511" i="1"/>
  <c r="AF1510" i="1"/>
  <c r="AF1509" i="1"/>
  <c r="AF1508" i="1"/>
  <c r="AF1507" i="1"/>
  <c r="AF1506" i="1"/>
  <c r="AF1505" i="1"/>
  <c r="AF1504" i="1"/>
  <c r="AF1503" i="1"/>
  <c r="AF1502" i="1"/>
  <c r="AF1501" i="1"/>
  <c r="AF1500" i="1"/>
  <c r="AF1499" i="1"/>
  <c r="AF1498" i="1"/>
  <c r="AF1497" i="1"/>
  <c r="AF1496" i="1"/>
  <c r="AF1495" i="1"/>
  <c r="AF1494" i="1"/>
  <c r="AF1493" i="1"/>
  <c r="AF1492" i="1"/>
  <c r="AF1491" i="1"/>
  <c r="AF1490" i="1"/>
  <c r="AF1489" i="1"/>
  <c r="AF1488" i="1"/>
  <c r="AF1487" i="1"/>
  <c r="AF1486" i="1"/>
  <c r="AF1485" i="1"/>
  <c r="AF1484" i="1"/>
  <c r="AF1483" i="1"/>
  <c r="AF1482" i="1"/>
  <c r="AF1481" i="1"/>
  <c r="AF1480" i="1"/>
  <c r="AF1479" i="1"/>
  <c r="AF1478" i="1"/>
  <c r="AF1477" i="1"/>
  <c r="AF1476" i="1"/>
  <c r="AF1475" i="1"/>
  <c r="AF1474" i="1"/>
  <c r="AF1473" i="1"/>
  <c r="AF1472" i="1"/>
  <c r="AF1471" i="1"/>
  <c r="AF1470" i="1"/>
  <c r="AF1469" i="1"/>
  <c r="AF1468" i="1"/>
  <c r="AF1467" i="1"/>
  <c r="AF1466" i="1"/>
  <c r="AF1465" i="1"/>
  <c r="AF1464" i="1"/>
  <c r="AF1463" i="1"/>
  <c r="AF1462" i="1"/>
  <c r="AF1461" i="1"/>
  <c r="AF1460" i="1"/>
  <c r="AF1459" i="1"/>
  <c r="AF1458" i="1"/>
  <c r="AF1457" i="1"/>
  <c r="AF1456" i="1"/>
  <c r="AF1455" i="1"/>
  <c r="AF1454" i="1"/>
  <c r="AF1453" i="1"/>
  <c r="AF1452" i="1"/>
  <c r="AF1451" i="1"/>
  <c r="AF1450" i="1"/>
  <c r="AF1449" i="1"/>
  <c r="AF1448" i="1"/>
  <c r="AF1447" i="1"/>
  <c r="AF1446" i="1"/>
  <c r="AF1445" i="1"/>
  <c r="AF1444" i="1"/>
  <c r="AF1443" i="1"/>
  <c r="AF1442" i="1"/>
  <c r="AF1441" i="1"/>
  <c r="AF1440" i="1"/>
  <c r="AF1439" i="1"/>
  <c r="AF1438" i="1"/>
  <c r="AF1437" i="1"/>
  <c r="AF1436" i="1"/>
  <c r="AF1435" i="1"/>
  <c r="AF1434" i="1"/>
  <c r="AF1433" i="1"/>
  <c r="AF1432" i="1"/>
  <c r="AF1431" i="1"/>
  <c r="AF1430" i="1"/>
  <c r="AF1429" i="1"/>
  <c r="AF1428" i="1"/>
  <c r="AF1427" i="1"/>
  <c r="AF1426" i="1"/>
  <c r="AF1425" i="1"/>
  <c r="AF1424" i="1"/>
  <c r="AF1423" i="1"/>
  <c r="AF1422" i="1"/>
  <c r="AF1421" i="1"/>
  <c r="AF1420" i="1"/>
  <c r="AF1419" i="1"/>
  <c r="AF1418" i="1"/>
  <c r="AF1417" i="1"/>
  <c r="AF1416" i="1"/>
  <c r="AF1415" i="1"/>
  <c r="AF1414" i="1"/>
  <c r="AF1413" i="1"/>
  <c r="AF1412" i="1"/>
  <c r="AF1411" i="1"/>
  <c r="AF1410" i="1"/>
  <c r="AF1409" i="1"/>
  <c r="AF1408" i="1"/>
  <c r="AF1407" i="1"/>
  <c r="AF1406" i="1"/>
  <c r="AF1405" i="1"/>
  <c r="AF1404" i="1"/>
  <c r="AF1403" i="1"/>
  <c r="AF1402" i="1"/>
  <c r="AF1401" i="1"/>
  <c r="AF1400" i="1"/>
  <c r="AF1399" i="1"/>
  <c r="AF1398" i="1"/>
  <c r="AF1397" i="1"/>
  <c r="AF1396" i="1"/>
  <c r="AF1395" i="1"/>
  <c r="AF1394" i="1"/>
  <c r="AF1393" i="1"/>
  <c r="AF1392" i="1"/>
  <c r="AF1391" i="1"/>
  <c r="AF1390" i="1"/>
  <c r="AF1389" i="1"/>
  <c r="AF1388" i="1"/>
  <c r="AF1387" i="1"/>
  <c r="AF1386" i="1"/>
  <c r="AF1385" i="1"/>
  <c r="AF1384" i="1"/>
  <c r="AF1383" i="1"/>
  <c r="AF1382" i="1"/>
  <c r="AF1381" i="1"/>
  <c r="AF1380" i="1"/>
  <c r="AF1379" i="1"/>
  <c r="AF1378" i="1"/>
  <c r="AF1377" i="1"/>
  <c r="AF1376" i="1"/>
  <c r="AF1375" i="1"/>
  <c r="AF1374" i="1"/>
  <c r="AF1373" i="1"/>
  <c r="AF1372" i="1"/>
  <c r="AF1371" i="1"/>
  <c r="AF1370" i="1"/>
  <c r="AF1369" i="1"/>
  <c r="AF1368" i="1"/>
  <c r="AF1367" i="1"/>
  <c r="AF1366" i="1"/>
  <c r="AF1365" i="1"/>
  <c r="AF1364" i="1"/>
  <c r="AF1363" i="1"/>
  <c r="AF1362" i="1"/>
  <c r="AF1361" i="1"/>
  <c r="AF1360" i="1"/>
  <c r="AF1359" i="1"/>
  <c r="AF1358" i="1"/>
  <c r="AF1357" i="1"/>
  <c r="AF1356" i="1"/>
  <c r="AF1355" i="1"/>
  <c r="AF1354" i="1"/>
  <c r="AF1353" i="1"/>
  <c r="AF1352" i="1"/>
  <c r="AF1351" i="1"/>
  <c r="AF1350" i="1"/>
  <c r="AF1349" i="1"/>
  <c r="AF1348" i="1"/>
  <c r="AF1347" i="1"/>
  <c r="AF1346" i="1"/>
  <c r="AF1345" i="1"/>
  <c r="AF1344" i="1"/>
  <c r="AF1343" i="1"/>
  <c r="AF1342" i="1"/>
  <c r="AF1341" i="1"/>
  <c r="AF1340" i="1"/>
  <c r="AF1339" i="1"/>
  <c r="AF1338" i="1"/>
  <c r="AF1337" i="1"/>
  <c r="AF1336" i="1"/>
  <c r="AF1335" i="1"/>
  <c r="AF1334" i="1"/>
  <c r="AF1333" i="1"/>
  <c r="AF1332" i="1"/>
  <c r="AF1331" i="1"/>
  <c r="AF1330" i="1"/>
  <c r="AF1329" i="1"/>
  <c r="AF1328" i="1"/>
  <c r="AF1327" i="1"/>
  <c r="AF1326" i="1"/>
  <c r="AF1325" i="1"/>
  <c r="AF1324" i="1"/>
  <c r="AF1323" i="1"/>
  <c r="AF1322" i="1"/>
  <c r="AF1321" i="1"/>
  <c r="AF1320" i="1"/>
  <c r="AF1319" i="1"/>
  <c r="AF1318" i="1"/>
  <c r="AF1317" i="1"/>
  <c r="AF1316" i="1"/>
  <c r="AF1315" i="1"/>
  <c r="AF1314" i="1"/>
  <c r="AF1313" i="1"/>
  <c r="AF1312" i="1"/>
  <c r="AF1311" i="1"/>
  <c r="AF1310" i="1"/>
  <c r="AF1309" i="1"/>
  <c r="AF1308" i="1"/>
  <c r="AF1307" i="1"/>
  <c r="AF1306" i="1"/>
  <c r="AF1305" i="1"/>
  <c r="AF1304" i="1"/>
  <c r="AF1303" i="1"/>
  <c r="AF1302" i="1"/>
  <c r="AF1301" i="1"/>
  <c r="AF1300" i="1"/>
  <c r="AF1299" i="1"/>
  <c r="AF1298" i="1"/>
  <c r="AF1297" i="1"/>
  <c r="AF1296" i="1"/>
  <c r="AF1295" i="1"/>
  <c r="AF1294" i="1"/>
  <c r="AF1293" i="1"/>
  <c r="AF1292" i="1"/>
  <c r="AF1291" i="1"/>
  <c r="AF1290" i="1"/>
  <c r="AF1289" i="1"/>
  <c r="AF1288" i="1"/>
  <c r="AF1287" i="1"/>
  <c r="AF1286" i="1"/>
  <c r="AF1285" i="1"/>
  <c r="AF1284" i="1"/>
  <c r="AF1283" i="1"/>
  <c r="AF1282" i="1"/>
  <c r="AF1281" i="1"/>
  <c r="AF1280" i="1"/>
  <c r="AF1279" i="1"/>
  <c r="AF1278" i="1"/>
  <c r="AF1277" i="1"/>
  <c r="AF1276" i="1"/>
  <c r="AF1275" i="1"/>
  <c r="AF1274" i="1"/>
  <c r="AF1273" i="1"/>
  <c r="AF1272" i="1"/>
  <c r="AF1271" i="1"/>
  <c r="AF1270" i="1"/>
  <c r="AF1269" i="1"/>
  <c r="AF1268" i="1"/>
  <c r="AF1267" i="1"/>
  <c r="AF1266" i="1"/>
  <c r="AF1265" i="1"/>
  <c r="AF1264" i="1"/>
  <c r="AF1263" i="1"/>
  <c r="AF1262" i="1"/>
  <c r="AF1261" i="1"/>
  <c r="AF1260" i="1"/>
  <c r="AF1259" i="1"/>
  <c r="AF1258" i="1"/>
  <c r="AF1257" i="1"/>
  <c r="AF1256" i="1"/>
  <c r="AF1255" i="1"/>
  <c r="AF1254" i="1"/>
  <c r="AF1253" i="1"/>
  <c r="AF1252" i="1"/>
  <c r="AF1251" i="1"/>
  <c r="AF1250" i="1"/>
  <c r="AF1249" i="1"/>
  <c r="AF1248" i="1"/>
  <c r="AF1247" i="1"/>
  <c r="AF1246" i="1"/>
  <c r="AF1245" i="1"/>
  <c r="AF1244" i="1"/>
  <c r="AF1243" i="1"/>
  <c r="AF1242" i="1"/>
  <c r="AF1241" i="1"/>
  <c r="AF1240" i="1"/>
  <c r="AF1239" i="1"/>
  <c r="AF1238" i="1"/>
  <c r="AF1237" i="1"/>
  <c r="AF1236" i="1"/>
  <c r="AF1235" i="1"/>
  <c r="AF1234" i="1"/>
  <c r="AF1233" i="1"/>
  <c r="AF1232" i="1"/>
  <c r="AF1231" i="1"/>
  <c r="AF1230" i="1"/>
  <c r="AF1229" i="1"/>
  <c r="AF1228" i="1"/>
  <c r="AF1227" i="1"/>
  <c r="AF1226" i="1"/>
  <c r="AF1225" i="1"/>
  <c r="AF1224" i="1"/>
  <c r="AF1223" i="1"/>
  <c r="AF1222" i="1"/>
  <c r="AF1221" i="1"/>
  <c r="AF1220" i="1"/>
  <c r="AF1219" i="1"/>
  <c r="AF1218" i="1"/>
  <c r="AF1217" i="1"/>
  <c r="AF1216" i="1"/>
  <c r="AF1215" i="1"/>
  <c r="AF1214" i="1"/>
  <c r="AF1213" i="1"/>
  <c r="AF1212" i="1"/>
  <c r="AF1211" i="1"/>
  <c r="AF1210" i="1"/>
  <c r="AF1209" i="1"/>
  <c r="AF1208" i="1"/>
  <c r="AF1207" i="1"/>
  <c r="AF1206" i="1"/>
  <c r="AF1205" i="1"/>
  <c r="AF1204" i="1"/>
  <c r="AF1203" i="1"/>
  <c r="AF1202" i="1"/>
  <c r="AF1201" i="1"/>
  <c r="AF1200" i="1"/>
  <c r="AF1199" i="1"/>
  <c r="AF1198" i="1"/>
  <c r="AF1197" i="1"/>
  <c r="AF1196" i="1"/>
  <c r="AF1195" i="1"/>
  <c r="AF1194" i="1"/>
  <c r="AF1193" i="1"/>
  <c r="AF1192" i="1"/>
  <c r="AF1191" i="1"/>
  <c r="AF1190" i="1"/>
  <c r="AF1189" i="1"/>
  <c r="AF1188" i="1"/>
  <c r="AF1187" i="1"/>
  <c r="AF1186" i="1"/>
  <c r="AF1185" i="1"/>
  <c r="AF1184" i="1"/>
  <c r="AF1183" i="1"/>
  <c r="AF1182" i="1"/>
  <c r="AF1181" i="1"/>
  <c r="AF1180" i="1"/>
  <c r="AF1179" i="1"/>
  <c r="AF1178" i="1"/>
  <c r="AF1177" i="1"/>
  <c r="AF1176" i="1"/>
  <c r="AF1175" i="1"/>
  <c r="AF1174" i="1"/>
  <c r="AF1173" i="1"/>
  <c r="AF1172" i="1"/>
  <c r="AF1171" i="1"/>
  <c r="AF1170" i="1"/>
  <c r="AF1169" i="1"/>
  <c r="AF1168" i="1"/>
  <c r="AF1167" i="1"/>
  <c r="AF1166" i="1"/>
  <c r="AF1165" i="1"/>
  <c r="AF1164" i="1"/>
  <c r="AF1163" i="1"/>
  <c r="AF1162" i="1"/>
  <c r="AF1161" i="1"/>
  <c r="AF1160" i="1"/>
  <c r="AF1159" i="1"/>
  <c r="AF1158" i="1"/>
  <c r="AF1157" i="1"/>
  <c r="AF1156" i="1"/>
  <c r="AF1155" i="1"/>
  <c r="AF1154" i="1"/>
  <c r="AF1153" i="1"/>
  <c r="AF1152" i="1"/>
  <c r="AF1151" i="1"/>
  <c r="AF1150" i="1"/>
  <c r="AF1149" i="1"/>
  <c r="AF1148" i="1"/>
  <c r="AF1147" i="1"/>
  <c r="AF1146" i="1"/>
  <c r="AF1145" i="1"/>
  <c r="AF1144" i="1"/>
  <c r="AF1143" i="1"/>
  <c r="AF1142" i="1"/>
  <c r="AF1141" i="1"/>
  <c r="AF1140" i="1"/>
  <c r="AF1139" i="1"/>
  <c r="AF1138" i="1"/>
  <c r="AF1137" i="1"/>
  <c r="AF1136" i="1"/>
  <c r="AF1135" i="1"/>
  <c r="AF1134" i="1"/>
  <c r="AF1133" i="1"/>
  <c r="AF1132" i="1"/>
  <c r="AF1131" i="1"/>
  <c r="AF1130" i="1"/>
  <c r="AF1129" i="1"/>
  <c r="AF1128" i="1"/>
  <c r="AF1127" i="1"/>
  <c r="AF1126" i="1"/>
  <c r="AF1125" i="1"/>
  <c r="AF1124" i="1"/>
  <c r="AF1123" i="1"/>
  <c r="AF1122" i="1"/>
  <c r="AF1121" i="1"/>
  <c r="AF1120" i="1"/>
  <c r="AF1119" i="1"/>
  <c r="AF1118" i="1"/>
  <c r="AF1117" i="1"/>
  <c r="AF1116" i="1"/>
  <c r="AF1115" i="1"/>
  <c r="AF1114" i="1"/>
  <c r="AF1113" i="1"/>
  <c r="AF1112" i="1"/>
  <c r="AF1111" i="1"/>
  <c r="AF1110" i="1"/>
  <c r="AF1109" i="1"/>
  <c r="AF1108" i="1"/>
  <c r="AF1107" i="1"/>
  <c r="AF1106" i="1"/>
  <c r="AF1105" i="1"/>
  <c r="AF1104" i="1"/>
  <c r="AF1103" i="1"/>
  <c r="AF1102" i="1"/>
  <c r="AF1101" i="1"/>
  <c r="AF1100" i="1"/>
  <c r="AF1099" i="1"/>
  <c r="AF1098" i="1"/>
  <c r="AF1097" i="1"/>
  <c r="AF1096" i="1"/>
  <c r="AF1095" i="1"/>
  <c r="AF1094" i="1"/>
  <c r="AF1093" i="1"/>
  <c r="AF1092" i="1"/>
  <c r="AF1091" i="1"/>
  <c r="AF1090" i="1"/>
  <c r="AF1089" i="1"/>
  <c r="AF1088" i="1"/>
  <c r="AF1087" i="1"/>
  <c r="AF1086" i="1"/>
  <c r="AF1085" i="1"/>
  <c r="AF1084" i="1"/>
  <c r="AF1083" i="1"/>
  <c r="AF1082" i="1"/>
  <c r="AF1081" i="1"/>
  <c r="AF1080" i="1"/>
  <c r="AF1079" i="1"/>
  <c r="AF1078" i="1"/>
  <c r="AF1077" i="1"/>
  <c r="AF1076" i="1"/>
  <c r="AF1075" i="1"/>
  <c r="AF1074" i="1"/>
  <c r="AF1073" i="1"/>
  <c r="AF1072" i="1"/>
  <c r="AF1071" i="1"/>
  <c r="AF1070" i="1"/>
  <c r="AF1069" i="1"/>
  <c r="AF1068" i="1"/>
  <c r="AF1067" i="1"/>
  <c r="AF1066" i="1"/>
  <c r="AF1065" i="1"/>
  <c r="AF1064" i="1"/>
  <c r="AF1063" i="1"/>
  <c r="AF1062" i="1"/>
  <c r="AF1061" i="1"/>
  <c r="AF1060" i="1"/>
  <c r="AF1059" i="1"/>
  <c r="AF1058" i="1"/>
  <c r="AF1057" i="1"/>
  <c r="AF1056" i="1"/>
  <c r="AF1055" i="1"/>
  <c r="AF1054" i="1"/>
  <c r="AF1053" i="1"/>
  <c r="AF1052" i="1"/>
  <c r="AF1051" i="1"/>
  <c r="AF1050" i="1"/>
  <c r="AF1049" i="1"/>
  <c r="AF1048" i="1"/>
  <c r="AF1047" i="1"/>
  <c r="AF1046" i="1"/>
  <c r="AF1045" i="1"/>
  <c r="AF1044" i="1"/>
  <c r="AF1043" i="1"/>
  <c r="AF1042" i="1"/>
  <c r="AF1041" i="1"/>
  <c r="AF1040" i="1"/>
  <c r="AF1039" i="1"/>
  <c r="AF1038" i="1"/>
  <c r="AF1037" i="1"/>
  <c r="AF1036" i="1"/>
  <c r="AF1035" i="1"/>
  <c r="AF1034" i="1"/>
  <c r="AF1033" i="1"/>
  <c r="AF1032" i="1"/>
  <c r="AF1031" i="1"/>
  <c r="AF1030" i="1"/>
  <c r="AF1029" i="1"/>
  <c r="AF1028" i="1"/>
  <c r="AF1027" i="1"/>
  <c r="AF1026" i="1"/>
  <c r="AF1025" i="1"/>
  <c r="AF1024" i="1"/>
  <c r="AF1023" i="1"/>
  <c r="AF1022" i="1"/>
  <c r="AF1021" i="1"/>
  <c r="AF1020" i="1"/>
  <c r="AF1019" i="1"/>
  <c r="AF1018" i="1"/>
  <c r="AF1017" i="1"/>
  <c r="AF1016" i="1"/>
  <c r="AF1015" i="1"/>
  <c r="AF1014" i="1"/>
  <c r="AF1013" i="1"/>
  <c r="AF1012" i="1"/>
  <c r="AF1011" i="1"/>
  <c r="AF1010" i="1"/>
  <c r="AF1009" i="1"/>
  <c r="AF1008" i="1"/>
  <c r="AF1007" i="1"/>
  <c r="AF1006" i="1"/>
  <c r="AF1005" i="1"/>
  <c r="AF1004" i="1"/>
  <c r="AF1003" i="1"/>
  <c r="AF1002" i="1"/>
  <c r="AF1001" i="1"/>
  <c r="AF1000" i="1"/>
  <c r="AF999" i="1"/>
  <c r="AF998" i="1"/>
  <c r="AF997" i="1"/>
  <c r="AF996" i="1"/>
  <c r="AF995" i="1"/>
  <c r="AF994" i="1"/>
  <c r="AF993" i="1"/>
  <c r="AF992" i="1"/>
  <c r="AF991" i="1"/>
  <c r="AF990" i="1"/>
  <c r="AF989" i="1"/>
  <c r="AF988" i="1"/>
  <c r="AF987" i="1"/>
  <c r="AF986" i="1"/>
  <c r="AF985" i="1"/>
  <c r="AF984" i="1"/>
  <c r="AF983" i="1"/>
  <c r="AF982" i="1"/>
  <c r="AF981" i="1"/>
  <c r="AF980" i="1"/>
  <c r="AF979" i="1"/>
  <c r="AF978" i="1"/>
  <c r="AF977" i="1"/>
  <c r="AF976" i="1"/>
  <c r="AF975" i="1"/>
  <c r="AF974" i="1"/>
  <c r="AF973" i="1"/>
  <c r="AF972" i="1"/>
  <c r="AF971" i="1"/>
  <c r="AF970" i="1"/>
  <c r="AF969" i="1"/>
  <c r="AF968" i="1"/>
  <c r="AF967" i="1"/>
  <c r="AF966" i="1"/>
  <c r="AF965" i="1"/>
  <c r="AF964" i="1"/>
  <c r="AF963" i="1"/>
  <c r="AF962" i="1"/>
  <c r="AF961" i="1"/>
  <c r="AF960" i="1"/>
  <c r="AF959" i="1"/>
  <c r="AF958" i="1"/>
  <c r="AF957" i="1"/>
  <c r="AF956" i="1"/>
  <c r="AF955" i="1"/>
  <c r="AF954" i="1"/>
  <c r="AF953" i="1"/>
  <c r="AF952" i="1"/>
  <c r="AF951" i="1"/>
  <c r="AF950" i="1"/>
  <c r="AF949" i="1"/>
  <c r="AF948" i="1"/>
  <c r="AF947" i="1"/>
  <c r="AF946" i="1"/>
  <c r="AF945" i="1"/>
  <c r="AF944" i="1"/>
  <c r="AF943" i="1"/>
  <c r="AF942" i="1"/>
  <c r="AF941" i="1"/>
  <c r="AF940" i="1"/>
  <c r="AF939" i="1"/>
  <c r="AF938" i="1"/>
  <c r="AF937" i="1"/>
  <c r="AF936" i="1"/>
  <c r="AF935" i="1"/>
  <c r="AF934" i="1"/>
  <c r="AF933" i="1"/>
  <c r="AF932" i="1"/>
  <c r="AF931" i="1"/>
  <c r="AF930" i="1"/>
  <c r="AF929" i="1"/>
  <c r="AF928" i="1"/>
  <c r="AF927" i="1"/>
  <c r="AF926" i="1"/>
  <c r="AF925" i="1"/>
  <c r="AF924" i="1"/>
  <c r="AF923" i="1"/>
  <c r="AF922" i="1"/>
  <c r="AF921" i="1"/>
  <c r="AF920" i="1"/>
  <c r="AF919" i="1"/>
  <c r="AF918" i="1"/>
  <c r="AF917" i="1"/>
  <c r="AF916" i="1"/>
  <c r="AF915" i="1"/>
  <c r="AF914" i="1"/>
  <c r="AF913" i="1"/>
  <c r="AF912" i="1"/>
  <c r="AF911" i="1"/>
  <c r="AF910" i="1"/>
  <c r="AF909" i="1"/>
  <c r="AF908" i="1"/>
  <c r="AF907" i="1"/>
  <c r="AF906" i="1"/>
  <c r="AF905" i="1"/>
  <c r="AF904" i="1"/>
  <c r="AF903" i="1"/>
  <c r="AF902" i="1"/>
  <c r="AF901" i="1"/>
  <c r="AF900" i="1"/>
  <c r="AF899" i="1"/>
  <c r="AF898" i="1"/>
  <c r="AF897" i="1"/>
  <c r="AF896" i="1"/>
  <c r="AF895" i="1"/>
  <c r="AF894" i="1"/>
  <c r="AF893" i="1"/>
  <c r="AF892" i="1"/>
  <c r="AF891" i="1"/>
  <c r="AF890" i="1"/>
  <c r="AF889" i="1"/>
  <c r="AF888" i="1"/>
  <c r="AF887" i="1"/>
  <c r="AF886" i="1"/>
  <c r="AF885" i="1"/>
  <c r="AF884" i="1"/>
  <c r="AF883" i="1"/>
  <c r="AF882" i="1"/>
  <c r="AF881" i="1"/>
  <c r="AF880" i="1"/>
  <c r="AF879" i="1"/>
  <c r="AF878" i="1"/>
  <c r="AF877" i="1"/>
  <c r="AF876" i="1"/>
  <c r="AF875" i="1"/>
  <c r="AF874" i="1"/>
  <c r="AF873" i="1"/>
  <c r="AF872" i="1"/>
  <c r="AF871" i="1"/>
  <c r="AF870" i="1"/>
  <c r="AF869" i="1"/>
  <c r="AF868" i="1"/>
  <c r="AF867" i="1"/>
  <c r="AF866" i="1"/>
  <c r="AF865" i="1"/>
  <c r="AF864" i="1"/>
  <c r="AF863" i="1"/>
  <c r="AF862" i="1"/>
  <c r="AF861" i="1"/>
  <c r="AF860" i="1"/>
  <c r="AF859" i="1"/>
  <c r="AF858" i="1"/>
  <c r="AF857" i="1"/>
  <c r="AF856" i="1"/>
  <c r="AF855" i="1"/>
  <c r="AF854" i="1"/>
  <c r="AF853" i="1"/>
  <c r="AF852" i="1"/>
  <c r="AF851" i="1"/>
  <c r="AF850" i="1"/>
  <c r="AF849" i="1"/>
  <c r="AF848" i="1"/>
  <c r="AF847" i="1"/>
  <c r="AF846" i="1"/>
  <c r="AF845" i="1"/>
  <c r="AF844" i="1"/>
  <c r="AF843" i="1"/>
  <c r="AF842" i="1"/>
  <c r="AF841" i="1"/>
  <c r="AF840" i="1"/>
  <c r="AF839" i="1"/>
  <c r="AF838" i="1"/>
  <c r="AF837" i="1"/>
  <c r="AF836" i="1"/>
  <c r="AF835" i="1"/>
  <c r="AF834" i="1"/>
  <c r="AF833" i="1"/>
  <c r="AF832" i="1"/>
  <c r="AF831" i="1"/>
  <c r="AF830" i="1"/>
  <c r="AF829" i="1"/>
  <c r="AF828" i="1"/>
  <c r="AF827" i="1"/>
  <c r="AF826" i="1"/>
  <c r="AF825" i="1"/>
  <c r="AF824" i="1"/>
  <c r="AF823" i="1"/>
  <c r="AF822" i="1"/>
  <c r="AF821" i="1"/>
  <c r="AF820" i="1"/>
  <c r="AF819" i="1"/>
  <c r="AF818" i="1"/>
  <c r="AF817" i="1"/>
  <c r="AF816" i="1"/>
  <c r="AF815" i="1"/>
  <c r="AF814" i="1"/>
  <c r="AF813" i="1"/>
  <c r="AF812" i="1"/>
  <c r="AF811" i="1"/>
  <c r="AF810" i="1"/>
  <c r="AF809" i="1"/>
  <c r="AF808" i="1"/>
  <c r="AF807" i="1"/>
  <c r="AF806" i="1"/>
  <c r="AF805" i="1"/>
  <c r="AF804" i="1"/>
  <c r="AF803" i="1"/>
  <c r="AF802" i="1"/>
  <c r="AF801" i="1"/>
  <c r="AF800" i="1"/>
  <c r="AF799" i="1"/>
  <c r="AF798" i="1"/>
  <c r="AF797" i="1"/>
  <c r="AF796" i="1"/>
  <c r="AF795" i="1"/>
  <c r="AF794" i="1"/>
  <c r="AF793" i="1"/>
  <c r="AF792" i="1"/>
  <c r="AF791" i="1"/>
  <c r="AF790" i="1"/>
  <c r="AF789" i="1"/>
  <c r="AF788" i="1"/>
  <c r="AF787" i="1"/>
  <c r="AF786" i="1"/>
  <c r="AF785" i="1"/>
  <c r="AF784" i="1"/>
  <c r="AF783" i="1"/>
  <c r="AF782" i="1"/>
  <c r="AF781" i="1"/>
  <c r="AF780" i="1"/>
  <c r="AF779" i="1"/>
  <c r="AF778" i="1"/>
  <c r="AF777" i="1"/>
  <c r="AF776" i="1"/>
  <c r="AF775" i="1"/>
  <c r="AF774" i="1"/>
  <c r="AF773" i="1"/>
  <c r="AF772" i="1"/>
  <c r="AF771" i="1"/>
  <c r="AF770" i="1"/>
  <c r="AF769" i="1"/>
  <c r="AF768" i="1"/>
  <c r="AF767" i="1"/>
  <c r="AF766" i="1"/>
  <c r="AF765" i="1"/>
  <c r="AF764" i="1"/>
  <c r="AF763" i="1"/>
  <c r="AF762" i="1"/>
  <c r="AF761" i="1"/>
  <c r="AF760" i="1"/>
  <c r="AF759" i="1"/>
  <c r="AF758" i="1"/>
  <c r="AF757" i="1"/>
  <c r="AF756" i="1"/>
  <c r="AF755" i="1"/>
  <c r="AF754" i="1"/>
  <c r="AF753" i="1"/>
  <c r="AF752" i="1"/>
  <c r="AF751" i="1"/>
  <c r="AF750" i="1"/>
  <c r="AF749" i="1"/>
  <c r="AF748" i="1"/>
  <c r="AF747" i="1"/>
  <c r="AF746" i="1"/>
  <c r="AF745" i="1"/>
  <c r="AF744" i="1"/>
  <c r="AF743" i="1"/>
  <c r="AF742" i="1"/>
  <c r="AF741" i="1"/>
  <c r="AF740" i="1"/>
  <c r="AF739" i="1"/>
  <c r="AF738" i="1"/>
  <c r="AF737" i="1"/>
  <c r="AF736" i="1"/>
  <c r="AF735" i="1"/>
  <c r="AF734" i="1"/>
  <c r="AF733" i="1"/>
  <c r="AF732" i="1"/>
  <c r="AF731" i="1"/>
  <c r="AF730" i="1"/>
  <c r="AF729" i="1"/>
  <c r="AF728" i="1"/>
  <c r="AF727" i="1"/>
  <c r="AF726" i="1"/>
  <c r="AF725" i="1"/>
  <c r="AF724" i="1"/>
  <c r="AF723" i="1"/>
  <c r="AF722" i="1"/>
  <c r="AF721" i="1"/>
  <c r="AF720" i="1"/>
  <c r="AF719" i="1"/>
  <c r="AF718" i="1"/>
  <c r="AF717" i="1"/>
  <c r="AF716" i="1"/>
  <c r="AF715" i="1"/>
  <c r="AF714" i="1"/>
  <c r="AF713" i="1"/>
  <c r="AF712" i="1"/>
  <c r="AF711" i="1"/>
  <c r="AF710" i="1"/>
  <c r="AF709" i="1"/>
  <c r="AF708" i="1"/>
  <c r="AF707" i="1"/>
  <c r="AF706" i="1"/>
  <c r="AF705" i="1"/>
  <c r="AF704" i="1"/>
  <c r="AF703" i="1"/>
  <c r="AF702" i="1"/>
  <c r="AF701" i="1"/>
  <c r="AF700" i="1"/>
  <c r="AF699" i="1"/>
  <c r="AF698" i="1"/>
  <c r="AF697" i="1"/>
  <c r="AF696" i="1"/>
  <c r="AF695" i="1"/>
  <c r="AF694" i="1"/>
  <c r="AF693" i="1"/>
  <c r="AF692" i="1"/>
  <c r="AF691" i="1"/>
  <c r="AF690" i="1"/>
  <c r="AF689" i="1"/>
  <c r="AF688" i="1"/>
  <c r="AF687" i="1"/>
  <c r="AF686" i="1"/>
  <c r="AF685" i="1"/>
  <c r="AF684" i="1"/>
  <c r="AF683" i="1"/>
  <c r="AF682" i="1"/>
  <c r="AF681" i="1"/>
  <c r="AF680" i="1"/>
  <c r="AF679" i="1"/>
  <c r="AF678" i="1"/>
  <c r="AF677" i="1"/>
  <c r="AF676" i="1"/>
  <c r="AF675" i="1"/>
  <c r="AF674" i="1"/>
  <c r="AF673" i="1"/>
  <c r="AF672" i="1"/>
  <c r="AF671" i="1"/>
  <c r="AF670" i="1"/>
  <c r="AF669" i="1"/>
  <c r="AF668" i="1"/>
  <c r="AF667" i="1"/>
  <c r="AF666" i="1"/>
  <c r="AF665" i="1"/>
  <c r="AF664" i="1"/>
  <c r="AF663" i="1"/>
  <c r="AF662" i="1"/>
  <c r="AF661" i="1"/>
  <c r="AF660" i="1"/>
  <c r="AF659" i="1"/>
  <c r="AF658" i="1"/>
  <c r="AF657" i="1"/>
  <c r="AF656" i="1"/>
  <c r="AF655" i="1"/>
  <c r="AF654" i="1"/>
  <c r="AF653" i="1"/>
  <c r="AF652" i="1"/>
  <c r="AF651" i="1"/>
  <c r="AF650" i="1"/>
  <c r="AF649" i="1"/>
  <c r="AF648" i="1"/>
  <c r="AF647" i="1"/>
  <c r="AF646" i="1"/>
  <c r="AF645" i="1"/>
  <c r="AF644" i="1"/>
  <c r="AF643" i="1"/>
  <c r="AF642" i="1"/>
  <c r="AF641" i="1"/>
  <c r="AF640" i="1"/>
  <c r="AF639" i="1"/>
  <c r="AF638" i="1"/>
  <c r="AF637" i="1"/>
  <c r="AF636" i="1"/>
  <c r="AF635" i="1"/>
  <c r="AF634" i="1"/>
  <c r="AF633" i="1"/>
  <c r="AF632" i="1"/>
  <c r="AF631" i="1"/>
  <c r="AF630" i="1"/>
  <c r="AF629" i="1"/>
  <c r="AF628" i="1"/>
  <c r="AF627" i="1"/>
  <c r="AF626" i="1"/>
  <c r="AF625" i="1"/>
  <c r="AF624" i="1"/>
  <c r="AF623" i="1"/>
  <c r="AF622" i="1"/>
  <c r="AF621" i="1"/>
  <c r="AF620" i="1"/>
  <c r="AF619" i="1"/>
  <c r="AF618" i="1"/>
  <c r="AF617" i="1"/>
  <c r="AF616" i="1"/>
  <c r="AF615" i="1"/>
  <c r="AF614" i="1"/>
  <c r="AF613" i="1"/>
  <c r="AF612" i="1"/>
  <c r="AF611" i="1"/>
  <c r="AF610" i="1"/>
  <c r="AF609" i="1"/>
  <c r="AF608" i="1"/>
  <c r="AF607" i="1"/>
  <c r="AF606" i="1"/>
  <c r="AF605" i="1"/>
  <c r="AF604" i="1"/>
  <c r="AF603" i="1"/>
  <c r="AF602" i="1"/>
  <c r="AF601" i="1"/>
  <c r="AF600" i="1"/>
  <c r="AF599" i="1"/>
  <c r="AF598" i="1"/>
  <c r="AF597" i="1"/>
  <c r="AF596" i="1"/>
  <c r="AF595" i="1"/>
  <c r="AF594" i="1"/>
  <c r="AF593" i="1"/>
  <c r="AF592" i="1"/>
  <c r="AF591" i="1"/>
  <c r="AF590" i="1"/>
  <c r="AF589" i="1"/>
  <c r="AF588" i="1"/>
  <c r="AF587" i="1"/>
  <c r="AF586" i="1"/>
  <c r="AF585" i="1"/>
  <c r="AF584" i="1"/>
  <c r="AF583" i="1"/>
  <c r="AF582" i="1"/>
  <c r="AF581" i="1"/>
  <c r="AF580" i="1"/>
  <c r="AF579" i="1"/>
  <c r="AF578" i="1"/>
  <c r="AF577" i="1"/>
  <c r="AF576" i="1"/>
  <c r="AF575" i="1"/>
  <c r="AF574" i="1"/>
  <c r="AF573" i="1"/>
  <c r="AF572" i="1"/>
  <c r="AF571" i="1"/>
  <c r="AF570" i="1"/>
  <c r="AF569" i="1"/>
  <c r="AF568" i="1"/>
  <c r="AF567" i="1"/>
  <c r="AF566" i="1"/>
  <c r="AF565" i="1"/>
  <c r="AF564" i="1"/>
  <c r="AF563" i="1"/>
  <c r="AF562" i="1"/>
  <c r="AF561" i="1"/>
  <c r="AF560" i="1"/>
  <c r="AF559" i="1"/>
  <c r="AF558" i="1"/>
  <c r="AF557" i="1"/>
  <c r="AF556" i="1"/>
  <c r="AF555" i="1"/>
  <c r="AF554" i="1"/>
  <c r="AF553" i="1"/>
  <c r="AF552" i="1"/>
  <c r="AF551" i="1"/>
  <c r="AF550" i="1"/>
  <c r="AF549" i="1"/>
  <c r="AF548" i="1"/>
  <c r="AF547" i="1"/>
  <c r="AF546" i="1"/>
  <c r="AF545" i="1"/>
  <c r="AF544" i="1"/>
  <c r="AF543" i="1"/>
  <c r="AF542" i="1"/>
  <c r="AF541" i="1"/>
  <c r="AF540" i="1"/>
  <c r="AF539" i="1"/>
  <c r="AF538" i="1"/>
  <c r="AF537" i="1"/>
  <c r="AF536" i="1"/>
  <c r="AF535" i="1"/>
  <c r="AF534" i="1"/>
  <c r="AF533" i="1"/>
  <c r="AF532" i="1"/>
  <c r="AF531" i="1"/>
  <c r="AF530" i="1"/>
  <c r="AF529" i="1"/>
  <c r="AF528" i="1"/>
  <c r="AF527" i="1"/>
  <c r="AF526" i="1"/>
  <c r="AF525" i="1"/>
  <c r="AF524" i="1"/>
  <c r="AF523" i="1"/>
  <c r="AF522" i="1"/>
  <c r="AF521" i="1"/>
  <c r="AF520" i="1"/>
  <c r="AF519" i="1"/>
  <c r="AF518" i="1"/>
  <c r="AF517" i="1"/>
  <c r="AF516" i="1"/>
  <c r="AF515" i="1"/>
  <c r="AF514" i="1"/>
  <c r="AF513" i="1"/>
  <c r="AF512" i="1"/>
  <c r="AF511" i="1"/>
  <c r="AF510" i="1"/>
  <c r="AF509" i="1"/>
  <c r="AF508" i="1"/>
  <c r="AF507" i="1"/>
  <c r="AF506" i="1"/>
  <c r="AF505" i="1"/>
  <c r="AF504" i="1"/>
  <c r="AF503" i="1"/>
  <c r="AF502" i="1"/>
  <c r="AF501" i="1"/>
  <c r="AF500" i="1"/>
  <c r="AF499" i="1"/>
  <c r="AF498" i="1"/>
  <c r="AF497" i="1"/>
  <c r="AF496" i="1"/>
  <c r="AF495" i="1"/>
  <c r="AF494" i="1"/>
  <c r="AF493" i="1"/>
  <c r="AF492" i="1"/>
  <c r="AF491" i="1"/>
  <c r="AF490" i="1"/>
  <c r="AF489" i="1"/>
  <c r="AF488" i="1"/>
  <c r="AF487" i="1"/>
  <c r="AF486" i="1"/>
  <c r="AF485" i="1"/>
  <c r="AF484" i="1"/>
  <c r="AF483" i="1"/>
  <c r="AF482" i="1"/>
  <c r="AF481" i="1"/>
  <c r="AF480" i="1"/>
  <c r="AF479" i="1"/>
  <c r="AF478" i="1"/>
  <c r="AF477" i="1"/>
  <c r="AF476" i="1"/>
  <c r="AF475" i="1"/>
  <c r="AF474" i="1"/>
  <c r="AF473" i="1"/>
  <c r="AF472" i="1"/>
  <c r="AF471" i="1"/>
  <c r="AF470" i="1"/>
  <c r="AF469" i="1"/>
  <c r="AF468" i="1"/>
  <c r="AF467" i="1"/>
  <c r="AF466" i="1"/>
  <c r="AF465" i="1"/>
  <c r="AF464" i="1"/>
  <c r="AF463" i="1"/>
  <c r="AF462" i="1"/>
  <c r="AF461" i="1"/>
  <c r="AF460" i="1"/>
  <c r="AF459" i="1"/>
  <c r="AF458" i="1"/>
  <c r="AF457" i="1"/>
  <c r="AF456" i="1"/>
  <c r="AF455" i="1"/>
  <c r="AF454" i="1"/>
  <c r="AF453" i="1"/>
  <c r="AF452" i="1"/>
  <c r="AF451" i="1"/>
  <c r="AF450" i="1"/>
  <c r="AF449" i="1"/>
  <c r="AF448" i="1"/>
  <c r="AF447" i="1"/>
  <c r="AF446" i="1"/>
  <c r="AF445" i="1"/>
  <c r="AF444" i="1"/>
  <c r="AF443" i="1"/>
  <c r="AF442" i="1"/>
  <c r="AF441" i="1"/>
  <c r="AF440" i="1"/>
  <c r="AF439" i="1"/>
  <c r="AF438" i="1"/>
  <c r="AF437" i="1"/>
  <c r="AF436" i="1"/>
  <c r="AF435" i="1"/>
  <c r="AF434" i="1"/>
  <c r="AF433" i="1"/>
  <c r="AF432" i="1"/>
  <c r="AF431" i="1"/>
  <c r="AF430" i="1"/>
  <c r="AF429" i="1"/>
  <c r="AF428" i="1"/>
  <c r="AF427" i="1"/>
  <c r="AF426" i="1"/>
  <c r="AF425" i="1"/>
  <c r="AF424" i="1"/>
  <c r="AF423" i="1"/>
  <c r="AF422" i="1"/>
  <c r="AF421" i="1"/>
  <c r="AF420" i="1"/>
  <c r="AF419" i="1"/>
  <c r="AF418" i="1"/>
  <c r="AF417" i="1"/>
  <c r="AF416" i="1"/>
  <c r="AF415" i="1"/>
  <c r="AF414" i="1"/>
  <c r="AF413" i="1"/>
  <c r="AF412" i="1"/>
  <c r="AF411" i="1"/>
  <c r="AF410" i="1"/>
  <c r="AF409" i="1"/>
  <c r="AF408" i="1"/>
  <c r="AF407" i="1"/>
  <c r="AF406" i="1"/>
  <c r="AF405" i="1"/>
  <c r="AF404" i="1"/>
  <c r="AF403" i="1"/>
  <c r="AF402" i="1"/>
  <c r="AF401" i="1"/>
  <c r="AF400" i="1"/>
  <c r="AF399" i="1"/>
  <c r="AF398" i="1"/>
  <c r="AF397" i="1"/>
  <c r="AF396" i="1"/>
  <c r="AF395" i="1"/>
  <c r="AF394" i="1"/>
  <c r="AF393" i="1"/>
  <c r="AF392" i="1"/>
  <c r="AF391" i="1"/>
  <c r="AF390" i="1"/>
  <c r="AF389" i="1"/>
  <c r="AF388" i="1"/>
  <c r="AF387" i="1"/>
  <c r="AF386" i="1"/>
  <c r="AF385" i="1"/>
  <c r="AF384" i="1"/>
  <c r="AF383" i="1"/>
  <c r="AF382" i="1"/>
  <c r="AF381" i="1"/>
  <c r="AF380" i="1"/>
  <c r="AF379" i="1"/>
  <c r="AF378" i="1"/>
  <c r="AF377" i="1"/>
  <c r="AF376" i="1"/>
  <c r="AF375" i="1"/>
  <c r="AF374" i="1"/>
  <c r="AF373" i="1"/>
  <c r="AF372" i="1"/>
  <c r="AF371" i="1"/>
  <c r="AF370" i="1"/>
  <c r="AF369" i="1"/>
  <c r="AF368" i="1"/>
  <c r="AF367" i="1"/>
  <c r="AF366" i="1"/>
  <c r="AF365" i="1"/>
  <c r="AF364" i="1"/>
  <c r="AF363" i="1"/>
  <c r="AF362" i="1"/>
  <c r="AF361" i="1"/>
  <c r="AF360" i="1"/>
  <c r="AF359" i="1"/>
  <c r="AF358" i="1"/>
  <c r="AF357" i="1"/>
  <c r="AF356" i="1"/>
  <c r="AF355" i="1"/>
  <c r="AF354" i="1"/>
  <c r="AF353" i="1"/>
  <c r="AF352" i="1"/>
  <c r="AF351" i="1"/>
  <c r="AF350" i="1"/>
  <c r="AF349" i="1"/>
  <c r="AF348" i="1"/>
  <c r="AF347" i="1"/>
  <c r="AF346" i="1"/>
  <c r="AF345" i="1"/>
  <c r="AF344" i="1"/>
  <c r="AF343" i="1"/>
  <c r="AF342" i="1"/>
  <c r="AF341" i="1"/>
  <c r="AF340" i="1"/>
  <c r="AF339" i="1"/>
  <c r="AF338" i="1"/>
  <c r="AF337" i="1"/>
  <c r="AF336" i="1"/>
  <c r="AF335" i="1"/>
  <c r="AF334" i="1"/>
  <c r="AF333" i="1"/>
  <c r="AF332" i="1"/>
  <c r="AF331" i="1"/>
  <c r="AF330" i="1"/>
  <c r="AF329" i="1"/>
  <c r="AF328" i="1"/>
  <c r="AF327" i="1"/>
  <c r="AF326" i="1"/>
  <c r="AF325" i="1"/>
  <c r="AF324" i="1"/>
  <c r="AF323" i="1"/>
  <c r="AF322" i="1"/>
  <c r="AF321" i="1"/>
  <c r="AF320" i="1"/>
  <c r="AF319" i="1"/>
  <c r="AF318" i="1"/>
  <c r="AF317" i="1"/>
  <c r="AF316" i="1"/>
  <c r="AF315" i="1"/>
  <c r="AF314" i="1"/>
  <c r="AF313" i="1"/>
  <c r="AF312" i="1"/>
  <c r="AF311" i="1"/>
  <c r="AF310" i="1"/>
  <c r="AF309" i="1"/>
  <c r="AF308" i="1"/>
  <c r="AF307" i="1"/>
  <c r="AF306" i="1"/>
  <c r="AF305" i="1"/>
  <c r="AF304" i="1"/>
  <c r="AF303" i="1"/>
  <c r="AF302" i="1"/>
  <c r="AF301" i="1"/>
  <c r="AF300" i="1"/>
  <c r="AF299" i="1"/>
  <c r="AF298" i="1"/>
  <c r="AF297" i="1"/>
  <c r="AF296" i="1"/>
  <c r="AF295" i="1"/>
  <c r="AF294" i="1"/>
  <c r="AF293" i="1"/>
  <c r="AF292" i="1"/>
  <c r="AF291" i="1"/>
  <c r="AF290" i="1"/>
  <c r="AF289" i="1"/>
  <c r="AF288" i="1"/>
  <c r="AF287" i="1"/>
  <c r="AF286" i="1"/>
  <c r="AF285" i="1"/>
  <c r="AF284" i="1"/>
  <c r="AF283" i="1"/>
  <c r="AF282" i="1"/>
  <c r="AF281" i="1"/>
  <c r="AF280" i="1"/>
  <c r="AF279" i="1"/>
  <c r="AF278" i="1"/>
  <c r="AF277" i="1"/>
  <c r="AF276" i="1"/>
  <c r="AF275" i="1"/>
  <c r="AF274" i="1"/>
  <c r="AF273" i="1"/>
  <c r="AF272" i="1"/>
  <c r="AF271" i="1"/>
  <c r="AF270" i="1"/>
  <c r="AF269" i="1"/>
  <c r="AF268" i="1"/>
  <c r="AF267" i="1"/>
  <c r="AF266" i="1"/>
  <c r="AF265" i="1"/>
  <c r="AF264" i="1"/>
  <c r="AF263" i="1"/>
  <c r="AF262" i="1"/>
  <c r="AF261" i="1"/>
  <c r="AF260" i="1"/>
  <c r="AF259" i="1"/>
  <c r="AF258" i="1"/>
  <c r="AF257" i="1"/>
  <c r="AF256" i="1"/>
  <c r="AF255" i="1"/>
  <c r="AF254" i="1"/>
  <c r="AF253" i="1"/>
  <c r="AF252" i="1"/>
  <c r="AF251" i="1"/>
  <c r="AF250" i="1"/>
  <c r="AF249" i="1"/>
  <c r="AF248" i="1"/>
  <c r="AF247" i="1"/>
  <c r="AF246" i="1"/>
  <c r="AF245" i="1"/>
  <c r="AF244" i="1"/>
  <c r="AF243" i="1"/>
  <c r="AF242" i="1"/>
  <c r="AF241" i="1"/>
  <c r="AF240" i="1"/>
  <c r="AF239" i="1"/>
  <c r="AF238" i="1"/>
  <c r="AF237" i="1"/>
  <c r="AF236" i="1"/>
  <c r="AF235" i="1"/>
  <c r="AF234" i="1"/>
  <c r="AF233" i="1"/>
  <c r="AF232" i="1"/>
  <c r="AF231" i="1"/>
  <c r="AF230" i="1"/>
  <c r="AF229" i="1"/>
  <c r="AF228" i="1"/>
  <c r="AF227" i="1"/>
  <c r="AF226" i="1"/>
  <c r="AF225" i="1"/>
  <c r="AF224" i="1"/>
  <c r="AF223" i="1"/>
  <c r="AF222" i="1"/>
  <c r="AF221" i="1"/>
  <c r="AF220" i="1"/>
  <c r="AF219" i="1"/>
  <c r="AF218" i="1"/>
  <c r="AF217"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1" i="1"/>
  <c r="AF170" i="1"/>
  <c r="AF169" i="1"/>
  <c r="AF168" i="1"/>
  <c r="AF167" i="1"/>
  <c r="AF166" i="1"/>
  <c r="AF165" i="1"/>
  <c r="AF164" i="1"/>
  <c r="AF163" i="1"/>
  <c r="AF162" i="1"/>
  <c r="AF161" i="1"/>
  <c r="AF160" i="1"/>
  <c r="AF159" i="1"/>
  <c r="AF158" i="1"/>
  <c r="AF157" i="1"/>
  <c r="AF156" i="1"/>
  <c r="AF155" i="1"/>
  <c r="AF154" i="1"/>
  <c r="AF153" i="1"/>
  <c r="AF152" i="1"/>
  <c r="AF151" i="1"/>
  <c r="AF150" i="1"/>
  <c r="AF149" i="1"/>
  <c r="AF148" i="1"/>
  <c r="AF147" i="1"/>
  <c r="AF146" i="1"/>
  <c r="AF145" i="1"/>
  <c r="AF144" i="1"/>
  <c r="AF143" i="1"/>
  <c r="AF142" i="1"/>
  <c r="AF141" i="1"/>
  <c r="AF140" i="1"/>
  <c r="AF139" i="1"/>
  <c r="AF138" i="1"/>
  <c r="AF137" i="1"/>
  <c r="AF136" i="1"/>
  <c r="AF135" i="1"/>
  <c r="AF134" i="1"/>
  <c r="AF133" i="1"/>
  <c r="AF132" i="1"/>
  <c r="AF131" i="1"/>
  <c r="AF130" i="1"/>
  <c r="AF129" i="1"/>
  <c r="AF128" i="1"/>
  <c r="AF127" i="1"/>
  <c r="AF126" i="1"/>
  <c r="AF125" i="1"/>
  <c r="AF124" i="1"/>
  <c r="AF123" i="1"/>
  <c r="AF122" i="1"/>
  <c r="AF121" i="1"/>
  <c r="AF120" i="1"/>
  <c r="AF119" i="1"/>
  <c r="AF118" i="1"/>
  <c r="AF117" i="1"/>
  <c r="AF116" i="1"/>
  <c r="AF115" i="1"/>
  <c r="AF114" i="1"/>
  <c r="AF113" i="1"/>
  <c r="AF112" i="1"/>
  <c r="AF111" i="1"/>
  <c r="AF110" i="1"/>
  <c r="AF109" i="1"/>
  <c r="AF108" i="1"/>
  <c r="AF107" i="1"/>
  <c r="AF106" i="1"/>
  <c r="AF105" i="1"/>
  <c r="AF104" i="1"/>
  <c r="AF103" i="1"/>
  <c r="AF102" i="1"/>
  <c r="AF101" i="1"/>
  <c r="AF100" i="1"/>
  <c r="AF99" i="1"/>
  <c r="AF98" i="1"/>
  <c r="AF97" i="1"/>
  <c r="AF96" i="1"/>
  <c r="AF95" i="1"/>
  <c r="AF94" i="1"/>
  <c r="AF93" i="1"/>
  <c r="AF92" i="1"/>
  <c r="AF91" i="1"/>
  <c r="AF90" i="1"/>
  <c r="AF89" i="1"/>
  <c r="AF88" i="1"/>
  <c r="AF87" i="1"/>
  <c r="AF86"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F9" i="1"/>
  <c r="AF8" i="1"/>
  <c r="AF7" i="1"/>
  <c r="AE6999" i="1"/>
  <c r="AE6998" i="1"/>
  <c r="AE6997" i="1"/>
  <c r="AE6996" i="1"/>
  <c r="AE6995" i="1"/>
  <c r="AE6994" i="1"/>
  <c r="AE6993" i="1"/>
  <c r="AE6992" i="1"/>
  <c r="AE6991" i="1"/>
  <c r="AE6990" i="1"/>
  <c r="AE6989" i="1"/>
  <c r="AE6988" i="1"/>
  <c r="AE6987" i="1"/>
  <c r="AE6986" i="1"/>
  <c r="AE6985" i="1"/>
  <c r="AE6984" i="1"/>
  <c r="AE6983" i="1"/>
  <c r="AE6982" i="1"/>
  <c r="AE6981" i="1"/>
  <c r="AE6980" i="1"/>
  <c r="AE6979" i="1"/>
  <c r="AE6978" i="1"/>
  <c r="AE6977" i="1"/>
  <c r="AE6976" i="1"/>
  <c r="AE6975" i="1"/>
  <c r="AE6974" i="1"/>
  <c r="AE6973" i="1"/>
  <c r="AE6972" i="1"/>
  <c r="AE6971" i="1"/>
  <c r="AE6970" i="1"/>
  <c r="AE6969" i="1"/>
  <c r="AE6968" i="1"/>
  <c r="AE6967" i="1"/>
  <c r="AE6966" i="1"/>
  <c r="AE6965" i="1"/>
  <c r="AE6964" i="1"/>
  <c r="AE6963" i="1"/>
  <c r="AE6962" i="1"/>
  <c r="AE6961" i="1"/>
  <c r="AE6960" i="1"/>
  <c r="AE6959" i="1"/>
  <c r="AE6958" i="1"/>
  <c r="AE6957" i="1"/>
  <c r="AE6956" i="1"/>
  <c r="AE6955" i="1"/>
  <c r="AE6954" i="1"/>
  <c r="AE6953" i="1"/>
  <c r="AE6952" i="1"/>
  <c r="AE6951" i="1"/>
  <c r="AE6950" i="1"/>
  <c r="AE6949" i="1"/>
  <c r="AE6948" i="1"/>
  <c r="AE6947" i="1"/>
  <c r="AE6946" i="1"/>
  <c r="AE6945" i="1"/>
  <c r="AE6944" i="1"/>
  <c r="AE6943" i="1"/>
  <c r="AE6942" i="1"/>
  <c r="AE6941" i="1"/>
  <c r="AE6940" i="1"/>
  <c r="AE6939" i="1"/>
  <c r="AE6938" i="1"/>
  <c r="AE6937" i="1"/>
  <c r="AE6936" i="1"/>
  <c r="AE6935" i="1"/>
  <c r="AE6934" i="1"/>
  <c r="AE6933" i="1"/>
  <c r="AE6932" i="1"/>
  <c r="AE6931" i="1"/>
  <c r="AE6930" i="1"/>
  <c r="AE6929" i="1"/>
  <c r="AE6928" i="1"/>
  <c r="AE6927" i="1"/>
  <c r="AE6926" i="1"/>
  <c r="AE6925" i="1"/>
  <c r="AE6924" i="1"/>
  <c r="AE6923" i="1"/>
  <c r="AE6922" i="1"/>
  <c r="AE6921" i="1"/>
  <c r="AE6920" i="1"/>
  <c r="AE6919" i="1"/>
  <c r="AE6918" i="1"/>
  <c r="AE6917" i="1"/>
  <c r="AE6916" i="1"/>
  <c r="AE6915" i="1"/>
  <c r="AE6914" i="1"/>
  <c r="AE6913" i="1"/>
  <c r="AE6912" i="1"/>
  <c r="AE6911" i="1"/>
  <c r="AE6910" i="1"/>
  <c r="AE6909" i="1"/>
  <c r="AE6908" i="1"/>
  <c r="AE6907" i="1"/>
  <c r="AE6906" i="1"/>
  <c r="AE6905" i="1"/>
  <c r="AE6904" i="1"/>
  <c r="AE6903" i="1"/>
  <c r="AE6902" i="1"/>
  <c r="AE6901" i="1"/>
  <c r="AE6900" i="1"/>
  <c r="AE6899" i="1"/>
  <c r="AE6898" i="1"/>
  <c r="AE6897" i="1"/>
  <c r="AE6896" i="1"/>
  <c r="AE6895" i="1"/>
  <c r="AE6894" i="1"/>
  <c r="AE6893" i="1"/>
  <c r="AE6892" i="1"/>
  <c r="AE6891" i="1"/>
  <c r="AE6890" i="1"/>
  <c r="AE6889" i="1"/>
  <c r="AE6888" i="1"/>
  <c r="AE6887" i="1"/>
  <c r="AE6886" i="1"/>
  <c r="AE6885" i="1"/>
  <c r="AE6884" i="1"/>
  <c r="AE6883" i="1"/>
  <c r="AE6882" i="1"/>
  <c r="AE6881" i="1"/>
  <c r="AE6880" i="1"/>
  <c r="AE6879" i="1"/>
  <c r="AE6878" i="1"/>
  <c r="AE6877" i="1"/>
  <c r="AE6876" i="1"/>
  <c r="AE6875" i="1"/>
  <c r="AE6874" i="1"/>
  <c r="AE6873" i="1"/>
  <c r="AE6872" i="1"/>
  <c r="AE6871" i="1"/>
  <c r="AE6870" i="1"/>
  <c r="AE6869" i="1"/>
  <c r="AE6868" i="1"/>
  <c r="AE6867" i="1"/>
  <c r="AE6866" i="1"/>
  <c r="AE6865" i="1"/>
  <c r="AE6864" i="1"/>
  <c r="AE6863" i="1"/>
  <c r="AE6862" i="1"/>
  <c r="AE6861" i="1"/>
  <c r="AE6860" i="1"/>
  <c r="AE6859" i="1"/>
  <c r="AE6858" i="1"/>
  <c r="AE6857" i="1"/>
  <c r="AE6856" i="1"/>
  <c r="AE6855" i="1"/>
  <c r="AE6854" i="1"/>
  <c r="AE6853" i="1"/>
  <c r="AE6852" i="1"/>
  <c r="AE6851" i="1"/>
  <c r="AE6850" i="1"/>
  <c r="AE6849" i="1"/>
  <c r="AE6848" i="1"/>
  <c r="AE6847" i="1"/>
  <c r="AE6846" i="1"/>
  <c r="AE6845" i="1"/>
  <c r="AE6844" i="1"/>
  <c r="AE6843" i="1"/>
  <c r="AE6842" i="1"/>
  <c r="AE6841" i="1"/>
  <c r="AE6840" i="1"/>
  <c r="AE6839" i="1"/>
  <c r="AE6838" i="1"/>
  <c r="AE6837" i="1"/>
  <c r="AE6836" i="1"/>
  <c r="AE6835" i="1"/>
  <c r="AE6834" i="1"/>
  <c r="AE6833" i="1"/>
  <c r="AE6832" i="1"/>
  <c r="AE6831" i="1"/>
  <c r="AE6830" i="1"/>
  <c r="AE6829" i="1"/>
  <c r="AE6828" i="1"/>
  <c r="AE6827" i="1"/>
  <c r="AE6826" i="1"/>
  <c r="AE6825" i="1"/>
  <c r="AE6824" i="1"/>
  <c r="AE6823" i="1"/>
  <c r="AE6822" i="1"/>
  <c r="AE6821" i="1"/>
  <c r="AE6820" i="1"/>
  <c r="AE6819" i="1"/>
  <c r="AE6818" i="1"/>
  <c r="AE6817" i="1"/>
  <c r="AE6816" i="1"/>
  <c r="AE6815" i="1"/>
  <c r="AE6814" i="1"/>
  <c r="AE6813" i="1"/>
  <c r="AE6812" i="1"/>
  <c r="AE6811" i="1"/>
  <c r="AE6810" i="1"/>
  <c r="AE6809" i="1"/>
  <c r="AE6808" i="1"/>
  <c r="AE6807" i="1"/>
  <c r="AE6806" i="1"/>
  <c r="AE6805" i="1"/>
  <c r="AE6804" i="1"/>
  <c r="AE6803" i="1"/>
  <c r="AE6802" i="1"/>
  <c r="AE6801" i="1"/>
  <c r="AE6800" i="1"/>
  <c r="AE6799" i="1"/>
  <c r="AE6798" i="1"/>
  <c r="AE6797" i="1"/>
  <c r="AE6796" i="1"/>
  <c r="AE6795" i="1"/>
  <c r="AE6794" i="1"/>
  <c r="AE6793" i="1"/>
  <c r="AE6792" i="1"/>
  <c r="AE6791" i="1"/>
  <c r="AE6790" i="1"/>
  <c r="AE6789" i="1"/>
  <c r="AE6788" i="1"/>
  <c r="AE6787" i="1"/>
  <c r="AE6786" i="1"/>
  <c r="AE6785" i="1"/>
  <c r="AE6784" i="1"/>
  <c r="AE6783" i="1"/>
  <c r="AE6782" i="1"/>
  <c r="AE6781" i="1"/>
  <c r="AE6780" i="1"/>
  <c r="AE6779" i="1"/>
  <c r="AE6778" i="1"/>
  <c r="AE6777" i="1"/>
  <c r="AE6776" i="1"/>
  <c r="AE6775" i="1"/>
  <c r="AE6774" i="1"/>
  <c r="AE6773" i="1"/>
  <c r="AE6772" i="1"/>
  <c r="AE6771" i="1"/>
  <c r="AE6770" i="1"/>
  <c r="AE6769" i="1"/>
  <c r="AE6768" i="1"/>
  <c r="AE6767" i="1"/>
  <c r="AE6766" i="1"/>
  <c r="AE6765" i="1"/>
  <c r="AE6764" i="1"/>
  <c r="AE6763" i="1"/>
  <c r="AE6762" i="1"/>
  <c r="AE6761" i="1"/>
  <c r="AE6760" i="1"/>
  <c r="AE6759" i="1"/>
  <c r="AE6758" i="1"/>
  <c r="AE6757" i="1"/>
  <c r="AE6756" i="1"/>
  <c r="AE6755" i="1"/>
  <c r="AE6754" i="1"/>
  <c r="AE6753" i="1"/>
  <c r="AE6752" i="1"/>
  <c r="AE6751" i="1"/>
  <c r="AE6750" i="1"/>
  <c r="AE6749" i="1"/>
  <c r="AE6748" i="1"/>
  <c r="AE6747" i="1"/>
  <c r="AE6746" i="1"/>
  <c r="AE6745" i="1"/>
  <c r="AE6744" i="1"/>
  <c r="AE6743" i="1"/>
  <c r="AE6742" i="1"/>
  <c r="AE6741" i="1"/>
  <c r="AE6740" i="1"/>
  <c r="AE6739" i="1"/>
  <c r="AE6738" i="1"/>
  <c r="AE6737" i="1"/>
  <c r="AE6736" i="1"/>
  <c r="AE6735" i="1"/>
  <c r="AE6734" i="1"/>
  <c r="AE6733" i="1"/>
  <c r="AE6732" i="1"/>
  <c r="AE6731" i="1"/>
  <c r="AE6730" i="1"/>
  <c r="AE6729" i="1"/>
  <c r="AE6728" i="1"/>
  <c r="AE6727" i="1"/>
  <c r="AE6726" i="1"/>
  <c r="AE6725" i="1"/>
  <c r="AE6724" i="1"/>
  <c r="AE6723" i="1"/>
  <c r="AE6722" i="1"/>
  <c r="AE6721" i="1"/>
  <c r="AE6720" i="1"/>
  <c r="AE6719" i="1"/>
  <c r="AE6718" i="1"/>
  <c r="AE6717" i="1"/>
  <c r="AE6716" i="1"/>
  <c r="AE6715" i="1"/>
  <c r="AE6714" i="1"/>
  <c r="AE6713" i="1"/>
  <c r="AE6712" i="1"/>
  <c r="AE6711" i="1"/>
  <c r="AE6710" i="1"/>
  <c r="AE6709" i="1"/>
  <c r="AE6708" i="1"/>
  <c r="AE6707" i="1"/>
  <c r="AE6706" i="1"/>
  <c r="AE6705" i="1"/>
  <c r="AE6704" i="1"/>
  <c r="AE6703" i="1"/>
  <c r="AE6702" i="1"/>
  <c r="AE6701" i="1"/>
  <c r="AE6700" i="1"/>
  <c r="AE6699" i="1"/>
  <c r="AE6698" i="1"/>
  <c r="AE6697" i="1"/>
  <c r="AE6696" i="1"/>
  <c r="AE6695" i="1"/>
  <c r="AE6694" i="1"/>
  <c r="AE6693" i="1"/>
  <c r="AE6692" i="1"/>
  <c r="AE6691" i="1"/>
  <c r="AE6690" i="1"/>
  <c r="AE6689" i="1"/>
  <c r="AE6688" i="1"/>
  <c r="AE6687" i="1"/>
  <c r="AE6686" i="1"/>
  <c r="AE6685" i="1"/>
  <c r="AE6684" i="1"/>
  <c r="AE6683" i="1"/>
  <c r="AE6682" i="1"/>
  <c r="AE6681" i="1"/>
  <c r="AE6680" i="1"/>
  <c r="AE6679" i="1"/>
  <c r="AE6678" i="1"/>
  <c r="AE6677" i="1"/>
  <c r="AE6676" i="1"/>
  <c r="AE6675" i="1"/>
  <c r="AE6674" i="1"/>
  <c r="AE6673" i="1"/>
  <c r="AE6672" i="1"/>
  <c r="AE6671" i="1"/>
  <c r="AE6670" i="1"/>
  <c r="AE6669" i="1"/>
  <c r="AE6668" i="1"/>
  <c r="AE6667" i="1"/>
  <c r="AE6666" i="1"/>
  <c r="AE6665" i="1"/>
  <c r="AE6664" i="1"/>
  <c r="AE6663" i="1"/>
  <c r="AE6662" i="1"/>
  <c r="AE6661" i="1"/>
  <c r="AE6660" i="1"/>
  <c r="AE6659" i="1"/>
  <c r="AE6658" i="1"/>
  <c r="AE6657" i="1"/>
  <c r="AE6656" i="1"/>
  <c r="AE6655" i="1"/>
  <c r="AE6654" i="1"/>
  <c r="AE6653" i="1"/>
  <c r="AE6652" i="1"/>
  <c r="AE6651" i="1"/>
  <c r="AE6650" i="1"/>
  <c r="AE6649" i="1"/>
  <c r="AE6648" i="1"/>
  <c r="AE6647" i="1"/>
  <c r="AE6646" i="1"/>
  <c r="AE6645" i="1"/>
  <c r="AE6644" i="1"/>
  <c r="AE6643" i="1"/>
  <c r="AE6642" i="1"/>
  <c r="AE6641" i="1"/>
  <c r="AE6640" i="1"/>
  <c r="AE6639" i="1"/>
  <c r="AE6638" i="1"/>
  <c r="AE6637" i="1"/>
  <c r="AE6636" i="1"/>
  <c r="AE6635" i="1"/>
  <c r="AE6634" i="1"/>
  <c r="AE6633" i="1"/>
  <c r="AE6632" i="1"/>
  <c r="AE6631" i="1"/>
  <c r="AE6630" i="1"/>
  <c r="AE6629" i="1"/>
  <c r="AE6628" i="1"/>
  <c r="AE6627" i="1"/>
  <c r="AE6626" i="1"/>
  <c r="AE6625" i="1"/>
  <c r="AE6624" i="1"/>
  <c r="AE6623" i="1"/>
  <c r="AE6622" i="1"/>
  <c r="AE6621" i="1"/>
  <c r="AE6620" i="1"/>
  <c r="AE6619" i="1"/>
  <c r="AE6618" i="1"/>
  <c r="AE6617" i="1"/>
  <c r="AE6616" i="1"/>
  <c r="AE6615" i="1"/>
  <c r="AE6614" i="1"/>
  <c r="AE6613" i="1"/>
  <c r="AE6612" i="1"/>
  <c r="AE6611" i="1"/>
  <c r="AE6610" i="1"/>
  <c r="AE6609" i="1"/>
  <c r="AE6608" i="1"/>
  <c r="AE6607" i="1"/>
  <c r="AE6606" i="1"/>
  <c r="AE6605" i="1"/>
  <c r="AE6604" i="1"/>
  <c r="AE6603" i="1"/>
  <c r="AE6602" i="1"/>
  <c r="AE6601" i="1"/>
  <c r="AE6600" i="1"/>
  <c r="AE6599" i="1"/>
  <c r="AE6598" i="1"/>
  <c r="AE6597" i="1"/>
  <c r="AE6596" i="1"/>
  <c r="AE6595" i="1"/>
  <c r="AE6594" i="1"/>
  <c r="AE6593" i="1"/>
  <c r="AE6592" i="1"/>
  <c r="AE6591" i="1"/>
  <c r="AE6590" i="1"/>
  <c r="AE6589" i="1"/>
  <c r="AE6588" i="1"/>
  <c r="AE6587" i="1"/>
  <c r="AE6586" i="1"/>
  <c r="AE6585" i="1"/>
  <c r="AE6584" i="1"/>
  <c r="AE6583" i="1"/>
  <c r="AE6582" i="1"/>
  <c r="AE6581" i="1"/>
  <c r="AE6580" i="1"/>
  <c r="AE6579" i="1"/>
  <c r="AE6578" i="1"/>
  <c r="AE6577" i="1"/>
  <c r="AE6576" i="1"/>
  <c r="AE6575" i="1"/>
  <c r="AE6574" i="1"/>
  <c r="AE6573" i="1"/>
  <c r="AE6572" i="1"/>
  <c r="AE6571" i="1"/>
  <c r="AE6570" i="1"/>
  <c r="AE6569" i="1"/>
  <c r="AE6568" i="1"/>
  <c r="AE6567" i="1"/>
  <c r="AE6566" i="1"/>
  <c r="AE6565" i="1"/>
  <c r="AE6564" i="1"/>
  <c r="AE6563" i="1"/>
  <c r="AE6562" i="1"/>
  <c r="AE6561" i="1"/>
  <c r="AE6560" i="1"/>
  <c r="AE6559" i="1"/>
  <c r="AE6558" i="1"/>
  <c r="AE6557" i="1"/>
  <c r="AE6556" i="1"/>
  <c r="AE6555" i="1"/>
  <c r="AE6554" i="1"/>
  <c r="AE6553" i="1"/>
  <c r="AE6552" i="1"/>
  <c r="AE6551" i="1"/>
  <c r="AE6550" i="1"/>
  <c r="AE6549" i="1"/>
  <c r="AE6548" i="1"/>
  <c r="AE6547" i="1"/>
  <c r="AE6546" i="1"/>
  <c r="AE6545" i="1"/>
  <c r="AE6544" i="1"/>
  <c r="AE6543" i="1"/>
  <c r="AE6542" i="1"/>
  <c r="AE6541" i="1"/>
  <c r="AE6540" i="1"/>
  <c r="AE6539" i="1"/>
  <c r="AE6538" i="1"/>
  <c r="AE6537" i="1"/>
  <c r="AE6536" i="1"/>
  <c r="AE6535" i="1"/>
  <c r="AE6534" i="1"/>
  <c r="AE6533" i="1"/>
  <c r="AE6532" i="1"/>
  <c r="AE6531" i="1"/>
  <c r="AE6530" i="1"/>
  <c r="AE6529" i="1"/>
  <c r="AE6528" i="1"/>
  <c r="AE6527" i="1"/>
  <c r="AE6526" i="1"/>
  <c r="AE6525" i="1"/>
  <c r="AE6524" i="1"/>
  <c r="AE6523" i="1"/>
  <c r="AE6522" i="1"/>
  <c r="AE6521" i="1"/>
  <c r="AE6520" i="1"/>
  <c r="AE6519" i="1"/>
  <c r="AE6518" i="1"/>
  <c r="AE6517" i="1"/>
  <c r="AE6516" i="1"/>
  <c r="AE6515" i="1"/>
  <c r="AE6514" i="1"/>
  <c r="AE6513" i="1"/>
  <c r="AE6512" i="1"/>
  <c r="AE6511" i="1"/>
  <c r="AE6510" i="1"/>
  <c r="AE6509" i="1"/>
  <c r="AE6508" i="1"/>
  <c r="AE6507" i="1"/>
  <c r="AE6506" i="1"/>
  <c r="AE6505" i="1"/>
  <c r="AE6504" i="1"/>
  <c r="AE6503" i="1"/>
  <c r="AE6502" i="1"/>
  <c r="AE6501" i="1"/>
  <c r="AE6500" i="1"/>
  <c r="AE6499" i="1"/>
  <c r="AE6498" i="1"/>
  <c r="AE6497" i="1"/>
  <c r="AE6496" i="1"/>
  <c r="AE6495" i="1"/>
  <c r="AE6494" i="1"/>
  <c r="AE6493" i="1"/>
  <c r="AE6492" i="1"/>
  <c r="AE6491" i="1"/>
  <c r="AE6490" i="1"/>
  <c r="AE6489" i="1"/>
  <c r="AE6488" i="1"/>
  <c r="AE6487" i="1"/>
  <c r="AE6486" i="1"/>
  <c r="AE6485" i="1"/>
  <c r="AE6484" i="1"/>
  <c r="AE6483" i="1"/>
  <c r="AE6482" i="1"/>
  <c r="AE6481" i="1"/>
  <c r="AE6480" i="1"/>
  <c r="AE6479" i="1"/>
  <c r="AE6478" i="1"/>
  <c r="AE6477" i="1"/>
  <c r="AE6476" i="1"/>
  <c r="AE6475" i="1"/>
  <c r="AE6474" i="1"/>
  <c r="AE6473" i="1"/>
  <c r="AE6472" i="1"/>
  <c r="AE6471" i="1"/>
  <c r="AE6470" i="1"/>
  <c r="AE6469" i="1"/>
  <c r="AE6468" i="1"/>
  <c r="AE6467" i="1"/>
  <c r="AE6466" i="1"/>
  <c r="AE6465" i="1"/>
  <c r="AE6464" i="1"/>
  <c r="AE6463" i="1"/>
  <c r="AE6462" i="1"/>
  <c r="AE6461" i="1"/>
  <c r="AE6460" i="1"/>
  <c r="AE6459" i="1"/>
  <c r="AE6458" i="1"/>
  <c r="AE6457" i="1"/>
  <c r="AE6456" i="1"/>
  <c r="AE6455" i="1"/>
  <c r="AE6454" i="1"/>
  <c r="AE6453" i="1"/>
  <c r="AE6452" i="1"/>
  <c r="AE6451" i="1"/>
  <c r="AE6450" i="1"/>
  <c r="AE6449" i="1"/>
  <c r="AE6448" i="1"/>
  <c r="AE6447" i="1"/>
  <c r="AE6446" i="1"/>
  <c r="AE6445" i="1"/>
  <c r="AE6444" i="1"/>
  <c r="AE6443" i="1"/>
  <c r="AE6442" i="1"/>
  <c r="AE6441" i="1"/>
  <c r="AE6440" i="1"/>
  <c r="AE6439" i="1"/>
  <c r="AE6438" i="1"/>
  <c r="AE6437" i="1"/>
  <c r="AE6436" i="1"/>
  <c r="AE6435" i="1"/>
  <c r="AE6434" i="1"/>
  <c r="AE6433" i="1"/>
  <c r="AE6432" i="1"/>
  <c r="AE6431" i="1"/>
  <c r="AE6430" i="1"/>
  <c r="AE6429" i="1"/>
  <c r="AE6428" i="1"/>
  <c r="AE6427" i="1"/>
  <c r="AE6426" i="1"/>
  <c r="AE6425" i="1"/>
  <c r="AE6424" i="1"/>
  <c r="AE6423" i="1"/>
  <c r="AE6422" i="1"/>
  <c r="AE6421" i="1"/>
  <c r="AE6420" i="1"/>
  <c r="AE6419" i="1"/>
  <c r="AE6418" i="1"/>
  <c r="AE6417" i="1"/>
  <c r="AE6416" i="1"/>
  <c r="AE6415" i="1"/>
  <c r="AE6414" i="1"/>
  <c r="AE6413" i="1"/>
  <c r="AE6412" i="1"/>
  <c r="AE6411" i="1"/>
  <c r="AE6410" i="1"/>
  <c r="AE6409" i="1"/>
  <c r="AE6408" i="1"/>
  <c r="AE6407" i="1"/>
  <c r="AE6406" i="1"/>
  <c r="AE6405" i="1"/>
  <c r="AE6404" i="1"/>
  <c r="AE6403" i="1"/>
  <c r="AE6402" i="1"/>
  <c r="AE6401" i="1"/>
  <c r="AE6400" i="1"/>
  <c r="AE6399" i="1"/>
  <c r="AE6398" i="1"/>
  <c r="AE6397" i="1"/>
  <c r="AE6396" i="1"/>
  <c r="AE6395" i="1"/>
  <c r="AE6394" i="1"/>
  <c r="AE6393" i="1"/>
  <c r="AE6392" i="1"/>
  <c r="AE6391" i="1"/>
  <c r="AE6390" i="1"/>
  <c r="AE6389" i="1"/>
  <c r="AE6388" i="1"/>
  <c r="AE6387" i="1"/>
  <c r="AE6386" i="1"/>
  <c r="AE6385" i="1"/>
  <c r="AE6384" i="1"/>
  <c r="AE6383" i="1"/>
  <c r="AE6382" i="1"/>
  <c r="AE6381" i="1"/>
  <c r="AE6380" i="1"/>
  <c r="AE6379" i="1"/>
  <c r="AE6378" i="1"/>
  <c r="AE6377" i="1"/>
  <c r="AE6376" i="1"/>
  <c r="AE6375" i="1"/>
  <c r="AE6374" i="1"/>
  <c r="AE6373" i="1"/>
  <c r="AE6372" i="1"/>
  <c r="AE6371" i="1"/>
  <c r="AE6370" i="1"/>
  <c r="AE6369" i="1"/>
  <c r="AE6368" i="1"/>
  <c r="AE6367" i="1"/>
  <c r="AE6366" i="1"/>
  <c r="AE6365" i="1"/>
  <c r="AE6364" i="1"/>
  <c r="AE6363" i="1"/>
  <c r="AE6362" i="1"/>
  <c r="AE6361" i="1"/>
  <c r="AE6360" i="1"/>
  <c r="AE6359" i="1"/>
  <c r="AE6358" i="1"/>
  <c r="AE6357" i="1"/>
  <c r="AE6356" i="1"/>
  <c r="AE6355" i="1"/>
  <c r="AE6354" i="1"/>
  <c r="AE6353" i="1"/>
  <c r="AE6352" i="1"/>
  <c r="AE6351" i="1"/>
  <c r="AE6350" i="1"/>
  <c r="AE6349" i="1"/>
  <c r="AE6348" i="1"/>
  <c r="AE6347" i="1"/>
  <c r="AE6346" i="1"/>
  <c r="AE6345" i="1"/>
  <c r="AE6344" i="1"/>
  <c r="AE6343" i="1"/>
  <c r="AE6342" i="1"/>
  <c r="AE6341" i="1"/>
  <c r="AE6340" i="1"/>
  <c r="AE6339" i="1"/>
  <c r="AE6338" i="1"/>
  <c r="AE6337" i="1"/>
  <c r="AE6336" i="1"/>
  <c r="AE6335" i="1"/>
  <c r="AE6334" i="1"/>
  <c r="AE6333" i="1"/>
  <c r="AE6332" i="1"/>
  <c r="AE6331" i="1"/>
  <c r="AE6330" i="1"/>
  <c r="AE6329" i="1"/>
  <c r="AE6328" i="1"/>
  <c r="AE6327" i="1"/>
  <c r="AE6326" i="1"/>
  <c r="AE6325" i="1"/>
  <c r="AE6324" i="1"/>
  <c r="AE6323" i="1"/>
  <c r="AE6322" i="1"/>
  <c r="AE6321" i="1"/>
  <c r="AE6320" i="1"/>
  <c r="AE6319" i="1"/>
  <c r="AE6318" i="1"/>
  <c r="AE6317" i="1"/>
  <c r="AE6316" i="1"/>
  <c r="AE6315" i="1"/>
  <c r="AE6314" i="1"/>
  <c r="AE6313" i="1"/>
  <c r="AE6312" i="1"/>
  <c r="AE6311" i="1"/>
  <c r="AE6310" i="1"/>
  <c r="AE6309" i="1"/>
  <c r="AE6308" i="1"/>
  <c r="AE6307" i="1"/>
  <c r="AE6306" i="1"/>
  <c r="AE6305" i="1"/>
  <c r="AE6304" i="1"/>
  <c r="AE6303" i="1"/>
  <c r="AE6302" i="1"/>
  <c r="AE6301" i="1"/>
  <c r="AE6300" i="1"/>
  <c r="AE6299" i="1"/>
  <c r="AE6298" i="1"/>
  <c r="AE6297" i="1"/>
  <c r="AE6296" i="1"/>
  <c r="AE6295" i="1"/>
  <c r="AE6294" i="1"/>
  <c r="AE6293" i="1"/>
  <c r="AE6292" i="1"/>
  <c r="AE6291" i="1"/>
  <c r="AE6290" i="1"/>
  <c r="AE6289" i="1"/>
  <c r="AE6288" i="1"/>
  <c r="AE6287" i="1"/>
  <c r="AE6286" i="1"/>
  <c r="AE6285" i="1"/>
  <c r="AE6284" i="1"/>
  <c r="AE6283" i="1"/>
  <c r="AE6282" i="1"/>
  <c r="AE6281" i="1"/>
  <c r="AE6280" i="1"/>
  <c r="AE6279" i="1"/>
  <c r="AE6278" i="1"/>
  <c r="AE6277" i="1"/>
  <c r="AE6276" i="1"/>
  <c r="AE6275" i="1"/>
  <c r="AE6274" i="1"/>
  <c r="AE6273" i="1"/>
  <c r="AE6272" i="1"/>
  <c r="AE6271" i="1"/>
  <c r="AE6270" i="1"/>
  <c r="AE6269" i="1"/>
  <c r="AE6268" i="1"/>
  <c r="AE6267" i="1"/>
  <c r="AE6266" i="1"/>
  <c r="AE6265" i="1"/>
  <c r="AE6264" i="1"/>
  <c r="AE6263" i="1"/>
  <c r="AE6262" i="1"/>
  <c r="AE6261" i="1"/>
  <c r="AE6260" i="1"/>
  <c r="AE6259" i="1"/>
  <c r="AE6258" i="1"/>
  <c r="AE6257" i="1"/>
  <c r="AE6256" i="1"/>
  <c r="AE6255" i="1"/>
  <c r="AE6254" i="1"/>
  <c r="AE6253" i="1"/>
  <c r="AE6252" i="1"/>
  <c r="AE6251" i="1"/>
  <c r="AE6250" i="1"/>
  <c r="AE6249" i="1"/>
  <c r="AE6248" i="1"/>
  <c r="AE6247" i="1"/>
  <c r="AE6246" i="1"/>
  <c r="AE6245" i="1"/>
  <c r="AE6244" i="1"/>
  <c r="AE6243" i="1"/>
  <c r="AE6242" i="1"/>
  <c r="AE6241" i="1"/>
  <c r="AE6240" i="1"/>
  <c r="AE6239" i="1"/>
  <c r="AE6238" i="1"/>
  <c r="AE6237" i="1"/>
  <c r="AE6236" i="1"/>
  <c r="AE6235" i="1"/>
  <c r="AE6234" i="1"/>
  <c r="AE6233" i="1"/>
  <c r="AE6232" i="1"/>
  <c r="AE6231" i="1"/>
  <c r="AE6230" i="1"/>
  <c r="AE6229" i="1"/>
  <c r="AE6228" i="1"/>
  <c r="AE6227" i="1"/>
  <c r="AE6226" i="1"/>
  <c r="AE6225" i="1"/>
  <c r="AE6224" i="1"/>
  <c r="AE6223" i="1"/>
  <c r="AE6222" i="1"/>
  <c r="AE6221" i="1"/>
  <c r="AE6220" i="1"/>
  <c r="AE6219" i="1"/>
  <c r="AE6218" i="1"/>
  <c r="AE6217" i="1"/>
  <c r="AE6216" i="1"/>
  <c r="AE6215" i="1"/>
  <c r="AE6214" i="1"/>
  <c r="AE6213" i="1"/>
  <c r="AE6212" i="1"/>
  <c r="AE6211" i="1"/>
  <c r="AE6210" i="1"/>
  <c r="AE6209" i="1"/>
  <c r="AE6208" i="1"/>
  <c r="AE6207" i="1"/>
  <c r="AE6206" i="1"/>
  <c r="AE6205" i="1"/>
  <c r="AE6204" i="1"/>
  <c r="AE6203" i="1"/>
  <c r="AE6202" i="1"/>
  <c r="AE6201" i="1"/>
  <c r="AE6200" i="1"/>
  <c r="AE6199" i="1"/>
  <c r="AE6198" i="1"/>
  <c r="AE6197" i="1"/>
  <c r="AE6196" i="1"/>
  <c r="AE6195" i="1"/>
  <c r="AE6194" i="1"/>
  <c r="AE6193" i="1"/>
  <c r="AE6192" i="1"/>
  <c r="AE6191" i="1"/>
  <c r="AE6190" i="1"/>
  <c r="AE6189" i="1"/>
  <c r="AE6188" i="1"/>
  <c r="AE6187" i="1"/>
  <c r="AE6186" i="1"/>
  <c r="AE6185" i="1"/>
  <c r="AE6184" i="1"/>
  <c r="AE6183" i="1"/>
  <c r="AE6182" i="1"/>
  <c r="AE6181" i="1"/>
  <c r="AE6180" i="1"/>
  <c r="AE6179" i="1"/>
  <c r="AE6178" i="1"/>
  <c r="AE6177" i="1"/>
  <c r="AE6176" i="1"/>
  <c r="AE6175" i="1"/>
  <c r="AE6174" i="1"/>
  <c r="AE6173" i="1"/>
  <c r="AE6172" i="1"/>
  <c r="AE6171" i="1"/>
  <c r="AE6170" i="1"/>
  <c r="AE6169" i="1"/>
  <c r="AE6168" i="1"/>
  <c r="AE6167" i="1"/>
  <c r="AE6166" i="1"/>
  <c r="AE6165" i="1"/>
  <c r="AE6164" i="1"/>
  <c r="AE6163" i="1"/>
  <c r="AE6162" i="1"/>
  <c r="AE6161" i="1"/>
  <c r="AE6160" i="1"/>
  <c r="AE6159" i="1"/>
  <c r="AE6158" i="1"/>
  <c r="AE6157" i="1"/>
  <c r="AE6156" i="1"/>
  <c r="AE6155" i="1"/>
  <c r="AE6154" i="1"/>
  <c r="AE6153" i="1"/>
  <c r="AE6152" i="1"/>
  <c r="AE6151" i="1"/>
  <c r="AE6150" i="1"/>
  <c r="AE6149" i="1"/>
  <c r="AE6148" i="1"/>
  <c r="AE6147" i="1"/>
  <c r="AE6146" i="1"/>
  <c r="AE6145" i="1"/>
  <c r="AE6144" i="1"/>
  <c r="AE6143" i="1"/>
  <c r="AE6142" i="1"/>
  <c r="AE6141" i="1"/>
  <c r="AE6140" i="1"/>
  <c r="AE6139" i="1"/>
  <c r="AE6138" i="1"/>
  <c r="AE6137" i="1"/>
  <c r="AE6136" i="1"/>
  <c r="AE6135" i="1"/>
  <c r="AE6134" i="1"/>
  <c r="AE6133" i="1"/>
  <c r="AE6132" i="1"/>
  <c r="AE6131" i="1"/>
  <c r="AE6130" i="1"/>
  <c r="AE6129" i="1"/>
  <c r="AE6128" i="1"/>
  <c r="AE6127" i="1"/>
  <c r="AE6126" i="1"/>
  <c r="AE6125" i="1"/>
  <c r="AE6124" i="1"/>
  <c r="AE6123" i="1"/>
  <c r="AE6122" i="1"/>
  <c r="AE6121" i="1"/>
  <c r="AE6120" i="1"/>
  <c r="AE6119" i="1"/>
  <c r="AE6118" i="1"/>
  <c r="AE6117" i="1"/>
  <c r="AE6116" i="1"/>
  <c r="AE6115" i="1"/>
  <c r="AE6114" i="1"/>
  <c r="AE6113" i="1"/>
  <c r="AE6112" i="1"/>
  <c r="AE6111" i="1"/>
  <c r="AE6110" i="1"/>
  <c r="AE6109" i="1"/>
  <c r="AE6108" i="1"/>
  <c r="AE6107" i="1"/>
  <c r="AE6106" i="1"/>
  <c r="AE6105" i="1"/>
  <c r="AE6104" i="1"/>
  <c r="AE6103" i="1"/>
  <c r="AE6102" i="1"/>
  <c r="AE6101" i="1"/>
  <c r="AE6100" i="1"/>
  <c r="AE6099" i="1"/>
  <c r="AE6098" i="1"/>
  <c r="AE6097" i="1"/>
  <c r="AE6096" i="1"/>
  <c r="AE6095" i="1"/>
  <c r="AE6094" i="1"/>
  <c r="AE6093" i="1"/>
  <c r="AE6092" i="1"/>
  <c r="AE6091" i="1"/>
  <c r="AE6090" i="1"/>
  <c r="AE6089" i="1"/>
  <c r="AE6088" i="1"/>
  <c r="AE6087" i="1"/>
  <c r="AE6086" i="1"/>
  <c r="AE6085" i="1"/>
  <c r="AE6084" i="1"/>
  <c r="AE6083" i="1"/>
  <c r="AE6082" i="1"/>
  <c r="AE6081" i="1"/>
  <c r="AE6080" i="1"/>
  <c r="AE6079" i="1"/>
  <c r="AE6078" i="1"/>
  <c r="AE6077" i="1"/>
  <c r="AE6076" i="1"/>
  <c r="AE6075" i="1"/>
  <c r="AE6074" i="1"/>
  <c r="AE6073" i="1"/>
  <c r="AE6072" i="1"/>
  <c r="AE6071" i="1"/>
  <c r="AE6070" i="1"/>
  <c r="AE6069" i="1"/>
  <c r="AE6068" i="1"/>
  <c r="AE6067" i="1"/>
  <c r="AE6066" i="1"/>
  <c r="AE6065" i="1"/>
  <c r="AE6064" i="1"/>
  <c r="AE6063" i="1"/>
  <c r="AE6062" i="1"/>
  <c r="AE6061" i="1"/>
  <c r="AE6060" i="1"/>
  <c r="AE6059" i="1"/>
  <c r="AE6058" i="1"/>
  <c r="AE6057" i="1"/>
  <c r="AE6056" i="1"/>
  <c r="AE6055" i="1"/>
  <c r="AE6054" i="1"/>
  <c r="AE6053" i="1"/>
  <c r="AE6052" i="1"/>
  <c r="AE6051" i="1"/>
  <c r="AE6050" i="1"/>
  <c r="AE6049" i="1"/>
  <c r="AE6048" i="1"/>
  <c r="AE6047" i="1"/>
  <c r="AE6046" i="1"/>
  <c r="AE6045" i="1"/>
  <c r="AE6044" i="1"/>
  <c r="AE6043" i="1"/>
  <c r="AE6042" i="1"/>
  <c r="AE6041" i="1"/>
  <c r="AE6040" i="1"/>
  <c r="AE6039" i="1"/>
  <c r="AE6038" i="1"/>
  <c r="AE6037" i="1"/>
  <c r="AE6036" i="1"/>
  <c r="AE6035" i="1"/>
  <c r="AE6034" i="1"/>
  <c r="AE6033" i="1"/>
  <c r="AE6032" i="1"/>
  <c r="AE6031" i="1"/>
  <c r="AE6030" i="1"/>
  <c r="AE6029" i="1"/>
  <c r="AE6028" i="1"/>
  <c r="AE6027" i="1"/>
  <c r="AE6026" i="1"/>
  <c r="AE6025" i="1"/>
  <c r="AE6024" i="1"/>
  <c r="AE6023" i="1"/>
  <c r="AE6022" i="1"/>
  <c r="AE6021" i="1"/>
  <c r="AE6020" i="1"/>
  <c r="AE6019" i="1"/>
  <c r="AE6018" i="1"/>
  <c r="AE6017" i="1"/>
  <c r="AE6016" i="1"/>
  <c r="AE6015" i="1"/>
  <c r="AE6014" i="1"/>
  <c r="AE6013" i="1"/>
  <c r="AE6012" i="1"/>
  <c r="AE6011" i="1"/>
  <c r="AE6010" i="1"/>
  <c r="AE6009" i="1"/>
  <c r="AE6008" i="1"/>
  <c r="AE6007" i="1"/>
  <c r="AE6006" i="1"/>
  <c r="AE6005" i="1"/>
  <c r="AE6004" i="1"/>
  <c r="AE6003" i="1"/>
  <c r="AE6002" i="1"/>
  <c r="AE6001" i="1"/>
  <c r="AE6000" i="1"/>
  <c r="AE5999" i="1"/>
  <c r="AE5998" i="1"/>
  <c r="AE5997" i="1"/>
  <c r="AE5996" i="1"/>
  <c r="AE5995" i="1"/>
  <c r="AE5994" i="1"/>
  <c r="AE5993" i="1"/>
  <c r="AE5992" i="1"/>
  <c r="AE5991" i="1"/>
  <c r="AE5990" i="1"/>
  <c r="AE5989" i="1"/>
  <c r="AE5988" i="1"/>
  <c r="AE5987" i="1"/>
  <c r="AE5986" i="1"/>
  <c r="AE5985" i="1"/>
  <c r="AE5984" i="1"/>
  <c r="AE5983" i="1"/>
  <c r="AE5982" i="1"/>
  <c r="AE5981" i="1"/>
  <c r="AE5980" i="1"/>
  <c r="AE5979" i="1"/>
  <c r="AE5978" i="1"/>
  <c r="AE5977" i="1"/>
  <c r="AE5976" i="1"/>
  <c r="AE5975" i="1"/>
  <c r="AE5974" i="1"/>
  <c r="AE5973" i="1"/>
  <c r="AE5972" i="1"/>
  <c r="AE5971" i="1"/>
  <c r="AE5970" i="1"/>
  <c r="AE5969" i="1"/>
  <c r="AE5968" i="1"/>
  <c r="AE5967" i="1"/>
  <c r="AE5966" i="1"/>
  <c r="AE5965" i="1"/>
  <c r="AE5964" i="1"/>
  <c r="AE5963" i="1"/>
  <c r="AE5962" i="1"/>
  <c r="AE5961" i="1"/>
  <c r="AE5960" i="1"/>
  <c r="AE5959" i="1"/>
  <c r="AE5958" i="1"/>
  <c r="AE5957" i="1"/>
  <c r="AE5956" i="1"/>
  <c r="AE5955" i="1"/>
  <c r="AE5954" i="1"/>
  <c r="AE5953" i="1"/>
  <c r="AE5952" i="1"/>
  <c r="AE5951" i="1"/>
  <c r="AE5950" i="1"/>
  <c r="AE5949" i="1"/>
  <c r="AE5948" i="1"/>
  <c r="AE5947" i="1"/>
  <c r="AE5946" i="1"/>
  <c r="AE5945" i="1"/>
  <c r="AE5944" i="1"/>
  <c r="AE5943" i="1"/>
  <c r="AE5942" i="1"/>
  <c r="AE5941" i="1"/>
  <c r="AE5940" i="1"/>
  <c r="AE5939" i="1"/>
  <c r="AE5938" i="1"/>
  <c r="AE5937" i="1"/>
  <c r="AE5936" i="1"/>
  <c r="AE5935" i="1"/>
  <c r="AE5934" i="1"/>
  <c r="AE5933" i="1"/>
  <c r="AE5932" i="1"/>
  <c r="AE5931" i="1"/>
  <c r="AE5930" i="1"/>
  <c r="AE5929" i="1"/>
  <c r="AE5928" i="1"/>
  <c r="AE5927" i="1"/>
  <c r="AE5926" i="1"/>
  <c r="AE5925" i="1"/>
  <c r="AE5924" i="1"/>
  <c r="AE5923" i="1"/>
  <c r="AE5922" i="1"/>
  <c r="AE5921" i="1"/>
  <c r="AE5920" i="1"/>
  <c r="AE5919" i="1"/>
  <c r="AE5918" i="1"/>
  <c r="AE5917" i="1"/>
  <c r="AE5916" i="1"/>
  <c r="AE5915" i="1"/>
  <c r="AE5914" i="1"/>
  <c r="AE5913" i="1"/>
  <c r="AE5912" i="1"/>
  <c r="AE5911" i="1"/>
  <c r="AE5910" i="1"/>
  <c r="AE5909" i="1"/>
  <c r="AE5908" i="1"/>
  <c r="AE5907" i="1"/>
  <c r="AE5906" i="1"/>
  <c r="AE5905" i="1"/>
  <c r="AE5904" i="1"/>
  <c r="AE5903" i="1"/>
  <c r="AE5902" i="1"/>
  <c r="AE5901" i="1"/>
  <c r="AE5900" i="1"/>
  <c r="AE5899" i="1"/>
  <c r="AE5898" i="1"/>
  <c r="AE5897" i="1"/>
  <c r="AE5896" i="1"/>
  <c r="AE5895" i="1"/>
  <c r="AE5894" i="1"/>
  <c r="AE5893" i="1"/>
  <c r="AE5892" i="1"/>
  <c r="AE5891" i="1"/>
  <c r="AE5890" i="1"/>
  <c r="AE5889" i="1"/>
  <c r="AE5888" i="1"/>
  <c r="AE5887" i="1"/>
  <c r="AE5886" i="1"/>
  <c r="AE5885" i="1"/>
  <c r="AE5884" i="1"/>
  <c r="AE5883" i="1"/>
  <c r="AE5882" i="1"/>
  <c r="AE5881" i="1"/>
  <c r="AE5880" i="1"/>
  <c r="AE5879" i="1"/>
  <c r="AE5878" i="1"/>
  <c r="AE5877" i="1"/>
  <c r="AE5876" i="1"/>
  <c r="AE5875" i="1"/>
  <c r="AE5874" i="1"/>
  <c r="AE5873" i="1"/>
  <c r="AE5872" i="1"/>
  <c r="AE5871" i="1"/>
  <c r="AE5870" i="1"/>
  <c r="AE5869" i="1"/>
  <c r="AE5868" i="1"/>
  <c r="AE5867" i="1"/>
  <c r="AE5866" i="1"/>
  <c r="AE5865" i="1"/>
  <c r="AE5864" i="1"/>
  <c r="AE5863" i="1"/>
  <c r="AE5862" i="1"/>
  <c r="AE5861" i="1"/>
  <c r="AE5860" i="1"/>
  <c r="AE5859" i="1"/>
  <c r="AE5858" i="1"/>
  <c r="AE5857" i="1"/>
  <c r="AE5856" i="1"/>
  <c r="AE5855" i="1"/>
  <c r="AE5854" i="1"/>
  <c r="AE5853" i="1"/>
  <c r="AE5852" i="1"/>
  <c r="AE5851" i="1"/>
  <c r="AE5850" i="1"/>
  <c r="AE5849" i="1"/>
  <c r="AE5848" i="1"/>
  <c r="AE5847" i="1"/>
  <c r="AE5846" i="1"/>
  <c r="AE5845" i="1"/>
  <c r="AE5844" i="1"/>
  <c r="AE5843" i="1"/>
  <c r="AE5842" i="1"/>
  <c r="AE5841" i="1"/>
  <c r="AE5840" i="1"/>
  <c r="AE5839" i="1"/>
  <c r="AE5838" i="1"/>
  <c r="AE5837" i="1"/>
  <c r="AE5836" i="1"/>
  <c r="AE5835" i="1"/>
  <c r="AE5834" i="1"/>
  <c r="AE5833" i="1"/>
  <c r="AE5832" i="1"/>
  <c r="AE5831" i="1"/>
  <c r="AE5830" i="1"/>
  <c r="AE5829" i="1"/>
  <c r="AE5828" i="1"/>
  <c r="AE5827" i="1"/>
  <c r="AE5826" i="1"/>
  <c r="AE5825" i="1"/>
  <c r="AE5824" i="1"/>
  <c r="AE5823" i="1"/>
  <c r="AE5822" i="1"/>
  <c r="AE5821" i="1"/>
  <c r="AE5820" i="1"/>
  <c r="AE5819" i="1"/>
  <c r="AE5818" i="1"/>
  <c r="AE5817" i="1"/>
  <c r="AE5816" i="1"/>
  <c r="AE5815" i="1"/>
  <c r="AE5814" i="1"/>
  <c r="AE5813" i="1"/>
  <c r="AE5812" i="1"/>
  <c r="AE5811" i="1"/>
  <c r="AE5810" i="1"/>
  <c r="AE5809" i="1"/>
  <c r="AE5808" i="1"/>
  <c r="AE5807" i="1"/>
  <c r="AE5806" i="1"/>
  <c r="AE5805" i="1"/>
  <c r="AE5804" i="1"/>
  <c r="AE5803" i="1"/>
  <c r="AE5802" i="1"/>
  <c r="AE5801" i="1"/>
  <c r="AE5800" i="1"/>
  <c r="AE5799" i="1"/>
  <c r="AE5798" i="1"/>
  <c r="AE5797" i="1"/>
  <c r="AE5796" i="1"/>
  <c r="AE5795" i="1"/>
  <c r="AE5794" i="1"/>
  <c r="AE5793" i="1"/>
  <c r="AE5792" i="1"/>
  <c r="AE5791" i="1"/>
  <c r="AE5790" i="1"/>
  <c r="AE5789" i="1"/>
  <c r="AE5788" i="1"/>
  <c r="AE5787" i="1"/>
  <c r="AE5786" i="1"/>
  <c r="AE5785" i="1"/>
  <c r="AE5784" i="1"/>
  <c r="AE5783" i="1"/>
  <c r="AE5782" i="1"/>
  <c r="AE5781" i="1"/>
  <c r="AE5780" i="1"/>
  <c r="AE5779" i="1"/>
  <c r="AE5778" i="1"/>
  <c r="AE5777" i="1"/>
  <c r="AE5776" i="1"/>
  <c r="AE5775" i="1"/>
  <c r="AE5774" i="1"/>
  <c r="AE5773" i="1"/>
  <c r="AE5772" i="1"/>
  <c r="AE5771" i="1"/>
  <c r="AE5770" i="1"/>
  <c r="AE5769" i="1"/>
  <c r="AE5768" i="1"/>
  <c r="AE5767" i="1"/>
  <c r="AE5766" i="1"/>
  <c r="AE5765" i="1"/>
  <c r="AE5764" i="1"/>
  <c r="AE5763" i="1"/>
  <c r="AE5762" i="1"/>
  <c r="AE5761" i="1"/>
  <c r="AE5760" i="1"/>
  <c r="AE5759" i="1"/>
  <c r="AE5758" i="1"/>
  <c r="AE5757" i="1"/>
  <c r="AE5756" i="1"/>
  <c r="AE5755" i="1"/>
  <c r="AE5754" i="1"/>
  <c r="AE5753" i="1"/>
  <c r="AE5752" i="1"/>
  <c r="AE5751" i="1"/>
  <c r="AE5750" i="1"/>
  <c r="AE5749" i="1"/>
  <c r="AE5748" i="1"/>
  <c r="AE5747" i="1"/>
  <c r="AE5746" i="1"/>
  <c r="AE5745" i="1"/>
  <c r="AE5744" i="1"/>
  <c r="AE5743" i="1"/>
  <c r="AE5742" i="1"/>
  <c r="AE5741" i="1"/>
  <c r="AE5740" i="1"/>
  <c r="AE5739" i="1"/>
  <c r="AE5738" i="1"/>
  <c r="AE5737" i="1"/>
  <c r="AE5736" i="1"/>
  <c r="AE5735" i="1"/>
  <c r="AE5734" i="1"/>
  <c r="AE5733" i="1"/>
  <c r="AE5732" i="1"/>
  <c r="AE5731" i="1"/>
  <c r="AE5730" i="1"/>
  <c r="AE5729" i="1"/>
  <c r="AE5728" i="1"/>
  <c r="AE5727" i="1"/>
  <c r="AE5726" i="1"/>
  <c r="AE5725" i="1"/>
  <c r="AE5724" i="1"/>
  <c r="AE5723" i="1"/>
  <c r="AE5722" i="1"/>
  <c r="AE5721" i="1"/>
  <c r="AE5720" i="1"/>
  <c r="AE5719" i="1"/>
  <c r="AE5718" i="1"/>
  <c r="AE5717" i="1"/>
  <c r="AE5716" i="1"/>
  <c r="AE5715" i="1"/>
  <c r="AE5714" i="1"/>
  <c r="AE5713" i="1"/>
  <c r="AE5712" i="1"/>
  <c r="AE5711" i="1"/>
  <c r="AE5710" i="1"/>
  <c r="AE5709" i="1"/>
  <c r="AE5708" i="1"/>
  <c r="AE5707" i="1"/>
  <c r="AE5706" i="1"/>
  <c r="AE5705" i="1"/>
  <c r="AE5704" i="1"/>
  <c r="AE5703" i="1"/>
  <c r="AE5702" i="1"/>
  <c r="AE5701" i="1"/>
  <c r="AE5700" i="1"/>
  <c r="AE5699" i="1"/>
  <c r="AE5698" i="1"/>
  <c r="AE5697" i="1"/>
  <c r="AE5696" i="1"/>
  <c r="AE5695" i="1"/>
  <c r="AE5694" i="1"/>
  <c r="AE5693" i="1"/>
  <c r="AE5692" i="1"/>
  <c r="AE5691" i="1"/>
  <c r="AE5690" i="1"/>
  <c r="AE5689" i="1"/>
  <c r="AE5688" i="1"/>
  <c r="AE5687" i="1"/>
  <c r="AE5686" i="1"/>
  <c r="AE5685" i="1"/>
  <c r="AE5684" i="1"/>
  <c r="AE5683" i="1"/>
  <c r="AE5682" i="1"/>
  <c r="AE5681" i="1"/>
  <c r="AE5680" i="1"/>
  <c r="AE5679" i="1"/>
  <c r="AE5678" i="1"/>
  <c r="AE5677" i="1"/>
  <c r="AE5676" i="1"/>
  <c r="AE5675" i="1"/>
  <c r="AE5674" i="1"/>
  <c r="AE5673" i="1"/>
  <c r="AE5672" i="1"/>
  <c r="AE5671" i="1"/>
  <c r="AE5670" i="1"/>
  <c r="AE5669" i="1"/>
  <c r="AE5668" i="1"/>
  <c r="AE5667" i="1"/>
  <c r="AE5666" i="1"/>
  <c r="AE5665" i="1"/>
  <c r="AE5664" i="1"/>
  <c r="AE5663" i="1"/>
  <c r="AE5662" i="1"/>
  <c r="AE5661" i="1"/>
  <c r="AE5660" i="1"/>
  <c r="AE5659" i="1"/>
  <c r="AE5658" i="1"/>
  <c r="AE5657" i="1"/>
  <c r="AE5656" i="1"/>
  <c r="AE5655" i="1"/>
  <c r="AE5654" i="1"/>
  <c r="AE5653" i="1"/>
  <c r="AE5652" i="1"/>
  <c r="AE5651" i="1"/>
  <c r="AE5650" i="1"/>
  <c r="AE5649" i="1"/>
  <c r="AE5648" i="1"/>
  <c r="AE5647" i="1"/>
  <c r="AE5646" i="1"/>
  <c r="AE5645" i="1"/>
  <c r="AE5644" i="1"/>
  <c r="AE5643" i="1"/>
  <c r="AE5642" i="1"/>
  <c r="AE5641" i="1"/>
  <c r="AE5640" i="1"/>
  <c r="AE5639" i="1"/>
  <c r="AE5638" i="1"/>
  <c r="AE5637" i="1"/>
  <c r="AE5636" i="1"/>
  <c r="AE5635" i="1"/>
  <c r="AE5634" i="1"/>
  <c r="AE5633" i="1"/>
  <c r="AE5632" i="1"/>
  <c r="AE5631" i="1"/>
  <c r="AE5630" i="1"/>
  <c r="AE5629" i="1"/>
  <c r="AE5628" i="1"/>
  <c r="AE5627" i="1"/>
  <c r="AE5626" i="1"/>
  <c r="AE5625" i="1"/>
  <c r="AE5624" i="1"/>
  <c r="AE5623" i="1"/>
  <c r="AE5622" i="1"/>
  <c r="AE5621" i="1"/>
  <c r="AE5620" i="1"/>
  <c r="AE5619" i="1"/>
  <c r="AE5618" i="1"/>
  <c r="AE5617" i="1"/>
  <c r="AE5616" i="1"/>
  <c r="AE5615" i="1"/>
  <c r="AE5614" i="1"/>
  <c r="AE5613" i="1"/>
  <c r="AE5612" i="1"/>
  <c r="AE5611" i="1"/>
  <c r="AE5610" i="1"/>
  <c r="AE5609" i="1"/>
  <c r="AE5608" i="1"/>
  <c r="AE5607" i="1"/>
  <c r="AE5606" i="1"/>
  <c r="AE5605" i="1"/>
  <c r="AE5604" i="1"/>
  <c r="AE5603" i="1"/>
  <c r="AE5602" i="1"/>
  <c r="AE5601" i="1"/>
  <c r="AE5600" i="1"/>
  <c r="AE5599" i="1"/>
  <c r="AE5598" i="1"/>
  <c r="AE5597" i="1"/>
  <c r="AE5596" i="1"/>
  <c r="AE5595" i="1"/>
  <c r="AE5594" i="1"/>
  <c r="AE5593" i="1"/>
  <c r="AE5592" i="1"/>
  <c r="AE5591" i="1"/>
  <c r="AE5590" i="1"/>
  <c r="AE5589" i="1"/>
  <c r="AE5588" i="1"/>
  <c r="AE5587" i="1"/>
  <c r="AE5586" i="1"/>
  <c r="AE5585" i="1"/>
  <c r="AE5584" i="1"/>
  <c r="AE5583" i="1"/>
  <c r="AE5582" i="1"/>
  <c r="AE5581" i="1"/>
  <c r="AE5580" i="1"/>
  <c r="AE5579" i="1"/>
  <c r="AE5578" i="1"/>
  <c r="AE5577" i="1"/>
  <c r="AE5576" i="1"/>
  <c r="AE5575" i="1"/>
  <c r="AE5574" i="1"/>
  <c r="AE5573" i="1"/>
  <c r="AE5572" i="1"/>
  <c r="AE5571" i="1"/>
  <c r="AE5570" i="1"/>
  <c r="AE5569" i="1"/>
  <c r="AE5568" i="1"/>
  <c r="AE5567" i="1"/>
  <c r="AE5566" i="1"/>
  <c r="AE5565" i="1"/>
  <c r="AE5564" i="1"/>
  <c r="AE5563" i="1"/>
  <c r="AE5562" i="1"/>
  <c r="AE5561" i="1"/>
  <c r="AE5560" i="1"/>
  <c r="AE5559" i="1"/>
  <c r="AE5558" i="1"/>
  <c r="AE5557" i="1"/>
  <c r="AE5556" i="1"/>
  <c r="AE5555" i="1"/>
  <c r="AE5554" i="1"/>
  <c r="AE5553" i="1"/>
  <c r="AE5552" i="1"/>
  <c r="AE5551" i="1"/>
  <c r="AE5550" i="1"/>
  <c r="AE5549" i="1"/>
  <c r="AE5548" i="1"/>
  <c r="AE5547" i="1"/>
  <c r="AE5546" i="1"/>
  <c r="AE5545" i="1"/>
  <c r="AE5544" i="1"/>
  <c r="AE5543" i="1"/>
  <c r="AE5542" i="1"/>
  <c r="AE5541" i="1"/>
  <c r="AE5540" i="1"/>
  <c r="AE5539" i="1"/>
  <c r="AE5538" i="1"/>
  <c r="AE5537" i="1"/>
  <c r="AE5536" i="1"/>
  <c r="AE5535" i="1"/>
  <c r="AE5534" i="1"/>
  <c r="AE5533" i="1"/>
  <c r="AE5532" i="1"/>
  <c r="AE5531" i="1"/>
  <c r="AE5530" i="1"/>
  <c r="AE5529" i="1"/>
  <c r="AE5528" i="1"/>
  <c r="AE5527" i="1"/>
  <c r="AE5526" i="1"/>
  <c r="AE5525" i="1"/>
  <c r="AE5524" i="1"/>
  <c r="AE5523" i="1"/>
  <c r="AE5522" i="1"/>
  <c r="AE5521" i="1"/>
  <c r="AE5520" i="1"/>
  <c r="AE5519" i="1"/>
  <c r="AE5518" i="1"/>
  <c r="AE5517" i="1"/>
  <c r="AE5516" i="1"/>
  <c r="AE5515" i="1"/>
  <c r="AE5514" i="1"/>
  <c r="AE5513" i="1"/>
  <c r="AE5512" i="1"/>
  <c r="AE5511" i="1"/>
  <c r="AE5510" i="1"/>
  <c r="AE5509" i="1"/>
  <c r="AE5508" i="1"/>
  <c r="AE5507" i="1"/>
  <c r="AE5506" i="1"/>
  <c r="AE5505" i="1"/>
  <c r="AE5504" i="1"/>
  <c r="AE5503" i="1"/>
  <c r="AE5502" i="1"/>
  <c r="AE5501" i="1"/>
  <c r="AE5500" i="1"/>
  <c r="AE5499" i="1"/>
  <c r="AE5498" i="1"/>
  <c r="AE5497" i="1"/>
  <c r="AE5496" i="1"/>
  <c r="AE5495" i="1"/>
  <c r="AE5494" i="1"/>
  <c r="AE5493" i="1"/>
  <c r="AE5492" i="1"/>
  <c r="AE5491" i="1"/>
  <c r="AE5490" i="1"/>
  <c r="AE5489" i="1"/>
  <c r="AE5488" i="1"/>
  <c r="AE5487" i="1"/>
  <c r="AE5486" i="1"/>
  <c r="AE5485" i="1"/>
  <c r="AE5484" i="1"/>
  <c r="AE5483" i="1"/>
  <c r="AE5482" i="1"/>
  <c r="AE5481" i="1"/>
  <c r="AE5480" i="1"/>
  <c r="AE5479" i="1"/>
  <c r="AE5478" i="1"/>
  <c r="AE5477" i="1"/>
  <c r="AE5476" i="1"/>
  <c r="AE5475" i="1"/>
  <c r="AE5474" i="1"/>
  <c r="AE5473" i="1"/>
  <c r="AE5472" i="1"/>
  <c r="AE5471" i="1"/>
  <c r="AE5470" i="1"/>
  <c r="AE5469" i="1"/>
  <c r="AE5468" i="1"/>
  <c r="AE5467" i="1"/>
  <c r="AE5466" i="1"/>
  <c r="AE5465" i="1"/>
  <c r="AE5464" i="1"/>
  <c r="AE5463" i="1"/>
  <c r="AE5462" i="1"/>
  <c r="AE5461" i="1"/>
  <c r="AE5460" i="1"/>
  <c r="AE5459" i="1"/>
  <c r="AE5458" i="1"/>
  <c r="AE5457" i="1"/>
  <c r="AE5456" i="1"/>
  <c r="AE5455" i="1"/>
  <c r="AE5454" i="1"/>
  <c r="AE5453" i="1"/>
  <c r="AE5452" i="1"/>
  <c r="AE5451" i="1"/>
  <c r="AE5450" i="1"/>
  <c r="AE5449" i="1"/>
  <c r="AE5448" i="1"/>
  <c r="AE5447" i="1"/>
  <c r="AE5446" i="1"/>
  <c r="AE5445" i="1"/>
  <c r="AE5444" i="1"/>
  <c r="AE5443" i="1"/>
  <c r="AE5442" i="1"/>
  <c r="AE5441" i="1"/>
  <c r="AE5440" i="1"/>
  <c r="AE5439" i="1"/>
  <c r="AE5438" i="1"/>
  <c r="AE5437" i="1"/>
  <c r="AE5436" i="1"/>
  <c r="AE5435" i="1"/>
  <c r="AE5434" i="1"/>
  <c r="AE5433" i="1"/>
  <c r="AE5432" i="1"/>
  <c r="AE5431" i="1"/>
  <c r="AE5430" i="1"/>
  <c r="AE5429" i="1"/>
  <c r="AE5428" i="1"/>
  <c r="AE5427" i="1"/>
  <c r="AE5426" i="1"/>
  <c r="AE5425" i="1"/>
  <c r="AE5424" i="1"/>
  <c r="AE5423" i="1"/>
  <c r="AE5422" i="1"/>
  <c r="AE5421" i="1"/>
  <c r="AE5420" i="1"/>
  <c r="AE5419" i="1"/>
  <c r="AE5418" i="1"/>
  <c r="AE5417" i="1"/>
  <c r="AE5416" i="1"/>
  <c r="AE5415" i="1"/>
  <c r="AE5414" i="1"/>
  <c r="AE5413" i="1"/>
  <c r="AE5412" i="1"/>
  <c r="AE5411" i="1"/>
  <c r="AE5410" i="1"/>
  <c r="AE5409" i="1"/>
  <c r="AE5408" i="1"/>
  <c r="AE5407" i="1"/>
  <c r="AE5406" i="1"/>
  <c r="AE5405" i="1"/>
  <c r="AE5404" i="1"/>
  <c r="AE5403" i="1"/>
  <c r="AE5402" i="1"/>
  <c r="AE5401" i="1"/>
  <c r="AE5400" i="1"/>
  <c r="AE5399" i="1"/>
  <c r="AE5398" i="1"/>
  <c r="AE5397" i="1"/>
  <c r="AE5396" i="1"/>
  <c r="AE5395" i="1"/>
  <c r="AE5394" i="1"/>
  <c r="AE5393" i="1"/>
  <c r="AE5392" i="1"/>
  <c r="AE5391" i="1"/>
  <c r="AE5390" i="1"/>
  <c r="AE5389" i="1"/>
  <c r="AE5388" i="1"/>
  <c r="AE5387" i="1"/>
  <c r="AE5386" i="1"/>
  <c r="AE5385" i="1"/>
  <c r="AE5384" i="1"/>
  <c r="AE5383" i="1"/>
  <c r="AE5382" i="1"/>
  <c r="AE5381" i="1"/>
  <c r="AE5380" i="1"/>
  <c r="AE5379" i="1"/>
  <c r="AE5378" i="1"/>
  <c r="AE5377" i="1"/>
  <c r="AE5376" i="1"/>
  <c r="AE5375" i="1"/>
  <c r="AE5374" i="1"/>
  <c r="AE5373" i="1"/>
  <c r="AE5372" i="1"/>
  <c r="AE5371" i="1"/>
  <c r="AE5370" i="1"/>
  <c r="AE5369" i="1"/>
  <c r="AE5368" i="1"/>
  <c r="AE5367" i="1"/>
  <c r="AE5366" i="1"/>
  <c r="AE5365" i="1"/>
  <c r="AE5364" i="1"/>
  <c r="AE5363" i="1"/>
  <c r="AE5362" i="1"/>
  <c r="AE5361" i="1"/>
  <c r="AE5360" i="1"/>
  <c r="AE5359" i="1"/>
  <c r="AE5358" i="1"/>
  <c r="AE5357" i="1"/>
  <c r="AE5356" i="1"/>
  <c r="AE5355" i="1"/>
  <c r="AE5354" i="1"/>
  <c r="AE5353" i="1"/>
  <c r="AE5352" i="1"/>
  <c r="AE5351" i="1"/>
  <c r="AE5350" i="1"/>
  <c r="AE5349" i="1"/>
  <c r="AE5348" i="1"/>
  <c r="AE5347" i="1"/>
  <c r="AE5346" i="1"/>
  <c r="AE5345" i="1"/>
  <c r="AE5344" i="1"/>
  <c r="AE5343" i="1"/>
  <c r="AE5342" i="1"/>
  <c r="AE5341" i="1"/>
  <c r="AE5340" i="1"/>
  <c r="AE5339" i="1"/>
  <c r="AE5338" i="1"/>
  <c r="AE5337" i="1"/>
  <c r="AE5336" i="1"/>
  <c r="AE5335" i="1"/>
  <c r="AE5334" i="1"/>
  <c r="AE5333" i="1"/>
  <c r="AE5332" i="1"/>
  <c r="AE5331" i="1"/>
  <c r="AE5330" i="1"/>
  <c r="AE5329" i="1"/>
  <c r="AE5328" i="1"/>
  <c r="AE5327" i="1"/>
  <c r="AE5326" i="1"/>
  <c r="AE5325" i="1"/>
  <c r="AE5324" i="1"/>
  <c r="AE5323" i="1"/>
  <c r="AE5322" i="1"/>
  <c r="AE5321" i="1"/>
  <c r="AE5320" i="1"/>
  <c r="AE5319" i="1"/>
  <c r="AE5318" i="1"/>
  <c r="AE5317" i="1"/>
  <c r="AE5316" i="1"/>
  <c r="AE5315" i="1"/>
  <c r="AE5314" i="1"/>
  <c r="AE5313" i="1"/>
  <c r="AE5312" i="1"/>
  <c r="AE5311" i="1"/>
  <c r="AE5310" i="1"/>
  <c r="AE5309" i="1"/>
  <c r="AE5308" i="1"/>
  <c r="AE5307" i="1"/>
  <c r="AE5306" i="1"/>
  <c r="AE5305" i="1"/>
  <c r="AE5304" i="1"/>
  <c r="AE5303" i="1"/>
  <c r="AE5302" i="1"/>
  <c r="AE5301" i="1"/>
  <c r="AE5300" i="1"/>
  <c r="AE5299" i="1"/>
  <c r="AE5298" i="1"/>
  <c r="AE5297" i="1"/>
  <c r="AE5296" i="1"/>
  <c r="AE5295" i="1"/>
  <c r="AE5294" i="1"/>
  <c r="AE5293" i="1"/>
  <c r="AE5292" i="1"/>
  <c r="AE5291" i="1"/>
  <c r="AE5290" i="1"/>
  <c r="AE5289" i="1"/>
  <c r="AE5288" i="1"/>
  <c r="AE5287" i="1"/>
  <c r="AE5286" i="1"/>
  <c r="AE5285" i="1"/>
  <c r="AE5284" i="1"/>
  <c r="AE5283" i="1"/>
  <c r="AE5282" i="1"/>
  <c r="AE5281" i="1"/>
  <c r="AE5280" i="1"/>
  <c r="AE5279" i="1"/>
  <c r="AE5278" i="1"/>
  <c r="AE5277" i="1"/>
  <c r="AE5276" i="1"/>
  <c r="AE5275" i="1"/>
  <c r="AE5274" i="1"/>
  <c r="AE5273" i="1"/>
  <c r="AE5272" i="1"/>
  <c r="AE5271" i="1"/>
  <c r="AE5270" i="1"/>
  <c r="AE5269" i="1"/>
  <c r="AE5268" i="1"/>
  <c r="AE5267" i="1"/>
  <c r="AE5266" i="1"/>
  <c r="AE5265" i="1"/>
  <c r="AE5264" i="1"/>
  <c r="AE5263" i="1"/>
  <c r="AE5262" i="1"/>
  <c r="AE5261" i="1"/>
  <c r="AE5260" i="1"/>
  <c r="AE5259" i="1"/>
  <c r="AE5258" i="1"/>
  <c r="AE5257" i="1"/>
  <c r="AE5256" i="1"/>
  <c r="AE5255" i="1"/>
  <c r="AE5254" i="1"/>
  <c r="AE5253" i="1"/>
  <c r="AE5252" i="1"/>
  <c r="AE5251" i="1"/>
  <c r="AE5250" i="1"/>
  <c r="AE5249" i="1"/>
  <c r="AE5248" i="1"/>
  <c r="AE5247" i="1"/>
  <c r="AE5246" i="1"/>
  <c r="AE5245" i="1"/>
  <c r="AE5244" i="1"/>
  <c r="AE5243" i="1"/>
  <c r="AE5242" i="1"/>
  <c r="AE5241" i="1"/>
  <c r="AE5240" i="1"/>
  <c r="AE5239" i="1"/>
  <c r="AE5238" i="1"/>
  <c r="AE5237" i="1"/>
  <c r="AE5236" i="1"/>
  <c r="AE5235" i="1"/>
  <c r="AE5234" i="1"/>
  <c r="AE5233" i="1"/>
  <c r="AE5232" i="1"/>
  <c r="AE5231" i="1"/>
  <c r="AE5230" i="1"/>
  <c r="AE5229" i="1"/>
  <c r="AE5228" i="1"/>
  <c r="AE5227" i="1"/>
  <c r="AE5226" i="1"/>
  <c r="AE5225" i="1"/>
  <c r="AE5224" i="1"/>
  <c r="AE5223" i="1"/>
  <c r="AE5222" i="1"/>
  <c r="AE5221" i="1"/>
  <c r="AE5220" i="1"/>
  <c r="AE5219" i="1"/>
  <c r="AE5218" i="1"/>
  <c r="AE5217" i="1"/>
  <c r="AE5216" i="1"/>
  <c r="AE5215" i="1"/>
  <c r="AE5214" i="1"/>
  <c r="AE5213" i="1"/>
  <c r="AE5212" i="1"/>
  <c r="AE5211" i="1"/>
  <c r="AE5210" i="1"/>
  <c r="AE5209" i="1"/>
  <c r="AE5208" i="1"/>
  <c r="AE5207" i="1"/>
  <c r="AE5206" i="1"/>
  <c r="AE5205" i="1"/>
  <c r="AE5204" i="1"/>
  <c r="AE5203" i="1"/>
  <c r="AE5202" i="1"/>
  <c r="AE5201" i="1"/>
  <c r="AE5200" i="1"/>
  <c r="AE5199" i="1"/>
  <c r="AE5198" i="1"/>
  <c r="AE5197" i="1"/>
  <c r="AE5196" i="1"/>
  <c r="AE5195" i="1"/>
  <c r="AE5194" i="1"/>
  <c r="AE5193" i="1"/>
  <c r="AE5192" i="1"/>
  <c r="AE5191" i="1"/>
  <c r="AE5190" i="1"/>
  <c r="AE5189" i="1"/>
  <c r="AE5188" i="1"/>
  <c r="AE5187" i="1"/>
  <c r="AE5186" i="1"/>
  <c r="AE5185" i="1"/>
  <c r="AE5184" i="1"/>
  <c r="AE5183" i="1"/>
  <c r="AE5182" i="1"/>
  <c r="AE5181" i="1"/>
  <c r="AE5180" i="1"/>
  <c r="AE5179" i="1"/>
  <c r="AE5178" i="1"/>
  <c r="AE5177" i="1"/>
  <c r="AE5176" i="1"/>
  <c r="AE5175" i="1"/>
  <c r="AE5174" i="1"/>
  <c r="AE5173" i="1"/>
  <c r="AE5172" i="1"/>
  <c r="AE5171" i="1"/>
  <c r="AE5170" i="1"/>
  <c r="AE5169" i="1"/>
  <c r="AE5168" i="1"/>
  <c r="AE5167" i="1"/>
  <c r="AE5166" i="1"/>
  <c r="AE5165" i="1"/>
  <c r="AE5164" i="1"/>
  <c r="AE5163" i="1"/>
  <c r="AE5162" i="1"/>
  <c r="AE5161" i="1"/>
  <c r="AE5160" i="1"/>
  <c r="AE5159" i="1"/>
  <c r="AE5158" i="1"/>
  <c r="AE5157" i="1"/>
  <c r="AE5156" i="1"/>
  <c r="AE5155" i="1"/>
  <c r="AE5154" i="1"/>
  <c r="AE5153" i="1"/>
  <c r="AE5152" i="1"/>
  <c r="AE5151" i="1"/>
  <c r="AE5150" i="1"/>
  <c r="AE5149" i="1"/>
  <c r="AE5148" i="1"/>
  <c r="AE5147" i="1"/>
  <c r="AE5146" i="1"/>
  <c r="AE5145" i="1"/>
  <c r="AE5144" i="1"/>
  <c r="AE5143" i="1"/>
  <c r="AE5142" i="1"/>
  <c r="AE5141" i="1"/>
  <c r="AE5140" i="1"/>
  <c r="AE5139" i="1"/>
  <c r="AE5138" i="1"/>
  <c r="AE5137" i="1"/>
  <c r="AE5136" i="1"/>
  <c r="AE5135" i="1"/>
  <c r="AE5134" i="1"/>
  <c r="AE5133" i="1"/>
  <c r="AE5132" i="1"/>
  <c r="AE5131" i="1"/>
  <c r="AE5130" i="1"/>
  <c r="AE5129" i="1"/>
  <c r="AE5128" i="1"/>
  <c r="AE5127" i="1"/>
  <c r="AE5126" i="1"/>
  <c r="AE5125" i="1"/>
  <c r="AE5124" i="1"/>
  <c r="AE5123" i="1"/>
  <c r="AE5122" i="1"/>
  <c r="AE5121" i="1"/>
  <c r="AE5120" i="1"/>
  <c r="AE5119" i="1"/>
  <c r="AE5118" i="1"/>
  <c r="AE5117" i="1"/>
  <c r="AE5116" i="1"/>
  <c r="AE5115" i="1"/>
  <c r="AE5114" i="1"/>
  <c r="AE5113" i="1"/>
  <c r="AE5112" i="1"/>
  <c r="AE5111" i="1"/>
  <c r="AE5110" i="1"/>
  <c r="AE5109" i="1"/>
  <c r="AE5108" i="1"/>
  <c r="AE5107" i="1"/>
  <c r="AE5106" i="1"/>
  <c r="AE5105" i="1"/>
  <c r="AE5104" i="1"/>
  <c r="AE5103" i="1"/>
  <c r="AE5102" i="1"/>
  <c r="AE5101" i="1"/>
  <c r="AE5100" i="1"/>
  <c r="AE5099" i="1"/>
  <c r="AE5098" i="1"/>
  <c r="AE5097" i="1"/>
  <c r="AE5096" i="1"/>
  <c r="AE5095" i="1"/>
  <c r="AE5094" i="1"/>
  <c r="AE5093" i="1"/>
  <c r="AE5092" i="1"/>
  <c r="AE5091" i="1"/>
  <c r="AE5090" i="1"/>
  <c r="AE5089" i="1"/>
  <c r="AE5088" i="1"/>
  <c r="AE5087" i="1"/>
  <c r="AE5086" i="1"/>
  <c r="AE5085" i="1"/>
  <c r="AE5084" i="1"/>
  <c r="AE5083" i="1"/>
  <c r="AE5082" i="1"/>
  <c r="AE5081" i="1"/>
  <c r="AE5080" i="1"/>
  <c r="AE5079" i="1"/>
  <c r="AE5078" i="1"/>
  <c r="AE5077" i="1"/>
  <c r="AE5076" i="1"/>
  <c r="AE5075" i="1"/>
  <c r="AE5074" i="1"/>
  <c r="AE5073" i="1"/>
  <c r="AE5072" i="1"/>
  <c r="AE5071" i="1"/>
  <c r="AE5070" i="1"/>
  <c r="AE5069" i="1"/>
  <c r="AE5068" i="1"/>
  <c r="AE5067" i="1"/>
  <c r="AE5066" i="1"/>
  <c r="AE5065" i="1"/>
  <c r="AE5064" i="1"/>
  <c r="AE5063" i="1"/>
  <c r="AE5062" i="1"/>
  <c r="AE5061" i="1"/>
  <c r="AE5060" i="1"/>
  <c r="AE5059" i="1"/>
  <c r="AE5058" i="1"/>
  <c r="AE5057" i="1"/>
  <c r="AE5056" i="1"/>
  <c r="AE5055" i="1"/>
  <c r="AE5054" i="1"/>
  <c r="AE5053" i="1"/>
  <c r="AE5052" i="1"/>
  <c r="AE5051" i="1"/>
  <c r="AE5050" i="1"/>
  <c r="AE5049" i="1"/>
  <c r="AE5048" i="1"/>
  <c r="AE5047" i="1"/>
  <c r="AE5046" i="1"/>
  <c r="AE5045" i="1"/>
  <c r="AE5044" i="1"/>
  <c r="AE5043" i="1"/>
  <c r="AE5042" i="1"/>
  <c r="AE5041" i="1"/>
  <c r="AE5040" i="1"/>
  <c r="AE5039" i="1"/>
  <c r="AE5038" i="1"/>
  <c r="AE5037" i="1"/>
  <c r="AE5036" i="1"/>
  <c r="AE5035" i="1"/>
  <c r="AE5034" i="1"/>
  <c r="AE5033" i="1"/>
  <c r="AE5032" i="1"/>
  <c r="AE5031" i="1"/>
  <c r="AE5030" i="1"/>
  <c r="AE5029" i="1"/>
  <c r="AE5028" i="1"/>
  <c r="AE5027" i="1"/>
  <c r="AE5026" i="1"/>
  <c r="AE5025" i="1"/>
  <c r="AE5024" i="1"/>
  <c r="AE5023" i="1"/>
  <c r="AE5022" i="1"/>
  <c r="AE5021" i="1"/>
  <c r="AE5020" i="1"/>
  <c r="AE5019" i="1"/>
  <c r="AE5018" i="1"/>
  <c r="AE5017" i="1"/>
  <c r="AE5016" i="1"/>
  <c r="AE5015" i="1"/>
  <c r="AE5014" i="1"/>
  <c r="AE5013" i="1"/>
  <c r="AE5012" i="1"/>
  <c r="AE5011" i="1"/>
  <c r="AE5010" i="1"/>
  <c r="AE5009" i="1"/>
  <c r="AE5008" i="1"/>
  <c r="AE5007" i="1"/>
  <c r="AE5006" i="1"/>
  <c r="AE5005" i="1"/>
  <c r="AE5004" i="1"/>
  <c r="AE5003" i="1"/>
  <c r="AE5002" i="1"/>
  <c r="AE5001" i="1"/>
  <c r="AE5000" i="1"/>
  <c r="AE4999" i="1"/>
  <c r="AE4998" i="1"/>
  <c r="AE4997" i="1"/>
  <c r="AE4996" i="1"/>
  <c r="AE4995" i="1"/>
  <c r="AE4994" i="1"/>
  <c r="AE4993" i="1"/>
  <c r="AE4992" i="1"/>
  <c r="AE4991" i="1"/>
  <c r="AE4990" i="1"/>
  <c r="AE4989" i="1"/>
  <c r="AE4988" i="1"/>
  <c r="AE4987" i="1"/>
  <c r="AE4986" i="1"/>
  <c r="AE4985" i="1"/>
  <c r="AE4984" i="1"/>
  <c r="AE4983" i="1"/>
  <c r="AE4982" i="1"/>
  <c r="AE4981" i="1"/>
  <c r="AE4980" i="1"/>
  <c r="AE4979" i="1"/>
  <c r="AE4978" i="1"/>
  <c r="AE4977" i="1"/>
  <c r="AE4976" i="1"/>
  <c r="AE4975" i="1"/>
  <c r="AE4974" i="1"/>
  <c r="AE4973" i="1"/>
  <c r="AE4972" i="1"/>
  <c r="AE4971" i="1"/>
  <c r="AE4970" i="1"/>
  <c r="AE4969" i="1"/>
  <c r="AE4968" i="1"/>
  <c r="AE4967" i="1"/>
  <c r="AE4966" i="1"/>
  <c r="AE4965" i="1"/>
  <c r="AE4964" i="1"/>
  <c r="AE4963" i="1"/>
  <c r="AE4962" i="1"/>
  <c r="AE4961" i="1"/>
  <c r="AE4960" i="1"/>
  <c r="AE4959" i="1"/>
  <c r="AE4958" i="1"/>
  <c r="AE4957" i="1"/>
  <c r="AE4956" i="1"/>
  <c r="AE4955" i="1"/>
  <c r="AE4954" i="1"/>
  <c r="AE4953" i="1"/>
  <c r="AE4952" i="1"/>
  <c r="AE4951" i="1"/>
  <c r="AE4950" i="1"/>
  <c r="AE4949" i="1"/>
  <c r="AE4948" i="1"/>
  <c r="AE4947" i="1"/>
  <c r="AE4946" i="1"/>
  <c r="AE4945" i="1"/>
  <c r="AE4944" i="1"/>
  <c r="AE4943" i="1"/>
  <c r="AE4942" i="1"/>
  <c r="AE4941" i="1"/>
  <c r="AE4940" i="1"/>
  <c r="AE4939" i="1"/>
  <c r="AE4938" i="1"/>
  <c r="AE4937" i="1"/>
  <c r="AE4936" i="1"/>
  <c r="AE4935" i="1"/>
  <c r="AE4934" i="1"/>
  <c r="AE4933" i="1"/>
  <c r="AE4932" i="1"/>
  <c r="AE4931" i="1"/>
  <c r="AE4930" i="1"/>
  <c r="AE4929" i="1"/>
  <c r="AE4928" i="1"/>
  <c r="AE4927" i="1"/>
  <c r="AE4926" i="1"/>
  <c r="AE4925" i="1"/>
  <c r="AE4924" i="1"/>
  <c r="AE4923" i="1"/>
  <c r="AE4922" i="1"/>
  <c r="AE4921" i="1"/>
  <c r="AE4920" i="1"/>
  <c r="AE4919" i="1"/>
  <c r="AE4918" i="1"/>
  <c r="AE4917" i="1"/>
  <c r="AE4916" i="1"/>
  <c r="AE4915" i="1"/>
  <c r="AE4914" i="1"/>
  <c r="AE4913" i="1"/>
  <c r="AE4912" i="1"/>
  <c r="AE4911" i="1"/>
  <c r="AE4910" i="1"/>
  <c r="AE4909" i="1"/>
  <c r="AE4908" i="1"/>
  <c r="AE4907" i="1"/>
  <c r="AE4906" i="1"/>
  <c r="AE4905" i="1"/>
  <c r="AE4904" i="1"/>
  <c r="AE4903" i="1"/>
  <c r="AE4902" i="1"/>
  <c r="AE4901" i="1"/>
  <c r="AE4900" i="1"/>
  <c r="AE4899" i="1"/>
  <c r="AE4898" i="1"/>
  <c r="AE4897" i="1"/>
  <c r="AE4896" i="1"/>
  <c r="AE4895" i="1"/>
  <c r="AE4894" i="1"/>
  <c r="AE4893" i="1"/>
  <c r="AE4892" i="1"/>
  <c r="AE4891" i="1"/>
  <c r="AE4890" i="1"/>
  <c r="AE4889" i="1"/>
  <c r="AE4888" i="1"/>
  <c r="AE4887" i="1"/>
  <c r="AE4886" i="1"/>
  <c r="AE4885" i="1"/>
  <c r="AE4884" i="1"/>
  <c r="AE4883" i="1"/>
  <c r="AE4882" i="1"/>
  <c r="AE4881" i="1"/>
  <c r="AE4880" i="1"/>
  <c r="AE4879" i="1"/>
  <c r="AE4878" i="1"/>
  <c r="AE4877" i="1"/>
  <c r="AE4876" i="1"/>
  <c r="AE4875" i="1"/>
  <c r="AE4874" i="1"/>
  <c r="AE4873" i="1"/>
  <c r="AE4872" i="1"/>
  <c r="AE4871" i="1"/>
  <c r="AE4870" i="1"/>
  <c r="AE4869" i="1"/>
  <c r="AE4868" i="1"/>
  <c r="AE4867" i="1"/>
  <c r="AE4866" i="1"/>
  <c r="AE4865" i="1"/>
  <c r="AE4864" i="1"/>
  <c r="AE4863" i="1"/>
  <c r="AE4862" i="1"/>
  <c r="AE4861" i="1"/>
  <c r="AE4860" i="1"/>
  <c r="AE4859" i="1"/>
  <c r="AE4858" i="1"/>
  <c r="AE4857" i="1"/>
  <c r="AE4856" i="1"/>
  <c r="AE4855" i="1"/>
  <c r="AE4854" i="1"/>
  <c r="AE4853" i="1"/>
  <c r="AE4852" i="1"/>
  <c r="AE4851" i="1"/>
  <c r="AE4850" i="1"/>
  <c r="AE4849" i="1"/>
  <c r="AE4848" i="1"/>
  <c r="AE4847" i="1"/>
  <c r="AE4846" i="1"/>
  <c r="AE4845" i="1"/>
  <c r="AE4844" i="1"/>
  <c r="AE4843" i="1"/>
  <c r="AE4842" i="1"/>
  <c r="AE4841" i="1"/>
  <c r="AE4840" i="1"/>
  <c r="AE4839" i="1"/>
  <c r="AE4838" i="1"/>
  <c r="AE4837" i="1"/>
  <c r="AE4836" i="1"/>
  <c r="AE4835" i="1"/>
  <c r="AE4834" i="1"/>
  <c r="AE4833" i="1"/>
  <c r="AE4832" i="1"/>
  <c r="AE4831" i="1"/>
  <c r="AE4830" i="1"/>
  <c r="AE4829" i="1"/>
  <c r="AE4828" i="1"/>
  <c r="AE4827" i="1"/>
  <c r="AE4826" i="1"/>
  <c r="AE4825" i="1"/>
  <c r="AE4824" i="1"/>
  <c r="AE4823" i="1"/>
  <c r="AE4822" i="1"/>
  <c r="AE4821" i="1"/>
  <c r="AE4820" i="1"/>
  <c r="AE4819" i="1"/>
  <c r="AE4818" i="1"/>
  <c r="AE4817" i="1"/>
  <c r="AE4816" i="1"/>
  <c r="AE4815" i="1"/>
  <c r="AE4814" i="1"/>
  <c r="AE4813" i="1"/>
  <c r="AE4812" i="1"/>
  <c r="AE4811" i="1"/>
  <c r="AE4810" i="1"/>
  <c r="AE4809" i="1"/>
  <c r="AE4808" i="1"/>
  <c r="AE4807" i="1"/>
  <c r="AE4806" i="1"/>
  <c r="AE4805" i="1"/>
  <c r="AE4804" i="1"/>
  <c r="AE4803" i="1"/>
  <c r="AE4802" i="1"/>
  <c r="AE4801" i="1"/>
  <c r="AE4800" i="1"/>
  <c r="AE4799" i="1"/>
  <c r="AE4798" i="1"/>
  <c r="AE4797" i="1"/>
  <c r="AE4796" i="1"/>
  <c r="AE4795" i="1"/>
  <c r="AE4794" i="1"/>
  <c r="AE4793" i="1"/>
  <c r="AE4792" i="1"/>
  <c r="AE4791" i="1"/>
  <c r="AE4790" i="1"/>
  <c r="AE4789" i="1"/>
  <c r="AE4788" i="1"/>
  <c r="AE4787" i="1"/>
  <c r="AE4786" i="1"/>
  <c r="AE4785" i="1"/>
  <c r="AE4784" i="1"/>
  <c r="AE4783" i="1"/>
  <c r="AE4782" i="1"/>
  <c r="AE4781" i="1"/>
  <c r="AE4780" i="1"/>
  <c r="AE4779" i="1"/>
  <c r="AE4778" i="1"/>
  <c r="AE4777" i="1"/>
  <c r="AE4776" i="1"/>
  <c r="AE4775" i="1"/>
  <c r="AE4774" i="1"/>
  <c r="AE4773" i="1"/>
  <c r="AE4772" i="1"/>
  <c r="AE4771" i="1"/>
  <c r="AE4770" i="1"/>
  <c r="AE4769" i="1"/>
  <c r="AE4768" i="1"/>
  <c r="AE4767" i="1"/>
  <c r="AE4766" i="1"/>
  <c r="AE4765" i="1"/>
  <c r="AE4764" i="1"/>
  <c r="AE4763" i="1"/>
  <c r="AE4762" i="1"/>
  <c r="AE4761" i="1"/>
  <c r="AE4760" i="1"/>
  <c r="AE4759" i="1"/>
  <c r="AE4758" i="1"/>
  <c r="AE4757" i="1"/>
  <c r="AE4756" i="1"/>
  <c r="AE4755" i="1"/>
  <c r="AE4754" i="1"/>
  <c r="AE4753" i="1"/>
  <c r="AE4752" i="1"/>
  <c r="AE4751" i="1"/>
  <c r="AE4750" i="1"/>
  <c r="AE4749" i="1"/>
  <c r="AE4748" i="1"/>
  <c r="AE4747" i="1"/>
  <c r="AE4746" i="1"/>
  <c r="AE4745" i="1"/>
  <c r="AE4744" i="1"/>
  <c r="AE4743" i="1"/>
  <c r="AE4742" i="1"/>
  <c r="AE4741" i="1"/>
  <c r="AE4740" i="1"/>
  <c r="AE4739" i="1"/>
  <c r="AE4738" i="1"/>
  <c r="AE4737" i="1"/>
  <c r="AE4736" i="1"/>
  <c r="AE4735" i="1"/>
  <c r="AE4734" i="1"/>
  <c r="AE4733" i="1"/>
  <c r="AE4732" i="1"/>
  <c r="AE4731" i="1"/>
  <c r="AE4730" i="1"/>
  <c r="AE4729" i="1"/>
  <c r="AE4728" i="1"/>
  <c r="AE4727" i="1"/>
  <c r="AE4726" i="1"/>
  <c r="AE4725" i="1"/>
  <c r="AE4724" i="1"/>
  <c r="AE4723" i="1"/>
  <c r="AE4722" i="1"/>
  <c r="AE4721" i="1"/>
  <c r="AE4720" i="1"/>
  <c r="AE4719" i="1"/>
  <c r="AE4718" i="1"/>
  <c r="AE4717" i="1"/>
  <c r="AE4716" i="1"/>
  <c r="AE4715" i="1"/>
  <c r="AE4714" i="1"/>
  <c r="AE4713" i="1"/>
  <c r="AE4712" i="1"/>
  <c r="AE4711" i="1"/>
  <c r="AE4710" i="1"/>
  <c r="AE4709" i="1"/>
  <c r="AE4708" i="1"/>
  <c r="AE4707" i="1"/>
  <c r="AE4706" i="1"/>
  <c r="AE4705" i="1"/>
  <c r="AE4704" i="1"/>
  <c r="AE4703" i="1"/>
  <c r="AE4702" i="1"/>
  <c r="AE4701" i="1"/>
  <c r="AE4700" i="1"/>
  <c r="AE4699" i="1"/>
  <c r="AE4698" i="1"/>
  <c r="AE4697" i="1"/>
  <c r="AE4696" i="1"/>
  <c r="AE4695" i="1"/>
  <c r="AE4694" i="1"/>
  <c r="AE4693" i="1"/>
  <c r="AE4692" i="1"/>
  <c r="AE4691" i="1"/>
  <c r="AE4690" i="1"/>
  <c r="AE4689" i="1"/>
  <c r="AE4688" i="1"/>
  <c r="AE4687" i="1"/>
  <c r="AE4686" i="1"/>
  <c r="AE4685" i="1"/>
  <c r="AE4684" i="1"/>
  <c r="AE4683" i="1"/>
  <c r="AE4682" i="1"/>
  <c r="AE4681" i="1"/>
  <c r="AE4680" i="1"/>
  <c r="AE4679" i="1"/>
  <c r="AE4678" i="1"/>
  <c r="AE4677" i="1"/>
  <c r="AE4676" i="1"/>
  <c r="AE4675" i="1"/>
  <c r="AE4674" i="1"/>
  <c r="AE4673" i="1"/>
  <c r="AE4672" i="1"/>
  <c r="AE4671" i="1"/>
  <c r="AE4670" i="1"/>
  <c r="AE4669" i="1"/>
  <c r="AE4668" i="1"/>
  <c r="AE4667" i="1"/>
  <c r="AE4666" i="1"/>
  <c r="AE4665" i="1"/>
  <c r="AE4664" i="1"/>
  <c r="AE4663" i="1"/>
  <c r="AE4662" i="1"/>
  <c r="AE4661" i="1"/>
  <c r="AE4660" i="1"/>
  <c r="AE4659" i="1"/>
  <c r="AE4658" i="1"/>
  <c r="AE4657" i="1"/>
  <c r="AE4656" i="1"/>
  <c r="AE4655" i="1"/>
  <c r="AE4654" i="1"/>
  <c r="AE4653" i="1"/>
  <c r="AE4652" i="1"/>
  <c r="AE4651" i="1"/>
  <c r="AE4650" i="1"/>
  <c r="AE4649" i="1"/>
  <c r="AE4648" i="1"/>
  <c r="AE4647" i="1"/>
  <c r="AE4646" i="1"/>
  <c r="AE4645" i="1"/>
  <c r="AE4644" i="1"/>
  <c r="AE4643" i="1"/>
  <c r="AE4642" i="1"/>
  <c r="AE4641" i="1"/>
  <c r="AE4640" i="1"/>
  <c r="AE4639" i="1"/>
  <c r="AE4638" i="1"/>
  <c r="AE4637" i="1"/>
  <c r="AE4636" i="1"/>
  <c r="AE4635" i="1"/>
  <c r="AE4634" i="1"/>
  <c r="AE4633" i="1"/>
  <c r="AE4632" i="1"/>
  <c r="AE4631" i="1"/>
  <c r="AE4630" i="1"/>
  <c r="AE4629" i="1"/>
  <c r="AE4628" i="1"/>
  <c r="AE4627" i="1"/>
  <c r="AE4626" i="1"/>
  <c r="AE4625" i="1"/>
  <c r="AE4624" i="1"/>
  <c r="AE4623" i="1"/>
  <c r="AE4622" i="1"/>
  <c r="AE4621" i="1"/>
  <c r="AE4620" i="1"/>
  <c r="AE4619" i="1"/>
  <c r="AE4618" i="1"/>
  <c r="AE4617" i="1"/>
  <c r="AE4616" i="1"/>
  <c r="AE4615" i="1"/>
  <c r="AE4614" i="1"/>
  <c r="AE4613" i="1"/>
  <c r="AE4612" i="1"/>
  <c r="AE4611" i="1"/>
  <c r="AE4610" i="1"/>
  <c r="AE4609" i="1"/>
  <c r="AE4608" i="1"/>
  <c r="AE4607" i="1"/>
  <c r="AE4606" i="1"/>
  <c r="AE4605" i="1"/>
  <c r="AE4604" i="1"/>
  <c r="AE4603" i="1"/>
  <c r="AE4602" i="1"/>
  <c r="AE4601" i="1"/>
  <c r="AE4600" i="1"/>
  <c r="AE4599" i="1"/>
  <c r="AE4598" i="1"/>
  <c r="AE4597" i="1"/>
  <c r="AE4596" i="1"/>
  <c r="AE4595" i="1"/>
  <c r="AE4594" i="1"/>
  <c r="AE4593" i="1"/>
  <c r="AE4592" i="1"/>
  <c r="AE4591" i="1"/>
  <c r="AE4590" i="1"/>
  <c r="AE4589" i="1"/>
  <c r="AE4588" i="1"/>
  <c r="AE4587" i="1"/>
  <c r="AE4586" i="1"/>
  <c r="AE4585" i="1"/>
  <c r="AE4584" i="1"/>
  <c r="AE4583" i="1"/>
  <c r="AE4582" i="1"/>
  <c r="AE4581" i="1"/>
  <c r="AE4580" i="1"/>
  <c r="AE4579" i="1"/>
  <c r="AE4578" i="1"/>
  <c r="AE4577" i="1"/>
  <c r="AE4576" i="1"/>
  <c r="AE4575" i="1"/>
  <c r="AE4574" i="1"/>
  <c r="AE4573" i="1"/>
  <c r="AE4572" i="1"/>
  <c r="AE4571" i="1"/>
  <c r="AE4570" i="1"/>
  <c r="AE4569" i="1"/>
  <c r="AE4568" i="1"/>
  <c r="AE4567" i="1"/>
  <c r="AE4566" i="1"/>
  <c r="AE4565" i="1"/>
  <c r="AE4564" i="1"/>
  <c r="AE4563" i="1"/>
  <c r="AE4562" i="1"/>
  <c r="AE4561" i="1"/>
  <c r="AE4560" i="1"/>
  <c r="AE4559" i="1"/>
  <c r="AE4558" i="1"/>
  <c r="AE4557" i="1"/>
  <c r="AE4556" i="1"/>
  <c r="AE4555" i="1"/>
  <c r="AE4554" i="1"/>
  <c r="AE4553" i="1"/>
  <c r="AE4552" i="1"/>
  <c r="AE4551" i="1"/>
  <c r="AE4550" i="1"/>
  <c r="AE4549" i="1"/>
  <c r="AE4548" i="1"/>
  <c r="AE4547" i="1"/>
  <c r="AE4546" i="1"/>
  <c r="AE4545" i="1"/>
  <c r="AE4544" i="1"/>
  <c r="AE4543" i="1"/>
  <c r="AE4542" i="1"/>
  <c r="AE4541" i="1"/>
  <c r="AE4540" i="1"/>
  <c r="AE4539" i="1"/>
  <c r="AE4538" i="1"/>
  <c r="AE4537" i="1"/>
  <c r="AE4536" i="1"/>
  <c r="AE4535" i="1"/>
  <c r="AE4534" i="1"/>
  <c r="AE4533" i="1"/>
  <c r="AE4532" i="1"/>
  <c r="AE4531" i="1"/>
  <c r="AE4530" i="1"/>
  <c r="AE4529" i="1"/>
  <c r="AE4528" i="1"/>
  <c r="AE4527" i="1"/>
  <c r="AE4526" i="1"/>
  <c r="AE4525" i="1"/>
  <c r="AE4524" i="1"/>
  <c r="AE4523" i="1"/>
  <c r="AE4522" i="1"/>
  <c r="AE4521" i="1"/>
  <c r="AE4520" i="1"/>
  <c r="AE4519" i="1"/>
  <c r="AE4518" i="1"/>
  <c r="AE4517" i="1"/>
  <c r="AE4516" i="1"/>
  <c r="AE4515" i="1"/>
  <c r="AE4514" i="1"/>
  <c r="AE4513" i="1"/>
  <c r="AE4512" i="1"/>
  <c r="AE4511" i="1"/>
  <c r="AE4510" i="1"/>
  <c r="AE4509" i="1"/>
  <c r="AE4508" i="1"/>
  <c r="AE4507" i="1"/>
  <c r="AE4506" i="1"/>
  <c r="AE4505" i="1"/>
  <c r="AE4504" i="1"/>
  <c r="AE4503" i="1"/>
  <c r="AE4502" i="1"/>
  <c r="AE4501" i="1"/>
  <c r="AE4500" i="1"/>
  <c r="AE4499" i="1"/>
  <c r="AE4498" i="1"/>
  <c r="AE4497" i="1"/>
  <c r="AE4496" i="1"/>
  <c r="AE4495" i="1"/>
  <c r="AE4494" i="1"/>
  <c r="AE4493" i="1"/>
  <c r="AE4492" i="1"/>
  <c r="AE4491" i="1"/>
  <c r="AE4490" i="1"/>
  <c r="AE4489" i="1"/>
  <c r="AE4488" i="1"/>
  <c r="AE4487" i="1"/>
  <c r="AE4486" i="1"/>
  <c r="AE4485" i="1"/>
  <c r="AE4484" i="1"/>
  <c r="AE4483" i="1"/>
  <c r="AE4482" i="1"/>
  <c r="AE4481" i="1"/>
  <c r="AE4480" i="1"/>
  <c r="AE4479" i="1"/>
  <c r="AE4478" i="1"/>
  <c r="AE4477" i="1"/>
  <c r="AE4476" i="1"/>
  <c r="AE4475" i="1"/>
  <c r="AE4474" i="1"/>
  <c r="AE4473" i="1"/>
  <c r="AE4472" i="1"/>
  <c r="AE4471" i="1"/>
  <c r="AE4470" i="1"/>
  <c r="AE4469" i="1"/>
  <c r="AE4468" i="1"/>
  <c r="AE4467" i="1"/>
  <c r="AE4466" i="1"/>
  <c r="AE4465" i="1"/>
  <c r="AE4464" i="1"/>
  <c r="AE4463" i="1"/>
  <c r="AE4462" i="1"/>
  <c r="AE4461" i="1"/>
  <c r="AE4460" i="1"/>
  <c r="AE4459" i="1"/>
  <c r="AE4458" i="1"/>
  <c r="AE4457" i="1"/>
  <c r="AE4456" i="1"/>
  <c r="AE4455" i="1"/>
  <c r="AE4454" i="1"/>
  <c r="AE4453" i="1"/>
  <c r="AE4452" i="1"/>
  <c r="AE4451" i="1"/>
  <c r="AE4450" i="1"/>
  <c r="AE4449" i="1"/>
  <c r="AE4448" i="1"/>
  <c r="AE4447" i="1"/>
  <c r="AE4446" i="1"/>
  <c r="AE4445" i="1"/>
  <c r="AE4444" i="1"/>
  <c r="AE4443" i="1"/>
  <c r="AE4442" i="1"/>
  <c r="AE4441" i="1"/>
  <c r="AE4440" i="1"/>
  <c r="AE4439" i="1"/>
  <c r="AE4438" i="1"/>
  <c r="AE4437" i="1"/>
  <c r="AE4436" i="1"/>
  <c r="AE4435" i="1"/>
  <c r="AE4434" i="1"/>
  <c r="AE4433" i="1"/>
  <c r="AE4432" i="1"/>
  <c r="AE4431" i="1"/>
  <c r="AE4430" i="1"/>
  <c r="AE4429" i="1"/>
  <c r="AE4428" i="1"/>
  <c r="AE4427" i="1"/>
  <c r="AE4426" i="1"/>
  <c r="AE4425" i="1"/>
  <c r="AE4424" i="1"/>
  <c r="AE4423" i="1"/>
  <c r="AE4422" i="1"/>
  <c r="AE4421" i="1"/>
  <c r="AE4420" i="1"/>
  <c r="AE4419" i="1"/>
  <c r="AE4418" i="1"/>
  <c r="AE4417" i="1"/>
  <c r="AE4416" i="1"/>
  <c r="AE4415" i="1"/>
  <c r="AE4414" i="1"/>
  <c r="AE4413" i="1"/>
  <c r="AE4412" i="1"/>
  <c r="AE4411" i="1"/>
  <c r="AE4410" i="1"/>
  <c r="AE4409" i="1"/>
  <c r="AE4408" i="1"/>
  <c r="AE4407" i="1"/>
  <c r="AE4406" i="1"/>
  <c r="AE4405" i="1"/>
  <c r="AE4404" i="1"/>
  <c r="AE4403" i="1"/>
  <c r="AE4402" i="1"/>
  <c r="AE4401" i="1"/>
  <c r="AE4400" i="1"/>
  <c r="AE4399" i="1"/>
  <c r="AE4398" i="1"/>
  <c r="AE4397" i="1"/>
  <c r="AE4396" i="1"/>
  <c r="AE4395" i="1"/>
  <c r="AE4394" i="1"/>
  <c r="AE4393" i="1"/>
  <c r="AE4392" i="1"/>
  <c r="AE4391" i="1"/>
  <c r="AE4390" i="1"/>
  <c r="AE4389" i="1"/>
  <c r="AE4388" i="1"/>
  <c r="AE4387" i="1"/>
  <c r="AE4386" i="1"/>
  <c r="AE4385" i="1"/>
  <c r="AE4384" i="1"/>
  <c r="AE4383" i="1"/>
  <c r="AE4382" i="1"/>
  <c r="AE4381" i="1"/>
  <c r="AE4380" i="1"/>
  <c r="AE4379" i="1"/>
  <c r="AE4378" i="1"/>
  <c r="AE4377" i="1"/>
  <c r="AE4376" i="1"/>
  <c r="AE4375" i="1"/>
  <c r="AE4374" i="1"/>
  <c r="AE4373" i="1"/>
  <c r="AE4372" i="1"/>
  <c r="AE4371" i="1"/>
  <c r="AE4370" i="1"/>
  <c r="AE4369" i="1"/>
  <c r="AE4368" i="1"/>
  <c r="AE4367" i="1"/>
  <c r="AE4366" i="1"/>
  <c r="AE4365" i="1"/>
  <c r="AE4364" i="1"/>
  <c r="AE4363" i="1"/>
  <c r="AE4362" i="1"/>
  <c r="AE4361" i="1"/>
  <c r="AE4360" i="1"/>
  <c r="AE4359" i="1"/>
  <c r="AE4358" i="1"/>
  <c r="AE4357" i="1"/>
  <c r="AE4356" i="1"/>
  <c r="AE4355" i="1"/>
  <c r="AE4354" i="1"/>
  <c r="AE4353" i="1"/>
  <c r="AE4352" i="1"/>
  <c r="AE4351" i="1"/>
  <c r="AE4350" i="1"/>
  <c r="AE4349" i="1"/>
  <c r="AE4348" i="1"/>
  <c r="AE4347" i="1"/>
  <c r="AE4346" i="1"/>
  <c r="AE4345" i="1"/>
  <c r="AE4344" i="1"/>
  <c r="AE4343" i="1"/>
  <c r="AE4342" i="1"/>
  <c r="AE4341" i="1"/>
  <c r="AE4340" i="1"/>
  <c r="AE4339" i="1"/>
  <c r="AE4338" i="1"/>
  <c r="AE4337" i="1"/>
  <c r="AE4336" i="1"/>
  <c r="AE4335" i="1"/>
  <c r="AE4334" i="1"/>
  <c r="AE4333" i="1"/>
  <c r="AE4332" i="1"/>
  <c r="AE4331" i="1"/>
  <c r="AE4330" i="1"/>
  <c r="AE4329" i="1"/>
  <c r="AE4328" i="1"/>
  <c r="AE4327" i="1"/>
  <c r="AE4326" i="1"/>
  <c r="AE4325" i="1"/>
  <c r="AE4324" i="1"/>
  <c r="AE4323" i="1"/>
  <c r="AE4322" i="1"/>
  <c r="AE4321" i="1"/>
  <c r="AE4320" i="1"/>
  <c r="AE4319" i="1"/>
  <c r="AE4318" i="1"/>
  <c r="AE4317" i="1"/>
  <c r="AE4316" i="1"/>
  <c r="AE4315" i="1"/>
  <c r="AE4314" i="1"/>
  <c r="AE4313" i="1"/>
  <c r="AE4312" i="1"/>
  <c r="AE4311" i="1"/>
  <c r="AE4310" i="1"/>
  <c r="AE4309" i="1"/>
  <c r="AE4308" i="1"/>
  <c r="AE4307" i="1"/>
  <c r="AE4306" i="1"/>
  <c r="AE4305" i="1"/>
  <c r="AE4304" i="1"/>
  <c r="AE4303" i="1"/>
  <c r="AE4302" i="1"/>
  <c r="AE4301" i="1"/>
  <c r="AE4300" i="1"/>
  <c r="AE4299" i="1"/>
  <c r="AE4298" i="1"/>
  <c r="AE4297" i="1"/>
  <c r="AE4296" i="1"/>
  <c r="AE4295" i="1"/>
  <c r="AE4294" i="1"/>
  <c r="AE4293" i="1"/>
  <c r="AE4292" i="1"/>
  <c r="AE4291" i="1"/>
  <c r="AE4290" i="1"/>
  <c r="AE4289" i="1"/>
  <c r="AE4288" i="1"/>
  <c r="AE4287" i="1"/>
  <c r="AE4286" i="1"/>
  <c r="AE4285" i="1"/>
  <c r="AE4284" i="1"/>
  <c r="AE4283" i="1"/>
  <c r="AE4282" i="1"/>
  <c r="AE4281" i="1"/>
  <c r="AE4280" i="1"/>
  <c r="AE4279" i="1"/>
  <c r="AE4278" i="1"/>
  <c r="AE4277" i="1"/>
  <c r="AE4276" i="1"/>
  <c r="AE4275" i="1"/>
  <c r="AE4274" i="1"/>
  <c r="AE4273" i="1"/>
  <c r="AE4272" i="1"/>
  <c r="AE4271" i="1"/>
  <c r="AE4270" i="1"/>
  <c r="AE4269" i="1"/>
  <c r="AE4268" i="1"/>
  <c r="AE4267" i="1"/>
  <c r="AE4266" i="1"/>
  <c r="AE4265" i="1"/>
  <c r="AE4264" i="1"/>
  <c r="AE4263" i="1"/>
  <c r="AE4262" i="1"/>
  <c r="AE4261" i="1"/>
  <c r="AE4260" i="1"/>
  <c r="AE4259" i="1"/>
  <c r="AE4258" i="1"/>
  <c r="AE4257" i="1"/>
  <c r="AE4256" i="1"/>
  <c r="AE4255" i="1"/>
  <c r="AE4254" i="1"/>
  <c r="AE4253" i="1"/>
  <c r="AE4252" i="1"/>
  <c r="AE4251" i="1"/>
  <c r="AE4250" i="1"/>
  <c r="AE4249" i="1"/>
  <c r="AE4248" i="1"/>
  <c r="AE4247" i="1"/>
  <c r="AE4246" i="1"/>
  <c r="AE4245" i="1"/>
  <c r="AE4244" i="1"/>
  <c r="AE4243" i="1"/>
  <c r="AE4242" i="1"/>
  <c r="AE4241" i="1"/>
  <c r="AE4240" i="1"/>
  <c r="AE4239" i="1"/>
  <c r="AE4238" i="1"/>
  <c r="AE4237" i="1"/>
  <c r="AE4236" i="1"/>
  <c r="AE4235" i="1"/>
  <c r="AE4234" i="1"/>
  <c r="AE4233" i="1"/>
  <c r="AE4232" i="1"/>
  <c r="AE4231" i="1"/>
  <c r="AE4230" i="1"/>
  <c r="AE4229" i="1"/>
  <c r="AE4228" i="1"/>
  <c r="AE4227" i="1"/>
  <c r="AE4226" i="1"/>
  <c r="AE4225" i="1"/>
  <c r="AE4224" i="1"/>
  <c r="AE4223" i="1"/>
  <c r="AE4222" i="1"/>
  <c r="AE4221" i="1"/>
  <c r="AE4220" i="1"/>
  <c r="AE4219" i="1"/>
  <c r="AE4218" i="1"/>
  <c r="AE4217" i="1"/>
  <c r="AE4216" i="1"/>
  <c r="AE4215" i="1"/>
  <c r="AE4214" i="1"/>
  <c r="AE4213" i="1"/>
  <c r="AE4212" i="1"/>
  <c r="AE4211" i="1"/>
  <c r="AE4210" i="1"/>
  <c r="AE4209" i="1"/>
  <c r="AE4208" i="1"/>
  <c r="AE4207" i="1"/>
  <c r="AE4206" i="1"/>
  <c r="AE4205" i="1"/>
  <c r="AE4204" i="1"/>
  <c r="AE4203" i="1"/>
  <c r="AE4202" i="1"/>
  <c r="AE4201" i="1"/>
  <c r="AE4200" i="1"/>
  <c r="AE4199" i="1"/>
  <c r="AE4198" i="1"/>
  <c r="AE4197" i="1"/>
  <c r="AE4196" i="1"/>
  <c r="AE4195" i="1"/>
  <c r="AE4194" i="1"/>
  <c r="AE4193" i="1"/>
  <c r="AE4192" i="1"/>
  <c r="AE4191" i="1"/>
  <c r="AE4190" i="1"/>
  <c r="AE4189" i="1"/>
  <c r="AE4188" i="1"/>
  <c r="AE4187" i="1"/>
  <c r="AE4186" i="1"/>
  <c r="AE4185" i="1"/>
  <c r="AE4184" i="1"/>
  <c r="AE4183" i="1"/>
  <c r="AE4182" i="1"/>
  <c r="AE4181" i="1"/>
  <c r="AE4180" i="1"/>
  <c r="AE4179" i="1"/>
  <c r="AE4178" i="1"/>
  <c r="AE4177" i="1"/>
  <c r="AE4176" i="1"/>
  <c r="AE4175" i="1"/>
  <c r="AE4174" i="1"/>
  <c r="AE4173" i="1"/>
  <c r="AE4172" i="1"/>
  <c r="AE4171" i="1"/>
  <c r="AE4170" i="1"/>
  <c r="AE4169" i="1"/>
  <c r="AE4168" i="1"/>
  <c r="AE4167" i="1"/>
  <c r="AE4166" i="1"/>
  <c r="AE4165" i="1"/>
  <c r="AE4164" i="1"/>
  <c r="AE4163" i="1"/>
  <c r="AE4162" i="1"/>
  <c r="AE4161" i="1"/>
  <c r="AE4160" i="1"/>
  <c r="AE4159" i="1"/>
  <c r="AE4158" i="1"/>
  <c r="AE4157" i="1"/>
  <c r="AE4156" i="1"/>
  <c r="AE4155" i="1"/>
  <c r="AE4154" i="1"/>
  <c r="AE4153" i="1"/>
  <c r="AE4152" i="1"/>
  <c r="AE4151" i="1"/>
  <c r="AE4150" i="1"/>
  <c r="AE4149" i="1"/>
  <c r="AE4148" i="1"/>
  <c r="AE4147" i="1"/>
  <c r="AE4146" i="1"/>
  <c r="AE4145" i="1"/>
  <c r="AE4144" i="1"/>
  <c r="AE4143" i="1"/>
  <c r="AE4142" i="1"/>
  <c r="AE4141" i="1"/>
  <c r="AE4140" i="1"/>
  <c r="AE4139" i="1"/>
  <c r="AE4138" i="1"/>
  <c r="AE4137" i="1"/>
  <c r="AE4136" i="1"/>
  <c r="AE4135" i="1"/>
  <c r="AE4134" i="1"/>
  <c r="AE4133" i="1"/>
  <c r="AE4132" i="1"/>
  <c r="AE4131" i="1"/>
  <c r="AE4130" i="1"/>
  <c r="AE4129" i="1"/>
  <c r="AE4128" i="1"/>
  <c r="AE4127" i="1"/>
  <c r="AE4126" i="1"/>
  <c r="AE4125" i="1"/>
  <c r="AE4124" i="1"/>
  <c r="AE4123" i="1"/>
  <c r="AE4122" i="1"/>
  <c r="AE4121" i="1"/>
  <c r="AE4120" i="1"/>
  <c r="AE4119" i="1"/>
  <c r="AE4118" i="1"/>
  <c r="AE4117" i="1"/>
  <c r="AE4116" i="1"/>
  <c r="AE4115" i="1"/>
  <c r="AE4114" i="1"/>
  <c r="AE4113" i="1"/>
  <c r="AE4112" i="1"/>
  <c r="AE4111" i="1"/>
  <c r="AE4110" i="1"/>
  <c r="AE4109" i="1"/>
  <c r="AE4108" i="1"/>
  <c r="AE4107" i="1"/>
  <c r="AE4106" i="1"/>
  <c r="AE4105" i="1"/>
  <c r="AE4104" i="1"/>
  <c r="AE4103" i="1"/>
  <c r="AE4102" i="1"/>
  <c r="AE4101" i="1"/>
  <c r="AE4100" i="1"/>
  <c r="AE4099" i="1"/>
  <c r="AE4098" i="1"/>
  <c r="AE4097" i="1"/>
  <c r="AE4096" i="1"/>
  <c r="AE4095" i="1"/>
  <c r="AE4094" i="1"/>
  <c r="AE4093" i="1"/>
  <c r="AE4092" i="1"/>
  <c r="AE4091" i="1"/>
  <c r="AE4090" i="1"/>
  <c r="AE4089" i="1"/>
  <c r="AE4088" i="1"/>
  <c r="AE4087" i="1"/>
  <c r="AE4086" i="1"/>
  <c r="AE4085" i="1"/>
  <c r="AE4084" i="1"/>
  <c r="AE4083" i="1"/>
  <c r="AE4082" i="1"/>
  <c r="AE4081" i="1"/>
  <c r="AE4080" i="1"/>
  <c r="AE4079" i="1"/>
  <c r="AE4078" i="1"/>
  <c r="AE4077" i="1"/>
  <c r="AE4076" i="1"/>
  <c r="AE4075" i="1"/>
  <c r="AE4074" i="1"/>
  <c r="AE4073" i="1"/>
  <c r="AE4072" i="1"/>
  <c r="AE4071" i="1"/>
  <c r="AE4070" i="1"/>
  <c r="AE4069" i="1"/>
  <c r="AE4068" i="1"/>
  <c r="AE4067" i="1"/>
  <c r="AE4066" i="1"/>
  <c r="AE4065" i="1"/>
  <c r="AE4064" i="1"/>
  <c r="AE4063" i="1"/>
  <c r="AE4062" i="1"/>
  <c r="AE4061" i="1"/>
  <c r="AE4060" i="1"/>
  <c r="AE4059" i="1"/>
  <c r="AE4058" i="1"/>
  <c r="AE4057" i="1"/>
  <c r="AE4056" i="1"/>
  <c r="AE4055" i="1"/>
  <c r="AE4054" i="1"/>
  <c r="AE4053" i="1"/>
  <c r="AE4052" i="1"/>
  <c r="AE4051" i="1"/>
  <c r="AE4050" i="1"/>
  <c r="AE4049" i="1"/>
  <c r="AE4048" i="1"/>
  <c r="AE4047" i="1"/>
  <c r="AE4046" i="1"/>
  <c r="AE4045" i="1"/>
  <c r="AE4044" i="1"/>
  <c r="AE4043" i="1"/>
  <c r="AE4042" i="1"/>
  <c r="AE4041" i="1"/>
  <c r="AE4040" i="1"/>
  <c r="AE4039" i="1"/>
  <c r="AE4038" i="1"/>
  <c r="AE4037" i="1"/>
  <c r="AE4036" i="1"/>
  <c r="AE4035" i="1"/>
  <c r="AE4034" i="1"/>
  <c r="AE4033" i="1"/>
  <c r="AE4032" i="1"/>
  <c r="AE4031" i="1"/>
  <c r="AE4030" i="1"/>
  <c r="AE4029" i="1"/>
  <c r="AE4028" i="1"/>
  <c r="AE4027" i="1"/>
  <c r="AE4026" i="1"/>
  <c r="AE4025" i="1"/>
  <c r="AE4024" i="1"/>
  <c r="AE4023" i="1"/>
  <c r="AE4022" i="1"/>
  <c r="AE4021" i="1"/>
  <c r="AE4020" i="1"/>
  <c r="AE4019" i="1"/>
  <c r="AE4018" i="1"/>
  <c r="AE4017" i="1"/>
  <c r="AE4016" i="1"/>
  <c r="AE4015" i="1"/>
  <c r="AE4014" i="1"/>
  <c r="AE4013" i="1"/>
  <c r="AE4012" i="1"/>
  <c r="AE4011" i="1"/>
  <c r="AE4010" i="1"/>
  <c r="AE4009" i="1"/>
  <c r="AE4008" i="1"/>
  <c r="AE4007" i="1"/>
  <c r="AE4006" i="1"/>
  <c r="AE4005" i="1"/>
  <c r="AE4004" i="1"/>
  <c r="AE4003" i="1"/>
  <c r="AE4002" i="1"/>
  <c r="AE4001" i="1"/>
  <c r="AE4000" i="1"/>
  <c r="AE3999" i="1"/>
  <c r="AE3998" i="1"/>
  <c r="AE3997" i="1"/>
  <c r="AE3996" i="1"/>
  <c r="AE3995" i="1"/>
  <c r="AE3994" i="1"/>
  <c r="AE3993" i="1"/>
  <c r="AE3992" i="1"/>
  <c r="AE3991" i="1"/>
  <c r="AE3990" i="1"/>
  <c r="AE3989" i="1"/>
  <c r="AE3988" i="1"/>
  <c r="AE3987" i="1"/>
  <c r="AE3986" i="1"/>
  <c r="AE3985" i="1"/>
  <c r="AE3984" i="1"/>
  <c r="AE3983" i="1"/>
  <c r="AE3982" i="1"/>
  <c r="AE3981" i="1"/>
  <c r="AE3980" i="1"/>
  <c r="AE3979" i="1"/>
  <c r="AE3978" i="1"/>
  <c r="AE3977" i="1"/>
  <c r="AE3976" i="1"/>
  <c r="AE3975" i="1"/>
  <c r="AE3974" i="1"/>
  <c r="AE3973" i="1"/>
  <c r="AE3972" i="1"/>
  <c r="AE3971" i="1"/>
  <c r="AE3970" i="1"/>
  <c r="AE3969" i="1"/>
  <c r="AE3968" i="1"/>
  <c r="AE3967" i="1"/>
  <c r="AE3966" i="1"/>
  <c r="AE3965" i="1"/>
  <c r="AE3964" i="1"/>
  <c r="AE3963" i="1"/>
  <c r="AE3962" i="1"/>
  <c r="AE3961" i="1"/>
  <c r="AE3960" i="1"/>
  <c r="AE3959" i="1"/>
  <c r="AE3958" i="1"/>
  <c r="AE3957" i="1"/>
  <c r="AE3956" i="1"/>
  <c r="AE3955" i="1"/>
  <c r="AE3954" i="1"/>
  <c r="AE3953" i="1"/>
  <c r="AE3952" i="1"/>
  <c r="AE3951" i="1"/>
  <c r="AE3950" i="1"/>
  <c r="AE3949" i="1"/>
  <c r="AE3948" i="1"/>
  <c r="AE3947" i="1"/>
  <c r="AE3946" i="1"/>
  <c r="AE3945" i="1"/>
  <c r="AE3944" i="1"/>
  <c r="AE3943" i="1"/>
  <c r="AE3942" i="1"/>
  <c r="AE3941" i="1"/>
  <c r="AE3940" i="1"/>
  <c r="AE3939" i="1"/>
  <c r="AE3938" i="1"/>
  <c r="AE3937" i="1"/>
  <c r="AE3936" i="1"/>
  <c r="AE3935" i="1"/>
  <c r="AE3934" i="1"/>
  <c r="AE3933" i="1"/>
  <c r="AE3932" i="1"/>
  <c r="AE3931" i="1"/>
  <c r="AE3930" i="1"/>
  <c r="AE3929" i="1"/>
  <c r="AE3928" i="1"/>
  <c r="AE3927" i="1"/>
  <c r="AE3926" i="1"/>
  <c r="AE3925" i="1"/>
  <c r="AE3924" i="1"/>
  <c r="AE3923" i="1"/>
  <c r="AE3922" i="1"/>
  <c r="AE3921" i="1"/>
  <c r="AE3920" i="1"/>
  <c r="AE3919" i="1"/>
  <c r="AE3918" i="1"/>
  <c r="AE3917" i="1"/>
  <c r="AE3916" i="1"/>
  <c r="AE3915" i="1"/>
  <c r="AE3914" i="1"/>
  <c r="AE3913" i="1"/>
  <c r="AE3912" i="1"/>
  <c r="AE3911" i="1"/>
  <c r="AE3910" i="1"/>
  <c r="AE3909" i="1"/>
  <c r="AE3908" i="1"/>
  <c r="AE3907" i="1"/>
  <c r="AE3906" i="1"/>
  <c r="AE3905" i="1"/>
  <c r="AE3904" i="1"/>
  <c r="AE3903" i="1"/>
  <c r="AE3902" i="1"/>
  <c r="AE3901" i="1"/>
  <c r="AE3900" i="1"/>
  <c r="AE3899" i="1"/>
  <c r="AE3898" i="1"/>
  <c r="AE3897" i="1"/>
  <c r="AE3896" i="1"/>
  <c r="AE3895" i="1"/>
  <c r="AE3894" i="1"/>
  <c r="AE3893" i="1"/>
  <c r="AE3892" i="1"/>
  <c r="AE3891" i="1"/>
  <c r="AE3890" i="1"/>
  <c r="AE3889" i="1"/>
  <c r="AE3888" i="1"/>
  <c r="AE3887" i="1"/>
  <c r="AE3886" i="1"/>
  <c r="AE3885" i="1"/>
  <c r="AE3884" i="1"/>
  <c r="AE3883" i="1"/>
  <c r="AE3882" i="1"/>
  <c r="AE3881" i="1"/>
  <c r="AE3880" i="1"/>
  <c r="AE3879" i="1"/>
  <c r="AE3878" i="1"/>
  <c r="AE3877" i="1"/>
  <c r="AE3876" i="1"/>
  <c r="AE3875" i="1"/>
  <c r="AE3874" i="1"/>
  <c r="AE3873" i="1"/>
  <c r="AE3872" i="1"/>
  <c r="AE3871" i="1"/>
  <c r="AE3870" i="1"/>
  <c r="AE3869" i="1"/>
  <c r="AE3868" i="1"/>
  <c r="AE3867" i="1"/>
  <c r="AE3866" i="1"/>
  <c r="AE3865" i="1"/>
  <c r="AE3864" i="1"/>
  <c r="AE3863" i="1"/>
  <c r="AE3862" i="1"/>
  <c r="AE3861" i="1"/>
  <c r="AE3860" i="1"/>
  <c r="AE3859" i="1"/>
  <c r="AE3858" i="1"/>
  <c r="AE3857" i="1"/>
  <c r="AE3856" i="1"/>
  <c r="AE3855" i="1"/>
  <c r="AE3854" i="1"/>
  <c r="AE3853" i="1"/>
  <c r="AE3852" i="1"/>
  <c r="AE3851" i="1"/>
  <c r="AE3850" i="1"/>
  <c r="AE3849" i="1"/>
  <c r="AE3848" i="1"/>
  <c r="AE3847" i="1"/>
  <c r="AE3846" i="1"/>
  <c r="AE3845" i="1"/>
  <c r="AE3844" i="1"/>
  <c r="AE3843" i="1"/>
  <c r="AE3842" i="1"/>
  <c r="AE3841" i="1"/>
  <c r="AE3840" i="1"/>
  <c r="AE3839" i="1"/>
  <c r="AE3838" i="1"/>
  <c r="AE3837" i="1"/>
  <c r="AE3836" i="1"/>
  <c r="AE3835" i="1"/>
  <c r="AE3834" i="1"/>
  <c r="AE3833" i="1"/>
  <c r="AE3832" i="1"/>
  <c r="AE3831" i="1"/>
  <c r="AE3830" i="1"/>
  <c r="AE3829" i="1"/>
  <c r="AE3828" i="1"/>
  <c r="AE3827" i="1"/>
  <c r="AE3826" i="1"/>
  <c r="AE3825" i="1"/>
  <c r="AE3824" i="1"/>
  <c r="AE3823" i="1"/>
  <c r="AE3822" i="1"/>
  <c r="AE3821" i="1"/>
  <c r="AE3820" i="1"/>
  <c r="AE3819" i="1"/>
  <c r="AE3818" i="1"/>
  <c r="AE3817" i="1"/>
  <c r="AE3816" i="1"/>
  <c r="AE3815" i="1"/>
  <c r="AE3814" i="1"/>
  <c r="AE3813" i="1"/>
  <c r="AE3812" i="1"/>
  <c r="AE3811" i="1"/>
  <c r="AE3810" i="1"/>
  <c r="AE3809" i="1"/>
  <c r="AE3808" i="1"/>
  <c r="AE3807" i="1"/>
  <c r="AE3806" i="1"/>
  <c r="AE3805" i="1"/>
  <c r="AE3804" i="1"/>
  <c r="AE3803" i="1"/>
  <c r="AE3802" i="1"/>
  <c r="AE3801" i="1"/>
  <c r="AE3800" i="1"/>
  <c r="AE3799" i="1"/>
  <c r="AE3798" i="1"/>
  <c r="AE3797" i="1"/>
  <c r="AE3796" i="1"/>
  <c r="AE3795" i="1"/>
  <c r="AE3794" i="1"/>
  <c r="AE3793" i="1"/>
  <c r="AE3792" i="1"/>
  <c r="AE3791" i="1"/>
  <c r="AE3790" i="1"/>
  <c r="AE3789" i="1"/>
  <c r="AE3788" i="1"/>
  <c r="AE3787" i="1"/>
  <c r="AE3786" i="1"/>
  <c r="AE3785" i="1"/>
  <c r="AE3784" i="1"/>
  <c r="AE3783" i="1"/>
  <c r="AE3782" i="1"/>
  <c r="AE3781" i="1"/>
  <c r="AE3780" i="1"/>
  <c r="AE3779" i="1"/>
  <c r="AE3778" i="1"/>
  <c r="AE3777" i="1"/>
  <c r="AE3776" i="1"/>
  <c r="AE3775" i="1"/>
  <c r="AE3774" i="1"/>
  <c r="AE3773" i="1"/>
  <c r="AE3772" i="1"/>
  <c r="AE3771" i="1"/>
  <c r="AE3770" i="1"/>
  <c r="AE3769" i="1"/>
  <c r="AE3768" i="1"/>
  <c r="AE3767" i="1"/>
  <c r="AE3766" i="1"/>
  <c r="AE3765" i="1"/>
  <c r="AE3764" i="1"/>
  <c r="AE3763" i="1"/>
  <c r="AE3762" i="1"/>
  <c r="AE3761" i="1"/>
  <c r="AE3760" i="1"/>
  <c r="AE3759" i="1"/>
  <c r="AE3758" i="1"/>
  <c r="AE3757" i="1"/>
  <c r="AE3756" i="1"/>
  <c r="AE3755" i="1"/>
  <c r="AE3754" i="1"/>
  <c r="AE3753" i="1"/>
  <c r="AE3752" i="1"/>
  <c r="AE3751" i="1"/>
  <c r="AE3750" i="1"/>
  <c r="AE3749" i="1"/>
  <c r="AE3748" i="1"/>
  <c r="AE3747" i="1"/>
  <c r="AE3746" i="1"/>
  <c r="AE3745" i="1"/>
  <c r="AE3744" i="1"/>
  <c r="AE3743" i="1"/>
  <c r="AE3742" i="1"/>
  <c r="AE3741" i="1"/>
  <c r="AE3740" i="1"/>
  <c r="AE3739" i="1"/>
  <c r="AE3738" i="1"/>
  <c r="AE3737" i="1"/>
  <c r="AE3736" i="1"/>
  <c r="AE3735" i="1"/>
  <c r="AE3734" i="1"/>
  <c r="AE3733" i="1"/>
  <c r="AE3732" i="1"/>
  <c r="AE3731" i="1"/>
  <c r="AE3730" i="1"/>
  <c r="AE3729" i="1"/>
  <c r="AE3728" i="1"/>
  <c r="AE3727" i="1"/>
  <c r="AE3726" i="1"/>
  <c r="AE3725" i="1"/>
  <c r="AE3724" i="1"/>
  <c r="AE3723" i="1"/>
  <c r="AE3722" i="1"/>
  <c r="AE3721" i="1"/>
  <c r="AE3720" i="1"/>
  <c r="AE3719" i="1"/>
  <c r="AE3718" i="1"/>
  <c r="AE3717" i="1"/>
  <c r="AE3716" i="1"/>
  <c r="AE3715" i="1"/>
  <c r="AE3714" i="1"/>
  <c r="AE3713" i="1"/>
  <c r="AE3712" i="1"/>
  <c r="AE3711" i="1"/>
  <c r="AE3710" i="1"/>
  <c r="AE3709" i="1"/>
  <c r="AE3708" i="1"/>
  <c r="AE3707" i="1"/>
  <c r="AE3706" i="1"/>
  <c r="AE3705" i="1"/>
  <c r="AE3704" i="1"/>
  <c r="AE3703" i="1"/>
  <c r="AE3702" i="1"/>
  <c r="AE3701" i="1"/>
  <c r="AE3700" i="1"/>
  <c r="AE3699" i="1"/>
  <c r="AE3698" i="1"/>
  <c r="AE3697" i="1"/>
  <c r="AE3696" i="1"/>
  <c r="AE3695" i="1"/>
  <c r="AE3694" i="1"/>
  <c r="AE3693" i="1"/>
  <c r="AE3692" i="1"/>
  <c r="AE3691" i="1"/>
  <c r="AE3690" i="1"/>
  <c r="AE3689" i="1"/>
  <c r="AE3688" i="1"/>
  <c r="AE3687" i="1"/>
  <c r="AE3686" i="1"/>
  <c r="AE3685" i="1"/>
  <c r="AE3684" i="1"/>
  <c r="AE3683" i="1"/>
  <c r="AE3682" i="1"/>
  <c r="AE3681" i="1"/>
  <c r="AE3680" i="1"/>
  <c r="AE3679" i="1"/>
  <c r="AE3678" i="1"/>
  <c r="AE3677" i="1"/>
  <c r="AE3676" i="1"/>
  <c r="AE3675" i="1"/>
  <c r="AE3674" i="1"/>
  <c r="AE3673" i="1"/>
  <c r="AE3672" i="1"/>
  <c r="AE3671" i="1"/>
  <c r="AE3670" i="1"/>
  <c r="AE3669" i="1"/>
  <c r="AE3668" i="1"/>
  <c r="AE3667" i="1"/>
  <c r="AE3666" i="1"/>
  <c r="AE3665" i="1"/>
  <c r="AE3664" i="1"/>
  <c r="AE3663" i="1"/>
  <c r="AE3662" i="1"/>
  <c r="AE3661" i="1"/>
  <c r="AE3660" i="1"/>
  <c r="AE3659" i="1"/>
  <c r="AE3658" i="1"/>
  <c r="AE3657" i="1"/>
  <c r="AE3656" i="1"/>
  <c r="AE3655" i="1"/>
  <c r="AE3654" i="1"/>
  <c r="AE3653" i="1"/>
  <c r="AE3652" i="1"/>
  <c r="AE3651" i="1"/>
  <c r="AE3650" i="1"/>
  <c r="AE3649" i="1"/>
  <c r="AE3648" i="1"/>
  <c r="AE3647" i="1"/>
  <c r="AE3646" i="1"/>
  <c r="AE3645" i="1"/>
  <c r="AE3644" i="1"/>
  <c r="AE3643" i="1"/>
  <c r="AE3642" i="1"/>
  <c r="AE3641" i="1"/>
  <c r="AE3640" i="1"/>
  <c r="AE3639" i="1"/>
  <c r="AE3638" i="1"/>
  <c r="AE3637" i="1"/>
  <c r="AE3636" i="1"/>
  <c r="AE3635" i="1"/>
  <c r="AE3634" i="1"/>
  <c r="AE3633" i="1"/>
  <c r="AE3632" i="1"/>
  <c r="AE3631" i="1"/>
  <c r="AE3630" i="1"/>
  <c r="AE3629" i="1"/>
  <c r="AE3628" i="1"/>
  <c r="AE3627" i="1"/>
  <c r="AE3626" i="1"/>
  <c r="AE3625" i="1"/>
  <c r="AE3624" i="1"/>
  <c r="AE3623" i="1"/>
  <c r="AE3622" i="1"/>
  <c r="AE3621" i="1"/>
  <c r="AE3620" i="1"/>
  <c r="AE3619" i="1"/>
  <c r="AE3618" i="1"/>
  <c r="AE3617" i="1"/>
  <c r="AE3616" i="1"/>
  <c r="AE3615" i="1"/>
  <c r="AE3614" i="1"/>
  <c r="AE3613" i="1"/>
  <c r="AE3612" i="1"/>
  <c r="AE3611" i="1"/>
  <c r="AE3610" i="1"/>
  <c r="AE3609" i="1"/>
  <c r="AE3608" i="1"/>
  <c r="AE3607" i="1"/>
  <c r="AE3606" i="1"/>
  <c r="AE3605" i="1"/>
  <c r="AE3604" i="1"/>
  <c r="AE3603" i="1"/>
  <c r="AE3602" i="1"/>
  <c r="AE3601" i="1"/>
  <c r="AE3600" i="1"/>
  <c r="AE3599" i="1"/>
  <c r="AE3598" i="1"/>
  <c r="AE3597" i="1"/>
  <c r="AE3596" i="1"/>
  <c r="AE3595" i="1"/>
  <c r="AE3594" i="1"/>
  <c r="AE3593" i="1"/>
  <c r="AE3592" i="1"/>
  <c r="AE3591" i="1"/>
  <c r="AE3590" i="1"/>
  <c r="AE3589" i="1"/>
  <c r="AE3588" i="1"/>
  <c r="AE3587" i="1"/>
  <c r="AE3586" i="1"/>
  <c r="AE3585" i="1"/>
  <c r="AE3584" i="1"/>
  <c r="AE3583" i="1"/>
  <c r="AE3582" i="1"/>
  <c r="AE3581" i="1"/>
  <c r="AE3580" i="1"/>
  <c r="AE3579" i="1"/>
  <c r="AE3578" i="1"/>
  <c r="AE3577" i="1"/>
  <c r="AE3576" i="1"/>
  <c r="AE3575" i="1"/>
  <c r="AE3574" i="1"/>
  <c r="AE3573" i="1"/>
  <c r="AE3572" i="1"/>
  <c r="AE3571" i="1"/>
  <c r="AE3570" i="1"/>
  <c r="AE3569" i="1"/>
  <c r="AE3568" i="1"/>
  <c r="AE3567" i="1"/>
  <c r="AE3566" i="1"/>
  <c r="AE3565" i="1"/>
  <c r="AE3564" i="1"/>
  <c r="AE3563" i="1"/>
  <c r="AE3562" i="1"/>
  <c r="AE3561" i="1"/>
  <c r="AE3560" i="1"/>
  <c r="AE3559" i="1"/>
  <c r="AE3558" i="1"/>
  <c r="AE3557" i="1"/>
  <c r="AE3556" i="1"/>
  <c r="AE3555" i="1"/>
  <c r="AE3554" i="1"/>
  <c r="AE3553" i="1"/>
  <c r="AE3552" i="1"/>
  <c r="AE3551" i="1"/>
  <c r="AE3550" i="1"/>
  <c r="AE3549" i="1"/>
  <c r="AE3548" i="1"/>
  <c r="AE3547" i="1"/>
  <c r="AE3546" i="1"/>
  <c r="AE3545" i="1"/>
  <c r="AE3544" i="1"/>
  <c r="AE3543" i="1"/>
  <c r="AE3542" i="1"/>
  <c r="AE3541" i="1"/>
  <c r="AE3540" i="1"/>
  <c r="AE3539" i="1"/>
  <c r="AE3538" i="1"/>
  <c r="AE3537" i="1"/>
  <c r="AE3536" i="1"/>
  <c r="AE3535" i="1"/>
  <c r="AE3534" i="1"/>
  <c r="AE3533" i="1"/>
  <c r="AE3532" i="1"/>
  <c r="AE3531" i="1"/>
  <c r="AE3530" i="1"/>
  <c r="AE3529" i="1"/>
  <c r="AE3528" i="1"/>
  <c r="AE3527" i="1"/>
  <c r="AE3526" i="1"/>
  <c r="AE3525" i="1"/>
  <c r="AE3524" i="1"/>
  <c r="AE3523" i="1"/>
  <c r="AE3522" i="1"/>
  <c r="AE3521" i="1"/>
  <c r="AE3520" i="1"/>
  <c r="AE3519" i="1"/>
  <c r="AE3518" i="1"/>
  <c r="AE3517" i="1"/>
  <c r="AE3516" i="1"/>
  <c r="AE3515" i="1"/>
  <c r="AE3514" i="1"/>
  <c r="AE3513" i="1"/>
  <c r="AE3512" i="1"/>
  <c r="AE3511" i="1"/>
  <c r="AE3510" i="1"/>
  <c r="AE3509" i="1"/>
  <c r="AE3508" i="1"/>
  <c r="AE3507" i="1"/>
  <c r="AE3506" i="1"/>
  <c r="AE3505" i="1"/>
  <c r="AE3504" i="1"/>
  <c r="AE3503" i="1"/>
  <c r="AE3502" i="1"/>
  <c r="AE3501" i="1"/>
  <c r="AE3500" i="1"/>
  <c r="AE3499" i="1"/>
  <c r="AE3498" i="1"/>
  <c r="AE3497" i="1"/>
  <c r="AE3496" i="1"/>
  <c r="AE3495" i="1"/>
  <c r="AE3494" i="1"/>
  <c r="AE3493" i="1"/>
  <c r="AE3492" i="1"/>
  <c r="AE3491" i="1"/>
  <c r="AE3490" i="1"/>
  <c r="AE3489" i="1"/>
  <c r="AE3488" i="1"/>
  <c r="AE3487" i="1"/>
  <c r="AE3486" i="1"/>
  <c r="AE3485" i="1"/>
  <c r="AE3484" i="1"/>
  <c r="AE3483" i="1"/>
  <c r="AE3482" i="1"/>
  <c r="AE3481" i="1"/>
  <c r="AE3480" i="1"/>
  <c r="AE3479" i="1"/>
  <c r="AE3478" i="1"/>
  <c r="AE3477" i="1"/>
  <c r="AE3476" i="1"/>
  <c r="AE3475" i="1"/>
  <c r="AE3474" i="1"/>
  <c r="AE3473" i="1"/>
  <c r="AE3472" i="1"/>
  <c r="AE3471" i="1"/>
  <c r="AE3470" i="1"/>
  <c r="AE3469" i="1"/>
  <c r="AE3468" i="1"/>
  <c r="AE3467" i="1"/>
  <c r="AE3466" i="1"/>
  <c r="AE3465" i="1"/>
  <c r="AE3464" i="1"/>
  <c r="AE3463" i="1"/>
  <c r="AE3462" i="1"/>
  <c r="AE3461" i="1"/>
  <c r="AE3460" i="1"/>
  <c r="AE3459" i="1"/>
  <c r="AE3458" i="1"/>
  <c r="AE3457" i="1"/>
  <c r="AE3456" i="1"/>
  <c r="AE3455" i="1"/>
  <c r="AE3454" i="1"/>
  <c r="AE3453" i="1"/>
  <c r="AE3452" i="1"/>
  <c r="AE3451" i="1"/>
  <c r="AE3450" i="1"/>
  <c r="AE3449" i="1"/>
  <c r="AE3448" i="1"/>
  <c r="AE3447" i="1"/>
  <c r="AE3446" i="1"/>
  <c r="AE3445" i="1"/>
  <c r="AE3444" i="1"/>
  <c r="AE3443" i="1"/>
  <c r="AE3442" i="1"/>
  <c r="AE3441" i="1"/>
  <c r="AE3440" i="1"/>
  <c r="AE3439" i="1"/>
  <c r="AE3438" i="1"/>
  <c r="AE3437" i="1"/>
  <c r="AE3436" i="1"/>
  <c r="AE3435" i="1"/>
  <c r="AE3434" i="1"/>
  <c r="AE3433" i="1"/>
  <c r="AE3432" i="1"/>
  <c r="AE3431" i="1"/>
  <c r="AE3430" i="1"/>
  <c r="AE3429" i="1"/>
  <c r="AE3428" i="1"/>
  <c r="AE3427" i="1"/>
  <c r="AE3426" i="1"/>
  <c r="AE3425" i="1"/>
  <c r="AE3424" i="1"/>
  <c r="AE3423" i="1"/>
  <c r="AE3422" i="1"/>
  <c r="AE3421" i="1"/>
  <c r="AE3420" i="1"/>
  <c r="AE3419" i="1"/>
  <c r="AE3418" i="1"/>
  <c r="AE3417" i="1"/>
  <c r="AE3416" i="1"/>
  <c r="AE3415" i="1"/>
  <c r="AE3414" i="1"/>
  <c r="AE3413" i="1"/>
  <c r="AE3412" i="1"/>
  <c r="AE3411" i="1"/>
  <c r="AE3410" i="1"/>
  <c r="AE3409" i="1"/>
  <c r="AE3408" i="1"/>
  <c r="AE3407" i="1"/>
  <c r="AE3406" i="1"/>
  <c r="AE3405" i="1"/>
  <c r="AE3404" i="1"/>
  <c r="AE3403" i="1"/>
  <c r="AE3402" i="1"/>
  <c r="AE3401" i="1"/>
  <c r="AE3400" i="1"/>
  <c r="AE3399" i="1"/>
  <c r="AE3398" i="1"/>
  <c r="AE3397" i="1"/>
  <c r="AE3396" i="1"/>
  <c r="AE3395" i="1"/>
  <c r="AE3394" i="1"/>
  <c r="AE3393" i="1"/>
  <c r="AE3392" i="1"/>
  <c r="AE3391" i="1"/>
  <c r="AE3390" i="1"/>
  <c r="AE3389" i="1"/>
  <c r="AE3388" i="1"/>
  <c r="AE3387" i="1"/>
  <c r="AE3386" i="1"/>
  <c r="AE3385" i="1"/>
  <c r="AE3384" i="1"/>
  <c r="AE3383" i="1"/>
  <c r="AE3382" i="1"/>
  <c r="AE3381" i="1"/>
  <c r="AE3380" i="1"/>
  <c r="AE3379" i="1"/>
  <c r="AE3378" i="1"/>
  <c r="AE3377" i="1"/>
  <c r="AE3376" i="1"/>
  <c r="AE3375" i="1"/>
  <c r="AE3374" i="1"/>
  <c r="AE3373" i="1"/>
  <c r="AE3372" i="1"/>
  <c r="AE3371" i="1"/>
  <c r="AE3370" i="1"/>
  <c r="AE3369" i="1"/>
  <c r="AE3368" i="1"/>
  <c r="AE3367" i="1"/>
  <c r="AE3366" i="1"/>
  <c r="AE3365" i="1"/>
  <c r="AE3364" i="1"/>
  <c r="AE3363" i="1"/>
  <c r="AE3362" i="1"/>
  <c r="AE3361" i="1"/>
  <c r="AE3360" i="1"/>
  <c r="AE3359" i="1"/>
  <c r="AE3358" i="1"/>
  <c r="AE3357" i="1"/>
  <c r="AE3356" i="1"/>
  <c r="AE3355" i="1"/>
  <c r="AE3354" i="1"/>
  <c r="AE3353" i="1"/>
  <c r="AE3352" i="1"/>
  <c r="AE3351" i="1"/>
  <c r="AE3350" i="1"/>
  <c r="AE3349" i="1"/>
  <c r="AE3348" i="1"/>
  <c r="AE3347" i="1"/>
  <c r="AE3346" i="1"/>
  <c r="AE3345" i="1"/>
  <c r="AE3344" i="1"/>
  <c r="AE3343" i="1"/>
  <c r="AE3342" i="1"/>
  <c r="AE3341" i="1"/>
  <c r="AE3340" i="1"/>
  <c r="AE3339" i="1"/>
  <c r="AE3338" i="1"/>
  <c r="AE3337" i="1"/>
  <c r="AE3336" i="1"/>
  <c r="AE3335" i="1"/>
  <c r="AE3334" i="1"/>
  <c r="AE3333" i="1"/>
  <c r="AE3332" i="1"/>
  <c r="AE3331" i="1"/>
  <c r="AE3330" i="1"/>
  <c r="AE3329" i="1"/>
  <c r="AE3328" i="1"/>
  <c r="AE3327" i="1"/>
  <c r="AE3326" i="1"/>
  <c r="AE3325" i="1"/>
  <c r="AE3324" i="1"/>
  <c r="AE3323" i="1"/>
  <c r="AE3322" i="1"/>
  <c r="AE3321" i="1"/>
  <c r="AE3320" i="1"/>
  <c r="AE3319" i="1"/>
  <c r="AE3318" i="1"/>
  <c r="AE3317" i="1"/>
  <c r="AE3316" i="1"/>
  <c r="AE3315" i="1"/>
  <c r="AE3314" i="1"/>
  <c r="AE3313" i="1"/>
  <c r="AE3312" i="1"/>
  <c r="AE3311" i="1"/>
  <c r="AE3310" i="1"/>
  <c r="AE3309" i="1"/>
  <c r="AE3308" i="1"/>
  <c r="AE3307" i="1"/>
  <c r="AE3306" i="1"/>
  <c r="AE3305" i="1"/>
  <c r="AE3304" i="1"/>
  <c r="AE3303" i="1"/>
  <c r="AE3302" i="1"/>
  <c r="AE3301" i="1"/>
  <c r="AE3300" i="1"/>
  <c r="AE3299" i="1"/>
  <c r="AE3298" i="1"/>
  <c r="AE3297" i="1"/>
  <c r="AE3296" i="1"/>
  <c r="AE3295" i="1"/>
  <c r="AE3294" i="1"/>
  <c r="AE3293" i="1"/>
  <c r="AE3292" i="1"/>
  <c r="AE3291" i="1"/>
  <c r="AE3290" i="1"/>
  <c r="AE3289" i="1"/>
  <c r="AE3288" i="1"/>
  <c r="AE3287" i="1"/>
  <c r="AE3286" i="1"/>
  <c r="AE3285" i="1"/>
  <c r="AE3284" i="1"/>
  <c r="AE3283" i="1"/>
  <c r="AE3282" i="1"/>
  <c r="AE3281" i="1"/>
  <c r="AE3280" i="1"/>
  <c r="AE3279" i="1"/>
  <c r="AE3278" i="1"/>
  <c r="AE3277" i="1"/>
  <c r="AE3276" i="1"/>
  <c r="AE3275" i="1"/>
  <c r="AE3274" i="1"/>
  <c r="AE3273" i="1"/>
  <c r="AE3272" i="1"/>
  <c r="AE3271" i="1"/>
  <c r="AE3270" i="1"/>
  <c r="AE3269" i="1"/>
  <c r="AE3268" i="1"/>
  <c r="AE3267" i="1"/>
  <c r="AE3266" i="1"/>
  <c r="AE3265" i="1"/>
  <c r="AE3264" i="1"/>
  <c r="AE3263" i="1"/>
  <c r="AE3262" i="1"/>
  <c r="AE3261" i="1"/>
  <c r="AE3260" i="1"/>
  <c r="AE3259" i="1"/>
  <c r="AE3258" i="1"/>
  <c r="AE3257" i="1"/>
  <c r="AE3256" i="1"/>
  <c r="AE3255" i="1"/>
  <c r="AE3254" i="1"/>
  <c r="AE3253" i="1"/>
  <c r="AE3252" i="1"/>
  <c r="AE3251" i="1"/>
  <c r="AE3250" i="1"/>
  <c r="AE3249" i="1"/>
  <c r="AE3248" i="1"/>
  <c r="AE3247" i="1"/>
  <c r="AE3246" i="1"/>
  <c r="AE3245" i="1"/>
  <c r="AE3244" i="1"/>
  <c r="AE3243" i="1"/>
  <c r="AE3242" i="1"/>
  <c r="AE3241" i="1"/>
  <c r="AE3240" i="1"/>
  <c r="AE3239" i="1"/>
  <c r="AE3238" i="1"/>
  <c r="AE3237" i="1"/>
  <c r="AE3236" i="1"/>
  <c r="AE3235" i="1"/>
  <c r="AE3234" i="1"/>
  <c r="AE3233" i="1"/>
  <c r="AE3232" i="1"/>
  <c r="AE3231" i="1"/>
  <c r="AE3230" i="1"/>
  <c r="AE3229" i="1"/>
  <c r="AE3228" i="1"/>
  <c r="AE3227" i="1"/>
  <c r="AE3226" i="1"/>
  <c r="AE3225" i="1"/>
  <c r="AE3224" i="1"/>
  <c r="AE3223" i="1"/>
  <c r="AE3222" i="1"/>
  <c r="AE3221" i="1"/>
  <c r="AE3220" i="1"/>
  <c r="AE3219" i="1"/>
  <c r="AE3218" i="1"/>
  <c r="AE3217" i="1"/>
  <c r="AE3216" i="1"/>
  <c r="AE3215" i="1"/>
  <c r="AE3214" i="1"/>
  <c r="AE3213" i="1"/>
  <c r="AE3212" i="1"/>
  <c r="AE3211" i="1"/>
  <c r="AE3210" i="1"/>
  <c r="AE3209" i="1"/>
  <c r="AE3208" i="1"/>
  <c r="AE3207" i="1"/>
  <c r="AE3206" i="1"/>
  <c r="AE3205" i="1"/>
  <c r="AE3204" i="1"/>
  <c r="AE3203" i="1"/>
  <c r="AE3202" i="1"/>
  <c r="AE3201" i="1"/>
  <c r="AE3200" i="1"/>
  <c r="AE3199" i="1"/>
  <c r="AE3198" i="1"/>
  <c r="AE3197" i="1"/>
  <c r="AE3196" i="1"/>
  <c r="AE3195" i="1"/>
  <c r="AE3194" i="1"/>
  <c r="AE3193" i="1"/>
  <c r="AE3192" i="1"/>
  <c r="AE3191" i="1"/>
  <c r="AE3190" i="1"/>
  <c r="AE3189" i="1"/>
  <c r="AE3188" i="1"/>
  <c r="AE3187" i="1"/>
  <c r="AE3186" i="1"/>
  <c r="AE3185" i="1"/>
  <c r="AE3184" i="1"/>
  <c r="AE3183" i="1"/>
  <c r="AE3182" i="1"/>
  <c r="AE3181" i="1"/>
  <c r="AE3180" i="1"/>
  <c r="AE3179" i="1"/>
  <c r="AE3178" i="1"/>
  <c r="AE3177" i="1"/>
  <c r="AE3176" i="1"/>
  <c r="AE3175" i="1"/>
  <c r="AE3174" i="1"/>
  <c r="AE3173" i="1"/>
  <c r="AE3172" i="1"/>
  <c r="AE3171" i="1"/>
  <c r="AE3170" i="1"/>
  <c r="AE3169" i="1"/>
  <c r="AE3168" i="1"/>
  <c r="AE3167" i="1"/>
  <c r="AE3166" i="1"/>
  <c r="AE3165" i="1"/>
  <c r="AE3164" i="1"/>
  <c r="AE3163" i="1"/>
  <c r="AE3162" i="1"/>
  <c r="AE3161" i="1"/>
  <c r="AE3160" i="1"/>
  <c r="AE3159" i="1"/>
  <c r="AE3158" i="1"/>
  <c r="AE3157" i="1"/>
  <c r="AE3156" i="1"/>
  <c r="AE3155" i="1"/>
  <c r="AE3154" i="1"/>
  <c r="AE3153" i="1"/>
  <c r="AE3152" i="1"/>
  <c r="AE3151" i="1"/>
  <c r="AE3150" i="1"/>
  <c r="AE3149" i="1"/>
  <c r="AE3148" i="1"/>
  <c r="AE3147" i="1"/>
  <c r="AE3146" i="1"/>
  <c r="AE3145" i="1"/>
  <c r="AE3144" i="1"/>
  <c r="AE3143" i="1"/>
  <c r="AE3142" i="1"/>
  <c r="AE3141" i="1"/>
  <c r="AE3140" i="1"/>
  <c r="AE3139" i="1"/>
  <c r="AE3138" i="1"/>
  <c r="AE3137" i="1"/>
  <c r="AE3136" i="1"/>
  <c r="AE3135" i="1"/>
  <c r="AE3134" i="1"/>
  <c r="AE3133" i="1"/>
  <c r="AE3132" i="1"/>
  <c r="AE3131" i="1"/>
  <c r="AE3130" i="1"/>
  <c r="AE3129" i="1"/>
  <c r="AE3128" i="1"/>
  <c r="AE3127" i="1"/>
  <c r="AE3126" i="1"/>
  <c r="AE3125" i="1"/>
  <c r="AE3124" i="1"/>
  <c r="AE3123" i="1"/>
  <c r="AE3122" i="1"/>
  <c r="AE3121" i="1"/>
  <c r="AE3120" i="1"/>
  <c r="AE3119" i="1"/>
  <c r="AE3118" i="1"/>
  <c r="AE3117" i="1"/>
  <c r="AE3116" i="1"/>
  <c r="AE3115" i="1"/>
  <c r="AE3114" i="1"/>
  <c r="AE3113" i="1"/>
  <c r="AE3112" i="1"/>
  <c r="AE3111" i="1"/>
  <c r="AE3110" i="1"/>
  <c r="AE3109" i="1"/>
  <c r="AE3108" i="1"/>
  <c r="AE3107" i="1"/>
  <c r="AE3106" i="1"/>
  <c r="AE3105" i="1"/>
  <c r="AE3104" i="1"/>
  <c r="AE3103" i="1"/>
  <c r="AE3102" i="1"/>
  <c r="AE3101" i="1"/>
  <c r="AE3100" i="1"/>
  <c r="AE3099" i="1"/>
  <c r="AE3098" i="1"/>
  <c r="AE3097" i="1"/>
  <c r="AE3096" i="1"/>
  <c r="AE3095" i="1"/>
  <c r="AE3094" i="1"/>
  <c r="AE3093" i="1"/>
  <c r="AE3092" i="1"/>
  <c r="AE3091" i="1"/>
  <c r="AE3090" i="1"/>
  <c r="AE3089" i="1"/>
  <c r="AE3088" i="1"/>
  <c r="AE3087" i="1"/>
  <c r="AE3086" i="1"/>
  <c r="AE3085" i="1"/>
  <c r="AE3084" i="1"/>
  <c r="AE3083" i="1"/>
  <c r="AE3082" i="1"/>
  <c r="AE3081" i="1"/>
  <c r="AE3080" i="1"/>
  <c r="AE3079" i="1"/>
  <c r="AE3078" i="1"/>
  <c r="AE3077" i="1"/>
  <c r="AE3076" i="1"/>
  <c r="AE3075" i="1"/>
  <c r="AE3074" i="1"/>
  <c r="AE3073" i="1"/>
  <c r="AE3072" i="1"/>
  <c r="AE3071" i="1"/>
  <c r="AE3070" i="1"/>
  <c r="AE3069" i="1"/>
  <c r="AE3068" i="1"/>
  <c r="AE3067" i="1"/>
  <c r="AE3066" i="1"/>
  <c r="AE3065" i="1"/>
  <c r="AE3064" i="1"/>
  <c r="AE3063" i="1"/>
  <c r="AE3062" i="1"/>
  <c r="AE3061" i="1"/>
  <c r="AE3060" i="1"/>
  <c r="AE3059" i="1"/>
  <c r="AE3058" i="1"/>
  <c r="AE3057" i="1"/>
  <c r="AE3056" i="1"/>
  <c r="AE3055" i="1"/>
  <c r="AE3054" i="1"/>
  <c r="AE3053" i="1"/>
  <c r="AE3052" i="1"/>
  <c r="AE3051" i="1"/>
  <c r="AE3050" i="1"/>
  <c r="AE3049" i="1"/>
  <c r="AE3048" i="1"/>
  <c r="AE3047" i="1"/>
  <c r="AE3046" i="1"/>
  <c r="AE3045" i="1"/>
  <c r="AE3044" i="1"/>
  <c r="AE3043" i="1"/>
  <c r="AE3042" i="1"/>
  <c r="AE3041" i="1"/>
  <c r="AE3040" i="1"/>
  <c r="AE3039" i="1"/>
  <c r="AE3038" i="1"/>
  <c r="AE3037" i="1"/>
  <c r="AE3036" i="1"/>
  <c r="AE3035" i="1"/>
  <c r="AE3034" i="1"/>
  <c r="AE3033" i="1"/>
  <c r="AE3032" i="1"/>
  <c r="AE3031" i="1"/>
  <c r="AE3030" i="1"/>
  <c r="AE3029" i="1"/>
  <c r="AE3028" i="1"/>
  <c r="AE3027" i="1"/>
  <c r="AE3026" i="1"/>
  <c r="AE3025" i="1"/>
  <c r="AE3024" i="1"/>
  <c r="AE3023" i="1"/>
  <c r="AE3022" i="1"/>
  <c r="AE3021" i="1"/>
  <c r="AE3020" i="1"/>
  <c r="AE3019" i="1"/>
  <c r="AE3018" i="1"/>
  <c r="AE3017" i="1"/>
  <c r="AE3016" i="1"/>
  <c r="AE3015" i="1"/>
  <c r="AE3014" i="1"/>
  <c r="AE3013" i="1"/>
  <c r="AE3012" i="1"/>
  <c r="AE3011" i="1"/>
  <c r="AE3010" i="1"/>
  <c r="AE3009" i="1"/>
  <c r="AE3008" i="1"/>
  <c r="AE3007" i="1"/>
  <c r="AE3006" i="1"/>
  <c r="AE3005" i="1"/>
  <c r="AE3004" i="1"/>
  <c r="AE3003" i="1"/>
  <c r="AE3002" i="1"/>
  <c r="AE3001" i="1"/>
  <c r="AE3000" i="1"/>
  <c r="AE2999" i="1"/>
  <c r="AE2998" i="1"/>
  <c r="AE2997" i="1"/>
  <c r="AE2996" i="1"/>
  <c r="AE2995" i="1"/>
  <c r="AE2994" i="1"/>
  <c r="AE2993" i="1"/>
  <c r="AE2992" i="1"/>
  <c r="AE2991" i="1"/>
  <c r="AE2990" i="1"/>
  <c r="AE2989" i="1"/>
  <c r="AE2988" i="1"/>
  <c r="AE2987" i="1"/>
  <c r="AE2986" i="1"/>
  <c r="AE2985" i="1"/>
  <c r="AE2984" i="1"/>
  <c r="AE2983" i="1"/>
  <c r="AE2982" i="1"/>
  <c r="AE2981" i="1"/>
  <c r="AE2980" i="1"/>
  <c r="AE2979" i="1"/>
  <c r="AE2978" i="1"/>
  <c r="AE2977" i="1"/>
  <c r="AE2976" i="1"/>
  <c r="AE2975" i="1"/>
  <c r="AE2974" i="1"/>
  <c r="AE2973" i="1"/>
  <c r="AE2972" i="1"/>
  <c r="AE2971" i="1"/>
  <c r="AE2970" i="1"/>
  <c r="AE2969" i="1"/>
  <c r="AE2968" i="1"/>
  <c r="AE2967" i="1"/>
  <c r="AE2966" i="1"/>
  <c r="AE2965" i="1"/>
  <c r="AE2964" i="1"/>
  <c r="AE2963" i="1"/>
  <c r="AE2962" i="1"/>
  <c r="AE2961" i="1"/>
  <c r="AE2960" i="1"/>
  <c r="AE2959" i="1"/>
  <c r="AE2958" i="1"/>
  <c r="AE2957" i="1"/>
  <c r="AE2956" i="1"/>
  <c r="AE2955" i="1"/>
  <c r="AE2954" i="1"/>
  <c r="AE2953" i="1"/>
  <c r="AE2952" i="1"/>
  <c r="AE2951" i="1"/>
  <c r="AE2950" i="1"/>
  <c r="AE2949" i="1"/>
  <c r="AE2948" i="1"/>
  <c r="AE2947" i="1"/>
  <c r="AE2946" i="1"/>
  <c r="AE2945" i="1"/>
  <c r="AE2944" i="1"/>
  <c r="AE2943" i="1"/>
  <c r="AE2942" i="1"/>
  <c r="AE2941" i="1"/>
  <c r="AE2940" i="1"/>
  <c r="AE2939" i="1"/>
  <c r="AE2938" i="1"/>
  <c r="AE2937" i="1"/>
  <c r="AE2936" i="1"/>
  <c r="AE2935" i="1"/>
  <c r="AE2934" i="1"/>
  <c r="AE2933" i="1"/>
  <c r="AE2932" i="1"/>
  <c r="AE2931" i="1"/>
  <c r="AE2930" i="1"/>
  <c r="AE2929" i="1"/>
  <c r="AE2928" i="1"/>
  <c r="AE2927" i="1"/>
  <c r="AE2926" i="1"/>
  <c r="AE2925" i="1"/>
  <c r="AE2924" i="1"/>
  <c r="AE2923" i="1"/>
  <c r="AE2922" i="1"/>
  <c r="AE2921" i="1"/>
  <c r="AE2920" i="1"/>
  <c r="AE2919" i="1"/>
  <c r="AE2918" i="1"/>
  <c r="AE2917" i="1"/>
  <c r="AE2916" i="1"/>
  <c r="AE2915" i="1"/>
  <c r="AE2914" i="1"/>
  <c r="AE2913" i="1"/>
  <c r="AE2912" i="1"/>
  <c r="AE2911" i="1"/>
  <c r="AE2910" i="1"/>
  <c r="AE2909" i="1"/>
  <c r="AE2908" i="1"/>
  <c r="AE2907" i="1"/>
  <c r="AE2906" i="1"/>
  <c r="AE2905" i="1"/>
  <c r="AE2904" i="1"/>
  <c r="AE2903" i="1"/>
  <c r="AE2902" i="1"/>
  <c r="AE2901" i="1"/>
  <c r="AE2900" i="1"/>
  <c r="AE2899" i="1"/>
  <c r="AE2898" i="1"/>
  <c r="AE2897" i="1"/>
  <c r="AE2896" i="1"/>
  <c r="AE2895" i="1"/>
  <c r="AE2894" i="1"/>
  <c r="AE2893" i="1"/>
  <c r="AE2892" i="1"/>
  <c r="AE2891" i="1"/>
  <c r="AE2890" i="1"/>
  <c r="AE2889" i="1"/>
  <c r="AE2888" i="1"/>
  <c r="AE2887" i="1"/>
  <c r="AE2886" i="1"/>
  <c r="AE2885" i="1"/>
  <c r="AE2884" i="1"/>
  <c r="AE2883" i="1"/>
  <c r="AE2882" i="1"/>
  <c r="AE2881" i="1"/>
  <c r="AE2880" i="1"/>
  <c r="AE2879" i="1"/>
  <c r="AE2878" i="1"/>
  <c r="AE2877" i="1"/>
  <c r="AE2876" i="1"/>
  <c r="AE2875" i="1"/>
  <c r="AE2874" i="1"/>
  <c r="AE2873" i="1"/>
  <c r="AE2872" i="1"/>
  <c r="AE2871" i="1"/>
  <c r="AE2870" i="1"/>
  <c r="AE2869" i="1"/>
  <c r="AE2868" i="1"/>
  <c r="AE2867" i="1"/>
  <c r="AE2866" i="1"/>
  <c r="AE2865" i="1"/>
  <c r="AE2864" i="1"/>
  <c r="AE2863" i="1"/>
  <c r="AE2862" i="1"/>
  <c r="AE2861" i="1"/>
  <c r="AE2860" i="1"/>
  <c r="AE2859" i="1"/>
  <c r="AE2858" i="1"/>
  <c r="AE2857" i="1"/>
  <c r="AE2856" i="1"/>
  <c r="AE2855" i="1"/>
  <c r="AE2854" i="1"/>
  <c r="AE2853" i="1"/>
  <c r="AE2852" i="1"/>
  <c r="AE2851" i="1"/>
  <c r="AE2850" i="1"/>
  <c r="AE2849" i="1"/>
  <c r="AE2848" i="1"/>
  <c r="AE2847" i="1"/>
  <c r="AE2846" i="1"/>
  <c r="AE2845" i="1"/>
  <c r="AE2844" i="1"/>
  <c r="AE2843" i="1"/>
  <c r="AE2842" i="1"/>
  <c r="AE2841" i="1"/>
  <c r="AE2840" i="1"/>
  <c r="AE2839" i="1"/>
  <c r="AE2838" i="1"/>
  <c r="AE2837" i="1"/>
  <c r="AE2836" i="1"/>
  <c r="AE2835" i="1"/>
  <c r="AE2834" i="1"/>
  <c r="AE2833" i="1"/>
  <c r="AE2832" i="1"/>
  <c r="AE2831" i="1"/>
  <c r="AE2830" i="1"/>
  <c r="AE2829" i="1"/>
  <c r="AE2828" i="1"/>
  <c r="AE2827" i="1"/>
  <c r="AE2826" i="1"/>
  <c r="AE2825" i="1"/>
  <c r="AE2824" i="1"/>
  <c r="AE2823" i="1"/>
  <c r="AE2822" i="1"/>
  <c r="AE2821" i="1"/>
  <c r="AE2820" i="1"/>
  <c r="AE2819" i="1"/>
  <c r="AE2818" i="1"/>
  <c r="AE2817" i="1"/>
  <c r="AE2816" i="1"/>
  <c r="AE2815" i="1"/>
  <c r="AE2814" i="1"/>
  <c r="AE2813" i="1"/>
  <c r="AE2812" i="1"/>
  <c r="AE2811" i="1"/>
  <c r="AE2810" i="1"/>
  <c r="AE2809" i="1"/>
  <c r="AE2808" i="1"/>
  <c r="AE2807" i="1"/>
  <c r="AE2806" i="1"/>
  <c r="AE2805" i="1"/>
  <c r="AE2804" i="1"/>
  <c r="AE2803" i="1"/>
  <c r="AE2802" i="1"/>
  <c r="AE2801" i="1"/>
  <c r="AE2800" i="1"/>
  <c r="AE2799" i="1"/>
  <c r="AE2798" i="1"/>
  <c r="AE2797" i="1"/>
  <c r="AE2796" i="1"/>
  <c r="AE2795" i="1"/>
  <c r="AE2794" i="1"/>
  <c r="AE2793" i="1"/>
  <c r="AE2792" i="1"/>
  <c r="AE2791" i="1"/>
  <c r="AE2790" i="1"/>
  <c r="AE2789" i="1"/>
  <c r="AE2788" i="1"/>
  <c r="AE2787" i="1"/>
  <c r="AE2786" i="1"/>
  <c r="AE2785" i="1"/>
  <c r="AE2784" i="1"/>
  <c r="AE2783" i="1"/>
  <c r="AE2782" i="1"/>
  <c r="AE2781" i="1"/>
  <c r="AE2780" i="1"/>
  <c r="AE2779" i="1"/>
  <c r="AE2778" i="1"/>
  <c r="AE2777" i="1"/>
  <c r="AE2776" i="1"/>
  <c r="AE2775" i="1"/>
  <c r="AE2774" i="1"/>
  <c r="AE2773" i="1"/>
  <c r="AE2772" i="1"/>
  <c r="AE2771" i="1"/>
  <c r="AE2770" i="1"/>
  <c r="AE2769" i="1"/>
  <c r="AE2768" i="1"/>
  <c r="AE2767" i="1"/>
  <c r="AE2766" i="1"/>
  <c r="AE2765" i="1"/>
  <c r="AE2764" i="1"/>
  <c r="AE2763" i="1"/>
  <c r="AE2762" i="1"/>
  <c r="AE2761" i="1"/>
  <c r="AE2760" i="1"/>
  <c r="AE2759" i="1"/>
  <c r="AE2758" i="1"/>
  <c r="AE2757" i="1"/>
  <c r="AE2756" i="1"/>
  <c r="AE2755" i="1"/>
  <c r="AE2754" i="1"/>
  <c r="AE2753" i="1"/>
  <c r="AE2752" i="1"/>
  <c r="AE2751" i="1"/>
  <c r="AE2750" i="1"/>
  <c r="AE2749" i="1"/>
  <c r="AE2748" i="1"/>
  <c r="AE2747" i="1"/>
  <c r="AE2746" i="1"/>
  <c r="AE2745" i="1"/>
  <c r="AE2744" i="1"/>
  <c r="AE2743" i="1"/>
  <c r="AE2742" i="1"/>
  <c r="AE2741" i="1"/>
  <c r="AE2740" i="1"/>
  <c r="AE2739" i="1"/>
  <c r="AE2738" i="1"/>
  <c r="AE2737" i="1"/>
  <c r="AE2736" i="1"/>
  <c r="AE2735" i="1"/>
  <c r="AE2734" i="1"/>
  <c r="AE2733" i="1"/>
  <c r="AE2732" i="1"/>
  <c r="AE2731" i="1"/>
  <c r="AE2730" i="1"/>
  <c r="AE2729" i="1"/>
  <c r="AE2728" i="1"/>
  <c r="AE2727" i="1"/>
  <c r="AE2726" i="1"/>
  <c r="AE2725" i="1"/>
  <c r="AE2724" i="1"/>
  <c r="AE2723" i="1"/>
  <c r="AE2722" i="1"/>
  <c r="AE2721" i="1"/>
  <c r="AE2720" i="1"/>
  <c r="AE2719" i="1"/>
  <c r="AE2718" i="1"/>
  <c r="AE2717" i="1"/>
  <c r="AE2716" i="1"/>
  <c r="AE2715" i="1"/>
  <c r="AE2714" i="1"/>
  <c r="AE2713" i="1"/>
  <c r="AE2712" i="1"/>
  <c r="AE2711" i="1"/>
  <c r="AE2710" i="1"/>
  <c r="AE2709" i="1"/>
  <c r="AE2708" i="1"/>
  <c r="AE2707" i="1"/>
  <c r="AE2706" i="1"/>
  <c r="AE2705" i="1"/>
  <c r="AE2704" i="1"/>
  <c r="AE2703" i="1"/>
  <c r="AE2702" i="1"/>
  <c r="AE2701" i="1"/>
  <c r="AE2700" i="1"/>
  <c r="AE2699" i="1"/>
  <c r="AE2698" i="1"/>
  <c r="AE2697" i="1"/>
  <c r="AE2696" i="1"/>
  <c r="AE2695" i="1"/>
  <c r="AE2694" i="1"/>
  <c r="AE2693" i="1"/>
  <c r="AE2692" i="1"/>
  <c r="AE2691" i="1"/>
  <c r="AE2690" i="1"/>
  <c r="AE2689" i="1"/>
  <c r="AE2688" i="1"/>
  <c r="AE2687" i="1"/>
  <c r="AE2686" i="1"/>
  <c r="AE2685" i="1"/>
  <c r="AE2684" i="1"/>
  <c r="AE2683" i="1"/>
  <c r="AE2682" i="1"/>
  <c r="AE2681" i="1"/>
  <c r="AE2680" i="1"/>
  <c r="AE2679" i="1"/>
  <c r="AE2678" i="1"/>
  <c r="AE2677" i="1"/>
  <c r="AE2676" i="1"/>
  <c r="AE2675" i="1"/>
  <c r="AE2674" i="1"/>
  <c r="AE2673" i="1"/>
  <c r="AE2672" i="1"/>
  <c r="AE2671" i="1"/>
  <c r="AE2670" i="1"/>
  <c r="AE2669" i="1"/>
  <c r="AE2668" i="1"/>
  <c r="AE2667" i="1"/>
  <c r="AE2666" i="1"/>
  <c r="AE2665" i="1"/>
  <c r="AE2664" i="1"/>
  <c r="AE2663" i="1"/>
  <c r="AE2662" i="1"/>
  <c r="AE2661" i="1"/>
  <c r="AE2660" i="1"/>
  <c r="AE2659" i="1"/>
  <c r="AE2658" i="1"/>
  <c r="AE2657" i="1"/>
  <c r="AE2656" i="1"/>
  <c r="AE2655" i="1"/>
  <c r="AE2654" i="1"/>
  <c r="AE2653" i="1"/>
  <c r="AE2652" i="1"/>
  <c r="AE2651" i="1"/>
  <c r="AE2650" i="1"/>
  <c r="AE2649" i="1"/>
  <c r="AE2648" i="1"/>
  <c r="AE2647" i="1"/>
  <c r="AE2646" i="1"/>
  <c r="AE2645" i="1"/>
  <c r="AE2644" i="1"/>
  <c r="AE2643" i="1"/>
  <c r="AE2642" i="1"/>
  <c r="AE2641" i="1"/>
  <c r="AE2640" i="1"/>
  <c r="AE2639" i="1"/>
  <c r="AE2638" i="1"/>
  <c r="AE2637" i="1"/>
  <c r="AE2636" i="1"/>
  <c r="AE2635" i="1"/>
  <c r="AE2634" i="1"/>
  <c r="AE2633" i="1"/>
  <c r="AE2632" i="1"/>
  <c r="AE2631" i="1"/>
  <c r="AE2630" i="1"/>
  <c r="AE2629" i="1"/>
  <c r="AE2628" i="1"/>
  <c r="AE2627" i="1"/>
  <c r="AE2626" i="1"/>
  <c r="AE2625" i="1"/>
  <c r="AE2624" i="1"/>
  <c r="AE2623" i="1"/>
  <c r="AE2622" i="1"/>
  <c r="AE2621" i="1"/>
  <c r="AE2620" i="1"/>
  <c r="AE2619" i="1"/>
  <c r="AE2618" i="1"/>
  <c r="AE2617" i="1"/>
  <c r="AE2616" i="1"/>
  <c r="AE2615" i="1"/>
  <c r="AE2614" i="1"/>
  <c r="AE2613" i="1"/>
  <c r="AE2612" i="1"/>
  <c r="AE2611" i="1"/>
  <c r="AE2610" i="1"/>
  <c r="AE2609" i="1"/>
  <c r="AE2608" i="1"/>
  <c r="AE2607" i="1"/>
  <c r="AE2606" i="1"/>
  <c r="AE2605" i="1"/>
  <c r="AE2604" i="1"/>
  <c r="AE2603" i="1"/>
  <c r="AE2602" i="1"/>
  <c r="AE2601" i="1"/>
  <c r="AE2600" i="1"/>
  <c r="AE2599" i="1"/>
  <c r="AE2598" i="1"/>
  <c r="AE2597" i="1"/>
  <c r="AE2596" i="1"/>
  <c r="AE2595" i="1"/>
  <c r="AE2594" i="1"/>
  <c r="AE2593" i="1"/>
  <c r="AE2592" i="1"/>
  <c r="AE2591" i="1"/>
  <c r="AE2590" i="1"/>
  <c r="AE2589" i="1"/>
  <c r="AE2588" i="1"/>
  <c r="AE2587" i="1"/>
  <c r="AE2586" i="1"/>
  <c r="AE2585" i="1"/>
  <c r="AE2584" i="1"/>
  <c r="AE2583" i="1"/>
  <c r="AE2582" i="1"/>
  <c r="AE2581" i="1"/>
  <c r="AE2580" i="1"/>
  <c r="AE2579" i="1"/>
  <c r="AE2578" i="1"/>
  <c r="AE2577" i="1"/>
  <c r="AE2576" i="1"/>
  <c r="AE2575" i="1"/>
  <c r="AE2574" i="1"/>
  <c r="AE2573" i="1"/>
  <c r="AE2572" i="1"/>
  <c r="AE2571" i="1"/>
  <c r="AE2570" i="1"/>
  <c r="AE2569" i="1"/>
  <c r="AE2568" i="1"/>
  <c r="AE2567" i="1"/>
  <c r="AE2566" i="1"/>
  <c r="AE2565" i="1"/>
  <c r="AE2564" i="1"/>
  <c r="AE2563" i="1"/>
  <c r="AE2562" i="1"/>
  <c r="AE2561" i="1"/>
  <c r="AE2560" i="1"/>
  <c r="AE2559" i="1"/>
  <c r="AE2558" i="1"/>
  <c r="AE2557" i="1"/>
  <c r="AE2556" i="1"/>
  <c r="AE2555" i="1"/>
  <c r="AE2554" i="1"/>
  <c r="AE2553" i="1"/>
  <c r="AE2552" i="1"/>
  <c r="AE2551" i="1"/>
  <c r="AE2550" i="1"/>
  <c r="AE2549" i="1"/>
  <c r="AE2548" i="1"/>
  <c r="AE2547" i="1"/>
  <c r="AE2546" i="1"/>
  <c r="AE2545" i="1"/>
  <c r="AE2544" i="1"/>
  <c r="AE2543" i="1"/>
  <c r="AE2542" i="1"/>
  <c r="AE2541" i="1"/>
  <c r="AE2540" i="1"/>
  <c r="AE2539" i="1"/>
  <c r="AE2538" i="1"/>
  <c r="AE2537" i="1"/>
  <c r="AE2536" i="1"/>
  <c r="AE2535" i="1"/>
  <c r="AE2534" i="1"/>
  <c r="AE2533" i="1"/>
  <c r="AE2532" i="1"/>
  <c r="AE2531" i="1"/>
  <c r="AE2530" i="1"/>
  <c r="AE2529" i="1"/>
  <c r="AE2528" i="1"/>
  <c r="AE2527" i="1"/>
  <c r="AE2526" i="1"/>
  <c r="AE2525" i="1"/>
  <c r="AE2524" i="1"/>
  <c r="AE2523" i="1"/>
  <c r="AE2522" i="1"/>
  <c r="AE2521" i="1"/>
  <c r="AE2520" i="1"/>
  <c r="AE2519" i="1"/>
  <c r="AE2518" i="1"/>
  <c r="AE2517" i="1"/>
  <c r="AE2516" i="1"/>
  <c r="AE2515" i="1"/>
  <c r="AE2514" i="1"/>
  <c r="AE2513" i="1"/>
  <c r="AE2512" i="1"/>
  <c r="AE2511" i="1"/>
  <c r="AE2510" i="1"/>
  <c r="AE2509" i="1"/>
  <c r="AE2508" i="1"/>
  <c r="AE2507" i="1"/>
  <c r="AE2506" i="1"/>
  <c r="AE2505" i="1"/>
  <c r="AE2504" i="1"/>
  <c r="AE2503" i="1"/>
  <c r="AE2502" i="1"/>
  <c r="AE2501" i="1"/>
  <c r="AE2500" i="1"/>
  <c r="AE2499" i="1"/>
  <c r="AE2498" i="1"/>
  <c r="AE2497" i="1"/>
  <c r="AE2496" i="1"/>
  <c r="AE2495" i="1"/>
  <c r="AE2494" i="1"/>
  <c r="AE2493" i="1"/>
  <c r="AE2492" i="1"/>
  <c r="AE2491" i="1"/>
  <c r="AE2490" i="1"/>
  <c r="AE2489" i="1"/>
  <c r="AE2488" i="1"/>
  <c r="AE2487" i="1"/>
  <c r="AE2486" i="1"/>
  <c r="AE2485" i="1"/>
  <c r="AE2484" i="1"/>
  <c r="AE2483" i="1"/>
  <c r="AE2482" i="1"/>
  <c r="AE2481" i="1"/>
  <c r="AE2480" i="1"/>
  <c r="AE2479" i="1"/>
  <c r="AE2478" i="1"/>
  <c r="AE2477" i="1"/>
  <c r="AE2476" i="1"/>
  <c r="AE2475" i="1"/>
  <c r="AE2474" i="1"/>
  <c r="AE2473" i="1"/>
  <c r="AE2472" i="1"/>
  <c r="AE2471" i="1"/>
  <c r="AE2470" i="1"/>
  <c r="AE2469" i="1"/>
  <c r="AE2468" i="1"/>
  <c r="AE2467" i="1"/>
  <c r="AE2466" i="1"/>
  <c r="AE2465" i="1"/>
  <c r="AE2464" i="1"/>
  <c r="AE2463" i="1"/>
  <c r="AE2462" i="1"/>
  <c r="AE2461" i="1"/>
  <c r="AE2460" i="1"/>
  <c r="AE2459" i="1"/>
  <c r="AE2458" i="1"/>
  <c r="AE2457" i="1"/>
  <c r="AE2456" i="1"/>
  <c r="AE2455" i="1"/>
  <c r="AE2454" i="1"/>
  <c r="AE2453" i="1"/>
  <c r="AE2452" i="1"/>
  <c r="AE2451" i="1"/>
  <c r="AE2450" i="1"/>
  <c r="AE2449" i="1"/>
  <c r="AE2448" i="1"/>
  <c r="AE2447" i="1"/>
  <c r="AE2446" i="1"/>
  <c r="AE2445" i="1"/>
  <c r="AE2444" i="1"/>
  <c r="AE2443" i="1"/>
  <c r="AE2442" i="1"/>
  <c r="AE2441" i="1"/>
  <c r="AE2440" i="1"/>
  <c r="AE2439" i="1"/>
  <c r="AE2438" i="1"/>
  <c r="AE2437" i="1"/>
  <c r="AE2436" i="1"/>
  <c r="AE2435" i="1"/>
  <c r="AE2434" i="1"/>
  <c r="AE2433" i="1"/>
  <c r="AE2432" i="1"/>
  <c r="AE2431" i="1"/>
  <c r="AE2430" i="1"/>
  <c r="AE2429" i="1"/>
  <c r="AE2428" i="1"/>
  <c r="AE2427" i="1"/>
  <c r="AE2426" i="1"/>
  <c r="AE2425" i="1"/>
  <c r="AE2424" i="1"/>
  <c r="AE2423" i="1"/>
  <c r="AE2422" i="1"/>
  <c r="AE2421" i="1"/>
  <c r="AE2420" i="1"/>
  <c r="AE2419" i="1"/>
  <c r="AE2418" i="1"/>
  <c r="AE2417" i="1"/>
  <c r="AE2416" i="1"/>
  <c r="AE2415" i="1"/>
  <c r="AE2414" i="1"/>
  <c r="AE2413" i="1"/>
  <c r="AE2412" i="1"/>
  <c r="AE2411" i="1"/>
  <c r="AE2410" i="1"/>
  <c r="AE2409" i="1"/>
  <c r="AE2408" i="1"/>
  <c r="AE2407" i="1"/>
  <c r="AE2406" i="1"/>
  <c r="AE2405" i="1"/>
  <c r="AE2404" i="1"/>
  <c r="AE2403" i="1"/>
  <c r="AE2402" i="1"/>
  <c r="AE2401" i="1"/>
  <c r="AE2400" i="1"/>
  <c r="AE2399" i="1"/>
  <c r="AE2398" i="1"/>
  <c r="AE2397" i="1"/>
  <c r="AE2396" i="1"/>
  <c r="AE2395" i="1"/>
  <c r="AE2394" i="1"/>
  <c r="AE2393" i="1"/>
  <c r="AE2392" i="1"/>
  <c r="AE2391" i="1"/>
  <c r="AE2390" i="1"/>
  <c r="AE2389" i="1"/>
  <c r="AE2388" i="1"/>
  <c r="AE2387" i="1"/>
  <c r="AE2386" i="1"/>
  <c r="AE2385" i="1"/>
  <c r="AE2384" i="1"/>
  <c r="AE2383" i="1"/>
  <c r="AE2382" i="1"/>
  <c r="AE2381" i="1"/>
  <c r="AE2380" i="1"/>
  <c r="AE2379" i="1"/>
  <c r="AE2378" i="1"/>
  <c r="AE2377" i="1"/>
  <c r="AE2376" i="1"/>
  <c r="AE2375" i="1"/>
  <c r="AE2374" i="1"/>
  <c r="AE2373" i="1"/>
  <c r="AE2372" i="1"/>
  <c r="AE2371" i="1"/>
  <c r="AE2370" i="1"/>
  <c r="AE2369" i="1"/>
  <c r="AE2368" i="1"/>
  <c r="AE2367" i="1"/>
  <c r="AE2366" i="1"/>
  <c r="AE2365" i="1"/>
  <c r="AE2364" i="1"/>
  <c r="AE2363" i="1"/>
  <c r="AE2362" i="1"/>
  <c r="AE2361" i="1"/>
  <c r="AE2360" i="1"/>
  <c r="AE2359" i="1"/>
  <c r="AE2358" i="1"/>
  <c r="AE2357" i="1"/>
  <c r="AE2356" i="1"/>
  <c r="AE2355" i="1"/>
  <c r="AE2354" i="1"/>
  <c r="AE2353" i="1"/>
  <c r="AE2352" i="1"/>
  <c r="AE2351" i="1"/>
  <c r="AE2350" i="1"/>
  <c r="AE2349" i="1"/>
  <c r="AE2348" i="1"/>
  <c r="AE2347" i="1"/>
  <c r="AE2346" i="1"/>
  <c r="AE2345" i="1"/>
  <c r="AE2344" i="1"/>
  <c r="AE2343" i="1"/>
  <c r="AE2342" i="1"/>
  <c r="AE2341" i="1"/>
  <c r="AE2340" i="1"/>
  <c r="AE2339" i="1"/>
  <c r="AE2338" i="1"/>
  <c r="AE2337" i="1"/>
  <c r="AE2336" i="1"/>
  <c r="AE2335" i="1"/>
  <c r="AE2334" i="1"/>
  <c r="AE2333" i="1"/>
  <c r="AE2332" i="1"/>
  <c r="AE2331" i="1"/>
  <c r="AE2330" i="1"/>
  <c r="AE2329" i="1"/>
  <c r="AE2328" i="1"/>
  <c r="AE2327" i="1"/>
  <c r="AE2326" i="1"/>
  <c r="AE2325" i="1"/>
  <c r="AE2324" i="1"/>
  <c r="AE2323" i="1"/>
  <c r="AE2322" i="1"/>
  <c r="AE2321" i="1"/>
  <c r="AE2320" i="1"/>
  <c r="AE2319" i="1"/>
  <c r="AE2318" i="1"/>
  <c r="AE2317" i="1"/>
  <c r="AE2316" i="1"/>
  <c r="AE2315" i="1"/>
  <c r="AE2314" i="1"/>
  <c r="AE2313" i="1"/>
  <c r="AE2312" i="1"/>
  <c r="AE2311" i="1"/>
  <c r="AE2310" i="1"/>
  <c r="AE2309" i="1"/>
  <c r="AE2308" i="1"/>
  <c r="AE2307" i="1"/>
  <c r="AE2306" i="1"/>
  <c r="AE2305" i="1"/>
  <c r="AE2304" i="1"/>
  <c r="AE2303" i="1"/>
  <c r="AE2302" i="1"/>
  <c r="AE2301" i="1"/>
  <c r="AE2300" i="1"/>
  <c r="AE2299" i="1"/>
  <c r="AE2298" i="1"/>
  <c r="AE2297" i="1"/>
  <c r="AE2296" i="1"/>
  <c r="AE2295" i="1"/>
  <c r="AE2294" i="1"/>
  <c r="AE2293" i="1"/>
  <c r="AE2292" i="1"/>
  <c r="AE2291" i="1"/>
  <c r="AE2290" i="1"/>
  <c r="AE2289" i="1"/>
  <c r="AE2288" i="1"/>
  <c r="AE2287" i="1"/>
  <c r="AE2286" i="1"/>
  <c r="AE2285" i="1"/>
  <c r="AE2284" i="1"/>
  <c r="AE2283" i="1"/>
  <c r="AE2282" i="1"/>
  <c r="AE2281" i="1"/>
  <c r="AE2280" i="1"/>
  <c r="AE2279" i="1"/>
  <c r="AE2278" i="1"/>
  <c r="AE2277" i="1"/>
  <c r="AE2276" i="1"/>
  <c r="AE2275" i="1"/>
  <c r="AE2274" i="1"/>
  <c r="AE2273" i="1"/>
  <c r="AE2272" i="1"/>
  <c r="AE2271" i="1"/>
  <c r="AE2270" i="1"/>
  <c r="AE2269" i="1"/>
  <c r="AE2268" i="1"/>
  <c r="AE2267" i="1"/>
  <c r="AE2266" i="1"/>
  <c r="AE2265" i="1"/>
  <c r="AE2264" i="1"/>
  <c r="AE2263" i="1"/>
  <c r="AE2262" i="1"/>
  <c r="AE2261" i="1"/>
  <c r="AE2260" i="1"/>
  <c r="AE2259" i="1"/>
  <c r="AE2258" i="1"/>
  <c r="AE2257" i="1"/>
  <c r="AE2256" i="1"/>
  <c r="AE2255" i="1"/>
  <c r="AE2254" i="1"/>
  <c r="AE2253" i="1"/>
  <c r="AE2252" i="1"/>
  <c r="AE2251" i="1"/>
  <c r="AE2250" i="1"/>
  <c r="AE2249" i="1"/>
  <c r="AE2248" i="1"/>
  <c r="AE2247" i="1"/>
  <c r="AE2246" i="1"/>
  <c r="AE2245" i="1"/>
  <c r="AE2244" i="1"/>
  <c r="AE2243" i="1"/>
  <c r="AE2242" i="1"/>
  <c r="AE2241" i="1"/>
  <c r="AE2240" i="1"/>
  <c r="AE2239" i="1"/>
  <c r="AE2238" i="1"/>
  <c r="AE2237" i="1"/>
  <c r="AE2236" i="1"/>
  <c r="AE2235" i="1"/>
  <c r="AE2234" i="1"/>
  <c r="AE2233" i="1"/>
  <c r="AE2232" i="1"/>
  <c r="AE2231" i="1"/>
  <c r="AE2230" i="1"/>
  <c r="AE2229" i="1"/>
  <c r="AE2228" i="1"/>
  <c r="AE2227" i="1"/>
  <c r="AE2226" i="1"/>
  <c r="AE2225" i="1"/>
  <c r="AE2224" i="1"/>
  <c r="AE2223" i="1"/>
  <c r="AE2222" i="1"/>
  <c r="AE2221" i="1"/>
  <c r="AE2220" i="1"/>
  <c r="AE2219" i="1"/>
  <c r="AE2218" i="1"/>
  <c r="AE2217" i="1"/>
  <c r="AE2216" i="1"/>
  <c r="AE2215" i="1"/>
  <c r="AE2214" i="1"/>
  <c r="AE2213" i="1"/>
  <c r="AE2212" i="1"/>
  <c r="AE2211" i="1"/>
  <c r="AE2210" i="1"/>
  <c r="AE2209" i="1"/>
  <c r="AE2208" i="1"/>
  <c r="AE2207" i="1"/>
  <c r="AE2206" i="1"/>
  <c r="AE2205" i="1"/>
  <c r="AE2204" i="1"/>
  <c r="AE2203" i="1"/>
  <c r="AE2202" i="1"/>
  <c r="AE2201" i="1"/>
  <c r="AE2200" i="1"/>
  <c r="AE2199" i="1"/>
  <c r="AE2198" i="1"/>
  <c r="AE2197" i="1"/>
  <c r="AE2196" i="1"/>
  <c r="AE2195" i="1"/>
  <c r="AE2194" i="1"/>
  <c r="AE2193" i="1"/>
  <c r="AE2192" i="1"/>
  <c r="AE2191" i="1"/>
  <c r="AE2190" i="1"/>
  <c r="AE2189" i="1"/>
  <c r="AE2188" i="1"/>
  <c r="AE2187" i="1"/>
  <c r="AE2186" i="1"/>
  <c r="AE2185" i="1"/>
  <c r="AE2184" i="1"/>
  <c r="AE2183" i="1"/>
  <c r="AE2182" i="1"/>
  <c r="AE2181" i="1"/>
  <c r="AE2180" i="1"/>
  <c r="AE2179" i="1"/>
  <c r="AE2178" i="1"/>
  <c r="AE2177" i="1"/>
  <c r="AE2176" i="1"/>
  <c r="AE2175" i="1"/>
  <c r="AE2174" i="1"/>
  <c r="AE2173" i="1"/>
  <c r="AE2172" i="1"/>
  <c r="AE2171" i="1"/>
  <c r="AE2170" i="1"/>
  <c r="AE2169" i="1"/>
  <c r="AE2168" i="1"/>
  <c r="AE2167" i="1"/>
  <c r="AE2166" i="1"/>
  <c r="AE2165" i="1"/>
  <c r="AE2164" i="1"/>
  <c r="AE2163" i="1"/>
  <c r="AE2162" i="1"/>
  <c r="AE2161" i="1"/>
  <c r="AE2160" i="1"/>
  <c r="AE2159" i="1"/>
  <c r="AE2158" i="1"/>
  <c r="AE2157" i="1"/>
  <c r="AE2156" i="1"/>
  <c r="AE2155" i="1"/>
  <c r="AE2154" i="1"/>
  <c r="AE2153" i="1"/>
  <c r="AE2152" i="1"/>
  <c r="AE2151" i="1"/>
  <c r="AE2150" i="1"/>
  <c r="AE2149" i="1"/>
  <c r="AE2148" i="1"/>
  <c r="AE2147" i="1"/>
  <c r="AE2146" i="1"/>
  <c r="AE2145" i="1"/>
  <c r="AE2144" i="1"/>
  <c r="AE2143" i="1"/>
  <c r="AE2142" i="1"/>
  <c r="AE2141" i="1"/>
  <c r="AE2140" i="1"/>
  <c r="AE2139" i="1"/>
  <c r="AE2138" i="1"/>
  <c r="AE2137" i="1"/>
  <c r="AE2136" i="1"/>
  <c r="AE2135" i="1"/>
  <c r="AE2134" i="1"/>
  <c r="AE2133" i="1"/>
  <c r="AE2132" i="1"/>
  <c r="AE2131" i="1"/>
  <c r="AE2130" i="1"/>
  <c r="AE2129" i="1"/>
  <c r="AE2128" i="1"/>
  <c r="AE2127" i="1"/>
  <c r="AE2126" i="1"/>
  <c r="AE2125" i="1"/>
  <c r="AE2124" i="1"/>
  <c r="AE2123" i="1"/>
  <c r="AE2122" i="1"/>
  <c r="AE2121" i="1"/>
  <c r="AE2120" i="1"/>
  <c r="AE2119" i="1"/>
  <c r="AE2118" i="1"/>
  <c r="AE2117" i="1"/>
  <c r="AE2116" i="1"/>
  <c r="AE2115" i="1"/>
  <c r="AE2114" i="1"/>
  <c r="AE2113" i="1"/>
  <c r="AE2112" i="1"/>
  <c r="AE2111" i="1"/>
  <c r="AE2110" i="1"/>
  <c r="AE2109" i="1"/>
  <c r="AE2108" i="1"/>
  <c r="AE2107" i="1"/>
  <c r="AE2106" i="1"/>
  <c r="AE2105" i="1"/>
  <c r="AE2104" i="1"/>
  <c r="AE2103" i="1"/>
  <c r="AE2102" i="1"/>
  <c r="AE2101" i="1"/>
  <c r="AE2100" i="1"/>
  <c r="AE2099" i="1"/>
  <c r="AE2098" i="1"/>
  <c r="AE2097" i="1"/>
  <c r="AE2096" i="1"/>
  <c r="AE2095" i="1"/>
  <c r="AE2094" i="1"/>
  <c r="AE2093" i="1"/>
  <c r="AE2092" i="1"/>
  <c r="AE2091" i="1"/>
  <c r="AE2090" i="1"/>
  <c r="AE2089" i="1"/>
  <c r="AE2088" i="1"/>
  <c r="AE2087" i="1"/>
  <c r="AE2086" i="1"/>
  <c r="AE2085" i="1"/>
  <c r="AE2084" i="1"/>
  <c r="AE2083" i="1"/>
  <c r="AE2082" i="1"/>
  <c r="AE2081" i="1"/>
  <c r="AE2080" i="1"/>
  <c r="AE2079" i="1"/>
  <c r="AE2078" i="1"/>
  <c r="AE2077" i="1"/>
  <c r="AE2076" i="1"/>
  <c r="AE2075" i="1"/>
  <c r="AE2074" i="1"/>
  <c r="AE2073" i="1"/>
  <c r="AE2072" i="1"/>
  <c r="AE2071" i="1"/>
  <c r="AE2070" i="1"/>
  <c r="AE2069" i="1"/>
  <c r="AE2068" i="1"/>
  <c r="AE2067" i="1"/>
  <c r="AE2066" i="1"/>
  <c r="AE2065" i="1"/>
  <c r="AE2064" i="1"/>
  <c r="AE2063" i="1"/>
  <c r="AE2062" i="1"/>
  <c r="AE2061" i="1"/>
  <c r="AE2060" i="1"/>
  <c r="AE2059" i="1"/>
  <c r="AE2058" i="1"/>
  <c r="AE2057" i="1"/>
  <c r="AE2056" i="1"/>
  <c r="AE2055" i="1"/>
  <c r="AE2054" i="1"/>
  <c r="AE2053" i="1"/>
  <c r="AE2052" i="1"/>
  <c r="AE2051" i="1"/>
  <c r="AE2050" i="1"/>
  <c r="AE2049" i="1"/>
  <c r="AE2048" i="1"/>
  <c r="AE2047" i="1"/>
  <c r="AE2046" i="1"/>
  <c r="AE2045" i="1"/>
  <c r="AE2044" i="1"/>
  <c r="AE2043" i="1"/>
  <c r="AE2042" i="1"/>
  <c r="AE2041" i="1"/>
  <c r="AE2040" i="1"/>
  <c r="AE2039" i="1"/>
  <c r="AE2038" i="1"/>
  <c r="AE2037" i="1"/>
  <c r="AE2036" i="1"/>
  <c r="AE2035" i="1"/>
  <c r="AE2034" i="1"/>
  <c r="AE2033" i="1"/>
  <c r="AE2032" i="1"/>
  <c r="AE2031" i="1"/>
  <c r="AE2030" i="1"/>
  <c r="AE2029" i="1"/>
  <c r="AE2028" i="1"/>
  <c r="AE2027" i="1"/>
  <c r="AE2026" i="1"/>
  <c r="AE2025" i="1"/>
  <c r="AE2024" i="1"/>
  <c r="AE2023" i="1"/>
  <c r="AE2022" i="1"/>
  <c r="AE2021" i="1"/>
  <c r="AE2020" i="1"/>
  <c r="AE2019" i="1"/>
  <c r="AE2018" i="1"/>
  <c r="AE2017" i="1"/>
  <c r="AE2016" i="1"/>
  <c r="AE2015" i="1"/>
  <c r="AE2014" i="1"/>
  <c r="AE2013" i="1"/>
  <c r="AE2012" i="1"/>
  <c r="AE2011" i="1"/>
  <c r="AE2010" i="1"/>
  <c r="AE2009" i="1"/>
  <c r="AE2008" i="1"/>
  <c r="AE2007" i="1"/>
  <c r="AE2006" i="1"/>
  <c r="AE2005" i="1"/>
  <c r="AE2004" i="1"/>
  <c r="AE2003" i="1"/>
  <c r="AE2002" i="1"/>
  <c r="AE2001" i="1"/>
  <c r="AE2000" i="1"/>
  <c r="AE1999" i="1"/>
  <c r="AE1998" i="1"/>
  <c r="AE1997" i="1"/>
  <c r="AE1996" i="1"/>
  <c r="AE1995" i="1"/>
  <c r="AE1994" i="1"/>
  <c r="AE1993" i="1"/>
  <c r="AE1992" i="1"/>
  <c r="AE1991" i="1"/>
  <c r="AE1990" i="1"/>
  <c r="AE1989" i="1"/>
  <c r="AE1988" i="1"/>
  <c r="AE1987" i="1"/>
  <c r="AE1986" i="1"/>
  <c r="AE1985" i="1"/>
  <c r="AE1984" i="1"/>
  <c r="AE1983" i="1"/>
  <c r="AE1982" i="1"/>
  <c r="AE1981" i="1"/>
  <c r="AE1980" i="1"/>
  <c r="AE1979" i="1"/>
  <c r="AE1978" i="1"/>
  <c r="AE1977" i="1"/>
  <c r="AE1976" i="1"/>
  <c r="AE1975" i="1"/>
  <c r="AE1974" i="1"/>
  <c r="AE1973" i="1"/>
  <c r="AE1972" i="1"/>
  <c r="AE1971" i="1"/>
  <c r="AE1970" i="1"/>
  <c r="AE1969" i="1"/>
  <c r="AE1968" i="1"/>
  <c r="AE1967" i="1"/>
  <c r="AE1966" i="1"/>
  <c r="AE1965" i="1"/>
  <c r="AE1964" i="1"/>
  <c r="AE1963" i="1"/>
  <c r="AE1962" i="1"/>
  <c r="AE1961" i="1"/>
  <c r="AE1960" i="1"/>
  <c r="AE1959" i="1"/>
  <c r="AE1958" i="1"/>
  <c r="AE1957" i="1"/>
  <c r="AE1956" i="1"/>
  <c r="AE1955" i="1"/>
  <c r="AE1954" i="1"/>
  <c r="AE1953" i="1"/>
  <c r="AE1952" i="1"/>
  <c r="AE1951" i="1"/>
  <c r="AE1950" i="1"/>
  <c r="AE1949" i="1"/>
  <c r="AE1948" i="1"/>
  <c r="AE1947" i="1"/>
  <c r="AE1946" i="1"/>
  <c r="AE1945" i="1"/>
  <c r="AE1944" i="1"/>
  <c r="AE1943" i="1"/>
  <c r="AE1942" i="1"/>
  <c r="AE1941" i="1"/>
  <c r="AE1940" i="1"/>
  <c r="AE1939" i="1"/>
  <c r="AE1938" i="1"/>
  <c r="AE1937" i="1"/>
  <c r="AE1936" i="1"/>
  <c r="AE1935" i="1"/>
  <c r="AE1934" i="1"/>
  <c r="AE1933" i="1"/>
  <c r="AE1932" i="1"/>
  <c r="AE1931" i="1"/>
  <c r="AE1930" i="1"/>
  <c r="AE1929" i="1"/>
  <c r="AE1928" i="1"/>
  <c r="AE1927" i="1"/>
  <c r="AE1926" i="1"/>
  <c r="AE1925" i="1"/>
  <c r="AE1924" i="1"/>
  <c r="AE1923" i="1"/>
  <c r="AE1922" i="1"/>
  <c r="AE1921" i="1"/>
  <c r="AE1920" i="1"/>
  <c r="AE1919" i="1"/>
  <c r="AE1918" i="1"/>
  <c r="AE1917" i="1"/>
  <c r="AE1916" i="1"/>
  <c r="AE1915" i="1"/>
  <c r="AE1914" i="1"/>
  <c r="AE1913" i="1"/>
  <c r="AE1912" i="1"/>
  <c r="AE1911" i="1"/>
  <c r="AE1910" i="1"/>
  <c r="AE1909" i="1"/>
  <c r="AE1908" i="1"/>
  <c r="AE1907" i="1"/>
  <c r="AE1906" i="1"/>
  <c r="AE1905" i="1"/>
  <c r="AE1904" i="1"/>
  <c r="AE1903" i="1"/>
  <c r="AE1902" i="1"/>
  <c r="AE1901" i="1"/>
  <c r="AE1900" i="1"/>
  <c r="AE1899" i="1"/>
  <c r="AE1898" i="1"/>
  <c r="AE1897" i="1"/>
  <c r="AE1896" i="1"/>
  <c r="AE1895" i="1"/>
  <c r="AE1894" i="1"/>
  <c r="AE1893" i="1"/>
  <c r="AE1892" i="1"/>
  <c r="AE1891" i="1"/>
  <c r="AE1890" i="1"/>
  <c r="AE1889" i="1"/>
  <c r="AE1888" i="1"/>
  <c r="AE1887" i="1"/>
  <c r="AE1886" i="1"/>
  <c r="AE1885" i="1"/>
  <c r="AE1884" i="1"/>
  <c r="AE1883" i="1"/>
  <c r="AE1882" i="1"/>
  <c r="AE1881" i="1"/>
  <c r="AE1880" i="1"/>
  <c r="AE1879" i="1"/>
  <c r="AE1878" i="1"/>
  <c r="AE1877" i="1"/>
  <c r="AE1876" i="1"/>
  <c r="AE1875" i="1"/>
  <c r="AE1874" i="1"/>
  <c r="AE1873" i="1"/>
  <c r="AE1872" i="1"/>
  <c r="AE1871" i="1"/>
  <c r="AE1870" i="1"/>
  <c r="AE1869" i="1"/>
  <c r="AE1868" i="1"/>
  <c r="AE1867" i="1"/>
  <c r="AE1866" i="1"/>
  <c r="AE1865" i="1"/>
  <c r="AE1864" i="1"/>
  <c r="AE1863" i="1"/>
  <c r="AE1862" i="1"/>
  <c r="AE1861" i="1"/>
  <c r="AE1860" i="1"/>
  <c r="AE1859" i="1"/>
  <c r="AE1858" i="1"/>
  <c r="AE1857" i="1"/>
  <c r="AE1856" i="1"/>
  <c r="AE1855" i="1"/>
  <c r="AE1854" i="1"/>
  <c r="AE1853" i="1"/>
  <c r="AE1852" i="1"/>
  <c r="AE1851" i="1"/>
  <c r="AE1850" i="1"/>
  <c r="AE1849" i="1"/>
  <c r="AE1848" i="1"/>
  <c r="AE1847" i="1"/>
  <c r="AE1846" i="1"/>
  <c r="AE1845" i="1"/>
  <c r="AE1844" i="1"/>
  <c r="AE1843" i="1"/>
  <c r="AE1842" i="1"/>
  <c r="AE1841" i="1"/>
  <c r="AE1840" i="1"/>
  <c r="AE1839" i="1"/>
  <c r="AE1838" i="1"/>
  <c r="AE1837" i="1"/>
  <c r="AE1836" i="1"/>
  <c r="AE1835" i="1"/>
  <c r="AE1834" i="1"/>
  <c r="AE1833" i="1"/>
  <c r="AE1832" i="1"/>
  <c r="AE1831" i="1"/>
  <c r="AE1830" i="1"/>
  <c r="AE1829" i="1"/>
  <c r="AE1828" i="1"/>
  <c r="AE1827" i="1"/>
  <c r="AE1826" i="1"/>
  <c r="AE1825" i="1"/>
  <c r="AE1824" i="1"/>
  <c r="AE1823" i="1"/>
  <c r="AE1822" i="1"/>
  <c r="AE1821" i="1"/>
  <c r="AE1820" i="1"/>
  <c r="AE1819" i="1"/>
  <c r="AE1818" i="1"/>
  <c r="AE1817" i="1"/>
  <c r="AE1816" i="1"/>
  <c r="AE1815" i="1"/>
  <c r="AE1814" i="1"/>
  <c r="AE1813" i="1"/>
  <c r="AE1812" i="1"/>
  <c r="AE1811" i="1"/>
  <c r="AE1810" i="1"/>
  <c r="AE1809" i="1"/>
  <c r="AE1808" i="1"/>
  <c r="AE1807" i="1"/>
  <c r="AE1806" i="1"/>
  <c r="AE1805" i="1"/>
  <c r="AE1804" i="1"/>
  <c r="AE1803" i="1"/>
  <c r="AE1802" i="1"/>
  <c r="AE1801" i="1"/>
  <c r="AE1800" i="1"/>
  <c r="AE1799" i="1"/>
  <c r="AE1798" i="1"/>
  <c r="AE1797" i="1"/>
  <c r="AE1796" i="1"/>
  <c r="AE1795" i="1"/>
  <c r="AE1794" i="1"/>
  <c r="AE1793" i="1"/>
  <c r="AE1792" i="1"/>
  <c r="AE1791" i="1"/>
  <c r="AE1790" i="1"/>
  <c r="AE1789" i="1"/>
  <c r="AE1788" i="1"/>
  <c r="AE1787" i="1"/>
  <c r="AE1786" i="1"/>
  <c r="AE1785" i="1"/>
  <c r="AE1784" i="1"/>
  <c r="AE1783" i="1"/>
  <c r="AE1782" i="1"/>
  <c r="AE1781" i="1"/>
  <c r="AE1780" i="1"/>
  <c r="AE1779" i="1"/>
  <c r="AE1778" i="1"/>
  <c r="AE1777" i="1"/>
  <c r="AE1776" i="1"/>
  <c r="AE1775" i="1"/>
  <c r="AE1774" i="1"/>
  <c r="AE1773" i="1"/>
  <c r="AE1772" i="1"/>
  <c r="AE1771" i="1"/>
  <c r="AE1770" i="1"/>
  <c r="AE1769" i="1"/>
  <c r="AE1768" i="1"/>
  <c r="AE1767" i="1"/>
  <c r="AE1766" i="1"/>
  <c r="AE1765" i="1"/>
  <c r="AE1764" i="1"/>
  <c r="AE1763" i="1"/>
  <c r="AE1762" i="1"/>
  <c r="AE1761" i="1"/>
  <c r="AE1760" i="1"/>
  <c r="AE1759" i="1"/>
  <c r="AE1758" i="1"/>
  <c r="AE1757" i="1"/>
  <c r="AE1756" i="1"/>
  <c r="AE1755" i="1"/>
  <c r="AE1754" i="1"/>
  <c r="AE1753" i="1"/>
  <c r="AE1752" i="1"/>
  <c r="AE1751" i="1"/>
  <c r="AE1750" i="1"/>
  <c r="AE1749" i="1"/>
  <c r="AE1748" i="1"/>
  <c r="AE1747" i="1"/>
  <c r="AE1746" i="1"/>
  <c r="AE1745" i="1"/>
  <c r="AE1744" i="1"/>
  <c r="AE1743" i="1"/>
  <c r="AE1742" i="1"/>
  <c r="AE1741" i="1"/>
  <c r="AE1740" i="1"/>
  <c r="AE1739" i="1"/>
  <c r="AE1738" i="1"/>
  <c r="AE1737" i="1"/>
  <c r="AE1736" i="1"/>
  <c r="AE1735" i="1"/>
  <c r="AE1734" i="1"/>
  <c r="AE1733" i="1"/>
  <c r="AE1732" i="1"/>
  <c r="AE1731" i="1"/>
  <c r="AE1730" i="1"/>
  <c r="AE1729" i="1"/>
  <c r="AE1728" i="1"/>
  <c r="AE1727" i="1"/>
  <c r="AE1726" i="1"/>
  <c r="AE1725" i="1"/>
  <c r="AE1724" i="1"/>
  <c r="AE1723" i="1"/>
  <c r="AE1722" i="1"/>
  <c r="AE1721" i="1"/>
  <c r="AE1720" i="1"/>
  <c r="AE1719" i="1"/>
  <c r="AE1718" i="1"/>
  <c r="AE1717" i="1"/>
  <c r="AE1716" i="1"/>
  <c r="AE1715" i="1"/>
  <c r="AE1714" i="1"/>
  <c r="AE1713" i="1"/>
  <c r="AE1712" i="1"/>
  <c r="AE1711" i="1"/>
  <c r="AE1710" i="1"/>
  <c r="AE1709" i="1"/>
  <c r="AE1708" i="1"/>
  <c r="AE1707" i="1"/>
  <c r="AE1706" i="1"/>
  <c r="AE1705" i="1"/>
  <c r="AE1704" i="1"/>
  <c r="AE1703" i="1"/>
  <c r="AE1702" i="1"/>
  <c r="AE1701" i="1"/>
  <c r="AE1700" i="1"/>
  <c r="AE1699" i="1"/>
  <c r="AE1698" i="1"/>
  <c r="AE1697" i="1"/>
  <c r="AE1696" i="1"/>
  <c r="AE1695" i="1"/>
  <c r="AE1694" i="1"/>
  <c r="AE1693" i="1"/>
  <c r="AE1692" i="1"/>
  <c r="AE1691" i="1"/>
  <c r="AE1690" i="1"/>
  <c r="AE1689" i="1"/>
  <c r="AE1688" i="1"/>
  <c r="AE1687" i="1"/>
  <c r="AE1686" i="1"/>
  <c r="AE1685" i="1"/>
  <c r="AE1684" i="1"/>
  <c r="AE1683" i="1"/>
  <c r="AE1682" i="1"/>
  <c r="AE1681" i="1"/>
  <c r="AE1680" i="1"/>
  <c r="AE1679" i="1"/>
  <c r="AE1678" i="1"/>
  <c r="AE1677" i="1"/>
  <c r="AE1676" i="1"/>
  <c r="AE1675" i="1"/>
  <c r="AE1674" i="1"/>
  <c r="AE1673" i="1"/>
  <c r="AE1672" i="1"/>
  <c r="AE1671" i="1"/>
  <c r="AE1670" i="1"/>
  <c r="AE1669" i="1"/>
  <c r="AE1668" i="1"/>
  <c r="AE1667" i="1"/>
  <c r="AE1666" i="1"/>
  <c r="AE1665" i="1"/>
  <c r="AE1664" i="1"/>
  <c r="AE1663" i="1"/>
  <c r="AE1662" i="1"/>
  <c r="AE1661" i="1"/>
  <c r="AE1660" i="1"/>
  <c r="AE1659" i="1"/>
  <c r="AE1658" i="1"/>
  <c r="AE1657" i="1"/>
  <c r="AE1656" i="1"/>
  <c r="AE1655" i="1"/>
  <c r="AE1654" i="1"/>
  <c r="AE1653" i="1"/>
  <c r="AE1652" i="1"/>
  <c r="AE1651" i="1"/>
  <c r="AE1650" i="1"/>
  <c r="AE1649" i="1"/>
  <c r="AE1648" i="1"/>
  <c r="AE1647" i="1"/>
  <c r="AE1646" i="1"/>
  <c r="AE1645" i="1"/>
  <c r="AE1644" i="1"/>
  <c r="AE1643" i="1"/>
  <c r="AE1642" i="1"/>
  <c r="AE1641" i="1"/>
  <c r="AE1640" i="1"/>
  <c r="AE1639" i="1"/>
  <c r="AE1638" i="1"/>
  <c r="AE1637" i="1"/>
  <c r="AE1636" i="1"/>
  <c r="AE1635" i="1"/>
  <c r="AE1634" i="1"/>
  <c r="AE1633" i="1"/>
  <c r="AE1632" i="1"/>
  <c r="AE1631" i="1"/>
  <c r="AE1630" i="1"/>
  <c r="AE1629" i="1"/>
  <c r="AE1628" i="1"/>
  <c r="AE1627" i="1"/>
  <c r="AE1626" i="1"/>
  <c r="AE1625" i="1"/>
  <c r="AE1624" i="1"/>
  <c r="AE1623" i="1"/>
  <c r="AE1622" i="1"/>
  <c r="AE1621" i="1"/>
  <c r="AE1620" i="1"/>
  <c r="AE1619" i="1"/>
  <c r="AE1618" i="1"/>
  <c r="AE1617" i="1"/>
  <c r="AE1616" i="1"/>
  <c r="AE1615" i="1"/>
  <c r="AE1614" i="1"/>
  <c r="AE1613" i="1"/>
  <c r="AE1612" i="1"/>
  <c r="AE1611" i="1"/>
  <c r="AE1610" i="1"/>
  <c r="AE1609" i="1"/>
  <c r="AE1608" i="1"/>
  <c r="AE1607" i="1"/>
  <c r="AE1606" i="1"/>
  <c r="AE1605" i="1"/>
  <c r="AE1604" i="1"/>
  <c r="AE1603" i="1"/>
  <c r="AE1602" i="1"/>
  <c r="AE1601" i="1"/>
  <c r="AE1600" i="1"/>
  <c r="AE1599" i="1"/>
  <c r="AE1598" i="1"/>
  <c r="AE1597" i="1"/>
  <c r="AE1596" i="1"/>
  <c r="AE1595" i="1"/>
  <c r="AE1594" i="1"/>
  <c r="AE1593" i="1"/>
  <c r="AE1592" i="1"/>
  <c r="AE1591" i="1"/>
  <c r="AE1590" i="1"/>
  <c r="AE1589" i="1"/>
  <c r="AE1588" i="1"/>
  <c r="AE1587" i="1"/>
  <c r="AE1586" i="1"/>
  <c r="AE1585" i="1"/>
  <c r="AE1584" i="1"/>
  <c r="AE1583" i="1"/>
  <c r="AE1582" i="1"/>
  <c r="AE1581" i="1"/>
  <c r="AE1580" i="1"/>
  <c r="AE1579" i="1"/>
  <c r="AE1578" i="1"/>
  <c r="AE1577" i="1"/>
  <c r="AE1576" i="1"/>
  <c r="AE1575" i="1"/>
  <c r="AE1574" i="1"/>
  <c r="AE1573" i="1"/>
  <c r="AE1572" i="1"/>
  <c r="AE1571" i="1"/>
  <c r="AE1570" i="1"/>
  <c r="AE1569" i="1"/>
  <c r="AE1568" i="1"/>
  <c r="AE1567" i="1"/>
  <c r="AE1566" i="1"/>
  <c r="AE1565" i="1"/>
  <c r="AE1564" i="1"/>
  <c r="AE1563" i="1"/>
  <c r="AE1562" i="1"/>
  <c r="AE1561" i="1"/>
  <c r="AE1560" i="1"/>
  <c r="AE1559" i="1"/>
  <c r="AE1558" i="1"/>
  <c r="AE1557" i="1"/>
  <c r="AE1556" i="1"/>
  <c r="AE1555" i="1"/>
  <c r="AE1554" i="1"/>
  <c r="AE1553" i="1"/>
  <c r="AE1552" i="1"/>
  <c r="AE1551" i="1"/>
  <c r="AE1550" i="1"/>
  <c r="AE1549" i="1"/>
  <c r="AE1548" i="1"/>
  <c r="AE1547" i="1"/>
  <c r="AE1546" i="1"/>
  <c r="AE1545" i="1"/>
  <c r="AE1544" i="1"/>
  <c r="AE1543" i="1"/>
  <c r="AE1542" i="1"/>
  <c r="AE1541" i="1"/>
  <c r="AE1540" i="1"/>
  <c r="AE1539" i="1"/>
  <c r="AE1538" i="1"/>
  <c r="AE1537" i="1"/>
  <c r="AE1536" i="1"/>
  <c r="AE1535" i="1"/>
  <c r="AE1534" i="1"/>
  <c r="AE1533" i="1"/>
  <c r="AE1532" i="1"/>
  <c r="AE1531" i="1"/>
  <c r="AE1530" i="1"/>
  <c r="AE1529" i="1"/>
  <c r="AE1528" i="1"/>
  <c r="AE1527" i="1"/>
  <c r="AE1526" i="1"/>
  <c r="AE1525" i="1"/>
  <c r="AE1524" i="1"/>
  <c r="AE1523" i="1"/>
  <c r="AE1522" i="1"/>
  <c r="AE1521" i="1"/>
  <c r="AE1520" i="1"/>
  <c r="AE1519" i="1"/>
  <c r="AE1518" i="1"/>
  <c r="AE1517" i="1"/>
  <c r="AE1516" i="1"/>
  <c r="AE1515" i="1"/>
  <c r="AE1514" i="1"/>
  <c r="AE1513" i="1"/>
  <c r="AE1512" i="1"/>
  <c r="AE1511" i="1"/>
  <c r="AE1510" i="1"/>
  <c r="AE1509" i="1"/>
  <c r="AE1508" i="1"/>
  <c r="AE1507" i="1"/>
  <c r="AE1506" i="1"/>
  <c r="AE1505" i="1"/>
  <c r="AE1504" i="1"/>
  <c r="AE1503" i="1"/>
  <c r="AE1502" i="1"/>
  <c r="AE1501" i="1"/>
  <c r="AE1500" i="1"/>
  <c r="AE1499" i="1"/>
  <c r="AE1498" i="1"/>
  <c r="AE1497" i="1"/>
  <c r="AE1496" i="1"/>
  <c r="AE1495" i="1"/>
  <c r="AE1494" i="1"/>
  <c r="AE1493" i="1"/>
  <c r="AE1492" i="1"/>
  <c r="AE1491" i="1"/>
  <c r="AE1490" i="1"/>
  <c r="AE1489" i="1"/>
  <c r="AE1488" i="1"/>
  <c r="AE1487" i="1"/>
  <c r="AE1486" i="1"/>
  <c r="AE1485" i="1"/>
  <c r="AE1484" i="1"/>
  <c r="AE1483" i="1"/>
  <c r="AE1482" i="1"/>
  <c r="AE1481" i="1"/>
  <c r="AE1480" i="1"/>
  <c r="AE1479" i="1"/>
  <c r="AE1478" i="1"/>
  <c r="AE1477" i="1"/>
  <c r="AE1476" i="1"/>
  <c r="AE1475" i="1"/>
  <c r="AE1474" i="1"/>
  <c r="AE1473" i="1"/>
  <c r="AE1472" i="1"/>
  <c r="AE1471" i="1"/>
  <c r="AE1470" i="1"/>
  <c r="AE1469" i="1"/>
  <c r="AE1468" i="1"/>
  <c r="AE1467" i="1"/>
  <c r="AE1466" i="1"/>
  <c r="AE1465" i="1"/>
  <c r="AE1464" i="1"/>
  <c r="AE1463" i="1"/>
  <c r="AE1462" i="1"/>
  <c r="AE1461" i="1"/>
  <c r="AE1460" i="1"/>
  <c r="AE1459" i="1"/>
  <c r="AE1458" i="1"/>
  <c r="AE1457" i="1"/>
  <c r="AE1456" i="1"/>
  <c r="AE1455" i="1"/>
  <c r="AE1454" i="1"/>
  <c r="AE1453" i="1"/>
  <c r="AE1452" i="1"/>
  <c r="AE1451" i="1"/>
  <c r="AE1450" i="1"/>
  <c r="AE1449" i="1"/>
  <c r="AE1448" i="1"/>
  <c r="AE1447" i="1"/>
  <c r="AE1446" i="1"/>
  <c r="AE1445" i="1"/>
  <c r="AE1444" i="1"/>
  <c r="AE1443" i="1"/>
  <c r="AE1442" i="1"/>
  <c r="AE1441" i="1"/>
  <c r="AE1440" i="1"/>
  <c r="AE1439" i="1"/>
  <c r="AE1438" i="1"/>
  <c r="AE1437" i="1"/>
  <c r="AE1436" i="1"/>
  <c r="AE1435" i="1"/>
  <c r="AE1434" i="1"/>
  <c r="AE1433" i="1"/>
  <c r="AE1432" i="1"/>
  <c r="AE1431" i="1"/>
  <c r="AE1430" i="1"/>
  <c r="AE1429" i="1"/>
  <c r="AE1428" i="1"/>
  <c r="AE1427" i="1"/>
  <c r="AE1426" i="1"/>
  <c r="AE1425" i="1"/>
  <c r="AE1424" i="1"/>
  <c r="AE1423" i="1"/>
  <c r="AE1422" i="1"/>
  <c r="AE1421" i="1"/>
  <c r="AE1420" i="1"/>
  <c r="AE1419" i="1"/>
  <c r="AE1418" i="1"/>
  <c r="AE1417" i="1"/>
  <c r="AE1416" i="1"/>
  <c r="AE1415" i="1"/>
  <c r="AE1414" i="1"/>
  <c r="AE1413" i="1"/>
  <c r="AE1412" i="1"/>
  <c r="AE1411" i="1"/>
  <c r="AE1410" i="1"/>
  <c r="AE1409" i="1"/>
  <c r="AE1408" i="1"/>
  <c r="AE1407" i="1"/>
  <c r="AE1406" i="1"/>
  <c r="AE1405" i="1"/>
  <c r="AE1404" i="1"/>
  <c r="AE1403" i="1"/>
  <c r="AE1402" i="1"/>
  <c r="AE1401" i="1"/>
  <c r="AE1400" i="1"/>
  <c r="AE1399" i="1"/>
  <c r="AE1398" i="1"/>
  <c r="AE1397" i="1"/>
  <c r="AE1396" i="1"/>
  <c r="AE1395" i="1"/>
  <c r="AE1394" i="1"/>
  <c r="AE1393" i="1"/>
  <c r="AE1392" i="1"/>
  <c r="AE1391" i="1"/>
  <c r="AE1390" i="1"/>
  <c r="AE1389" i="1"/>
  <c r="AE1388" i="1"/>
  <c r="AE1387" i="1"/>
  <c r="AE1386" i="1"/>
  <c r="AE1385" i="1"/>
  <c r="AE1384" i="1"/>
  <c r="AE1383" i="1"/>
  <c r="AE1382" i="1"/>
  <c r="AE1381" i="1"/>
  <c r="AE1380" i="1"/>
  <c r="AE1379" i="1"/>
  <c r="AE1378" i="1"/>
  <c r="AE1377" i="1"/>
  <c r="AE1376" i="1"/>
  <c r="AE1375" i="1"/>
  <c r="AE1374" i="1"/>
  <c r="AE1373" i="1"/>
  <c r="AE1372" i="1"/>
  <c r="AE1371" i="1"/>
  <c r="AE1370" i="1"/>
  <c r="AE1369" i="1"/>
  <c r="AE1368" i="1"/>
  <c r="AE1367" i="1"/>
  <c r="AE1366" i="1"/>
  <c r="AE1365" i="1"/>
  <c r="AE1364" i="1"/>
  <c r="AE1363" i="1"/>
  <c r="AE1362" i="1"/>
  <c r="AE1361" i="1"/>
  <c r="AE1360" i="1"/>
  <c r="AE1359" i="1"/>
  <c r="AE1358" i="1"/>
  <c r="AE1357" i="1"/>
  <c r="AE1356" i="1"/>
  <c r="AE1355" i="1"/>
  <c r="AE1354" i="1"/>
  <c r="AE1353" i="1"/>
  <c r="AE1352" i="1"/>
  <c r="AE1351" i="1"/>
  <c r="AE1350" i="1"/>
  <c r="AE1349" i="1"/>
  <c r="AE1348" i="1"/>
  <c r="AE1347" i="1"/>
  <c r="AE1346" i="1"/>
  <c r="AE1345" i="1"/>
  <c r="AE1344" i="1"/>
  <c r="AE1343" i="1"/>
  <c r="AE1342" i="1"/>
  <c r="AE1341" i="1"/>
  <c r="AE1340" i="1"/>
  <c r="AE1339" i="1"/>
  <c r="AE1338" i="1"/>
  <c r="AE1337" i="1"/>
  <c r="AE1336" i="1"/>
  <c r="AE1335" i="1"/>
  <c r="AE1334" i="1"/>
  <c r="AE1333" i="1"/>
  <c r="AE1332" i="1"/>
  <c r="AE1331" i="1"/>
  <c r="AE1330" i="1"/>
  <c r="AE1329" i="1"/>
  <c r="AE1328" i="1"/>
  <c r="AE1327" i="1"/>
  <c r="AE1326" i="1"/>
  <c r="AE1325" i="1"/>
  <c r="AE1324" i="1"/>
  <c r="AE1323" i="1"/>
  <c r="AE1322" i="1"/>
  <c r="AE1321" i="1"/>
  <c r="AE1320" i="1"/>
  <c r="AE1319" i="1"/>
  <c r="AE1318" i="1"/>
  <c r="AE1317" i="1"/>
  <c r="AE1316" i="1"/>
  <c r="AE1315" i="1"/>
  <c r="AE1314" i="1"/>
  <c r="AE1313" i="1"/>
  <c r="AE1312" i="1"/>
  <c r="AE1311" i="1"/>
  <c r="AE1310" i="1"/>
  <c r="AE1309" i="1"/>
  <c r="AE1308" i="1"/>
  <c r="AE1307" i="1"/>
  <c r="AE1306" i="1"/>
  <c r="AE1305" i="1"/>
  <c r="AE1304" i="1"/>
  <c r="AE1303" i="1"/>
  <c r="AE1302" i="1"/>
  <c r="AE1301" i="1"/>
  <c r="AE1300" i="1"/>
  <c r="AE1299" i="1"/>
  <c r="AE1298" i="1"/>
  <c r="AE1297" i="1"/>
  <c r="AE1296" i="1"/>
  <c r="AE1295" i="1"/>
  <c r="AE1294" i="1"/>
  <c r="AE1293" i="1"/>
  <c r="AE1292" i="1"/>
  <c r="AE1291" i="1"/>
  <c r="AE1290" i="1"/>
  <c r="AE1289" i="1"/>
  <c r="AE1288" i="1"/>
  <c r="AE1287" i="1"/>
  <c r="AE1286" i="1"/>
  <c r="AE1285" i="1"/>
  <c r="AE1284" i="1"/>
  <c r="AE1283" i="1"/>
  <c r="AE1282" i="1"/>
  <c r="AE1281" i="1"/>
  <c r="AE1280" i="1"/>
  <c r="AE1279" i="1"/>
  <c r="AE1278" i="1"/>
  <c r="AE1277" i="1"/>
  <c r="AE1276" i="1"/>
  <c r="AE1275" i="1"/>
  <c r="AE1274" i="1"/>
  <c r="AE1273" i="1"/>
  <c r="AE1272" i="1"/>
  <c r="AE1271" i="1"/>
  <c r="AE1270" i="1"/>
  <c r="AE1269" i="1"/>
  <c r="AE1268" i="1"/>
  <c r="AE1267" i="1"/>
  <c r="AE1266" i="1"/>
  <c r="AE1265" i="1"/>
  <c r="AE1264" i="1"/>
  <c r="AE1263" i="1"/>
  <c r="AE1262" i="1"/>
  <c r="AE1261" i="1"/>
  <c r="AE1260" i="1"/>
  <c r="AE1259" i="1"/>
  <c r="AE1258" i="1"/>
  <c r="AE1257" i="1"/>
  <c r="AE1256" i="1"/>
  <c r="AE1255" i="1"/>
  <c r="AE1254" i="1"/>
  <c r="AE1253" i="1"/>
  <c r="AE1252" i="1"/>
  <c r="AE1251" i="1"/>
  <c r="AE1250" i="1"/>
  <c r="AE1249" i="1"/>
  <c r="AE1248" i="1"/>
  <c r="AE1247" i="1"/>
  <c r="AE1246" i="1"/>
  <c r="AE1245" i="1"/>
  <c r="AE1244" i="1"/>
  <c r="AE1243" i="1"/>
  <c r="AE1242" i="1"/>
  <c r="AE1241" i="1"/>
  <c r="AE1240" i="1"/>
  <c r="AE1239" i="1"/>
  <c r="AE1238" i="1"/>
  <c r="AE1237" i="1"/>
  <c r="AE1236" i="1"/>
  <c r="AE1235" i="1"/>
  <c r="AE1234" i="1"/>
  <c r="AE1233" i="1"/>
  <c r="AE1232" i="1"/>
  <c r="AE1231" i="1"/>
  <c r="AE1230" i="1"/>
  <c r="AE1229" i="1"/>
  <c r="AE1228" i="1"/>
  <c r="AE1227" i="1"/>
  <c r="AE1226" i="1"/>
  <c r="AE1225" i="1"/>
  <c r="AE1224" i="1"/>
  <c r="AE1223" i="1"/>
  <c r="AE1222" i="1"/>
  <c r="AE1221" i="1"/>
  <c r="AE1220" i="1"/>
  <c r="AE1219" i="1"/>
  <c r="AE1218" i="1"/>
  <c r="AE1217" i="1"/>
  <c r="AE1216" i="1"/>
  <c r="AE1215" i="1"/>
  <c r="AE1214" i="1"/>
  <c r="AE1213" i="1"/>
  <c r="AE1212" i="1"/>
  <c r="AE1211" i="1"/>
  <c r="AE1210" i="1"/>
  <c r="AE1209" i="1"/>
  <c r="AE1208" i="1"/>
  <c r="AE1207" i="1"/>
  <c r="AE1206" i="1"/>
  <c r="AE1205" i="1"/>
  <c r="AE1204" i="1"/>
  <c r="AE1203" i="1"/>
  <c r="AE1202" i="1"/>
  <c r="AE1201" i="1"/>
  <c r="AE1200" i="1"/>
  <c r="AE1199" i="1"/>
  <c r="AE1198" i="1"/>
  <c r="AE1197" i="1"/>
  <c r="AE1196" i="1"/>
  <c r="AE1195" i="1"/>
  <c r="AE1194" i="1"/>
  <c r="AE1193" i="1"/>
  <c r="AE1192" i="1"/>
  <c r="AE1191" i="1"/>
  <c r="AE1190" i="1"/>
  <c r="AE1189" i="1"/>
  <c r="AE1188" i="1"/>
  <c r="AE1187" i="1"/>
  <c r="AE1186" i="1"/>
  <c r="AE1185" i="1"/>
  <c r="AE1184" i="1"/>
  <c r="AE1183" i="1"/>
  <c r="AE1182" i="1"/>
  <c r="AE1181" i="1"/>
  <c r="AE1180" i="1"/>
  <c r="AE1179" i="1"/>
  <c r="AE1178" i="1"/>
  <c r="AE1177" i="1"/>
  <c r="AE1176" i="1"/>
  <c r="AE1175" i="1"/>
  <c r="AE1174" i="1"/>
  <c r="AE1173" i="1"/>
  <c r="AE1172" i="1"/>
  <c r="AE1171" i="1"/>
  <c r="AE1170" i="1"/>
  <c r="AE1169" i="1"/>
  <c r="AE1168" i="1"/>
  <c r="AE1167" i="1"/>
  <c r="AE1166" i="1"/>
  <c r="AE1165" i="1"/>
  <c r="AE1164" i="1"/>
  <c r="AE1163" i="1"/>
  <c r="AE1162" i="1"/>
  <c r="AE1161" i="1"/>
  <c r="AE1160" i="1"/>
  <c r="AE1159" i="1"/>
  <c r="AE1158" i="1"/>
  <c r="AE1157" i="1"/>
  <c r="AE1156" i="1"/>
  <c r="AE1155" i="1"/>
  <c r="AE1154" i="1"/>
  <c r="AE1153" i="1"/>
  <c r="AE1152" i="1"/>
  <c r="AE1151" i="1"/>
  <c r="AE1150" i="1"/>
  <c r="AE1149" i="1"/>
  <c r="AE1148" i="1"/>
  <c r="AE1147" i="1"/>
  <c r="AE1146" i="1"/>
  <c r="AE1145" i="1"/>
  <c r="AE1144" i="1"/>
  <c r="AE1143" i="1"/>
  <c r="AE1142" i="1"/>
  <c r="AE1141" i="1"/>
  <c r="AE1140" i="1"/>
  <c r="AE1139" i="1"/>
  <c r="AE1138" i="1"/>
  <c r="AE1137" i="1"/>
  <c r="AE1136" i="1"/>
  <c r="AE1135" i="1"/>
  <c r="AE1134" i="1"/>
  <c r="AE1133" i="1"/>
  <c r="AE1132" i="1"/>
  <c r="AE1131" i="1"/>
  <c r="AE1130" i="1"/>
  <c r="AE1129" i="1"/>
  <c r="AE1128" i="1"/>
  <c r="AE1127" i="1"/>
  <c r="AE1126" i="1"/>
  <c r="AE1125" i="1"/>
  <c r="AE1124" i="1"/>
  <c r="AE1123" i="1"/>
  <c r="AE1122" i="1"/>
  <c r="AE1121" i="1"/>
  <c r="AE1120" i="1"/>
  <c r="AE1119" i="1"/>
  <c r="AE1118" i="1"/>
  <c r="AE1117" i="1"/>
  <c r="AE1116" i="1"/>
  <c r="AE1115" i="1"/>
  <c r="AE1114" i="1"/>
  <c r="AE1113" i="1"/>
  <c r="AE1112" i="1"/>
  <c r="AE1111" i="1"/>
  <c r="AE1110" i="1"/>
  <c r="AE1109" i="1"/>
  <c r="AE1108" i="1"/>
  <c r="AE1107" i="1"/>
  <c r="AE1106" i="1"/>
  <c r="AE1105" i="1"/>
  <c r="AE1104" i="1"/>
  <c r="AE1103" i="1"/>
  <c r="AE1102" i="1"/>
  <c r="AE1101" i="1"/>
  <c r="AE1100" i="1"/>
  <c r="AE1099" i="1"/>
  <c r="AE1098" i="1"/>
  <c r="AE1097" i="1"/>
  <c r="AE1096" i="1"/>
  <c r="AE1095" i="1"/>
  <c r="AE1094" i="1"/>
  <c r="AE1093" i="1"/>
  <c r="AE1092" i="1"/>
  <c r="AE1091" i="1"/>
  <c r="AE1090" i="1"/>
  <c r="AE1089" i="1"/>
  <c r="AE1088" i="1"/>
  <c r="AE1087" i="1"/>
  <c r="AE1086" i="1"/>
  <c r="AE1085" i="1"/>
  <c r="AE1084" i="1"/>
  <c r="AE1083" i="1"/>
  <c r="AE1082" i="1"/>
  <c r="AE1081" i="1"/>
  <c r="AE1080" i="1"/>
  <c r="AE1079" i="1"/>
  <c r="AE1078" i="1"/>
  <c r="AE1077" i="1"/>
  <c r="AE1076" i="1"/>
  <c r="AE1075" i="1"/>
  <c r="AE1074" i="1"/>
  <c r="AE1073" i="1"/>
  <c r="AE1072" i="1"/>
  <c r="AE1071" i="1"/>
  <c r="AE1070" i="1"/>
  <c r="AE1069" i="1"/>
  <c r="AE1068" i="1"/>
  <c r="AE1067" i="1"/>
  <c r="AE1066" i="1"/>
  <c r="AE1065" i="1"/>
  <c r="AE1064" i="1"/>
  <c r="AE1063" i="1"/>
  <c r="AE1062" i="1"/>
  <c r="AE1061" i="1"/>
  <c r="AE1060" i="1"/>
  <c r="AE1059" i="1"/>
  <c r="AE1058" i="1"/>
  <c r="AE1057" i="1"/>
  <c r="AE1056" i="1"/>
  <c r="AE1055" i="1"/>
  <c r="AE1054" i="1"/>
  <c r="AE1053" i="1"/>
  <c r="AE1052" i="1"/>
  <c r="AE1051" i="1"/>
  <c r="AE1050" i="1"/>
  <c r="AE1049" i="1"/>
  <c r="AE1048" i="1"/>
  <c r="AE1047" i="1"/>
  <c r="AE1046" i="1"/>
  <c r="AE1045" i="1"/>
  <c r="AE1044" i="1"/>
  <c r="AE1043" i="1"/>
  <c r="AE1042" i="1"/>
  <c r="AE1041" i="1"/>
  <c r="AE1040" i="1"/>
  <c r="AE1039" i="1"/>
  <c r="AE1038" i="1"/>
  <c r="AE1037" i="1"/>
  <c r="AE1036" i="1"/>
  <c r="AE1035" i="1"/>
  <c r="AE1034" i="1"/>
  <c r="AE1033" i="1"/>
  <c r="AE1032" i="1"/>
  <c r="AE1031" i="1"/>
  <c r="AE1030" i="1"/>
  <c r="AE1029" i="1"/>
  <c r="AE1028" i="1"/>
  <c r="AE1027" i="1"/>
  <c r="AE1026" i="1"/>
  <c r="AE1025" i="1"/>
  <c r="AE1024" i="1"/>
  <c r="AE1023" i="1"/>
  <c r="AE1022" i="1"/>
  <c r="AE1021" i="1"/>
  <c r="AE1020" i="1"/>
  <c r="AE1019" i="1"/>
  <c r="AE1018" i="1"/>
  <c r="AE1017" i="1"/>
  <c r="AE1016" i="1"/>
  <c r="AE1015" i="1"/>
  <c r="AE1014" i="1"/>
  <c r="AE1013" i="1"/>
  <c r="AE1012" i="1"/>
  <c r="AE1011" i="1"/>
  <c r="AE1010" i="1"/>
  <c r="AE1009" i="1"/>
  <c r="AE1008" i="1"/>
  <c r="AE1007" i="1"/>
  <c r="AE1006" i="1"/>
  <c r="AE1005" i="1"/>
  <c r="AE1004" i="1"/>
  <c r="AE1003" i="1"/>
  <c r="AE1002" i="1"/>
  <c r="AE1001" i="1"/>
  <c r="AE1000" i="1"/>
  <c r="AE999" i="1"/>
  <c r="AE998" i="1"/>
  <c r="AE997" i="1"/>
  <c r="AE996" i="1"/>
  <c r="AE995" i="1"/>
  <c r="AE994" i="1"/>
  <c r="AE993" i="1"/>
  <c r="AE992" i="1"/>
  <c r="AE991" i="1"/>
  <c r="AE990" i="1"/>
  <c r="AE989" i="1"/>
  <c r="AE988" i="1"/>
  <c r="AE987" i="1"/>
  <c r="AE986" i="1"/>
  <c r="AE985" i="1"/>
  <c r="AE984" i="1"/>
  <c r="AE983" i="1"/>
  <c r="AE982" i="1"/>
  <c r="AE981" i="1"/>
  <c r="AE980" i="1"/>
  <c r="AE979" i="1"/>
  <c r="AE978" i="1"/>
  <c r="AE977" i="1"/>
  <c r="AE976" i="1"/>
  <c r="AE975" i="1"/>
  <c r="AE974" i="1"/>
  <c r="AE973" i="1"/>
  <c r="AE972" i="1"/>
  <c r="AE971" i="1"/>
  <c r="AE970" i="1"/>
  <c r="AE969" i="1"/>
  <c r="AE968" i="1"/>
  <c r="AE967" i="1"/>
  <c r="AE966" i="1"/>
  <c r="AE965" i="1"/>
  <c r="AE964" i="1"/>
  <c r="AE963" i="1"/>
  <c r="AE962" i="1"/>
  <c r="AE961" i="1"/>
  <c r="AE960" i="1"/>
  <c r="AE959" i="1"/>
  <c r="AE958" i="1"/>
  <c r="AE957" i="1"/>
  <c r="AE956" i="1"/>
  <c r="AE955" i="1"/>
  <c r="AE954" i="1"/>
  <c r="AE953" i="1"/>
  <c r="AE952" i="1"/>
  <c r="AE951" i="1"/>
  <c r="AE950" i="1"/>
  <c r="AE949" i="1"/>
  <c r="AE948" i="1"/>
  <c r="AE947" i="1"/>
  <c r="AE946" i="1"/>
  <c r="AE945" i="1"/>
  <c r="AE944" i="1"/>
  <c r="AE943" i="1"/>
  <c r="AE942" i="1"/>
  <c r="AE941" i="1"/>
  <c r="AE940" i="1"/>
  <c r="AE939" i="1"/>
  <c r="AE938" i="1"/>
  <c r="AE937" i="1"/>
  <c r="AE936" i="1"/>
  <c r="AE935" i="1"/>
  <c r="AE934" i="1"/>
  <c r="AE933" i="1"/>
  <c r="AE932" i="1"/>
  <c r="AE931" i="1"/>
  <c r="AE930" i="1"/>
  <c r="AE929" i="1"/>
  <c r="AE928" i="1"/>
  <c r="AE927" i="1"/>
  <c r="AE926" i="1"/>
  <c r="AE925" i="1"/>
  <c r="AE924" i="1"/>
  <c r="AE923" i="1"/>
  <c r="AE922" i="1"/>
  <c r="AE921" i="1"/>
  <c r="AE920" i="1"/>
  <c r="AE919" i="1"/>
  <c r="AE918" i="1"/>
  <c r="AE917" i="1"/>
  <c r="AE916" i="1"/>
  <c r="AE915" i="1"/>
  <c r="AE914" i="1"/>
  <c r="AE913" i="1"/>
  <c r="AE912" i="1"/>
  <c r="AE911" i="1"/>
  <c r="AE910" i="1"/>
  <c r="AE909" i="1"/>
  <c r="AE908" i="1"/>
  <c r="AE907" i="1"/>
  <c r="AE906" i="1"/>
  <c r="AE905" i="1"/>
  <c r="AE904" i="1"/>
  <c r="AE903" i="1"/>
  <c r="AE902" i="1"/>
  <c r="AE901" i="1"/>
  <c r="AE900" i="1"/>
  <c r="AE899" i="1"/>
  <c r="AE898" i="1"/>
  <c r="AE897" i="1"/>
  <c r="AE896" i="1"/>
  <c r="AE895" i="1"/>
  <c r="AE894" i="1"/>
  <c r="AE893" i="1"/>
  <c r="AE892" i="1"/>
  <c r="AE891" i="1"/>
  <c r="AE890" i="1"/>
  <c r="AE889" i="1"/>
  <c r="AE888" i="1"/>
  <c r="AE887" i="1"/>
  <c r="AE886" i="1"/>
  <c r="AE885" i="1"/>
  <c r="AE884" i="1"/>
  <c r="AE883" i="1"/>
  <c r="AE882" i="1"/>
  <c r="AE881" i="1"/>
  <c r="AE880" i="1"/>
  <c r="AE879" i="1"/>
  <c r="AE878" i="1"/>
  <c r="AE877" i="1"/>
  <c r="AE876" i="1"/>
  <c r="AE875" i="1"/>
  <c r="AE874" i="1"/>
  <c r="AE873" i="1"/>
  <c r="AE872" i="1"/>
  <c r="AE871" i="1"/>
  <c r="AE870" i="1"/>
  <c r="AE869" i="1"/>
  <c r="AE868" i="1"/>
  <c r="AE867" i="1"/>
  <c r="AE866" i="1"/>
  <c r="AE865" i="1"/>
  <c r="AE864" i="1"/>
  <c r="AE863" i="1"/>
  <c r="AE862" i="1"/>
  <c r="AE861" i="1"/>
  <c r="AE860" i="1"/>
  <c r="AE859" i="1"/>
  <c r="AE858" i="1"/>
  <c r="AE857" i="1"/>
  <c r="AE856" i="1"/>
  <c r="AE855" i="1"/>
  <c r="AE854" i="1"/>
  <c r="AE853" i="1"/>
  <c r="AE852" i="1"/>
  <c r="AE851" i="1"/>
  <c r="AE850" i="1"/>
  <c r="AE849" i="1"/>
  <c r="AE848" i="1"/>
  <c r="AE847" i="1"/>
  <c r="AE846" i="1"/>
  <c r="AE845" i="1"/>
  <c r="AE844" i="1"/>
  <c r="AE843" i="1"/>
  <c r="AE842" i="1"/>
  <c r="AE841" i="1"/>
  <c r="AE840" i="1"/>
  <c r="AE839" i="1"/>
  <c r="AE838" i="1"/>
  <c r="AE837" i="1"/>
  <c r="AE836" i="1"/>
  <c r="AE835" i="1"/>
  <c r="AE834" i="1"/>
  <c r="AE833" i="1"/>
  <c r="AE832" i="1"/>
  <c r="AE831" i="1"/>
  <c r="AE830" i="1"/>
  <c r="AE829" i="1"/>
  <c r="AE828" i="1"/>
  <c r="AE827" i="1"/>
  <c r="AE826" i="1"/>
  <c r="AE825" i="1"/>
  <c r="AE824" i="1"/>
  <c r="AE823" i="1"/>
  <c r="AE822" i="1"/>
  <c r="AE821" i="1"/>
  <c r="AE820" i="1"/>
  <c r="AE819" i="1"/>
  <c r="AE818" i="1"/>
  <c r="AE817" i="1"/>
  <c r="AE816" i="1"/>
  <c r="AE815" i="1"/>
  <c r="AE814" i="1"/>
  <c r="AE813" i="1"/>
  <c r="AE812" i="1"/>
  <c r="AE811" i="1"/>
  <c r="AE810" i="1"/>
  <c r="AE809" i="1"/>
  <c r="AE808" i="1"/>
  <c r="AE807" i="1"/>
  <c r="AE806" i="1"/>
  <c r="AE805" i="1"/>
  <c r="AE804" i="1"/>
  <c r="AE803" i="1"/>
  <c r="AE802" i="1"/>
  <c r="AE801" i="1"/>
  <c r="AE800" i="1"/>
  <c r="AE799" i="1"/>
  <c r="AE798" i="1"/>
  <c r="AE797" i="1"/>
  <c r="AE796" i="1"/>
  <c r="AE795" i="1"/>
  <c r="AE794" i="1"/>
  <c r="AE793" i="1"/>
  <c r="AE792" i="1"/>
  <c r="AE791" i="1"/>
  <c r="AE790" i="1"/>
  <c r="AE789" i="1"/>
  <c r="AE788" i="1"/>
  <c r="AE787" i="1"/>
  <c r="AE786" i="1"/>
  <c r="AE785" i="1"/>
  <c r="AE784" i="1"/>
  <c r="AE783" i="1"/>
  <c r="AE782" i="1"/>
  <c r="AE781" i="1"/>
  <c r="AE780" i="1"/>
  <c r="AE779" i="1"/>
  <c r="AE778" i="1"/>
  <c r="AE777" i="1"/>
  <c r="AE776" i="1"/>
  <c r="AE775" i="1"/>
  <c r="AE774" i="1"/>
  <c r="AE773" i="1"/>
  <c r="AE772" i="1"/>
  <c r="AE771" i="1"/>
  <c r="AE770" i="1"/>
  <c r="AE769" i="1"/>
  <c r="AE768" i="1"/>
  <c r="AE767" i="1"/>
  <c r="AE766" i="1"/>
  <c r="AE765" i="1"/>
  <c r="AE764" i="1"/>
  <c r="AE763" i="1"/>
  <c r="AE762" i="1"/>
  <c r="AE761" i="1"/>
  <c r="AE760" i="1"/>
  <c r="AE759" i="1"/>
  <c r="AE758" i="1"/>
  <c r="AE757" i="1"/>
  <c r="AE756" i="1"/>
  <c r="AE755" i="1"/>
  <c r="AE754" i="1"/>
  <c r="AE753" i="1"/>
  <c r="AE752" i="1"/>
  <c r="AE751" i="1"/>
  <c r="AE750" i="1"/>
  <c r="AE749" i="1"/>
  <c r="AE748" i="1"/>
  <c r="AE747" i="1"/>
  <c r="AE746" i="1"/>
  <c r="AE745" i="1"/>
  <c r="AE744" i="1"/>
  <c r="AE743" i="1"/>
  <c r="AE742" i="1"/>
  <c r="AE741" i="1"/>
  <c r="AE740" i="1"/>
  <c r="AE739" i="1"/>
  <c r="AE738" i="1"/>
  <c r="AE737" i="1"/>
  <c r="AE736" i="1"/>
  <c r="AE735" i="1"/>
  <c r="AE734" i="1"/>
  <c r="AE733" i="1"/>
  <c r="AE732" i="1"/>
  <c r="AE731" i="1"/>
  <c r="AE730" i="1"/>
  <c r="AE729" i="1"/>
  <c r="AE728" i="1"/>
  <c r="AE727" i="1"/>
  <c r="AE726" i="1"/>
  <c r="AE725" i="1"/>
  <c r="AE724" i="1"/>
  <c r="AE723" i="1"/>
  <c r="AE722" i="1"/>
  <c r="AE721" i="1"/>
  <c r="AE720" i="1"/>
  <c r="AE719" i="1"/>
  <c r="AE718" i="1"/>
  <c r="AE717" i="1"/>
  <c r="AE716" i="1"/>
  <c r="AE715" i="1"/>
  <c r="AE714" i="1"/>
  <c r="AE713" i="1"/>
  <c r="AE712" i="1"/>
  <c r="AE711" i="1"/>
  <c r="AE710" i="1"/>
  <c r="AE709" i="1"/>
  <c r="AE708" i="1"/>
  <c r="AE707" i="1"/>
  <c r="AE706" i="1"/>
  <c r="AE705" i="1"/>
  <c r="AE704" i="1"/>
  <c r="AE703" i="1"/>
  <c r="AE702" i="1"/>
  <c r="AE701" i="1"/>
  <c r="AE700" i="1"/>
  <c r="AE699" i="1"/>
  <c r="AE698" i="1"/>
  <c r="AE697" i="1"/>
  <c r="AE696" i="1"/>
  <c r="AE695" i="1"/>
  <c r="AE694" i="1"/>
  <c r="AE693" i="1"/>
  <c r="AE692" i="1"/>
  <c r="AE691" i="1"/>
  <c r="AE690" i="1"/>
  <c r="AE689" i="1"/>
  <c r="AE688" i="1"/>
  <c r="AE687" i="1"/>
  <c r="AE686" i="1"/>
  <c r="AE685" i="1"/>
  <c r="AE684" i="1"/>
  <c r="AE683" i="1"/>
  <c r="AE682" i="1"/>
  <c r="AE681" i="1"/>
  <c r="AE680" i="1"/>
  <c r="AE679" i="1"/>
  <c r="AE678" i="1"/>
  <c r="AE677" i="1"/>
  <c r="AE676" i="1"/>
  <c r="AE675" i="1"/>
  <c r="AE674" i="1"/>
  <c r="AE673" i="1"/>
  <c r="AE672" i="1"/>
  <c r="AE671" i="1"/>
  <c r="AE670" i="1"/>
  <c r="AE669" i="1"/>
  <c r="AE668" i="1"/>
  <c r="AE667" i="1"/>
  <c r="AE666" i="1"/>
  <c r="AE665" i="1"/>
  <c r="AE664" i="1"/>
  <c r="AE663" i="1"/>
  <c r="AE662" i="1"/>
  <c r="AE661" i="1"/>
  <c r="AE660" i="1"/>
  <c r="AE659" i="1"/>
  <c r="AE658" i="1"/>
  <c r="AE657" i="1"/>
  <c r="AE656" i="1"/>
  <c r="AE655" i="1"/>
  <c r="AE654" i="1"/>
  <c r="AE653" i="1"/>
  <c r="AE652" i="1"/>
  <c r="AE651" i="1"/>
  <c r="AE650" i="1"/>
  <c r="AE649" i="1"/>
  <c r="AE648" i="1"/>
  <c r="AE647" i="1"/>
  <c r="AE646" i="1"/>
  <c r="AE645" i="1"/>
  <c r="AE644" i="1"/>
  <c r="AE643" i="1"/>
  <c r="AE642" i="1"/>
  <c r="AE641" i="1"/>
  <c r="AE640" i="1"/>
  <c r="AE639" i="1"/>
  <c r="AE638" i="1"/>
  <c r="AE637" i="1"/>
  <c r="AE636" i="1"/>
  <c r="AE635" i="1"/>
  <c r="AE634" i="1"/>
  <c r="AE633" i="1"/>
  <c r="AE632" i="1"/>
  <c r="AE631" i="1"/>
  <c r="AE630" i="1"/>
  <c r="AE629" i="1"/>
  <c r="AE628" i="1"/>
  <c r="AE627" i="1"/>
  <c r="AE626" i="1"/>
  <c r="AE625" i="1"/>
  <c r="AE624" i="1"/>
  <c r="AE623" i="1"/>
  <c r="AE622" i="1"/>
  <c r="AE621" i="1"/>
  <c r="AE620" i="1"/>
  <c r="AE619" i="1"/>
  <c r="AE618" i="1"/>
  <c r="AE617" i="1"/>
  <c r="AE616" i="1"/>
  <c r="AE615" i="1"/>
  <c r="AE614" i="1"/>
  <c r="AE613" i="1"/>
  <c r="AE612" i="1"/>
  <c r="AE611" i="1"/>
  <c r="AE610" i="1"/>
  <c r="AE609" i="1"/>
  <c r="AE608" i="1"/>
  <c r="AE607" i="1"/>
  <c r="AE606" i="1"/>
  <c r="AE605" i="1"/>
  <c r="AE604" i="1"/>
  <c r="AE603" i="1"/>
  <c r="AE602" i="1"/>
  <c r="AE601" i="1"/>
  <c r="AE600" i="1"/>
  <c r="AE599" i="1"/>
  <c r="AE598" i="1"/>
  <c r="AE597" i="1"/>
  <c r="AE596" i="1"/>
  <c r="AE595" i="1"/>
  <c r="AE594" i="1"/>
  <c r="AE593" i="1"/>
  <c r="AE592" i="1"/>
  <c r="AE591" i="1"/>
  <c r="AE590" i="1"/>
  <c r="AE589" i="1"/>
  <c r="AE588" i="1"/>
  <c r="AE587" i="1"/>
  <c r="AE586" i="1"/>
  <c r="AE585" i="1"/>
  <c r="AE584" i="1"/>
  <c r="AE583" i="1"/>
  <c r="AE582" i="1"/>
  <c r="AE581" i="1"/>
  <c r="AE580" i="1"/>
  <c r="AE579" i="1"/>
  <c r="AE578" i="1"/>
  <c r="AE577" i="1"/>
  <c r="AE576" i="1"/>
  <c r="AE575" i="1"/>
  <c r="AE574" i="1"/>
  <c r="AE573" i="1"/>
  <c r="AE572" i="1"/>
  <c r="AE571" i="1"/>
  <c r="AE570" i="1"/>
  <c r="AE569" i="1"/>
  <c r="AE568" i="1"/>
  <c r="AE567" i="1"/>
  <c r="AE566" i="1"/>
  <c r="AE565" i="1"/>
  <c r="AE564" i="1"/>
  <c r="AE563" i="1"/>
  <c r="AE562" i="1"/>
  <c r="AE561" i="1"/>
  <c r="AE560" i="1"/>
  <c r="AE559" i="1"/>
  <c r="AE558" i="1"/>
  <c r="AE557" i="1"/>
  <c r="AE556" i="1"/>
  <c r="AE555" i="1"/>
  <c r="AE554" i="1"/>
  <c r="AE553" i="1"/>
  <c r="AE552" i="1"/>
  <c r="AE551" i="1"/>
  <c r="AE550" i="1"/>
  <c r="AE549" i="1"/>
  <c r="AE548" i="1"/>
  <c r="AE547" i="1"/>
  <c r="AE546" i="1"/>
  <c r="AE545" i="1"/>
  <c r="AE544" i="1"/>
  <c r="AE543" i="1"/>
  <c r="AE542" i="1"/>
  <c r="AE541" i="1"/>
  <c r="AE540" i="1"/>
  <c r="AE539" i="1"/>
  <c r="AE538" i="1"/>
  <c r="AE537" i="1"/>
  <c r="AE536" i="1"/>
  <c r="AE535" i="1"/>
  <c r="AE534" i="1"/>
  <c r="AE533" i="1"/>
  <c r="AE532" i="1"/>
  <c r="AE531" i="1"/>
  <c r="AE530" i="1"/>
  <c r="AE529" i="1"/>
  <c r="AE528" i="1"/>
  <c r="AE527" i="1"/>
  <c r="AE526" i="1"/>
  <c r="AE525" i="1"/>
  <c r="AE524" i="1"/>
  <c r="AE523" i="1"/>
  <c r="AE522" i="1"/>
  <c r="AE521" i="1"/>
  <c r="AE520" i="1"/>
  <c r="AE519" i="1"/>
  <c r="AE518" i="1"/>
  <c r="AE517" i="1"/>
  <c r="AE516" i="1"/>
  <c r="AE515" i="1"/>
  <c r="AE514" i="1"/>
  <c r="AE513" i="1"/>
  <c r="AE512" i="1"/>
  <c r="AE511" i="1"/>
  <c r="AE510" i="1"/>
  <c r="AE509" i="1"/>
  <c r="AE508" i="1"/>
  <c r="AE507" i="1"/>
  <c r="AE506" i="1"/>
  <c r="AE505" i="1"/>
  <c r="AE504" i="1"/>
  <c r="AE503" i="1"/>
  <c r="AE502" i="1"/>
  <c r="AE501" i="1"/>
  <c r="AE500" i="1"/>
  <c r="AE499" i="1"/>
  <c r="AE498" i="1"/>
  <c r="AE497" i="1"/>
  <c r="AE496" i="1"/>
  <c r="AE495" i="1"/>
  <c r="AE494" i="1"/>
  <c r="AE493" i="1"/>
  <c r="AE492" i="1"/>
  <c r="AE491" i="1"/>
  <c r="AE490" i="1"/>
  <c r="AE489" i="1"/>
  <c r="AE488" i="1"/>
  <c r="AE487" i="1"/>
  <c r="AE486" i="1"/>
  <c r="AE485" i="1"/>
  <c r="AE484" i="1"/>
  <c r="AE483" i="1"/>
  <c r="AE482" i="1"/>
  <c r="AE481" i="1"/>
  <c r="AE480" i="1"/>
  <c r="AE479" i="1"/>
  <c r="AE478" i="1"/>
  <c r="AE477" i="1"/>
  <c r="AE476" i="1"/>
  <c r="AE475" i="1"/>
  <c r="AE474" i="1"/>
  <c r="AE473" i="1"/>
  <c r="AE472" i="1"/>
  <c r="AE471" i="1"/>
  <c r="AE470" i="1"/>
  <c r="AE469" i="1"/>
  <c r="AE468" i="1"/>
  <c r="AE467" i="1"/>
  <c r="AE466" i="1"/>
  <c r="AE465" i="1"/>
  <c r="AE464" i="1"/>
  <c r="AE463" i="1"/>
  <c r="AE462" i="1"/>
  <c r="AE461" i="1"/>
  <c r="AE460" i="1"/>
  <c r="AE459" i="1"/>
  <c r="AE458" i="1"/>
  <c r="AE457" i="1"/>
  <c r="AE456" i="1"/>
  <c r="AE455" i="1"/>
  <c r="AE454" i="1"/>
  <c r="AE453" i="1"/>
  <c r="AE452" i="1"/>
  <c r="AE451" i="1"/>
  <c r="AE450" i="1"/>
  <c r="AE449" i="1"/>
  <c r="AE448" i="1"/>
  <c r="AE447" i="1"/>
  <c r="AE446" i="1"/>
  <c r="AE445" i="1"/>
  <c r="AE444" i="1"/>
  <c r="AE443" i="1"/>
  <c r="AE442" i="1"/>
  <c r="AE441" i="1"/>
  <c r="AE440" i="1"/>
  <c r="AE439" i="1"/>
  <c r="AE438" i="1"/>
  <c r="AE437" i="1"/>
  <c r="AE436" i="1"/>
  <c r="AE435" i="1"/>
  <c r="AE434" i="1"/>
  <c r="AE433" i="1"/>
  <c r="AE432" i="1"/>
  <c r="AE431" i="1"/>
  <c r="AE430" i="1"/>
  <c r="AE429" i="1"/>
  <c r="AE428" i="1"/>
  <c r="AE427" i="1"/>
  <c r="AE426" i="1"/>
  <c r="AE425" i="1"/>
  <c r="AE424" i="1"/>
  <c r="AE423" i="1"/>
  <c r="AE422" i="1"/>
  <c r="AE421" i="1"/>
  <c r="AE420" i="1"/>
  <c r="AE419" i="1"/>
  <c r="AE418" i="1"/>
  <c r="AE417" i="1"/>
  <c r="AE416" i="1"/>
  <c r="AE415" i="1"/>
  <c r="AE414" i="1"/>
  <c r="AE413" i="1"/>
  <c r="AE412" i="1"/>
  <c r="AE411" i="1"/>
  <c r="AE410" i="1"/>
  <c r="AE409" i="1"/>
  <c r="AE408" i="1"/>
  <c r="AE407" i="1"/>
  <c r="AE406" i="1"/>
  <c r="AE405" i="1"/>
  <c r="AE404" i="1"/>
  <c r="AE403" i="1"/>
  <c r="AE402" i="1"/>
  <c r="AE401" i="1"/>
  <c r="AE400" i="1"/>
  <c r="AE399" i="1"/>
  <c r="AE398" i="1"/>
  <c r="AE397" i="1"/>
  <c r="AE396" i="1"/>
  <c r="AE395" i="1"/>
  <c r="AE394" i="1"/>
  <c r="AE393" i="1"/>
  <c r="AE392" i="1"/>
  <c r="AE391" i="1"/>
  <c r="AE390" i="1"/>
  <c r="AE389" i="1"/>
  <c r="AE388" i="1"/>
  <c r="AE387" i="1"/>
  <c r="AE386" i="1"/>
  <c r="AE385" i="1"/>
  <c r="AE384" i="1"/>
  <c r="AE383" i="1"/>
  <c r="AE382" i="1"/>
  <c r="AE381" i="1"/>
  <c r="AE380" i="1"/>
  <c r="AE379" i="1"/>
  <c r="AE378" i="1"/>
  <c r="AE377" i="1"/>
  <c r="AE376" i="1"/>
  <c r="AE375" i="1"/>
  <c r="AE374" i="1"/>
  <c r="AE373" i="1"/>
  <c r="AE372" i="1"/>
  <c r="AE371" i="1"/>
  <c r="AE370" i="1"/>
  <c r="AE369" i="1"/>
  <c r="AE368" i="1"/>
  <c r="AE367" i="1"/>
  <c r="AE366" i="1"/>
  <c r="AE365" i="1"/>
  <c r="AE364" i="1"/>
  <c r="AE363" i="1"/>
  <c r="AE362" i="1"/>
  <c r="AE361" i="1"/>
  <c r="AE360" i="1"/>
  <c r="AE359" i="1"/>
  <c r="AE358" i="1"/>
  <c r="AE357" i="1"/>
  <c r="AE356" i="1"/>
  <c r="AE355" i="1"/>
  <c r="AE354" i="1"/>
  <c r="AE353" i="1"/>
  <c r="AE352" i="1"/>
  <c r="AE351" i="1"/>
  <c r="AE350" i="1"/>
  <c r="AE349" i="1"/>
  <c r="AE348" i="1"/>
  <c r="AE347" i="1"/>
  <c r="AE346" i="1"/>
  <c r="AE345" i="1"/>
  <c r="AE344" i="1"/>
  <c r="AE343" i="1"/>
  <c r="AE342" i="1"/>
  <c r="AE341" i="1"/>
  <c r="AE340" i="1"/>
  <c r="AE339" i="1"/>
  <c r="AE338" i="1"/>
  <c r="AE337" i="1"/>
  <c r="AE336" i="1"/>
  <c r="AE335" i="1"/>
  <c r="AE334" i="1"/>
  <c r="AE333" i="1"/>
  <c r="AE332" i="1"/>
  <c r="AE331" i="1"/>
  <c r="AE330" i="1"/>
  <c r="AE329" i="1"/>
  <c r="AE328" i="1"/>
  <c r="AE327" i="1"/>
  <c r="AE326" i="1"/>
  <c r="AE325" i="1"/>
  <c r="AE324" i="1"/>
  <c r="AE323" i="1"/>
  <c r="AE322" i="1"/>
  <c r="AE321" i="1"/>
  <c r="AE320" i="1"/>
  <c r="AE319" i="1"/>
  <c r="AE318" i="1"/>
  <c r="AE317" i="1"/>
  <c r="AE316" i="1"/>
  <c r="AE315" i="1"/>
  <c r="AE314" i="1"/>
  <c r="AE313" i="1"/>
  <c r="AE312" i="1"/>
  <c r="AE311" i="1"/>
  <c r="AE310" i="1"/>
  <c r="AE309" i="1"/>
  <c r="AE308" i="1"/>
  <c r="AE307" i="1"/>
  <c r="AE306" i="1"/>
  <c r="AE305" i="1"/>
  <c r="AE304" i="1"/>
  <c r="AE303" i="1"/>
  <c r="AE302" i="1"/>
  <c r="AE301" i="1"/>
  <c r="AE300" i="1"/>
  <c r="AE299" i="1"/>
  <c r="AE298" i="1"/>
  <c r="AE297" i="1"/>
  <c r="AE296" i="1"/>
  <c r="AE295" i="1"/>
  <c r="AE294" i="1"/>
  <c r="AE293" i="1"/>
  <c r="AE292" i="1"/>
  <c r="AE291" i="1"/>
  <c r="AE290" i="1"/>
  <c r="AE289" i="1"/>
  <c r="AE288" i="1"/>
  <c r="AE287" i="1"/>
  <c r="AE286" i="1"/>
  <c r="AE285" i="1"/>
  <c r="AE284" i="1"/>
  <c r="AE283" i="1"/>
  <c r="AE282" i="1"/>
  <c r="AE281" i="1"/>
  <c r="AE280" i="1"/>
  <c r="AE279" i="1"/>
  <c r="AE278" i="1"/>
  <c r="AE277" i="1"/>
  <c r="AE276" i="1"/>
  <c r="AE275" i="1"/>
  <c r="AE274" i="1"/>
  <c r="AE273" i="1"/>
  <c r="AE272" i="1"/>
  <c r="AE271" i="1"/>
  <c r="AE270" i="1"/>
  <c r="AE269" i="1"/>
  <c r="AE268" i="1"/>
  <c r="AE267" i="1"/>
  <c r="AE266" i="1"/>
  <c r="AE265" i="1"/>
  <c r="AE264" i="1"/>
  <c r="AE26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E119" i="1"/>
  <c r="AE118" i="1"/>
  <c r="AE117" i="1"/>
  <c r="AE116"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G1514" i="7"/>
  <c r="AG1513" i="7"/>
  <c r="AG1512" i="7"/>
  <c r="AG1511" i="7"/>
  <c r="AG1510" i="7"/>
  <c r="AG1509" i="7"/>
  <c r="AG1508" i="7"/>
  <c r="AG1507" i="7"/>
  <c r="AG1506" i="7"/>
  <c r="AG1505" i="7"/>
  <c r="AG1504" i="7"/>
  <c r="AG1503" i="7"/>
  <c r="AG1502" i="7"/>
  <c r="AG1501" i="7"/>
  <c r="AG1500" i="7"/>
  <c r="AG1499" i="7"/>
  <c r="AG1498" i="7"/>
  <c r="AG1497" i="7"/>
  <c r="AG1496" i="7"/>
  <c r="AG1495" i="7"/>
  <c r="AG1494" i="7"/>
  <c r="AG1493" i="7"/>
  <c r="AG1492" i="7"/>
  <c r="AG1491" i="7"/>
  <c r="AG1490" i="7"/>
  <c r="AG1489" i="7"/>
  <c r="AG1488" i="7"/>
  <c r="AG1487" i="7"/>
  <c r="AG1486" i="7"/>
  <c r="AG1485" i="7"/>
  <c r="AG1484" i="7"/>
  <c r="AG1483" i="7"/>
  <c r="AG1482" i="7"/>
  <c r="AG1481" i="7"/>
  <c r="AG1480" i="7"/>
  <c r="AG1479" i="7"/>
  <c r="AG1478" i="7"/>
  <c r="AG1477" i="7"/>
  <c r="AG1476" i="7"/>
  <c r="AG1475" i="7"/>
  <c r="AG1474" i="7"/>
  <c r="AG1473" i="7"/>
  <c r="AG1472" i="7"/>
  <c r="AG1471" i="7"/>
  <c r="AG1470" i="7"/>
  <c r="AG1469" i="7"/>
  <c r="AG1468" i="7"/>
  <c r="AG1467" i="7"/>
  <c r="AG1466" i="7"/>
  <c r="AG1465" i="7"/>
  <c r="AG1464" i="7"/>
  <c r="AG1463" i="7"/>
  <c r="AG1462" i="7"/>
  <c r="AG1461" i="7"/>
  <c r="AG1460" i="7"/>
  <c r="AG1459" i="7"/>
  <c r="AG1458" i="7"/>
  <c r="AG1457" i="7"/>
  <c r="AG1456" i="7"/>
  <c r="AG1455" i="7"/>
  <c r="AG1454" i="7"/>
  <c r="AG1453" i="7"/>
  <c r="AG1452" i="7"/>
  <c r="AG1451" i="7"/>
  <c r="AG1450" i="7"/>
  <c r="AG1449" i="7"/>
  <c r="AG1448" i="7"/>
  <c r="AG1447" i="7"/>
  <c r="AG1446" i="7"/>
  <c r="AG1445" i="7"/>
  <c r="AG1444" i="7"/>
  <c r="AG1443" i="7"/>
  <c r="AG1442" i="7"/>
  <c r="AG1441" i="7"/>
  <c r="AG1440" i="7"/>
  <c r="AG1439" i="7"/>
  <c r="AG1438" i="7"/>
  <c r="AG1437" i="7"/>
  <c r="AG1436" i="7"/>
  <c r="AG1435" i="7"/>
  <c r="AG1434" i="7"/>
  <c r="AG1433" i="7"/>
  <c r="AG1432" i="7"/>
  <c r="AG1431" i="7"/>
  <c r="AG1430" i="7"/>
  <c r="AG1429" i="7"/>
  <c r="AG1428" i="7"/>
  <c r="AG1427" i="7"/>
  <c r="AG1426" i="7"/>
  <c r="AG1425" i="7"/>
  <c r="AG1424" i="7"/>
  <c r="AG1423" i="7"/>
  <c r="AG1422" i="7"/>
  <c r="AG1421" i="7"/>
  <c r="AG1420" i="7"/>
  <c r="AG1419" i="7"/>
  <c r="AG1418" i="7"/>
  <c r="AG1417" i="7"/>
  <c r="AG1416" i="7"/>
  <c r="AG1415" i="7"/>
  <c r="AG1414" i="7"/>
  <c r="AG1413" i="7"/>
  <c r="AG1412" i="7"/>
  <c r="AG1411" i="7"/>
  <c r="AG1410" i="7"/>
  <c r="AG1409" i="7"/>
  <c r="AG1408" i="7"/>
  <c r="AG1407" i="7"/>
  <c r="AG1406" i="7"/>
  <c r="AG1405" i="7"/>
  <c r="AG1404" i="7"/>
  <c r="AG1403" i="7"/>
  <c r="AG1402" i="7"/>
  <c r="AG1401" i="7"/>
  <c r="AG1400" i="7"/>
  <c r="AG1399" i="7"/>
  <c r="AG1398" i="7"/>
  <c r="AG1397" i="7"/>
  <c r="AG1396" i="7"/>
  <c r="AG1395" i="7"/>
  <c r="AG1394" i="7"/>
  <c r="AG1393" i="7"/>
  <c r="AG1392" i="7"/>
  <c r="AG1391" i="7"/>
  <c r="AG1390" i="7"/>
  <c r="AG1389" i="7"/>
  <c r="AG1388" i="7"/>
  <c r="AG1387" i="7"/>
  <c r="AG1386" i="7"/>
  <c r="AG1385" i="7"/>
  <c r="AG1384" i="7"/>
  <c r="AG1383" i="7"/>
  <c r="AG1382" i="7"/>
  <c r="AG1381" i="7"/>
  <c r="AG1380" i="7"/>
  <c r="AG1379" i="7"/>
  <c r="AG1378" i="7"/>
  <c r="AG1377" i="7"/>
  <c r="AG1376" i="7"/>
  <c r="AG1375" i="7"/>
  <c r="AG1374" i="7"/>
  <c r="AG1373" i="7"/>
  <c r="AG1372" i="7"/>
  <c r="AG1371" i="7"/>
  <c r="AG1370" i="7"/>
  <c r="AG1369" i="7"/>
  <c r="AG1368" i="7"/>
  <c r="AG1367" i="7"/>
  <c r="AG1366" i="7"/>
  <c r="AG1365" i="7"/>
  <c r="AG1364" i="7"/>
  <c r="AG1363" i="7"/>
  <c r="AG1362" i="7"/>
  <c r="AG1361" i="7"/>
  <c r="AG1360" i="7"/>
  <c r="AG1359" i="7"/>
  <c r="AG1358" i="7"/>
  <c r="AG1357" i="7"/>
  <c r="AG1356" i="7"/>
  <c r="AG1355" i="7"/>
  <c r="AG1354" i="7"/>
  <c r="AG1353" i="7"/>
  <c r="AG1352" i="7"/>
  <c r="AG1351" i="7"/>
  <c r="AG1350" i="7"/>
  <c r="AG1349" i="7"/>
  <c r="AG1348" i="7"/>
  <c r="AG1347" i="7"/>
  <c r="AG1346" i="7"/>
  <c r="AG1345" i="7"/>
  <c r="AG1344" i="7"/>
  <c r="AG1343" i="7"/>
  <c r="AG1342" i="7"/>
  <c r="AG1341" i="7"/>
  <c r="AG1340" i="7"/>
  <c r="AG1339" i="7"/>
  <c r="AG1338" i="7"/>
  <c r="AG1337" i="7"/>
  <c r="AG1336" i="7"/>
  <c r="AG1335" i="7"/>
  <c r="AG1334" i="7"/>
  <c r="AG1333" i="7"/>
  <c r="AG1332" i="7"/>
  <c r="AG1331" i="7"/>
  <c r="AG1330" i="7"/>
  <c r="AG1329" i="7"/>
  <c r="AG1328" i="7"/>
  <c r="AG1327" i="7"/>
  <c r="AG1326" i="7"/>
  <c r="AG1325" i="7"/>
  <c r="AG1324" i="7"/>
  <c r="AG1323" i="7"/>
  <c r="AG1322" i="7"/>
  <c r="AG1321" i="7"/>
  <c r="AG1320" i="7"/>
  <c r="AG1319" i="7"/>
  <c r="AG1318" i="7"/>
  <c r="AG1317" i="7"/>
  <c r="AG1316" i="7"/>
  <c r="AG1315" i="7"/>
  <c r="AG1314" i="7"/>
  <c r="AG1313" i="7"/>
  <c r="AG1312" i="7"/>
  <c r="AG1311" i="7"/>
  <c r="AG1310" i="7"/>
  <c r="AG1309" i="7"/>
  <c r="AG1308" i="7"/>
  <c r="AG1307" i="7"/>
  <c r="AG1306" i="7"/>
  <c r="AG1305" i="7"/>
  <c r="AG1304" i="7"/>
  <c r="AG1303" i="7"/>
  <c r="AG1302" i="7"/>
  <c r="AG1301" i="7"/>
  <c r="AG1300" i="7"/>
  <c r="AG1299" i="7"/>
  <c r="AG1298" i="7"/>
  <c r="AG1297" i="7"/>
  <c r="AG1296" i="7"/>
  <c r="AG1295" i="7"/>
  <c r="AG1294" i="7"/>
  <c r="AG1293" i="7"/>
  <c r="AG1292"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G1265" i="7"/>
  <c r="AG1264" i="7"/>
  <c r="AG1263" i="7"/>
  <c r="AG1262" i="7"/>
  <c r="AG1261" i="7"/>
  <c r="AG1260" i="7"/>
  <c r="AG1259" i="7"/>
  <c r="AG1258" i="7"/>
  <c r="AG1257" i="7"/>
  <c r="AG1256" i="7"/>
  <c r="AG1255" i="7"/>
  <c r="AG1254" i="7"/>
  <c r="AG1253" i="7"/>
  <c r="AG1252" i="7"/>
  <c r="AG1251" i="7"/>
  <c r="AG1250" i="7"/>
  <c r="AG1249" i="7"/>
  <c r="AG1248" i="7"/>
  <c r="AG1247" i="7"/>
  <c r="AG1246" i="7"/>
  <c r="AG1245" i="7"/>
  <c r="AG1244" i="7"/>
  <c r="AG1243" i="7"/>
  <c r="AG1242" i="7"/>
  <c r="AG1241" i="7"/>
  <c r="AG1240" i="7"/>
  <c r="AG1239" i="7"/>
  <c r="AG1238" i="7"/>
  <c r="AG1237" i="7"/>
  <c r="AG1236" i="7"/>
  <c r="AG1235" i="7"/>
  <c r="AG1234" i="7"/>
  <c r="AG1233" i="7"/>
  <c r="AG1232" i="7"/>
  <c r="AG1231" i="7"/>
  <c r="AG1230" i="7"/>
  <c r="AG1229" i="7"/>
  <c r="AG1228" i="7"/>
  <c r="AG1227" i="7"/>
  <c r="AG1226" i="7"/>
  <c r="AG1225" i="7"/>
  <c r="AG1224" i="7"/>
  <c r="AG1223" i="7"/>
  <c r="AG1222" i="7"/>
  <c r="AG1221" i="7"/>
  <c r="AG1220" i="7"/>
  <c r="AG1219" i="7"/>
  <c r="AG1218" i="7"/>
  <c r="AG1217" i="7"/>
  <c r="AG1216" i="7"/>
  <c r="AG1215" i="7"/>
  <c r="AG1214" i="7"/>
  <c r="AG1213" i="7"/>
  <c r="AG1212" i="7"/>
  <c r="AG1211" i="7"/>
  <c r="AG1210" i="7"/>
  <c r="AG1209" i="7"/>
  <c r="AG1208" i="7"/>
  <c r="AG1207" i="7"/>
  <c r="AG1206" i="7"/>
  <c r="AG1205" i="7"/>
  <c r="AG1204" i="7"/>
  <c r="AG1203" i="7"/>
  <c r="AG1202" i="7"/>
  <c r="AG1201" i="7"/>
  <c r="AG1200" i="7"/>
  <c r="AG1199" i="7"/>
  <c r="AG1198" i="7"/>
  <c r="AG1197" i="7"/>
  <c r="AG1196" i="7"/>
  <c r="AG1195" i="7"/>
  <c r="AG1194" i="7"/>
  <c r="AG1193" i="7"/>
  <c r="AG1192" i="7"/>
  <c r="AG1191" i="7"/>
  <c r="AG1190" i="7"/>
  <c r="AG1189" i="7"/>
  <c r="AG1188" i="7"/>
  <c r="AG1187" i="7"/>
  <c r="AG1186" i="7"/>
  <c r="AG1185" i="7"/>
  <c r="AG1184" i="7"/>
  <c r="AG1183" i="7"/>
  <c r="AG1182" i="7"/>
  <c r="AG1181" i="7"/>
  <c r="AG1180" i="7"/>
  <c r="AG1179" i="7"/>
  <c r="AG1178" i="7"/>
  <c r="AG1177" i="7"/>
  <c r="AG1176" i="7"/>
  <c r="AG1175" i="7"/>
  <c r="AG1174" i="7"/>
  <c r="AG1173" i="7"/>
  <c r="AG1172" i="7"/>
  <c r="AG1171" i="7"/>
  <c r="AG1170" i="7"/>
  <c r="AG1169" i="7"/>
  <c r="AG1168" i="7"/>
  <c r="AG1167" i="7"/>
  <c r="AG1166" i="7"/>
  <c r="AG1165" i="7"/>
  <c r="AG1164" i="7"/>
  <c r="AG1163" i="7"/>
  <c r="AG1162" i="7"/>
  <c r="AG1161" i="7"/>
  <c r="AG1160" i="7"/>
  <c r="AG1159" i="7"/>
  <c r="AG1158" i="7"/>
  <c r="AG1157" i="7"/>
  <c r="AG1156" i="7"/>
  <c r="AG1155" i="7"/>
  <c r="AG1154" i="7"/>
  <c r="AG1153" i="7"/>
  <c r="AG1152" i="7"/>
  <c r="AG1151" i="7"/>
  <c r="AG1150" i="7"/>
  <c r="AG1149" i="7"/>
  <c r="AG1148" i="7"/>
  <c r="AG1147" i="7"/>
  <c r="AG1146" i="7"/>
  <c r="AG1145" i="7"/>
  <c r="AG1144" i="7"/>
  <c r="AG1143" i="7"/>
  <c r="AG1142" i="7"/>
  <c r="AG1141" i="7"/>
  <c r="AG1140" i="7"/>
  <c r="AG1139" i="7"/>
  <c r="AG1138" i="7"/>
  <c r="AG1137" i="7"/>
  <c r="AG1136" i="7"/>
  <c r="AG1135" i="7"/>
  <c r="AG1134" i="7"/>
  <c r="AG1133" i="7"/>
  <c r="AG1132" i="7"/>
  <c r="AG1131" i="7"/>
  <c r="AG1130" i="7"/>
  <c r="AG1129" i="7"/>
  <c r="AG1128" i="7"/>
  <c r="AG1127" i="7"/>
  <c r="AG1126" i="7"/>
  <c r="AG1125" i="7"/>
  <c r="AG1124" i="7"/>
  <c r="AG1123" i="7"/>
  <c r="AG1122" i="7"/>
  <c r="AG1121" i="7"/>
  <c r="AG1120" i="7"/>
  <c r="AG1119" i="7"/>
  <c r="AG1118" i="7"/>
  <c r="AG1117" i="7"/>
  <c r="AG1116" i="7"/>
  <c r="AG1115" i="7"/>
  <c r="AG1114" i="7"/>
  <c r="AG1113" i="7"/>
  <c r="AG1112" i="7"/>
  <c r="AG1111" i="7"/>
  <c r="AG1110" i="7"/>
  <c r="AG1109" i="7"/>
  <c r="AG1108" i="7"/>
  <c r="AG1107" i="7"/>
  <c r="AG1106" i="7"/>
  <c r="AG1105" i="7"/>
  <c r="AG1104" i="7"/>
  <c r="AG1103" i="7"/>
  <c r="AG1102" i="7"/>
  <c r="AG1101" i="7"/>
  <c r="AG1100" i="7"/>
  <c r="AG1099" i="7"/>
  <c r="AG1098" i="7"/>
  <c r="AG1097" i="7"/>
  <c r="AG1096" i="7"/>
  <c r="AG1095" i="7"/>
  <c r="AG1094" i="7"/>
  <c r="AG1093" i="7"/>
  <c r="AG1092" i="7"/>
  <c r="AG1091" i="7"/>
  <c r="AG1090" i="7"/>
  <c r="AG1089" i="7"/>
  <c r="AG1088" i="7"/>
  <c r="AG1087" i="7"/>
  <c r="AG1086" i="7"/>
  <c r="AG1085" i="7"/>
  <c r="AG1084" i="7"/>
  <c r="AG1083" i="7"/>
  <c r="AG1082" i="7"/>
  <c r="AG1081" i="7"/>
  <c r="AG1080" i="7"/>
  <c r="AG1079" i="7"/>
  <c r="AG1078" i="7"/>
  <c r="AG1077" i="7"/>
  <c r="AG1076" i="7"/>
  <c r="AG1075" i="7"/>
  <c r="AG1074" i="7"/>
  <c r="AG1073" i="7"/>
  <c r="AG1072" i="7"/>
  <c r="AG1071" i="7"/>
  <c r="AG1070" i="7"/>
  <c r="AG1069" i="7"/>
  <c r="AG1068" i="7"/>
  <c r="AG1067" i="7"/>
  <c r="AG1066" i="7"/>
  <c r="AG1065" i="7"/>
  <c r="AG1064" i="7"/>
  <c r="AG1063" i="7"/>
  <c r="AG1062" i="7"/>
  <c r="AG1061" i="7"/>
  <c r="AG1060" i="7"/>
  <c r="AG1059" i="7"/>
  <c r="AG1058" i="7"/>
  <c r="AG1057" i="7"/>
  <c r="AG1056" i="7"/>
  <c r="AG1055" i="7"/>
  <c r="AG1054" i="7"/>
  <c r="AG1053" i="7"/>
  <c r="AG1052" i="7"/>
  <c r="AG1051" i="7"/>
  <c r="AG1050" i="7"/>
  <c r="AG1049" i="7"/>
  <c r="AG1048" i="7"/>
  <c r="AG1047" i="7"/>
  <c r="AG1046" i="7"/>
  <c r="AG1045" i="7"/>
  <c r="AG1044" i="7"/>
  <c r="AG1043" i="7"/>
  <c r="AG1042" i="7"/>
  <c r="AG1041" i="7"/>
  <c r="AG1040" i="7"/>
  <c r="AG1039" i="7"/>
  <c r="AG1038" i="7"/>
  <c r="AG1037" i="7"/>
  <c r="AG1036" i="7"/>
  <c r="AG1035" i="7"/>
  <c r="AG1034" i="7"/>
  <c r="AG1033" i="7"/>
  <c r="AG1032" i="7"/>
  <c r="AG1031" i="7"/>
  <c r="AG1030" i="7"/>
  <c r="AG1029" i="7"/>
  <c r="AG1028" i="7"/>
  <c r="AG1027" i="7"/>
  <c r="AG1026" i="7"/>
  <c r="AG1025" i="7"/>
  <c r="AG1024" i="7"/>
  <c r="AG1023" i="7"/>
  <c r="AG1022" i="7"/>
  <c r="AG1021" i="7"/>
  <c r="AG1020" i="7"/>
  <c r="AG1019" i="7"/>
  <c r="AG1018" i="7"/>
  <c r="AG1017" i="7"/>
  <c r="AG1016" i="7"/>
  <c r="AG1015" i="7"/>
  <c r="AG1014" i="7"/>
  <c r="AG1013" i="7"/>
  <c r="AG1012" i="7"/>
  <c r="AG1011" i="7"/>
  <c r="AG1010" i="7"/>
  <c r="AG1009" i="7"/>
  <c r="AG1008" i="7"/>
  <c r="AG1007" i="7"/>
  <c r="AG1006" i="7"/>
  <c r="AG1005" i="7"/>
  <c r="AG1004" i="7"/>
  <c r="AG1003" i="7"/>
  <c r="AG1002" i="7"/>
  <c r="AG1001" i="7"/>
  <c r="AG1000" i="7"/>
  <c r="AG999" i="7"/>
  <c r="AG998" i="7"/>
  <c r="AG997" i="7"/>
  <c r="AG996" i="7"/>
  <c r="AG995" i="7"/>
  <c r="AG994" i="7"/>
  <c r="AG993" i="7"/>
  <c r="AG992" i="7"/>
  <c r="AG991" i="7"/>
  <c r="AG990" i="7"/>
  <c r="AG989" i="7"/>
  <c r="AG988" i="7"/>
  <c r="AG987" i="7"/>
  <c r="AG986" i="7"/>
  <c r="AG985" i="7"/>
  <c r="AG984" i="7"/>
  <c r="AG983" i="7"/>
  <c r="AG982" i="7"/>
  <c r="AG981" i="7"/>
  <c r="AG980" i="7"/>
  <c r="AG979" i="7"/>
  <c r="AG978" i="7"/>
  <c r="AG977" i="7"/>
  <c r="AG976" i="7"/>
  <c r="AG975" i="7"/>
  <c r="AG974" i="7"/>
  <c r="AG973" i="7"/>
  <c r="AG972" i="7"/>
  <c r="AG971" i="7"/>
  <c r="AG970" i="7"/>
  <c r="AG969" i="7"/>
  <c r="AG968" i="7"/>
  <c r="AG967" i="7"/>
  <c r="AG966" i="7"/>
  <c r="AG965" i="7"/>
  <c r="AG964" i="7"/>
  <c r="AG963" i="7"/>
  <c r="AG962" i="7"/>
  <c r="AG961" i="7"/>
  <c r="AG960" i="7"/>
  <c r="AG959" i="7"/>
  <c r="AG958" i="7"/>
  <c r="AG957" i="7"/>
  <c r="AG956" i="7"/>
  <c r="AG955" i="7"/>
  <c r="AG954" i="7"/>
  <c r="AG953" i="7"/>
  <c r="AG952" i="7"/>
  <c r="AG951" i="7"/>
  <c r="AG950" i="7"/>
  <c r="AG949" i="7"/>
  <c r="AG948" i="7"/>
  <c r="AG947" i="7"/>
  <c r="AG946" i="7"/>
  <c r="AG945" i="7"/>
  <c r="AG944" i="7"/>
  <c r="AG943" i="7"/>
  <c r="AG942" i="7"/>
  <c r="AG941" i="7"/>
  <c r="AG940" i="7"/>
  <c r="AG939" i="7"/>
  <c r="AG938" i="7"/>
  <c r="AG937" i="7"/>
  <c r="AG936" i="7"/>
  <c r="AG935" i="7"/>
  <c r="AG934" i="7"/>
  <c r="AG933" i="7"/>
  <c r="AG932" i="7"/>
  <c r="AG931" i="7"/>
  <c r="AG930" i="7"/>
  <c r="AG929" i="7"/>
  <c r="AG928" i="7"/>
  <c r="AG927" i="7"/>
  <c r="AG926" i="7"/>
  <c r="AG925" i="7"/>
  <c r="AG924" i="7"/>
  <c r="AG923" i="7"/>
  <c r="AG922" i="7"/>
  <c r="AG921" i="7"/>
  <c r="AG920" i="7"/>
  <c r="AG919" i="7"/>
  <c r="AG918" i="7"/>
  <c r="AG917" i="7"/>
  <c r="AG916" i="7"/>
  <c r="AG915" i="7"/>
  <c r="AG914" i="7"/>
  <c r="AG913" i="7"/>
  <c r="AG912" i="7"/>
  <c r="AG911" i="7"/>
  <c r="AG910" i="7"/>
  <c r="AG909" i="7"/>
  <c r="AG908" i="7"/>
  <c r="AG907" i="7"/>
  <c r="AG906" i="7"/>
  <c r="AG905" i="7"/>
  <c r="AG904" i="7"/>
  <c r="AG903" i="7"/>
  <c r="AG902" i="7"/>
  <c r="AG901" i="7"/>
  <c r="AG900" i="7"/>
  <c r="AG899" i="7"/>
  <c r="AG898" i="7"/>
  <c r="AG897" i="7"/>
  <c r="AG896" i="7"/>
  <c r="AG895" i="7"/>
  <c r="AG894" i="7"/>
  <c r="AG893" i="7"/>
  <c r="AG892" i="7"/>
  <c r="AG891" i="7"/>
  <c r="AG890" i="7"/>
  <c r="AG889" i="7"/>
  <c r="AG888" i="7"/>
  <c r="AG887" i="7"/>
  <c r="AG886" i="7"/>
  <c r="AG885" i="7"/>
  <c r="AG884" i="7"/>
  <c r="AG883" i="7"/>
  <c r="AG882" i="7"/>
  <c r="AG881" i="7"/>
  <c r="AG880" i="7"/>
  <c r="AG879" i="7"/>
  <c r="AG878" i="7"/>
  <c r="AG877" i="7"/>
  <c r="AG876" i="7"/>
  <c r="AG875" i="7"/>
  <c r="AG874" i="7"/>
  <c r="AG873" i="7"/>
  <c r="AG872" i="7"/>
  <c r="AG871" i="7"/>
  <c r="AG870" i="7"/>
  <c r="AG869" i="7"/>
  <c r="AG868" i="7"/>
  <c r="AG867" i="7"/>
  <c r="AG866" i="7"/>
  <c r="AG865" i="7"/>
  <c r="AG864" i="7"/>
  <c r="AG863" i="7"/>
  <c r="AG862" i="7"/>
  <c r="AG861" i="7"/>
  <c r="AG860" i="7"/>
  <c r="AG859" i="7"/>
  <c r="AG858" i="7"/>
  <c r="AG857" i="7"/>
  <c r="AG856" i="7"/>
  <c r="AG855" i="7"/>
  <c r="AG854" i="7"/>
  <c r="AG853" i="7"/>
  <c r="AG852" i="7"/>
  <c r="AG851" i="7"/>
  <c r="AG850" i="7"/>
  <c r="AG849" i="7"/>
  <c r="AG848" i="7"/>
  <c r="AG847" i="7"/>
  <c r="AG846" i="7"/>
  <c r="AG845" i="7"/>
  <c r="AG844" i="7"/>
  <c r="AG843" i="7"/>
  <c r="AG842" i="7"/>
  <c r="AG841" i="7"/>
  <c r="AG840" i="7"/>
  <c r="AG839" i="7"/>
  <c r="AG838" i="7"/>
  <c r="AG837" i="7"/>
  <c r="AG836" i="7"/>
  <c r="AG835" i="7"/>
  <c r="AG834" i="7"/>
  <c r="AG833" i="7"/>
  <c r="AG832" i="7"/>
  <c r="AG831" i="7"/>
  <c r="AG830" i="7"/>
  <c r="AG829" i="7"/>
  <c r="AG828" i="7"/>
  <c r="AG827" i="7"/>
  <c r="AG826" i="7"/>
  <c r="AG825" i="7"/>
  <c r="AG824" i="7"/>
  <c r="AG823" i="7"/>
  <c r="AG822" i="7"/>
  <c r="AG821" i="7"/>
  <c r="AG820" i="7"/>
  <c r="AG819" i="7"/>
  <c r="AG818" i="7"/>
  <c r="AG817" i="7"/>
  <c r="AG816" i="7"/>
  <c r="AG815" i="7"/>
  <c r="AG814" i="7"/>
  <c r="AG813" i="7"/>
  <c r="AG812" i="7"/>
  <c r="AG811" i="7"/>
  <c r="AG810" i="7"/>
  <c r="AG809" i="7"/>
  <c r="AG808" i="7"/>
  <c r="AG807" i="7"/>
  <c r="AG806" i="7"/>
  <c r="AG805" i="7"/>
  <c r="AG804" i="7"/>
  <c r="AG803" i="7"/>
  <c r="AG802" i="7"/>
  <c r="AG801" i="7"/>
  <c r="AG800" i="7"/>
  <c r="AG799" i="7"/>
  <c r="AG798" i="7"/>
  <c r="AG797" i="7"/>
  <c r="AG796" i="7"/>
  <c r="AG795" i="7"/>
  <c r="AG794" i="7"/>
  <c r="AG793" i="7"/>
  <c r="AG792" i="7"/>
  <c r="AG791" i="7"/>
  <c r="AG790" i="7"/>
  <c r="AG789" i="7"/>
  <c r="AG788" i="7"/>
  <c r="AG787" i="7"/>
  <c r="AG786" i="7"/>
  <c r="AG785" i="7"/>
  <c r="AG784" i="7"/>
  <c r="AG783" i="7"/>
  <c r="AG782" i="7"/>
  <c r="AG781" i="7"/>
  <c r="AG780" i="7"/>
  <c r="AG779" i="7"/>
  <c r="AG778" i="7"/>
  <c r="AG777" i="7"/>
  <c r="AG776" i="7"/>
  <c r="AG775" i="7"/>
  <c r="AG774" i="7"/>
  <c r="AG773" i="7"/>
  <c r="AG772" i="7"/>
  <c r="AG771" i="7"/>
  <c r="AG770" i="7"/>
  <c r="AG769" i="7"/>
  <c r="AG768" i="7"/>
  <c r="AG767" i="7"/>
  <c r="AG766" i="7"/>
  <c r="AG765" i="7"/>
  <c r="AG764" i="7"/>
  <c r="AG763" i="7"/>
  <c r="AG762" i="7"/>
  <c r="AG761" i="7"/>
  <c r="AG760" i="7"/>
  <c r="AG759" i="7"/>
  <c r="AG758" i="7"/>
  <c r="AG757" i="7"/>
  <c r="AG756" i="7"/>
  <c r="AG755" i="7"/>
  <c r="AG754" i="7"/>
  <c r="AG753" i="7"/>
  <c r="AG752" i="7"/>
  <c r="AG751" i="7"/>
  <c r="AG750" i="7"/>
  <c r="AG749" i="7"/>
  <c r="AG748" i="7"/>
  <c r="AG747" i="7"/>
  <c r="AG746" i="7"/>
  <c r="AG745" i="7"/>
  <c r="AG744" i="7"/>
  <c r="AG743" i="7"/>
  <c r="AG742" i="7"/>
  <c r="AG741" i="7"/>
  <c r="AG740" i="7"/>
  <c r="AG739" i="7"/>
  <c r="AG738" i="7"/>
  <c r="AG737" i="7"/>
  <c r="AG736" i="7"/>
  <c r="AG735" i="7"/>
  <c r="AG734" i="7"/>
  <c r="AG733" i="7"/>
  <c r="AG732" i="7"/>
  <c r="AG731" i="7"/>
  <c r="AG730" i="7"/>
  <c r="AG729" i="7"/>
  <c r="AG728" i="7"/>
  <c r="AG727" i="7"/>
  <c r="AG726" i="7"/>
  <c r="AG725" i="7"/>
  <c r="AG724" i="7"/>
  <c r="AG723" i="7"/>
  <c r="AG722" i="7"/>
  <c r="AG721" i="7"/>
  <c r="AG720" i="7"/>
  <c r="AG719" i="7"/>
  <c r="AG718" i="7"/>
  <c r="AG717" i="7"/>
  <c r="AG716" i="7"/>
  <c r="AG715" i="7"/>
  <c r="AG714" i="7"/>
  <c r="AG713" i="7"/>
  <c r="AG712" i="7"/>
  <c r="AG711" i="7"/>
  <c r="AG710" i="7"/>
  <c r="AG709" i="7"/>
  <c r="AG708" i="7"/>
  <c r="AG707" i="7"/>
  <c r="AG706" i="7"/>
  <c r="AG705" i="7"/>
  <c r="AG704" i="7"/>
  <c r="AG703" i="7"/>
  <c r="AG702" i="7"/>
  <c r="AG701" i="7"/>
  <c r="AG700" i="7"/>
  <c r="AG699" i="7"/>
  <c r="AG698" i="7"/>
  <c r="AG697" i="7"/>
  <c r="AG696" i="7"/>
  <c r="AG695" i="7"/>
  <c r="AG694" i="7"/>
  <c r="AG693" i="7"/>
  <c r="AG692" i="7"/>
  <c r="AG691" i="7"/>
  <c r="AG690" i="7"/>
  <c r="AG689" i="7"/>
  <c r="AG688" i="7"/>
  <c r="AG687" i="7"/>
  <c r="AG686" i="7"/>
  <c r="AG685" i="7"/>
  <c r="AG684" i="7"/>
  <c r="AG683" i="7"/>
  <c r="AG682" i="7"/>
  <c r="AG681" i="7"/>
  <c r="AG680" i="7"/>
  <c r="AG679" i="7"/>
  <c r="AG678" i="7"/>
  <c r="AG677" i="7"/>
  <c r="AG676" i="7"/>
  <c r="AG675" i="7"/>
  <c r="AG674" i="7"/>
  <c r="AG673" i="7"/>
  <c r="AG672" i="7"/>
  <c r="AG671" i="7"/>
  <c r="AG670" i="7"/>
  <c r="AG669" i="7"/>
  <c r="AG668" i="7"/>
  <c r="AG667" i="7"/>
  <c r="AG666" i="7"/>
  <c r="AG665" i="7"/>
  <c r="AG664" i="7"/>
  <c r="AG663" i="7"/>
  <c r="AG662" i="7"/>
  <c r="AG661" i="7"/>
  <c r="AG660" i="7"/>
  <c r="AG659" i="7"/>
  <c r="AG658" i="7"/>
  <c r="AG657" i="7"/>
  <c r="AG656" i="7"/>
  <c r="AG655" i="7"/>
  <c r="AG654" i="7"/>
  <c r="AG653" i="7"/>
  <c r="AG652" i="7"/>
  <c r="AG651" i="7"/>
  <c r="AG650" i="7"/>
  <c r="AG649" i="7"/>
  <c r="AG648" i="7"/>
  <c r="AG647" i="7"/>
  <c r="AG646" i="7"/>
  <c r="AG645" i="7"/>
  <c r="AG644" i="7"/>
  <c r="AG643" i="7"/>
  <c r="AG642" i="7"/>
  <c r="AG641" i="7"/>
  <c r="AG640" i="7"/>
  <c r="AG639" i="7"/>
  <c r="AG638" i="7"/>
  <c r="AG637" i="7"/>
  <c r="AG636" i="7"/>
  <c r="AG635" i="7"/>
  <c r="AG634" i="7"/>
  <c r="AG633" i="7"/>
  <c r="AG632" i="7"/>
  <c r="AG631" i="7"/>
  <c r="AG630" i="7"/>
  <c r="AG629" i="7"/>
  <c r="AG628" i="7"/>
  <c r="AG627" i="7"/>
  <c r="AG626" i="7"/>
  <c r="AG625" i="7"/>
  <c r="AG624" i="7"/>
  <c r="AG623" i="7"/>
  <c r="AG622" i="7"/>
  <c r="AG621" i="7"/>
  <c r="AG620" i="7"/>
  <c r="AG619" i="7"/>
  <c r="AG618" i="7"/>
  <c r="AG617" i="7"/>
  <c r="AG616" i="7"/>
  <c r="AG615" i="7"/>
  <c r="AG614" i="7"/>
  <c r="AG613" i="7"/>
  <c r="AG612" i="7"/>
  <c r="AG611" i="7"/>
  <c r="AG610" i="7"/>
  <c r="AG609" i="7"/>
  <c r="AG608" i="7"/>
  <c r="AG607" i="7"/>
  <c r="AG606" i="7"/>
  <c r="AG605" i="7"/>
  <c r="AG604" i="7"/>
  <c r="AG603" i="7"/>
  <c r="AG602" i="7"/>
  <c r="AG601" i="7"/>
  <c r="AG600" i="7"/>
  <c r="AG599" i="7"/>
  <c r="AG598" i="7"/>
  <c r="AG597" i="7"/>
  <c r="AG596" i="7"/>
  <c r="AG595" i="7"/>
  <c r="AG594" i="7"/>
  <c r="AG593" i="7"/>
  <c r="AG592" i="7"/>
  <c r="AG591" i="7"/>
  <c r="AG590" i="7"/>
  <c r="AG589" i="7"/>
  <c r="AG588" i="7"/>
  <c r="AG587" i="7"/>
  <c r="AG586" i="7"/>
  <c r="AG585" i="7"/>
  <c r="AG584" i="7"/>
  <c r="AG583" i="7"/>
  <c r="AG582" i="7"/>
  <c r="AG581" i="7"/>
  <c r="AG580" i="7"/>
  <c r="AG579" i="7"/>
  <c r="AG578" i="7"/>
  <c r="AG577" i="7"/>
  <c r="AG576" i="7"/>
  <c r="AG575" i="7"/>
  <c r="AG574" i="7"/>
  <c r="AG573" i="7"/>
  <c r="AG572" i="7"/>
  <c r="AG571" i="7"/>
  <c r="AG570" i="7"/>
  <c r="AG569" i="7"/>
  <c r="AG568" i="7"/>
  <c r="AG567" i="7"/>
  <c r="AG566" i="7"/>
  <c r="AG565" i="7"/>
  <c r="AG564" i="7"/>
  <c r="AG563" i="7"/>
  <c r="AG562" i="7"/>
  <c r="AG561" i="7"/>
  <c r="AG560" i="7"/>
  <c r="AG559" i="7"/>
  <c r="AG558" i="7"/>
  <c r="AG557" i="7"/>
  <c r="AG556" i="7"/>
  <c r="AG555" i="7"/>
  <c r="AG554" i="7"/>
  <c r="AG553" i="7"/>
  <c r="AG552" i="7"/>
  <c r="AG551" i="7"/>
  <c r="AG550" i="7"/>
  <c r="AG549" i="7"/>
  <c r="AG548" i="7"/>
  <c r="AG547" i="7"/>
  <c r="AG546" i="7"/>
  <c r="AG545" i="7"/>
  <c r="AG544" i="7"/>
  <c r="AG543" i="7"/>
  <c r="AG542" i="7"/>
  <c r="AG541" i="7"/>
  <c r="AG540" i="7"/>
  <c r="AG539" i="7"/>
  <c r="AG538" i="7"/>
  <c r="AG537" i="7"/>
  <c r="AG536" i="7"/>
  <c r="AG535" i="7"/>
  <c r="AG534" i="7"/>
  <c r="AG533" i="7"/>
  <c r="AG532" i="7"/>
  <c r="AG531" i="7"/>
  <c r="AG530" i="7"/>
  <c r="AG529" i="7"/>
  <c r="AG528" i="7"/>
  <c r="AG527" i="7"/>
  <c r="AG526" i="7"/>
  <c r="AG525" i="7"/>
  <c r="AG524" i="7"/>
  <c r="AG523" i="7"/>
  <c r="AG522" i="7"/>
  <c r="AG521" i="7"/>
  <c r="AG520" i="7"/>
  <c r="AG519" i="7"/>
  <c r="AG518" i="7"/>
  <c r="AG517" i="7"/>
  <c r="AG516" i="7"/>
  <c r="AG515" i="7"/>
  <c r="AG514" i="7"/>
  <c r="AG513" i="7"/>
  <c r="AG512" i="7"/>
  <c r="AG511" i="7"/>
  <c r="AG510" i="7"/>
  <c r="AG509" i="7"/>
  <c r="AG508" i="7"/>
  <c r="AG507" i="7"/>
  <c r="AG506" i="7"/>
  <c r="AG505" i="7"/>
  <c r="AG504" i="7"/>
  <c r="AG503" i="7"/>
  <c r="AG502" i="7"/>
  <c r="AG501" i="7"/>
  <c r="AG500" i="7"/>
  <c r="AG499" i="7"/>
  <c r="AG498" i="7"/>
  <c r="AG497" i="7"/>
  <c r="AG496" i="7"/>
  <c r="AG495" i="7"/>
  <c r="AG494" i="7"/>
  <c r="AG493" i="7"/>
  <c r="AG492" i="7"/>
  <c r="AG491" i="7"/>
  <c r="AG490" i="7"/>
  <c r="AG489" i="7"/>
  <c r="AG488" i="7"/>
  <c r="AG487" i="7"/>
  <c r="AG486" i="7"/>
  <c r="AG485" i="7"/>
  <c r="AG484" i="7"/>
  <c r="AG483" i="7"/>
  <c r="AG482" i="7"/>
  <c r="AG481" i="7"/>
  <c r="AG480" i="7"/>
  <c r="AG479" i="7"/>
  <c r="AG478" i="7"/>
  <c r="AG477" i="7"/>
  <c r="AG476" i="7"/>
  <c r="AG475" i="7"/>
  <c r="AG474" i="7"/>
  <c r="AG473" i="7"/>
  <c r="AG472" i="7"/>
  <c r="AG471" i="7"/>
  <c r="AG470" i="7"/>
  <c r="AG469" i="7"/>
  <c r="AG468" i="7"/>
  <c r="AG467" i="7"/>
  <c r="AG466" i="7"/>
  <c r="AG465" i="7"/>
  <c r="AG464" i="7"/>
  <c r="AG463" i="7"/>
  <c r="AG462" i="7"/>
  <c r="AG461" i="7"/>
  <c r="AG460" i="7"/>
  <c r="AG459" i="7"/>
  <c r="AG458" i="7"/>
  <c r="AG457" i="7"/>
  <c r="AG456" i="7"/>
  <c r="AG455" i="7"/>
  <c r="AG454" i="7"/>
  <c r="AG453" i="7"/>
  <c r="AG452" i="7"/>
  <c r="AG451" i="7"/>
  <c r="AG450" i="7"/>
  <c r="AG449" i="7"/>
  <c r="AG448" i="7"/>
  <c r="AG447" i="7"/>
  <c r="AG446" i="7"/>
  <c r="AG445" i="7"/>
  <c r="AG444" i="7"/>
  <c r="AG443" i="7"/>
  <c r="AG442" i="7"/>
  <c r="AG441" i="7"/>
  <c r="AG440" i="7"/>
  <c r="AG439" i="7"/>
  <c r="AG438" i="7"/>
  <c r="AG437" i="7"/>
  <c r="AG436" i="7"/>
  <c r="AG435" i="7"/>
  <c r="AG434" i="7"/>
  <c r="AG433" i="7"/>
  <c r="AG432" i="7"/>
  <c r="AG431" i="7"/>
  <c r="AG430" i="7"/>
  <c r="AG429" i="7"/>
  <c r="AG428" i="7"/>
  <c r="AG427" i="7"/>
  <c r="AG426" i="7"/>
  <c r="AG425" i="7"/>
  <c r="AG424" i="7"/>
  <c r="AG423" i="7"/>
  <c r="AG422" i="7"/>
  <c r="AG421" i="7"/>
  <c r="AG420" i="7"/>
  <c r="AG419" i="7"/>
  <c r="AG418" i="7"/>
  <c r="AG417" i="7"/>
  <c r="AG416" i="7"/>
  <c r="AG415" i="7"/>
  <c r="AG414" i="7"/>
  <c r="AG413" i="7"/>
  <c r="AG412" i="7"/>
  <c r="AG411" i="7"/>
  <c r="AG410" i="7"/>
  <c r="AG409" i="7"/>
  <c r="AG408" i="7"/>
  <c r="AG407" i="7"/>
  <c r="AG406" i="7"/>
  <c r="AG405" i="7"/>
  <c r="AG404" i="7"/>
  <c r="AG403" i="7"/>
  <c r="AG402" i="7"/>
  <c r="AG401" i="7"/>
  <c r="AG400" i="7"/>
  <c r="AG399" i="7"/>
  <c r="AG398" i="7"/>
  <c r="AG397" i="7"/>
  <c r="AG396" i="7"/>
  <c r="AG395" i="7"/>
  <c r="AG394" i="7"/>
  <c r="AG393" i="7"/>
  <c r="AG392" i="7"/>
  <c r="AG391" i="7"/>
  <c r="AG390" i="7"/>
  <c r="AG389" i="7"/>
  <c r="AG388" i="7"/>
  <c r="AG387" i="7"/>
  <c r="AG386" i="7"/>
  <c r="AG385" i="7"/>
  <c r="AG384" i="7"/>
  <c r="AG383" i="7"/>
  <c r="AG382" i="7"/>
  <c r="AG381" i="7"/>
  <c r="AG380" i="7"/>
  <c r="AG379" i="7"/>
  <c r="AG378" i="7"/>
  <c r="AG377" i="7"/>
  <c r="AG376" i="7"/>
  <c r="AG375" i="7"/>
  <c r="AG374" i="7"/>
  <c r="AG373" i="7"/>
  <c r="AG372" i="7"/>
  <c r="AG371" i="7"/>
  <c r="AG370" i="7"/>
  <c r="AG369" i="7"/>
  <c r="AG368" i="7"/>
  <c r="AG367" i="7"/>
  <c r="AG366" i="7"/>
  <c r="AG365" i="7"/>
  <c r="AG364" i="7"/>
  <c r="AG363" i="7"/>
  <c r="AG362" i="7"/>
  <c r="AG361" i="7"/>
  <c r="AG360" i="7"/>
  <c r="AG359" i="7"/>
  <c r="AG358" i="7"/>
  <c r="AG357" i="7"/>
  <c r="AG356" i="7"/>
  <c r="AG355" i="7"/>
  <c r="AG354" i="7"/>
  <c r="AG353" i="7"/>
  <c r="AG352" i="7"/>
  <c r="AG351" i="7"/>
  <c r="AG350" i="7"/>
  <c r="AG349" i="7"/>
  <c r="AG348" i="7"/>
  <c r="AG347" i="7"/>
  <c r="AG346" i="7"/>
  <c r="AG345" i="7"/>
  <c r="AG344" i="7"/>
  <c r="AG343" i="7"/>
  <c r="AG342" i="7"/>
  <c r="AG341" i="7"/>
  <c r="AG340" i="7"/>
  <c r="AG339" i="7"/>
  <c r="AG338" i="7"/>
  <c r="AG337" i="7"/>
  <c r="AG336" i="7"/>
  <c r="AG335" i="7"/>
  <c r="AG334" i="7"/>
  <c r="AG333" i="7"/>
  <c r="AG332" i="7"/>
  <c r="AG331" i="7"/>
  <c r="AG330" i="7"/>
  <c r="AG329" i="7"/>
  <c r="AG328" i="7"/>
  <c r="AG327" i="7"/>
  <c r="AG326" i="7"/>
  <c r="AG325" i="7"/>
  <c r="AG324" i="7"/>
  <c r="AG323" i="7"/>
  <c r="AG322" i="7"/>
  <c r="AG321" i="7"/>
  <c r="AG320" i="7"/>
  <c r="AG319" i="7"/>
  <c r="AG318" i="7"/>
  <c r="AG317" i="7"/>
  <c r="AG316" i="7"/>
  <c r="AG315" i="7"/>
  <c r="AG314" i="7"/>
  <c r="AG313" i="7"/>
  <c r="AG312" i="7"/>
  <c r="AG311" i="7"/>
  <c r="AG310" i="7"/>
  <c r="AG309" i="7"/>
  <c r="AG308" i="7"/>
  <c r="AG307" i="7"/>
  <c r="AG306" i="7"/>
  <c r="AG305" i="7"/>
  <c r="AG304" i="7"/>
  <c r="AG303" i="7"/>
  <c r="AG302" i="7"/>
  <c r="AG301" i="7"/>
  <c r="AG300" i="7"/>
  <c r="AG299" i="7"/>
  <c r="AG298" i="7"/>
  <c r="AG297" i="7"/>
  <c r="AG296" i="7"/>
  <c r="AG295" i="7"/>
  <c r="AG294" i="7"/>
  <c r="AG293" i="7"/>
  <c r="AG292" i="7"/>
  <c r="AG291" i="7"/>
  <c r="AG290" i="7"/>
  <c r="AG289" i="7"/>
  <c r="AG288" i="7"/>
  <c r="AG287" i="7"/>
  <c r="AG286" i="7"/>
  <c r="AG285" i="7"/>
  <c r="AG284" i="7"/>
  <c r="AG283" i="7"/>
  <c r="AG282" i="7"/>
  <c r="AG281" i="7"/>
  <c r="AG280" i="7"/>
  <c r="AG279" i="7"/>
  <c r="AG278" i="7"/>
  <c r="AG277" i="7"/>
  <c r="AG276" i="7"/>
  <c r="AG275" i="7"/>
  <c r="AG274" i="7"/>
  <c r="AG273" i="7"/>
  <c r="AG272" i="7"/>
  <c r="AG271" i="7"/>
  <c r="AG270" i="7"/>
  <c r="AG269" i="7"/>
  <c r="AG268" i="7"/>
  <c r="AG267" i="7"/>
  <c r="AG266" i="7"/>
  <c r="AG265" i="7"/>
  <c r="AG264" i="7"/>
  <c r="AG263" i="7"/>
  <c r="AG262" i="7"/>
  <c r="AG261" i="7"/>
  <c r="AG260" i="7"/>
  <c r="AG259" i="7"/>
  <c r="AG258" i="7"/>
  <c r="AG257" i="7"/>
  <c r="AG256" i="7"/>
  <c r="AG255" i="7"/>
  <c r="AG254" i="7"/>
  <c r="AG253" i="7"/>
  <c r="AG252" i="7"/>
  <c r="AG251" i="7"/>
  <c r="AG250" i="7"/>
  <c r="AG249" i="7"/>
  <c r="AG248" i="7"/>
  <c r="AG247" i="7"/>
  <c r="AG246" i="7"/>
  <c r="AG245" i="7"/>
  <c r="AG244" i="7"/>
  <c r="AG243" i="7"/>
  <c r="AG242" i="7"/>
  <c r="AG241" i="7"/>
  <c r="AG240" i="7"/>
  <c r="AG239" i="7"/>
  <c r="AG238" i="7"/>
  <c r="AG237" i="7"/>
  <c r="AG236" i="7"/>
  <c r="AG235" i="7"/>
  <c r="AG234" i="7"/>
  <c r="AG233" i="7"/>
  <c r="AG232" i="7"/>
  <c r="AG231" i="7"/>
  <c r="AG230" i="7"/>
  <c r="AG229" i="7"/>
  <c r="AG228" i="7"/>
  <c r="AG227" i="7"/>
  <c r="AG226" i="7"/>
  <c r="AG225" i="7"/>
  <c r="AG224" i="7"/>
  <c r="AG223" i="7"/>
  <c r="AG222" i="7"/>
  <c r="AG221" i="7"/>
  <c r="AG220" i="7"/>
  <c r="AG219" i="7"/>
  <c r="AG218" i="7"/>
  <c r="AG217" i="7"/>
  <c r="AG216" i="7"/>
  <c r="AG215" i="7"/>
  <c r="AG214" i="7"/>
  <c r="AG213" i="7"/>
  <c r="AG212" i="7"/>
  <c r="AG211" i="7"/>
  <c r="AG210" i="7"/>
  <c r="AG209" i="7"/>
  <c r="AG208" i="7"/>
  <c r="AG207" i="7"/>
  <c r="AG206" i="7"/>
  <c r="AG205" i="7"/>
  <c r="AG204" i="7"/>
  <c r="AG203" i="7"/>
  <c r="AG202" i="7"/>
  <c r="AG201" i="7"/>
  <c r="AG200" i="7"/>
  <c r="AG199" i="7"/>
  <c r="AG198" i="7"/>
  <c r="AG197" i="7"/>
  <c r="AG196" i="7"/>
  <c r="AG195" i="7"/>
  <c r="AG194" i="7"/>
  <c r="AG193" i="7"/>
  <c r="AG192" i="7"/>
  <c r="AG191" i="7"/>
  <c r="AG190" i="7"/>
  <c r="AG189" i="7"/>
  <c r="AG188" i="7"/>
  <c r="AG187" i="7"/>
  <c r="AG186" i="7"/>
  <c r="AG185" i="7"/>
  <c r="AG184" i="7"/>
  <c r="AG183" i="7"/>
  <c r="AG182" i="7"/>
  <c r="AG181" i="7"/>
  <c r="AG180" i="7"/>
  <c r="AG179" i="7"/>
  <c r="AG178" i="7"/>
  <c r="AG177" i="7"/>
  <c r="AG176" i="7"/>
  <c r="AG175" i="7"/>
  <c r="AG174" i="7"/>
  <c r="AG173" i="7"/>
  <c r="AG172" i="7"/>
  <c r="AG171" i="7"/>
  <c r="AG170" i="7"/>
  <c r="AG169" i="7"/>
  <c r="AG168" i="7"/>
  <c r="AG167" i="7"/>
  <c r="AG166" i="7"/>
  <c r="AG165" i="7"/>
  <c r="AG164" i="7"/>
  <c r="AG163" i="7"/>
  <c r="AG162" i="7"/>
  <c r="AG161" i="7"/>
  <c r="AG160" i="7"/>
  <c r="AG159" i="7"/>
  <c r="AG158" i="7"/>
  <c r="AG157" i="7"/>
  <c r="AG156" i="7"/>
  <c r="AG155" i="7"/>
  <c r="AG154" i="7"/>
  <c r="AG153" i="7"/>
  <c r="AG152" i="7"/>
  <c r="AG151" i="7"/>
  <c r="AG150" i="7"/>
  <c r="AG149" i="7"/>
  <c r="AG148" i="7"/>
  <c r="AG147" i="7"/>
  <c r="AG146" i="7"/>
  <c r="AG145" i="7"/>
  <c r="AG144" i="7"/>
  <c r="AG143" i="7"/>
  <c r="AG142" i="7"/>
  <c r="AG141" i="7"/>
  <c r="AG140" i="7"/>
  <c r="AG139" i="7"/>
  <c r="AG138" i="7"/>
  <c r="AG137" i="7"/>
  <c r="AG136" i="7"/>
  <c r="AG135" i="7"/>
  <c r="AG134" i="7"/>
  <c r="AG133" i="7"/>
  <c r="AG132" i="7"/>
  <c r="AG131" i="7"/>
  <c r="AG130" i="7"/>
  <c r="AG129" i="7"/>
  <c r="AG128" i="7"/>
  <c r="AG127" i="7"/>
  <c r="AG126" i="7"/>
  <c r="AG125" i="7"/>
  <c r="AG124" i="7"/>
  <c r="AG123" i="7"/>
  <c r="AG122" i="7"/>
  <c r="AG121" i="7"/>
  <c r="AG120" i="7"/>
  <c r="AG119" i="7"/>
  <c r="AG118" i="7"/>
  <c r="AG117" i="7"/>
  <c r="AG116" i="7"/>
  <c r="AG115" i="7"/>
  <c r="AG114" i="7"/>
  <c r="AG113" i="7"/>
  <c r="AG112" i="7"/>
  <c r="AG111" i="7"/>
  <c r="AG110" i="7"/>
  <c r="AG109" i="7"/>
  <c r="AG108" i="7"/>
  <c r="AG107" i="7"/>
  <c r="AG106" i="7"/>
  <c r="AG105" i="7"/>
  <c r="AG104" i="7"/>
  <c r="AG103" i="7"/>
  <c r="AG102" i="7"/>
  <c r="AG101" i="7"/>
  <c r="AG100" i="7"/>
  <c r="AG99" i="7"/>
  <c r="AG98" i="7"/>
  <c r="AG97" i="7"/>
  <c r="AG96" i="7"/>
  <c r="AG95" i="7"/>
  <c r="AG94" i="7"/>
  <c r="AG93" i="7"/>
  <c r="AG92" i="7"/>
  <c r="AG91" i="7"/>
  <c r="AG90" i="7"/>
  <c r="AG89" i="7"/>
  <c r="AG88" i="7"/>
  <c r="AG87" i="7"/>
  <c r="AG86" i="7"/>
  <c r="AG85" i="7"/>
  <c r="AG84" i="7"/>
  <c r="AG83" i="7"/>
  <c r="AG82" i="7"/>
  <c r="AG81" i="7"/>
  <c r="AG80" i="7"/>
  <c r="AG79" i="7"/>
  <c r="AG78" i="7"/>
  <c r="AG77" i="7"/>
  <c r="AG76" i="7"/>
  <c r="AG75" i="7"/>
  <c r="AG74" i="7"/>
  <c r="AG73" i="7"/>
  <c r="AG72" i="7"/>
  <c r="AG71" i="7"/>
  <c r="AG70" i="7"/>
  <c r="AG69" i="7"/>
  <c r="AG68" i="7"/>
  <c r="AG67" i="7"/>
  <c r="AG66" i="7"/>
  <c r="AG65" i="7"/>
  <c r="AG64" i="7"/>
  <c r="AG63" i="7"/>
  <c r="AG62" i="7"/>
  <c r="AG61" i="7"/>
  <c r="AG60" i="7"/>
  <c r="AG59" i="7"/>
  <c r="AG58" i="7"/>
  <c r="AG57" i="7"/>
  <c r="AG56" i="7"/>
  <c r="AG55" i="7"/>
  <c r="AG54" i="7"/>
  <c r="AG53" i="7"/>
  <c r="AG52" i="7"/>
  <c r="AG51" i="7"/>
  <c r="AG50" i="7"/>
  <c r="AG49" i="7"/>
  <c r="AG48" i="7"/>
  <c r="AG47" i="7"/>
  <c r="AG46" i="7"/>
  <c r="AG45" i="7"/>
  <c r="AG44" i="7"/>
  <c r="AG43" i="7"/>
  <c r="AG42" i="7"/>
  <c r="AG41" i="7"/>
  <c r="AG40" i="7"/>
  <c r="AG39" i="7"/>
  <c r="AG38" i="7"/>
  <c r="AG37" i="7"/>
  <c r="AG36" i="7"/>
  <c r="AG35" i="7"/>
  <c r="AG34" i="7"/>
  <c r="AG33" i="7"/>
  <c r="AG31" i="7"/>
  <c r="AG30" i="7"/>
  <c r="AG29" i="7"/>
  <c r="AG28" i="7"/>
  <c r="AG27" i="7"/>
  <c r="AG25" i="7"/>
  <c r="AG24" i="7"/>
  <c r="AG23" i="7"/>
  <c r="AG22" i="7"/>
  <c r="AG21" i="7"/>
  <c r="AG19" i="7"/>
  <c r="AG18" i="7"/>
  <c r="AG17" i="7"/>
  <c r="AG16" i="7"/>
  <c r="AG15" i="7"/>
  <c r="AG13" i="7"/>
  <c r="AG12" i="7"/>
  <c r="AG11" i="7"/>
  <c r="AG10" i="7"/>
  <c r="AG9" i="7"/>
  <c r="AG7" i="7"/>
  <c r="AG6" i="7"/>
  <c r="AG5" i="7"/>
  <c r="AG4" i="7"/>
  <c r="AG3" i="7"/>
  <c r="Y2362" i="7" l="1"/>
  <c r="Y2361" i="7"/>
  <c r="Y2360" i="7"/>
  <c r="Y2359" i="7"/>
  <c r="Y2358" i="7"/>
  <c r="Y2357" i="7"/>
  <c r="Y2356" i="7"/>
  <c r="Y2355" i="7"/>
  <c r="Y2354" i="7"/>
  <c r="Y2353" i="7"/>
  <c r="Y2352" i="7"/>
  <c r="Y2351" i="7"/>
  <c r="Y2350" i="7"/>
  <c r="Y2349" i="7"/>
  <c r="Y2348" i="7"/>
  <c r="Y2347" i="7"/>
  <c r="Y2346" i="7"/>
  <c r="Y2345" i="7"/>
  <c r="Y2344" i="7"/>
  <c r="Y2343" i="7"/>
  <c r="Y2342" i="7"/>
  <c r="Y2341" i="7"/>
  <c r="Y2340" i="7"/>
  <c r="Y2339" i="7"/>
  <c r="Y2338" i="7"/>
  <c r="Y2337" i="7"/>
  <c r="Y2336" i="7"/>
  <c r="Y2335" i="7"/>
  <c r="Y2334" i="7"/>
  <c r="Y2333" i="7"/>
  <c r="Y2332" i="7"/>
  <c r="Y2331" i="7"/>
  <c r="Y2330" i="7"/>
  <c r="Y2329" i="7"/>
  <c r="Y2328" i="7"/>
  <c r="Y2327" i="7"/>
  <c r="Y2326" i="7"/>
  <c r="Y2325" i="7"/>
  <c r="Y2324" i="7"/>
  <c r="Y2323" i="7"/>
  <c r="Y2322" i="7"/>
  <c r="Y2321" i="7"/>
  <c r="Y2320" i="7"/>
  <c r="Y2319" i="7"/>
  <c r="Y2318" i="7"/>
  <c r="Y2317" i="7"/>
  <c r="Y2316" i="7"/>
  <c r="Y2315" i="7"/>
  <c r="Y2314" i="7"/>
  <c r="Y2313" i="7"/>
  <c r="Y2312" i="7"/>
  <c r="Y2311" i="7"/>
  <c r="Y2310" i="7"/>
  <c r="Y2309" i="7"/>
  <c r="Y2308" i="7"/>
  <c r="Y2307" i="7"/>
  <c r="Y2306" i="7"/>
  <c r="Y2305" i="7"/>
  <c r="Y2304" i="7"/>
  <c r="Y2303" i="7"/>
  <c r="Y2302" i="7"/>
  <c r="Y2301" i="7"/>
  <c r="Y2300" i="7"/>
  <c r="Y2299" i="7"/>
  <c r="Y2298" i="7"/>
  <c r="Y2297" i="7"/>
  <c r="Y2296" i="7"/>
  <c r="Y2295" i="7"/>
  <c r="Y2294" i="7"/>
  <c r="Y2293" i="7"/>
  <c r="Y2292" i="7"/>
  <c r="Y2291" i="7"/>
  <c r="Y2290" i="7"/>
  <c r="Y2289" i="7"/>
  <c r="Y2288" i="7"/>
  <c r="Y2287" i="7"/>
  <c r="Y2286" i="7"/>
  <c r="Y2285" i="7"/>
  <c r="Y2284" i="7"/>
  <c r="Y2283" i="7"/>
  <c r="Y2282" i="7"/>
  <c r="Y2281" i="7"/>
  <c r="Y2280" i="7"/>
  <c r="Y2279" i="7"/>
  <c r="Y2278" i="7"/>
  <c r="Y2277" i="7"/>
  <c r="Y2276" i="7"/>
  <c r="Y2275" i="7"/>
  <c r="Y2274" i="7"/>
  <c r="Y2273" i="7"/>
  <c r="Y2272" i="7"/>
  <c r="Y2271" i="7"/>
  <c r="Y2270" i="7"/>
  <c r="Y2269" i="7"/>
  <c r="Y2268" i="7"/>
  <c r="Y2267" i="7"/>
  <c r="Y2266" i="7"/>
  <c r="Y2265" i="7"/>
  <c r="Y2264" i="7"/>
  <c r="Y2263" i="7"/>
  <c r="Y2262" i="7"/>
  <c r="Y2261" i="7"/>
  <c r="Y2260" i="7"/>
  <c r="Y2259" i="7"/>
  <c r="Y2258" i="7"/>
  <c r="Y2257" i="7"/>
  <c r="Y2256" i="7"/>
  <c r="Y2255" i="7"/>
  <c r="Y2254" i="7"/>
  <c r="Y2253" i="7"/>
  <c r="Y2252" i="7"/>
  <c r="Y2251" i="7"/>
  <c r="Y2250" i="7"/>
  <c r="Y2249" i="7"/>
  <c r="Y2248" i="7"/>
  <c r="Y2247" i="7"/>
  <c r="Y2246" i="7"/>
  <c r="Y2245" i="7"/>
  <c r="Y2244" i="7"/>
  <c r="Y2243" i="7"/>
  <c r="Y2242" i="7"/>
  <c r="Y2241" i="7"/>
  <c r="Y2240" i="7"/>
  <c r="Y2239" i="7"/>
  <c r="Y2238" i="7"/>
  <c r="Y2237" i="7"/>
  <c r="Y2236" i="7"/>
  <c r="Y2235" i="7"/>
  <c r="Y2234" i="7"/>
  <c r="Y2233" i="7"/>
  <c r="Y2232" i="7"/>
  <c r="Y2231" i="7"/>
  <c r="Y2230" i="7"/>
  <c r="Y2229" i="7"/>
  <c r="Y2228" i="7"/>
  <c r="Y2227" i="7"/>
  <c r="Y2226" i="7"/>
  <c r="Y2225" i="7"/>
  <c r="Y2224" i="7"/>
  <c r="Y2223" i="7"/>
  <c r="Y2222" i="7"/>
  <c r="Y2221" i="7"/>
  <c r="Y2220" i="7"/>
  <c r="Y2219" i="7"/>
  <c r="Y2218" i="7"/>
  <c r="Y2217" i="7"/>
  <c r="Y2216" i="7"/>
  <c r="Y2215" i="7"/>
  <c r="Y2214" i="7"/>
  <c r="Y2213" i="7"/>
  <c r="Y2212" i="7"/>
  <c r="Y2211" i="7"/>
  <c r="Y2210" i="7"/>
  <c r="Y2209" i="7"/>
  <c r="Y2208" i="7"/>
  <c r="Y2207" i="7"/>
  <c r="Y2206" i="7"/>
  <c r="Y2205" i="7"/>
  <c r="Y2204" i="7"/>
  <c r="Y2203" i="7"/>
  <c r="Y2202" i="7"/>
  <c r="Y2201" i="7"/>
  <c r="Y2200" i="7"/>
  <c r="Y2199" i="7"/>
  <c r="Y2198" i="7"/>
  <c r="Y2197" i="7"/>
  <c r="Y2196" i="7"/>
  <c r="Y2195" i="7"/>
  <c r="Y2194" i="7"/>
  <c r="Y2193" i="7"/>
  <c r="Y2192" i="7"/>
  <c r="Y2191" i="7"/>
  <c r="Y2190" i="7"/>
  <c r="Y2189" i="7"/>
  <c r="Y2188" i="7"/>
  <c r="Y2187" i="7"/>
  <c r="Y2186" i="7"/>
  <c r="Y2185" i="7"/>
  <c r="Y2184" i="7"/>
  <c r="Y2183" i="7"/>
  <c r="Y2182" i="7"/>
  <c r="Y2181" i="7"/>
  <c r="Y2180" i="7"/>
  <c r="Y2179" i="7"/>
  <c r="Y2178" i="7"/>
  <c r="Y2177" i="7"/>
  <c r="Y2176" i="7"/>
  <c r="Y2175" i="7"/>
  <c r="Y2174" i="7"/>
  <c r="Y2173" i="7"/>
  <c r="Y2172" i="7"/>
  <c r="Y2171" i="7"/>
  <c r="Y2170" i="7"/>
  <c r="Y2169" i="7"/>
  <c r="Y2168" i="7"/>
  <c r="Y2167" i="7"/>
  <c r="Y2166" i="7"/>
  <c r="Y2165" i="7"/>
  <c r="Y2164" i="7"/>
  <c r="Y2163" i="7"/>
  <c r="Y2162" i="7"/>
  <c r="Y2161" i="7"/>
  <c r="Y2160" i="7"/>
  <c r="Y2159" i="7"/>
  <c r="Y2158" i="7"/>
  <c r="Y2157" i="7"/>
  <c r="Y2156" i="7"/>
  <c r="Y2155" i="7"/>
  <c r="Y2154" i="7"/>
  <c r="Y2153" i="7"/>
  <c r="Y2152" i="7"/>
  <c r="Y2151" i="7"/>
  <c r="Y2150" i="7"/>
  <c r="Y2149" i="7"/>
  <c r="Y2148" i="7"/>
  <c r="Y2147" i="7"/>
  <c r="Y2146" i="7"/>
  <c r="Y2145" i="7"/>
  <c r="Y2144" i="7"/>
  <c r="Y2143" i="7"/>
  <c r="Y2142" i="7"/>
  <c r="Y2141" i="7"/>
  <c r="Y2140" i="7"/>
  <c r="Y2139" i="7"/>
  <c r="Y2138" i="7"/>
  <c r="Y2137" i="7"/>
  <c r="Y2136" i="7"/>
  <c r="Y2135" i="7"/>
  <c r="Y2134" i="7"/>
  <c r="Y2133" i="7"/>
  <c r="Y2132" i="7"/>
  <c r="Y2131" i="7"/>
  <c r="Y2130" i="7"/>
  <c r="Y2129" i="7"/>
  <c r="Y2128" i="7"/>
  <c r="Y2127" i="7"/>
  <c r="Y2126" i="7"/>
  <c r="Y2125" i="7"/>
  <c r="Y2124" i="7"/>
  <c r="Y2123" i="7"/>
  <c r="Y2122" i="7"/>
  <c r="Y2121" i="7"/>
  <c r="Y2120" i="7"/>
  <c r="Y2119" i="7"/>
  <c r="Y2118" i="7"/>
  <c r="Y2117" i="7"/>
  <c r="Y2116" i="7"/>
  <c r="Y2115" i="7"/>
  <c r="Y2114" i="7"/>
  <c r="Y2113" i="7"/>
  <c r="Y2112" i="7"/>
  <c r="Y2111" i="7"/>
  <c r="Y2110" i="7"/>
  <c r="Y2109" i="7"/>
  <c r="Y2108" i="7"/>
  <c r="Y2107" i="7"/>
  <c r="Y2106" i="7"/>
  <c r="Y2105" i="7"/>
  <c r="Y2104" i="7"/>
  <c r="Y2103" i="7"/>
  <c r="Y2102" i="7"/>
  <c r="Y2101" i="7"/>
  <c r="Y2100" i="7"/>
  <c r="Y2099" i="7"/>
  <c r="Y2098" i="7"/>
  <c r="Y2097" i="7"/>
  <c r="Y2096" i="7"/>
  <c r="Y2095" i="7"/>
  <c r="Y2094" i="7"/>
  <c r="Y2093" i="7"/>
  <c r="Y2092" i="7"/>
  <c r="Y2091" i="7"/>
  <c r="Y2090" i="7"/>
  <c r="Y2089" i="7"/>
  <c r="Y2088" i="7"/>
  <c r="Y2087" i="7"/>
  <c r="Y2086" i="7"/>
  <c r="Y2085" i="7"/>
  <c r="Y2084" i="7"/>
  <c r="Y2083" i="7"/>
  <c r="Y2082" i="7"/>
  <c r="Y2081" i="7"/>
  <c r="Y2080" i="7"/>
  <c r="Y2079" i="7"/>
  <c r="Y2078" i="7"/>
  <c r="Y2077" i="7"/>
  <c r="Y2076" i="7"/>
  <c r="Y2075" i="7"/>
  <c r="Y2074" i="7"/>
  <c r="Y2073" i="7"/>
  <c r="Y2072" i="7"/>
  <c r="Y2071" i="7"/>
  <c r="Y2070" i="7"/>
  <c r="Y2069" i="7"/>
  <c r="Y2068" i="7"/>
  <c r="Y2067" i="7"/>
  <c r="Y2066" i="7"/>
  <c r="Y2065" i="7"/>
  <c r="Y2064" i="7"/>
  <c r="Y2063" i="7"/>
  <c r="Y2062" i="7"/>
  <c r="Y2061" i="7"/>
  <c r="Y2060" i="7"/>
  <c r="Y2059" i="7"/>
  <c r="Y2058" i="7"/>
  <c r="Y2057" i="7"/>
  <c r="Y2056" i="7"/>
  <c r="Y2055" i="7"/>
  <c r="Y2054" i="7"/>
  <c r="Y2053" i="7"/>
  <c r="Y2052" i="7"/>
  <c r="Y2051" i="7"/>
  <c r="Y2050" i="7"/>
  <c r="Y2049" i="7"/>
  <c r="Y2048" i="7"/>
  <c r="Y2047" i="7"/>
  <c r="Y2046" i="7"/>
  <c r="Y2045" i="7"/>
  <c r="Y2044" i="7"/>
  <c r="Y2043" i="7"/>
  <c r="Y2042" i="7"/>
  <c r="Y2041" i="7"/>
  <c r="Y2040" i="7"/>
  <c r="Y2039" i="7"/>
  <c r="Y2038" i="7"/>
  <c r="Y2037" i="7"/>
  <c r="Y2036" i="7"/>
  <c r="Y2035" i="7"/>
  <c r="Y2034" i="7"/>
  <c r="Y2033" i="7"/>
  <c r="Y2032" i="7"/>
  <c r="Y2031" i="7"/>
  <c r="Y2030" i="7"/>
  <c r="Y2029" i="7"/>
  <c r="Y2028" i="7"/>
  <c r="Y2027" i="7"/>
  <c r="Y2026" i="7"/>
  <c r="Y2025" i="7"/>
  <c r="Y2024" i="7"/>
  <c r="Y2023" i="7"/>
  <c r="Y2022" i="7"/>
  <c r="Y2021" i="7"/>
  <c r="Y2020" i="7"/>
  <c r="Y2019" i="7"/>
  <c r="Y2018" i="7"/>
  <c r="Y2017" i="7"/>
  <c r="Y2016" i="7"/>
  <c r="Y2015" i="7"/>
  <c r="Y2014" i="7"/>
  <c r="Y2013" i="7"/>
  <c r="Y2012" i="7"/>
  <c r="Y2011" i="7"/>
  <c r="Y2010" i="7"/>
  <c r="Y2009" i="7"/>
  <c r="Y2008" i="7"/>
  <c r="Y2007" i="7"/>
  <c r="Y2006" i="7"/>
  <c r="Y2005" i="7"/>
  <c r="Y2004" i="7"/>
  <c r="Y2003" i="7"/>
  <c r="Y2002" i="7"/>
  <c r="Y2001" i="7"/>
  <c r="Y2000" i="7"/>
  <c r="Y1999" i="7"/>
  <c r="Y1998" i="7"/>
  <c r="Y1997" i="7"/>
  <c r="Y1996" i="7"/>
  <c r="Y1995" i="7"/>
  <c r="Y1994" i="7"/>
  <c r="Y1993" i="7"/>
  <c r="Y1992" i="7"/>
  <c r="Y1991" i="7"/>
  <c r="Y1990" i="7"/>
  <c r="Y1989" i="7"/>
  <c r="Y1988" i="7"/>
  <c r="Y1987" i="7"/>
  <c r="Y1986" i="7"/>
  <c r="Y1985" i="7"/>
  <c r="Y1984" i="7"/>
  <c r="Y1983" i="7"/>
  <c r="Y1982" i="7"/>
  <c r="Y1981" i="7"/>
  <c r="Y1980" i="7"/>
  <c r="Y1979" i="7"/>
  <c r="Y1978" i="7"/>
  <c r="Y1977" i="7"/>
  <c r="Y1976" i="7"/>
  <c r="Y1975" i="7"/>
  <c r="Y1974" i="7"/>
  <c r="Y1973" i="7"/>
  <c r="Y1972" i="7"/>
  <c r="Y1971" i="7"/>
  <c r="Y1970" i="7"/>
  <c r="Y1969" i="7"/>
  <c r="Y1968" i="7"/>
  <c r="Y1967" i="7"/>
  <c r="Y1966" i="7"/>
  <c r="Y1965" i="7"/>
  <c r="Y1964" i="7"/>
  <c r="Y1963" i="7"/>
  <c r="Y1962" i="7"/>
  <c r="Y1961" i="7"/>
  <c r="Y1960" i="7"/>
  <c r="Y1959" i="7"/>
  <c r="Y1958" i="7"/>
  <c r="Y1957" i="7"/>
  <c r="Y1956" i="7"/>
  <c r="Y1955" i="7"/>
  <c r="Y1954" i="7"/>
  <c r="Y1953" i="7"/>
  <c r="Y1952" i="7"/>
  <c r="Y1951" i="7"/>
  <c r="Y1950" i="7"/>
  <c r="Y1949" i="7"/>
  <c r="Y1948" i="7"/>
  <c r="Y1947" i="7"/>
  <c r="Y1946" i="7"/>
  <c r="Y1945" i="7"/>
  <c r="Y1944" i="7"/>
  <c r="Y1943" i="7"/>
  <c r="Y1942" i="7"/>
  <c r="Y1941" i="7"/>
  <c r="Y1940" i="7"/>
  <c r="Y1939" i="7"/>
  <c r="Y1938" i="7"/>
  <c r="Y1937" i="7"/>
  <c r="Y1936" i="7"/>
  <c r="Y1935" i="7"/>
  <c r="Y1934" i="7"/>
  <c r="Y1933" i="7"/>
  <c r="Y1932" i="7"/>
  <c r="Y1931" i="7"/>
  <c r="Y1930" i="7"/>
  <c r="Y1929" i="7"/>
  <c r="Y1928" i="7"/>
  <c r="Y1927" i="7"/>
  <c r="Y1926" i="7"/>
  <c r="Y1925" i="7"/>
  <c r="Y1924" i="7"/>
  <c r="Y1923" i="7"/>
  <c r="Y1922" i="7"/>
  <c r="Y1921" i="7"/>
  <c r="Y1920" i="7"/>
  <c r="Y1919" i="7"/>
  <c r="Y1918" i="7"/>
  <c r="Y1917" i="7"/>
  <c r="Y1916" i="7"/>
  <c r="Y1915" i="7"/>
  <c r="Y1914" i="7"/>
  <c r="Y1913" i="7"/>
  <c r="Y1912" i="7"/>
  <c r="Y1911" i="7"/>
  <c r="Y1910" i="7"/>
  <c r="Y1909" i="7"/>
  <c r="Y1908" i="7"/>
  <c r="Y1907" i="7"/>
  <c r="Y1906" i="7"/>
  <c r="Y1905" i="7"/>
  <c r="Y1904" i="7"/>
  <c r="Y1903" i="7"/>
  <c r="Y1902" i="7"/>
  <c r="Y1901" i="7"/>
  <c r="Y1900" i="7"/>
  <c r="Y1899" i="7"/>
  <c r="Y1898" i="7"/>
  <c r="Y1897" i="7"/>
  <c r="Y1896" i="7"/>
  <c r="Y1895" i="7"/>
  <c r="Y1894" i="7"/>
  <c r="Y1893" i="7"/>
  <c r="Y1892" i="7"/>
  <c r="Y1891" i="7"/>
  <c r="Y1890" i="7"/>
  <c r="Y1889" i="7"/>
  <c r="Y1888" i="7"/>
  <c r="Y1887" i="7"/>
  <c r="Y1886" i="7"/>
  <c r="Y1885" i="7"/>
  <c r="Y1884" i="7"/>
  <c r="Y1883" i="7"/>
  <c r="Y1882" i="7"/>
  <c r="Y1881" i="7"/>
  <c r="Y1880" i="7"/>
  <c r="Y1879" i="7"/>
  <c r="Y1878" i="7"/>
  <c r="Y1877" i="7"/>
  <c r="Y1876" i="7"/>
  <c r="Y1875" i="7"/>
  <c r="Y1874" i="7"/>
  <c r="Y1873" i="7"/>
  <c r="Y1872" i="7"/>
  <c r="Y1871" i="7"/>
  <c r="Y1870" i="7"/>
  <c r="Y1869" i="7"/>
  <c r="Y1868" i="7"/>
  <c r="Y1867" i="7"/>
  <c r="Y1866" i="7"/>
  <c r="Y1865" i="7"/>
  <c r="Y1864" i="7"/>
  <c r="Y1863" i="7"/>
  <c r="Y1862" i="7"/>
  <c r="Y1861" i="7"/>
  <c r="Y1860" i="7"/>
  <c r="Y1859" i="7"/>
  <c r="Y1858" i="7"/>
  <c r="Y1857" i="7"/>
  <c r="Y1856" i="7"/>
  <c r="Y1855" i="7"/>
  <c r="Y1854" i="7"/>
  <c r="Y1853" i="7"/>
  <c r="Y1852" i="7"/>
  <c r="Y1851" i="7"/>
  <c r="Y1850" i="7"/>
  <c r="Y1849" i="7"/>
  <c r="Y1848" i="7"/>
  <c r="Y1847" i="7"/>
  <c r="Y1846" i="7"/>
  <c r="Y1845" i="7"/>
  <c r="Y1844" i="7"/>
  <c r="Y1843" i="7"/>
  <c r="Y1842" i="7"/>
  <c r="Y1841" i="7"/>
  <c r="Y1840" i="7"/>
  <c r="Y1839" i="7"/>
  <c r="Y1838" i="7"/>
  <c r="Y1837" i="7"/>
  <c r="Y1836" i="7"/>
  <c r="Y1835" i="7"/>
  <c r="Y1834" i="7"/>
  <c r="Y1833" i="7"/>
  <c r="Y1832" i="7"/>
  <c r="Y1831" i="7"/>
  <c r="Y1830" i="7"/>
  <c r="Y1829" i="7"/>
  <c r="Y1828" i="7"/>
  <c r="Y1827" i="7"/>
  <c r="Y1826" i="7"/>
  <c r="Y1825" i="7"/>
  <c r="Y1824" i="7"/>
  <c r="Y1823" i="7"/>
  <c r="Y1822" i="7"/>
  <c r="Y1821" i="7"/>
  <c r="Y1820" i="7"/>
  <c r="Y1819" i="7"/>
  <c r="Y1818" i="7"/>
  <c r="Y1817" i="7"/>
  <c r="Y1816" i="7"/>
  <c r="Y1815" i="7"/>
  <c r="Y1814" i="7"/>
  <c r="Y1813" i="7"/>
  <c r="Y1812" i="7"/>
  <c r="Y1811" i="7"/>
  <c r="Y1810" i="7"/>
  <c r="Y1809" i="7"/>
  <c r="Y1808" i="7"/>
  <c r="Y1807" i="7"/>
  <c r="Y1806" i="7"/>
  <c r="Y1805" i="7"/>
  <c r="Y1804" i="7"/>
  <c r="Y1803" i="7"/>
  <c r="Y1802" i="7"/>
  <c r="Y1801" i="7"/>
  <c r="Y1800" i="7"/>
  <c r="Y1799" i="7"/>
  <c r="Y1798" i="7"/>
  <c r="Y1797" i="7"/>
  <c r="Y1796" i="7"/>
  <c r="Y1795" i="7"/>
  <c r="Y1794" i="7"/>
  <c r="Y1793" i="7"/>
  <c r="Y1792" i="7"/>
  <c r="Y1791" i="7"/>
  <c r="Y1790" i="7"/>
  <c r="Y1789" i="7"/>
  <c r="Y1788" i="7"/>
  <c r="Y1787" i="7"/>
  <c r="Y1786" i="7"/>
  <c r="Y1785" i="7"/>
  <c r="Y1784" i="7"/>
  <c r="Y1783" i="7"/>
  <c r="Y1782" i="7"/>
  <c r="Y1781" i="7"/>
  <c r="Y1780" i="7"/>
  <c r="Y1779" i="7"/>
  <c r="Y1778" i="7"/>
  <c r="Y1777" i="7"/>
  <c r="Y1776" i="7"/>
  <c r="Y1775" i="7"/>
  <c r="Y1774" i="7"/>
  <c r="Y1773" i="7"/>
  <c r="Y1772" i="7"/>
  <c r="Y1771" i="7"/>
  <c r="Y1770" i="7"/>
  <c r="Y1769" i="7"/>
  <c r="Y1768" i="7"/>
  <c r="Y1767" i="7"/>
  <c r="Y1766" i="7"/>
  <c r="Y1765" i="7"/>
  <c r="Y1764" i="7"/>
  <c r="Y1763" i="7"/>
  <c r="Y1762" i="7"/>
  <c r="Y1761" i="7"/>
  <c r="Y1760" i="7"/>
  <c r="Y1759" i="7"/>
  <c r="Y1758" i="7"/>
  <c r="Y1757" i="7"/>
  <c r="Y1756" i="7"/>
  <c r="Y1755" i="7"/>
  <c r="Y1754" i="7"/>
  <c r="Y1753" i="7"/>
  <c r="Y1752" i="7"/>
  <c r="Y1751" i="7"/>
  <c r="Y1750" i="7"/>
  <c r="Y1749" i="7"/>
  <c r="Y1748" i="7"/>
  <c r="Y1747" i="7"/>
  <c r="Y1746" i="7"/>
  <c r="Y1745" i="7"/>
  <c r="Y1744" i="7"/>
  <c r="Y1743" i="7"/>
  <c r="Y1742" i="7"/>
  <c r="Y1741" i="7"/>
  <c r="Y1740" i="7"/>
  <c r="Y1739" i="7"/>
  <c r="Y1738" i="7"/>
  <c r="Y1737" i="7"/>
  <c r="Y1736" i="7"/>
  <c r="Y1735" i="7"/>
  <c r="Y1734" i="7"/>
  <c r="Y1733" i="7"/>
  <c r="Y1732" i="7"/>
  <c r="Y1731" i="7"/>
  <c r="Y1730" i="7"/>
  <c r="Y1729" i="7"/>
  <c r="Y1728" i="7"/>
  <c r="Y1727" i="7"/>
  <c r="Y1726" i="7"/>
  <c r="Y1725" i="7"/>
  <c r="Y1724" i="7"/>
  <c r="Y1723" i="7"/>
  <c r="Y1722" i="7"/>
  <c r="Y1721" i="7"/>
  <c r="Y1720" i="7"/>
  <c r="Y1719" i="7"/>
  <c r="Y1718" i="7"/>
  <c r="Y1717" i="7"/>
  <c r="Y1716" i="7"/>
  <c r="Y1715" i="7"/>
  <c r="Y1714" i="7"/>
  <c r="Y1713" i="7"/>
  <c r="Y1712" i="7"/>
  <c r="Y1711" i="7"/>
  <c r="Y1710" i="7"/>
  <c r="Y1709" i="7"/>
  <c r="Y1708" i="7"/>
  <c r="Y1707" i="7"/>
  <c r="Y1706" i="7"/>
  <c r="Y1705" i="7"/>
  <c r="Y1704" i="7"/>
  <c r="Y1703" i="7"/>
  <c r="Y1702" i="7"/>
  <c r="Y1701" i="7"/>
  <c r="Y1700" i="7"/>
  <c r="Y1699" i="7"/>
  <c r="Y1698" i="7"/>
  <c r="Y1697" i="7"/>
  <c r="Y1696" i="7"/>
  <c r="Y1695" i="7"/>
  <c r="Y1694" i="7"/>
  <c r="Y1693" i="7"/>
  <c r="Y1692" i="7"/>
  <c r="Y1691" i="7"/>
  <c r="Y1690" i="7"/>
  <c r="Y1689" i="7"/>
  <c r="Y1688" i="7"/>
  <c r="Y1687" i="7"/>
  <c r="Y1686" i="7"/>
  <c r="Y1685" i="7"/>
  <c r="Y1684" i="7"/>
  <c r="Y1683" i="7"/>
  <c r="Y1682" i="7"/>
  <c r="Y1681" i="7"/>
  <c r="Y1680" i="7"/>
  <c r="Y1679" i="7"/>
  <c r="Y1678" i="7"/>
  <c r="Y1677" i="7"/>
  <c r="Y1676" i="7"/>
  <c r="Y1675" i="7"/>
  <c r="Y1674" i="7"/>
  <c r="Y1673" i="7"/>
  <c r="Y1672" i="7"/>
  <c r="Y1671" i="7"/>
  <c r="Y1670" i="7"/>
  <c r="Y1669" i="7"/>
  <c r="Y1668" i="7"/>
  <c r="Y1667" i="7"/>
  <c r="Y1666" i="7"/>
  <c r="Y1665" i="7"/>
  <c r="Y1664" i="7"/>
  <c r="Y1663" i="7"/>
  <c r="Y1662" i="7"/>
  <c r="Y1661" i="7"/>
  <c r="Y1660" i="7"/>
  <c r="Y1659" i="7"/>
  <c r="Y1658" i="7"/>
  <c r="Y1657" i="7"/>
  <c r="Y1656" i="7"/>
  <c r="Y1655" i="7"/>
  <c r="Y1654" i="7"/>
  <c r="Y1653" i="7"/>
  <c r="Y1652" i="7"/>
  <c r="Y1651" i="7"/>
  <c r="Y1650" i="7"/>
  <c r="Y1649" i="7"/>
  <c r="Y1648" i="7"/>
  <c r="Y1647" i="7"/>
  <c r="Y1646" i="7"/>
  <c r="Y1645" i="7"/>
  <c r="Y1644" i="7"/>
  <c r="Y1643" i="7"/>
  <c r="Y1642" i="7"/>
  <c r="Y1641" i="7"/>
  <c r="Y1640" i="7"/>
  <c r="Y1639" i="7"/>
  <c r="Y1638" i="7"/>
  <c r="Y1637" i="7"/>
  <c r="Y1636" i="7"/>
  <c r="Y1635" i="7"/>
  <c r="Y1634" i="7"/>
  <c r="Y1633" i="7"/>
  <c r="Y1632" i="7"/>
  <c r="Y1631" i="7"/>
  <c r="Y1630" i="7"/>
  <c r="Y1629" i="7"/>
  <c r="Y1628" i="7"/>
  <c r="Y1627" i="7"/>
  <c r="Y1626" i="7"/>
  <c r="Y1625" i="7"/>
  <c r="Y1624" i="7"/>
  <c r="Y1623" i="7"/>
  <c r="Y1622" i="7"/>
  <c r="Y1621" i="7"/>
  <c r="Y1620" i="7"/>
  <c r="Y1619" i="7"/>
  <c r="Y1618" i="7"/>
  <c r="Y1617" i="7"/>
  <c r="Y1616" i="7"/>
  <c r="Y1615" i="7"/>
  <c r="Y1614" i="7"/>
  <c r="Y1613" i="7"/>
  <c r="Y1612" i="7"/>
  <c r="Y1611" i="7"/>
  <c r="Y1610" i="7"/>
  <c r="Y1609" i="7"/>
  <c r="Y1608" i="7"/>
  <c r="Y1607" i="7"/>
  <c r="Y1606" i="7"/>
  <c r="Y1605" i="7"/>
  <c r="Y1604" i="7"/>
  <c r="Y1603" i="7"/>
  <c r="Y1602" i="7"/>
  <c r="Y1601" i="7"/>
  <c r="Y1600" i="7"/>
  <c r="Y1599" i="7"/>
  <c r="Y1598" i="7"/>
  <c r="Y1597" i="7"/>
  <c r="Y1596" i="7"/>
  <c r="Y1595" i="7"/>
  <c r="Y1594" i="7"/>
  <c r="Y1593" i="7"/>
  <c r="Y1592" i="7"/>
  <c r="Y1591" i="7"/>
  <c r="Y1590" i="7"/>
  <c r="Y1589" i="7"/>
  <c r="Y1588" i="7"/>
  <c r="Y1587" i="7"/>
  <c r="Y1586" i="7"/>
  <c r="Y1585" i="7"/>
  <c r="Y1584" i="7"/>
  <c r="Y1583" i="7"/>
  <c r="Y1582" i="7"/>
  <c r="Y1581" i="7"/>
  <c r="Y1580" i="7"/>
  <c r="Y1579" i="7"/>
  <c r="Y1578" i="7"/>
  <c r="Y1577" i="7"/>
  <c r="Y1576" i="7"/>
  <c r="Y1575" i="7"/>
  <c r="Y1574" i="7"/>
  <c r="Y1573" i="7"/>
  <c r="Y1572" i="7"/>
  <c r="Y1571" i="7"/>
  <c r="Y1570" i="7"/>
  <c r="Y1569" i="7"/>
  <c r="Y1568" i="7"/>
  <c r="Y1567" i="7"/>
  <c r="Y1566" i="7"/>
  <c r="Y1565" i="7"/>
  <c r="Y1564" i="7"/>
  <c r="Y1563" i="7"/>
  <c r="Y1562" i="7"/>
  <c r="Y1561" i="7"/>
  <c r="Y1560" i="7"/>
  <c r="Y1559" i="7"/>
  <c r="Y1558" i="7"/>
  <c r="Y1557" i="7"/>
  <c r="Y1556" i="7"/>
  <c r="Y1555" i="7"/>
  <c r="Y1554" i="7"/>
  <c r="Y1553" i="7"/>
  <c r="Y1552" i="7"/>
  <c r="Y1551" i="7"/>
  <c r="Y1550" i="7"/>
  <c r="Y1549" i="7"/>
  <c r="Y1548" i="7"/>
  <c r="Y1547" i="7"/>
  <c r="Y1546" i="7"/>
  <c r="Y1545" i="7"/>
  <c r="Y1544" i="7"/>
  <c r="Y1543" i="7"/>
  <c r="Y1542" i="7"/>
  <c r="Y1541" i="7"/>
  <c r="Y1540" i="7"/>
  <c r="Y1539" i="7"/>
  <c r="Y1538" i="7"/>
  <c r="Y1537" i="7"/>
  <c r="Y1536" i="7"/>
  <c r="Y1535" i="7"/>
  <c r="Y1534" i="7"/>
  <c r="Y1533" i="7"/>
  <c r="Y1532" i="7"/>
  <c r="Y1531" i="7"/>
  <c r="Y1530" i="7"/>
  <c r="Y1529" i="7"/>
  <c r="Y1528" i="7"/>
  <c r="Y1527" i="7"/>
  <c r="Y1526" i="7"/>
  <c r="Y1525" i="7"/>
  <c r="Y1524" i="7"/>
  <c r="Y1523" i="7"/>
  <c r="Y1522" i="7"/>
  <c r="Y1521" i="7"/>
  <c r="Y1520" i="7"/>
  <c r="Y1519" i="7"/>
  <c r="Y1518" i="7"/>
  <c r="Y1517" i="7"/>
  <c r="Y1516" i="7"/>
  <c r="Y1515" i="7"/>
  <c r="Y1514" i="7"/>
  <c r="Y1513" i="7"/>
  <c r="Y1512" i="7"/>
  <c r="Y1511" i="7"/>
  <c r="Y1510" i="7"/>
  <c r="Y1509" i="7"/>
  <c r="Y1508" i="7"/>
  <c r="Y1507" i="7"/>
  <c r="Y1506" i="7"/>
  <c r="Y1505" i="7"/>
  <c r="Y1504" i="7"/>
  <c r="Y1503" i="7"/>
  <c r="Y1502" i="7"/>
  <c r="Y1501" i="7"/>
  <c r="Y1500" i="7"/>
  <c r="Y1499" i="7"/>
  <c r="Y1498" i="7"/>
  <c r="Y1497" i="7"/>
  <c r="Y1496" i="7"/>
  <c r="Y1495" i="7"/>
  <c r="Y1494" i="7"/>
  <c r="Y1493" i="7"/>
  <c r="Y1492" i="7"/>
  <c r="Y1491" i="7"/>
  <c r="Y1490" i="7"/>
  <c r="Y1489" i="7"/>
  <c r="Y1488" i="7"/>
  <c r="Y1487" i="7"/>
  <c r="Y1486" i="7"/>
  <c r="Y1485" i="7"/>
  <c r="Y1484" i="7"/>
  <c r="Y1483" i="7"/>
  <c r="Y1482" i="7"/>
  <c r="Y1481" i="7"/>
  <c r="Y1480" i="7"/>
  <c r="Y1479" i="7"/>
  <c r="Y1478" i="7"/>
  <c r="Y1477" i="7"/>
  <c r="Y1476" i="7"/>
  <c r="Y1475" i="7"/>
  <c r="Y1474" i="7"/>
  <c r="Y1473" i="7"/>
  <c r="Y1472" i="7"/>
  <c r="Y1471" i="7"/>
  <c r="Y1470" i="7"/>
  <c r="Y1469" i="7"/>
  <c r="Y1468" i="7"/>
  <c r="Y1467" i="7"/>
  <c r="Y1466" i="7"/>
  <c r="Y1465" i="7"/>
  <c r="Y1464" i="7"/>
  <c r="Y1463" i="7"/>
  <c r="Y1462" i="7"/>
  <c r="Y1461" i="7"/>
  <c r="Y1460" i="7"/>
  <c r="Y1459" i="7"/>
  <c r="Y1458" i="7"/>
  <c r="Y1457" i="7"/>
  <c r="Y1456" i="7"/>
  <c r="Y1455" i="7"/>
  <c r="Y1454" i="7"/>
  <c r="Y1453" i="7"/>
  <c r="Y1452" i="7"/>
  <c r="Y1451" i="7"/>
  <c r="Y1450" i="7"/>
  <c r="Y1449" i="7"/>
  <c r="Y1448" i="7"/>
  <c r="Y1447" i="7"/>
  <c r="Y1446" i="7"/>
  <c r="Y1445" i="7"/>
  <c r="Y1444" i="7"/>
  <c r="Y1443" i="7"/>
  <c r="Y1442" i="7"/>
  <c r="Y1441" i="7"/>
  <c r="Y1440" i="7"/>
  <c r="Y1439" i="7"/>
  <c r="Y1438" i="7"/>
  <c r="Y1437" i="7"/>
  <c r="Y1436" i="7"/>
  <c r="Y1435" i="7"/>
  <c r="Y1434" i="7"/>
  <c r="Y1433" i="7"/>
  <c r="Y1432" i="7"/>
  <c r="Y1431" i="7"/>
  <c r="Y1430" i="7"/>
  <c r="Y1429" i="7"/>
  <c r="Y1428" i="7"/>
  <c r="Y1427" i="7"/>
  <c r="Y1426" i="7"/>
  <c r="Y1425" i="7"/>
  <c r="Y1424" i="7"/>
  <c r="Y1423" i="7"/>
  <c r="Y1422" i="7"/>
  <c r="Y1421" i="7"/>
  <c r="Y1420" i="7"/>
  <c r="Y1419" i="7"/>
  <c r="Y1418" i="7"/>
  <c r="Y1417" i="7"/>
  <c r="Y1416" i="7"/>
  <c r="Y1415" i="7"/>
  <c r="Y1414" i="7"/>
  <c r="Y1413" i="7"/>
  <c r="Y1412" i="7"/>
  <c r="Y1411" i="7"/>
  <c r="Y1410" i="7"/>
  <c r="Y1409" i="7"/>
  <c r="Y1408" i="7"/>
  <c r="Y1407" i="7"/>
  <c r="Y1406" i="7"/>
  <c r="Y1405" i="7"/>
  <c r="Y1404" i="7"/>
  <c r="Y1403" i="7"/>
  <c r="Y1402" i="7"/>
  <c r="Y1401" i="7"/>
  <c r="Y1400" i="7"/>
  <c r="Y1399" i="7"/>
  <c r="Y1398" i="7"/>
  <c r="Y1397" i="7"/>
  <c r="Y1396" i="7"/>
  <c r="Y1395" i="7"/>
  <c r="Y1394" i="7"/>
  <c r="Y1393" i="7"/>
  <c r="Y1392" i="7"/>
  <c r="Y1391" i="7"/>
  <c r="Y1390" i="7"/>
  <c r="Y1389" i="7"/>
  <c r="Y1388" i="7"/>
  <c r="Y1387" i="7"/>
  <c r="Y1386" i="7"/>
  <c r="Y1385" i="7"/>
  <c r="Y1384" i="7"/>
  <c r="Y1383" i="7"/>
  <c r="Y1382" i="7"/>
  <c r="Y1381" i="7"/>
  <c r="Y1380" i="7"/>
  <c r="Y1379" i="7"/>
  <c r="Y1378" i="7"/>
  <c r="Y1377" i="7"/>
  <c r="Y1376" i="7"/>
  <c r="Y1375" i="7"/>
  <c r="Y1374" i="7"/>
  <c r="Y1373" i="7"/>
  <c r="Y1372" i="7"/>
  <c r="Y1371" i="7"/>
  <c r="Y1370" i="7"/>
  <c r="Y1369" i="7"/>
  <c r="Y1368" i="7"/>
  <c r="Y1367" i="7"/>
  <c r="Y1366" i="7"/>
  <c r="Y1365" i="7"/>
  <c r="Y1364" i="7"/>
  <c r="Y1363" i="7"/>
  <c r="Y1362" i="7"/>
  <c r="Y1361" i="7"/>
  <c r="Y1360" i="7"/>
  <c r="Y1359" i="7"/>
  <c r="Y1358" i="7"/>
  <c r="Y1357" i="7"/>
  <c r="Y1356" i="7"/>
  <c r="Y1355" i="7"/>
  <c r="Y1354" i="7"/>
  <c r="Y1353" i="7"/>
  <c r="Y1352" i="7"/>
  <c r="Y1351" i="7"/>
  <c r="Y1350" i="7"/>
  <c r="Y1349" i="7"/>
  <c r="Y1348" i="7"/>
  <c r="Y1347" i="7"/>
  <c r="Y1346" i="7"/>
  <c r="Y1345" i="7"/>
  <c r="Y1344" i="7"/>
  <c r="Y1343" i="7"/>
  <c r="Y1342" i="7"/>
  <c r="Y1341" i="7"/>
  <c r="Y1340" i="7"/>
  <c r="Y1339" i="7"/>
  <c r="Y1338" i="7"/>
  <c r="Y1337" i="7"/>
  <c r="Y1336" i="7"/>
  <c r="Y1335" i="7"/>
  <c r="Y1334" i="7"/>
  <c r="Y1333" i="7"/>
  <c r="Y1332" i="7"/>
  <c r="Y1331" i="7"/>
  <c r="Y1330" i="7"/>
  <c r="Y1329" i="7"/>
  <c r="Y1328" i="7"/>
  <c r="Y1327" i="7"/>
  <c r="Y1326" i="7"/>
  <c r="Y1325" i="7"/>
  <c r="Y1324" i="7"/>
  <c r="Y1323" i="7"/>
  <c r="Y1322" i="7"/>
  <c r="Y1321" i="7"/>
  <c r="Y1320" i="7"/>
  <c r="Y1319" i="7"/>
  <c r="Y1318" i="7"/>
  <c r="Y1317" i="7"/>
  <c r="Y1316" i="7"/>
  <c r="Y1315" i="7"/>
  <c r="Y1314" i="7"/>
  <c r="Y1313" i="7"/>
  <c r="Y1312" i="7"/>
  <c r="Y1311" i="7"/>
  <c r="Y1310" i="7"/>
  <c r="Y1309" i="7"/>
  <c r="Y1308" i="7"/>
  <c r="Y1307" i="7"/>
  <c r="Y1306" i="7"/>
  <c r="Y1305" i="7"/>
  <c r="Y1304" i="7"/>
  <c r="Y1303" i="7"/>
  <c r="Y1302" i="7"/>
  <c r="Y1301" i="7"/>
  <c r="Y1300" i="7"/>
  <c r="Y1299" i="7"/>
  <c r="Y1298" i="7"/>
  <c r="Y1297" i="7"/>
  <c r="Y1296" i="7"/>
  <c r="Y1295" i="7"/>
  <c r="Y1294" i="7"/>
  <c r="Y1293" i="7"/>
  <c r="Y1292"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Y1265" i="7"/>
  <c r="Y1264" i="7"/>
  <c r="Y1263" i="7"/>
  <c r="Y1262" i="7"/>
  <c r="Y1261" i="7"/>
  <c r="Y1260" i="7"/>
  <c r="Y1259" i="7"/>
  <c r="Y1258" i="7"/>
  <c r="Y1257" i="7"/>
  <c r="Y1256" i="7"/>
  <c r="Y1255" i="7"/>
  <c r="Y1254" i="7"/>
  <c r="Y1253" i="7"/>
  <c r="Y1252" i="7"/>
  <c r="Y1251" i="7"/>
  <c r="Y1250" i="7"/>
  <c r="Y1249" i="7"/>
  <c r="Y1248" i="7"/>
  <c r="Y1247" i="7"/>
  <c r="Y1246" i="7"/>
  <c r="Y1245" i="7"/>
  <c r="Y1244" i="7"/>
  <c r="Y1243" i="7"/>
  <c r="Y1242" i="7"/>
  <c r="Y1241" i="7"/>
  <c r="Y1240" i="7"/>
  <c r="Y1239" i="7"/>
  <c r="Y1238" i="7"/>
  <c r="Y1237" i="7"/>
  <c r="Y1236" i="7"/>
  <c r="Y1235" i="7"/>
  <c r="Y1234" i="7"/>
  <c r="Y1233" i="7"/>
  <c r="Y1232" i="7"/>
  <c r="Y1231" i="7"/>
  <c r="Y1230" i="7"/>
  <c r="Y1229" i="7"/>
  <c r="Y1228" i="7"/>
  <c r="Y1227" i="7"/>
  <c r="Y1226" i="7"/>
  <c r="Y1225" i="7"/>
  <c r="Y1224" i="7"/>
  <c r="Y1223" i="7"/>
  <c r="Y1222" i="7"/>
  <c r="Y1221" i="7"/>
  <c r="Y1220" i="7"/>
  <c r="Y1219" i="7"/>
  <c r="Y1218" i="7"/>
  <c r="Y1217" i="7"/>
  <c r="Y1216" i="7"/>
  <c r="Y1215" i="7"/>
  <c r="Y1214" i="7"/>
  <c r="Y1213" i="7"/>
  <c r="Y1212" i="7"/>
  <c r="Y1211" i="7"/>
  <c r="Y1210" i="7"/>
  <c r="Y1209" i="7"/>
  <c r="Y1208" i="7"/>
  <c r="Y1207" i="7"/>
  <c r="Y1206" i="7"/>
  <c r="Y1205" i="7"/>
  <c r="Y1204" i="7"/>
  <c r="Y1203" i="7"/>
  <c r="Y1202" i="7"/>
  <c r="Y1201" i="7"/>
  <c r="Y1200" i="7"/>
  <c r="Y1199" i="7"/>
  <c r="Y1198" i="7"/>
  <c r="Y1197" i="7"/>
  <c r="Y1196" i="7"/>
  <c r="Y1195" i="7"/>
  <c r="Y1194" i="7"/>
  <c r="Y1193" i="7"/>
  <c r="Y1192" i="7"/>
  <c r="Y1191" i="7"/>
  <c r="Y1190" i="7"/>
  <c r="Y1189" i="7"/>
  <c r="Y1188" i="7"/>
  <c r="Y1187" i="7"/>
  <c r="Y1186" i="7"/>
  <c r="Y1185" i="7"/>
  <c r="Y1184" i="7"/>
  <c r="Y1183" i="7"/>
  <c r="Y1182" i="7"/>
  <c r="Y1181" i="7"/>
  <c r="Y1180" i="7"/>
  <c r="Y1179" i="7"/>
  <c r="Y1178" i="7"/>
  <c r="Y1177" i="7"/>
  <c r="Y1176" i="7"/>
  <c r="Y1175" i="7"/>
  <c r="Y1174" i="7"/>
  <c r="Y1173" i="7"/>
  <c r="Y1172" i="7"/>
  <c r="Y1171" i="7"/>
  <c r="Y1170" i="7"/>
  <c r="Y1169" i="7"/>
  <c r="Y1168" i="7"/>
  <c r="Y1167" i="7"/>
  <c r="Y1166" i="7"/>
  <c r="Y1165" i="7"/>
  <c r="Y1164" i="7"/>
  <c r="Y1163" i="7"/>
  <c r="Y1162" i="7"/>
  <c r="Y1161" i="7"/>
  <c r="Y1160" i="7"/>
  <c r="Y1159" i="7"/>
  <c r="Y1158" i="7"/>
  <c r="Y1157" i="7"/>
  <c r="Y1156" i="7"/>
  <c r="Y1155" i="7"/>
  <c r="Y1154" i="7"/>
  <c r="Y1153" i="7"/>
  <c r="Y1152" i="7"/>
  <c r="Y1151" i="7"/>
  <c r="Y1150" i="7"/>
  <c r="Y1149" i="7"/>
  <c r="Y1148" i="7"/>
  <c r="Y1147" i="7"/>
  <c r="Y1146" i="7"/>
  <c r="Y1145" i="7"/>
  <c r="Y1144" i="7"/>
  <c r="Y1143" i="7"/>
  <c r="Y1142" i="7"/>
  <c r="Y1141" i="7"/>
  <c r="Y1140" i="7"/>
  <c r="Y1139" i="7"/>
  <c r="Y1138" i="7"/>
  <c r="Y1137" i="7"/>
  <c r="Y1136" i="7"/>
  <c r="Y1135" i="7"/>
  <c r="Y1134" i="7"/>
  <c r="Y1133" i="7"/>
  <c r="Y1132" i="7"/>
  <c r="Y1131" i="7"/>
  <c r="Y1130" i="7"/>
  <c r="Y1129" i="7"/>
  <c r="Y1128" i="7"/>
  <c r="Y1127" i="7"/>
  <c r="Y1126" i="7"/>
  <c r="Y1125" i="7"/>
  <c r="Y1124" i="7"/>
  <c r="Y1123" i="7"/>
  <c r="Y1122" i="7"/>
  <c r="Y1121" i="7"/>
  <c r="Y1120" i="7"/>
  <c r="Y1119" i="7"/>
  <c r="Y1118" i="7"/>
  <c r="Y1117" i="7"/>
  <c r="Y1116" i="7"/>
  <c r="Y1115" i="7"/>
  <c r="Y1114" i="7"/>
  <c r="Y1113" i="7"/>
  <c r="Y1112" i="7"/>
  <c r="Y1111" i="7"/>
  <c r="Y1110" i="7"/>
  <c r="Y1109" i="7"/>
  <c r="Y1108" i="7"/>
  <c r="Y1107" i="7"/>
  <c r="Y1106" i="7"/>
  <c r="Y1105" i="7"/>
  <c r="Y1104" i="7"/>
  <c r="Y1103" i="7"/>
  <c r="Y1102" i="7"/>
  <c r="Y1101" i="7"/>
  <c r="Y1100" i="7"/>
  <c r="Y1099" i="7"/>
  <c r="Y1098" i="7"/>
  <c r="Y1097" i="7"/>
  <c r="Y1096" i="7"/>
  <c r="Y1095" i="7"/>
  <c r="Y1094" i="7"/>
  <c r="Y1093" i="7"/>
  <c r="Y1092" i="7"/>
  <c r="Y1091" i="7"/>
  <c r="Y1090" i="7"/>
  <c r="Y1089" i="7"/>
  <c r="Y1088" i="7"/>
  <c r="Y1087" i="7"/>
  <c r="Y1086" i="7"/>
  <c r="Y1085" i="7"/>
  <c r="Y1084" i="7"/>
  <c r="Y1083" i="7"/>
  <c r="Y1082" i="7"/>
  <c r="Y1081" i="7"/>
  <c r="Y1080" i="7"/>
  <c r="Y1079" i="7"/>
  <c r="Y1078" i="7"/>
  <c r="Y1077" i="7"/>
  <c r="Y1076" i="7"/>
  <c r="Y1075" i="7"/>
  <c r="Y1074" i="7"/>
  <c r="Y1073" i="7"/>
  <c r="Y1072" i="7"/>
  <c r="Y1071" i="7"/>
  <c r="Y1070" i="7"/>
  <c r="Y1069" i="7"/>
  <c r="Y1068" i="7"/>
  <c r="Y1067" i="7"/>
  <c r="Y1066" i="7"/>
  <c r="Y1065" i="7"/>
  <c r="Y1064" i="7"/>
  <c r="Y1063" i="7"/>
  <c r="Y1062" i="7"/>
  <c r="Y1061" i="7"/>
  <c r="Y1060" i="7"/>
  <c r="Y1059" i="7"/>
  <c r="Y1058" i="7"/>
  <c r="Y1057" i="7"/>
  <c r="Y1056" i="7"/>
  <c r="Y1055" i="7"/>
  <c r="Y1054" i="7"/>
  <c r="Y1053" i="7"/>
  <c r="Y1052" i="7"/>
  <c r="Y1051" i="7"/>
  <c r="Y1050" i="7"/>
  <c r="Y1049" i="7"/>
  <c r="Y1048" i="7"/>
  <c r="Y1047" i="7"/>
  <c r="Y1046" i="7"/>
  <c r="Y1045" i="7"/>
  <c r="Y1044" i="7"/>
  <c r="Y1043" i="7"/>
  <c r="Y1042" i="7"/>
  <c r="Y1041" i="7"/>
  <c r="Y1040" i="7"/>
  <c r="Y1039" i="7"/>
  <c r="Y1038" i="7"/>
  <c r="Y1037" i="7"/>
  <c r="Y1036" i="7"/>
  <c r="Y1035" i="7"/>
  <c r="Y1034" i="7"/>
  <c r="Y1033" i="7"/>
  <c r="Y1032" i="7"/>
  <c r="Y1031" i="7"/>
  <c r="Y1030" i="7"/>
  <c r="Y1029" i="7"/>
  <c r="Y1028" i="7"/>
  <c r="Y1027" i="7"/>
  <c r="Y1026" i="7"/>
  <c r="Y1025" i="7"/>
  <c r="Y1024" i="7"/>
  <c r="Y1023" i="7"/>
  <c r="Y1022" i="7"/>
  <c r="Y1021" i="7"/>
  <c r="Y1020" i="7"/>
  <c r="Y1019" i="7"/>
  <c r="Y1018" i="7"/>
  <c r="Y1017" i="7"/>
  <c r="Y1016" i="7"/>
  <c r="Y1015" i="7"/>
  <c r="Y1014" i="7"/>
  <c r="Y1013" i="7"/>
  <c r="Y1012" i="7"/>
  <c r="Y1011" i="7"/>
  <c r="Y1010" i="7"/>
  <c r="Y1009" i="7"/>
  <c r="Y1008" i="7"/>
  <c r="Y1007" i="7"/>
  <c r="Y1006" i="7"/>
  <c r="Y1005" i="7"/>
  <c r="Y1004" i="7"/>
  <c r="Y1003" i="7"/>
  <c r="Y1002" i="7"/>
  <c r="Y1001" i="7"/>
  <c r="Y1000" i="7"/>
  <c r="Y999" i="7"/>
  <c r="Y998" i="7"/>
  <c r="Y997" i="7"/>
  <c r="Y996" i="7"/>
  <c r="Y995" i="7"/>
  <c r="Y994" i="7"/>
  <c r="Y993" i="7"/>
  <c r="Y992" i="7"/>
  <c r="Y991" i="7"/>
  <c r="Y990" i="7"/>
  <c r="Y989" i="7"/>
  <c r="Y988" i="7"/>
  <c r="Y987" i="7"/>
  <c r="Y986" i="7"/>
  <c r="Y985" i="7"/>
  <c r="Y984" i="7"/>
  <c r="Y983" i="7"/>
  <c r="Y982" i="7"/>
  <c r="Y981" i="7"/>
  <c r="Y980" i="7"/>
  <c r="Y979" i="7"/>
  <c r="Y978" i="7"/>
  <c r="Y977" i="7"/>
  <c r="Y976" i="7"/>
  <c r="Y975" i="7"/>
  <c r="Y974" i="7"/>
  <c r="Y973" i="7"/>
  <c r="Y972" i="7"/>
  <c r="Y971" i="7"/>
  <c r="Y970" i="7"/>
  <c r="Y969" i="7"/>
  <c r="Y968" i="7"/>
  <c r="Y967" i="7"/>
  <c r="Y966" i="7"/>
  <c r="Y965" i="7"/>
  <c r="Y964" i="7"/>
  <c r="Y963" i="7"/>
  <c r="Y962" i="7"/>
  <c r="Y961" i="7"/>
  <c r="Y960" i="7"/>
  <c r="Y959" i="7"/>
  <c r="Y958" i="7"/>
  <c r="Y957" i="7"/>
  <c r="Y956" i="7"/>
  <c r="Y955" i="7"/>
  <c r="Y954" i="7"/>
  <c r="Y953" i="7"/>
  <c r="Y952" i="7"/>
  <c r="Y951" i="7"/>
  <c r="Y950" i="7"/>
  <c r="Y949" i="7"/>
  <c r="Y948" i="7"/>
  <c r="Y947" i="7"/>
  <c r="Y946" i="7"/>
  <c r="Y945" i="7"/>
  <c r="Y944" i="7"/>
  <c r="Y943" i="7"/>
  <c r="Y942" i="7"/>
  <c r="Y941" i="7"/>
  <c r="Y940" i="7"/>
  <c r="Y939" i="7"/>
  <c r="Y938" i="7"/>
  <c r="Y937" i="7"/>
  <c r="Y936" i="7"/>
  <c r="Y935" i="7"/>
  <c r="Y934" i="7"/>
  <c r="Y933" i="7"/>
  <c r="Y932" i="7"/>
  <c r="Y931" i="7"/>
  <c r="Y930" i="7"/>
  <c r="Y929" i="7"/>
  <c r="Y928" i="7"/>
  <c r="Y927" i="7"/>
  <c r="Y926" i="7"/>
  <c r="Y925" i="7"/>
  <c r="Y924" i="7"/>
  <c r="Y923" i="7"/>
  <c r="Y922" i="7"/>
  <c r="Y921" i="7"/>
  <c r="Y920" i="7"/>
  <c r="Y919" i="7"/>
  <c r="Y918" i="7"/>
  <c r="Y917" i="7"/>
  <c r="Y916" i="7"/>
  <c r="Y915" i="7"/>
  <c r="Y914" i="7"/>
  <c r="Y913" i="7"/>
  <c r="Y912" i="7"/>
  <c r="Y911" i="7"/>
  <c r="Y910" i="7"/>
  <c r="Y909" i="7"/>
  <c r="Y908" i="7"/>
  <c r="Y907" i="7"/>
  <c r="Y906" i="7"/>
  <c r="Y905" i="7"/>
  <c r="Y904" i="7"/>
  <c r="Y903" i="7"/>
  <c r="Y902" i="7"/>
  <c r="Y901" i="7"/>
  <c r="Y900" i="7"/>
  <c r="Y899" i="7"/>
  <c r="Y898" i="7"/>
  <c r="Y897" i="7"/>
  <c r="Y896" i="7"/>
  <c r="Y895" i="7"/>
  <c r="Y894" i="7"/>
  <c r="Y893" i="7"/>
  <c r="Y892" i="7"/>
  <c r="Y891" i="7"/>
  <c r="Y890" i="7"/>
  <c r="Y889" i="7"/>
  <c r="Y888" i="7"/>
  <c r="Y887" i="7"/>
  <c r="Y886" i="7"/>
  <c r="Y885" i="7"/>
  <c r="Y884" i="7"/>
  <c r="Y883" i="7"/>
  <c r="Y882" i="7"/>
  <c r="Y881" i="7"/>
  <c r="Y880" i="7"/>
  <c r="Y879" i="7"/>
  <c r="Y878" i="7"/>
  <c r="Y877" i="7"/>
  <c r="Y876" i="7"/>
  <c r="Y875" i="7"/>
  <c r="Y874" i="7"/>
  <c r="Y873" i="7"/>
  <c r="Y872" i="7"/>
  <c r="Y871" i="7"/>
  <c r="Y870" i="7"/>
  <c r="Y869" i="7"/>
  <c r="Y868" i="7"/>
  <c r="Y867" i="7"/>
  <c r="Y866" i="7"/>
  <c r="Y865" i="7"/>
  <c r="Y864" i="7"/>
  <c r="Y863" i="7"/>
  <c r="Y862" i="7"/>
  <c r="Y861" i="7"/>
  <c r="Y860" i="7"/>
  <c r="Y859" i="7"/>
  <c r="Y858" i="7"/>
  <c r="Y857" i="7"/>
  <c r="Y856" i="7"/>
  <c r="Y855" i="7"/>
  <c r="Y854" i="7"/>
  <c r="Y853" i="7"/>
  <c r="Y852" i="7"/>
  <c r="Y851" i="7"/>
  <c r="Y850" i="7"/>
  <c r="Y849" i="7"/>
  <c r="Y848" i="7"/>
  <c r="Y847" i="7"/>
  <c r="Y846" i="7"/>
  <c r="Y845" i="7"/>
  <c r="Y844" i="7"/>
  <c r="Y843" i="7"/>
  <c r="Y842" i="7"/>
  <c r="Y841" i="7"/>
  <c r="Y840" i="7"/>
  <c r="Y839" i="7"/>
  <c r="Y838" i="7"/>
  <c r="Y837" i="7"/>
  <c r="Y836" i="7"/>
  <c r="Y835" i="7"/>
  <c r="Y834" i="7"/>
  <c r="Y833" i="7"/>
  <c r="Y832" i="7"/>
  <c r="Y831" i="7"/>
  <c r="Y830" i="7"/>
  <c r="Y829" i="7"/>
  <c r="Y828" i="7"/>
  <c r="Y827" i="7"/>
  <c r="Y826" i="7"/>
  <c r="Y825" i="7"/>
  <c r="Y824" i="7"/>
  <c r="Y823" i="7"/>
  <c r="Y822" i="7"/>
  <c r="Y821" i="7"/>
  <c r="Y820" i="7"/>
  <c r="Y819" i="7"/>
  <c r="Y818" i="7"/>
  <c r="Y817" i="7"/>
  <c r="Y816" i="7"/>
  <c r="Y815" i="7"/>
  <c r="Y814" i="7"/>
  <c r="Y813" i="7"/>
  <c r="Y812" i="7"/>
  <c r="Y811" i="7"/>
  <c r="Y810" i="7"/>
  <c r="Y809" i="7"/>
  <c r="Y808" i="7"/>
  <c r="Y807" i="7"/>
  <c r="Y806" i="7"/>
  <c r="Y805" i="7"/>
  <c r="Y804" i="7"/>
  <c r="Y803" i="7"/>
  <c r="Y802" i="7"/>
  <c r="Y801" i="7"/>
  <c r="Y800" i="7"/>
  <c r="Y799" i="7"/>
  <c r="Y798" i="7"/>
  <c r="Y797" i="7"/>
  <c r="Y796" i="7"/>
  <c r="Y795" i="7"/>
  <c r="Y794" i="7"/>
  <c r="Y793" i="7"/>
  <c r="Y792" i="7"/>
  <c r="Y791" i="7"/>
  <c r="Y790" i="7"/>
  <c r="Y789" i="7"/>
  <c r="Y788" i="7"/>
  <c r="Y787" i="7"/>
  <c r="Y786" i="7"/>
  <c r="Y785" i="7"/>
  <c r="Y784" i="7"/>
  <c r="Y783" i="7"/>
  <c r="Y782" i="7"/>
  <c r="Y781" i="7"/>
  <c r="Y780" i="7"/>
  <c r="Y779" i="7"/>
  <c r="Y778" i="7"/>
  <c r="Y777" i="7"/>
  <c r="Y776" i="7"/>
  <c r="Y775" i="7"/>
  <c r="Y774" i="7"/>
  <c r="Y773" i="7"/>
  <c r="Y772" i="7"/>
  <c r="Y771" i="7"/>
  <c r="Y770" i="7"/>
  <c r="Y769" i="7"/>
  <c r="Y768" i="7"/>
  <c r="Y767" i="7"/>
  <c r="Y766" i="7"/>
  <c r="Y765" i="7"/>
  <c r="Y764" i="7"/>
  <c r="Y763" i="7"/>
  <c r="Y762" i="7"/>
  <c r="Y761" i="7"/>
  <c r="Y760" i="7"/>
  <c r="Y759" i="7"/>
  <c r="Y758" i="7"/>
  <c r="Y757" i="7"/>
  <c r="Y756" i="7"/>
  <c r="Y755" i="7"/>
  <c r="Y754" i="7"/>
  <c r="Y753" i="7"/>
  <c r="Y752" i="7"/>
  <c r="Y751" i="7"/>
  <c r="Y750" i="7"/>
  <c r="Y749" i="7"/>
  <c r="Y748" i="7"/>
  <c r="Y747" i="7"/>
  <c r="Y746" i="7"/>
  <c r="Y745" i="7"/>
  <c r="Y744" i="7"/>
  <c r="Y743" i="7"/>
  <c r="Y742" i="7"/>
  <c r="Y741" i="7"/>
  <c r="Y740" i="7"/>
  <c r="Y739" i="7"/>
  <c r="Y738" i="7"/>
  <c r="Y737" i="7"/>
  <c r="Y736" i="7"/>
  <c r="Y735" i="7"/>
  <c r="Y734" i="7"/>
  <c r="Y733" i="7"/>
  <c r="Y732" i="7"/>
  <c r="Y731" i="7"/>
  <c r="Y730" i="7"/>
  <c r="Y729" i="7"/>
  <c r="Y728" i="7"/>
  <c r="Y727" i="7"/>
  <c r="Y726" i="7"/>
  <c r="Y725" i="7"/>
  <c r="Y724" i="7"/>
  <c r="Y723" i="7"/>
  <c r="Y722" i="7"/>
  <c r="Y721" i="7"/>
  <c r="Y720" i="7"/>
  <c r="Y719" i="7"/>
  <c r="Y718" i="7"/>
  <c r="Y717" i="7"/>
  <c r="Y716" i="7"/>
  <c r="Y715" i="7"/>
  <c r="Y714" i="7"/>
  <c r="Y713" i="7"/>
  <c r="Y712" i="7"/>
  <c r="Y711" i="7"/>
  <c r="Y710" i="7"/>
  <c r="Y709" i="7"/>
  <c r="Y708" i="7"/>
  <c r="Y707" i="7"/>
  <c r="Y706" i="7"/>
  <c r="Y705" i="7"/>
  <c r="Y704" i="7"/>
  <c r="Y703" i="7"/>
  <c r="Y702" i="7"/>
  <c r="Y701" i="7"/>
  <c r="Y700" i="7"/>
  <c r="Y699" i="7"/>
  <c r="Y698" i="7"/>
  <c r="Y697" i="7"/>
  <c r="Y696" i="7"/>
  <c r="Y695" i="7"/>
  <c r="Y694" i="7"/>
  <c r="Y693" i="7"/>
  <c r="Y692" i="7"/>
  <c r="Y691" i="7"/>
  <c r="Y690" i="7"/>
  <c r="Y689" i="7"/>
  <c r="Y688" i="7"/>
  <c r="Y687" i="7"/>
  <c r="Y686" i="7"/>
  <c r="Y685" i="7"/>
  <c r="Y684" i="7"/>
  <c r="Y683" i="7"/>
  <c r="Y682" i="7"/>
  <c r="Y681" i="7"/>
  <c r="Y680" i="7"/>
  <c r="Y679" i="7"/>
  <c r="Y678" i="7"/>
  <c r="Y677" i="7"/>
  <c r="Y676" i="7"/>
  <c r="Y675" i="7"/>
  <c r="Y674" i="7"/>
  <c r="Y673" i="7"/>
  <c r="Y672" i="7"/>
  <c r="Y671" i="7"/>
  <c r="Y670" i="7"/>
  <c r="Y669" i="7"/>
  <c r="Y668" i="7"/>
  <c r="Y667" i="7"/>
  <c r="Y666" i="7"/>
  <c r="Y665" i="7"/>
  <c r="Y664" i="7"/>
  <c r="Y663" i="7"/>
  <c r="Y662" i="7"/>
  <c r="Y661" i="7"/>
  <c r="Y660" i="7"/>
  <c r="Y659" i="7"/>
  <c r="Y658" i="7"/>
  <c r="Y657" i="7"/>
  <c r="Y656" i="7"/>
  <c r="Y655" i="7"/>
  <c r="Y654" i="7"/>
  <c r="Y653" i="7"/>
  <c r="Y652" i="7"/>
  <c r="Y651" i="7"/>
  <c r="Y650" i="7"/>
  <c r="Y649" i="7"/>
  <c r="Y648" i="7"/>
  <c r="Y647" i="7"/>
  <c r="Y646" i="7"/>
  <c r="Y645" i="7"/>
  <c r="Y644" i="7"/>
  <c r="Y643" i="7"/>
  <c r="Y642" i="7"/>
  <c r="Y641" i="7"/>
  <c r="Y640" i="7"/>
  <c r="Y639" i="7"/>
  <c r="Y638" i="7"/>
  <c r="Y637" i="7"/>
  <c r="Y636" i="7"/>
  <c r="Y635" i="7"/>
  <c r="Y634" i="7"/>
  <c r="Y633" i="7"/>
  <c r="Y632" i="7"/>
  <c r="Y631" i="7"/>
  <c r="Y630" i="7"/>
  <c r="Y629" i="7"/>
  <c r="Y628" i="7"/>
  <c r="Y627" i="7"/>
  <c r="Y626" i="7"/>
  <c r="Y625" i="7"/>
  <c r="Y624" i="7"/>
  <c r="Y623" i="7"/>
  <c r="Y622" i="7"/>
  <c r="Y621" i="7"/>
  <c r="Y620" i="7"/>
  <c r="Y619" i="7"/>
  <c r="Y618" i="7"/>
  <c r="Y617" i="7"/>
  <c r="Y616" i="7"/>
  <c r="Y615" i="7"/>
  <c r="Y614" i="7"/>
  <c r="Y613" i="7"/>
  <c r="Y612" i="7"/>
  <c r="Y611" i="7"/>
  <c r="Y610" i="7"/>
  <c r="Y609" i="7"/>
  <c r="Y608" i="7"/>
  <c r="Y607" i="7"/>
  <c r="Y606" i="7"/>
  <c r="Y605" i="7"/>
  <c r="Y604" i="7"/>
  <c r="Y603" i="7"/>
  <c r="Y602" i="7"/>
  <c r="Y601" i="7"/>
  <c r="Y600" i="7"/>
  <c r="Y599" i="7"/>
  <c r="Y598" i="7"/>
  <c r="Y597" i="7"/>
  <c r="Y596" i="7"/>
  <c r="Y595" i="7"/>
  <c r="Y594" i="7"/>
  <c r="Y593" i="7"/>
  <c r="Y592" i="7"/>
  <c r="Y591" i="7"/>
  <c r="Y590" i="7"/>
  <c r="Y589" i="7"/>
  <c r="Y588" i="7"/>
  <c r="Y587" i="7"/>
  <c r="Y586" i="7"/>
  <c r="Y585" i="7"/>
  <c r="Y584" i="7"/>
  <c r="Y583" i="7"/>
  <c r="Y582" i="7"/>
  <c r="Y581" i="7"/>
  <c r="Y580" i="7"/>
  <c r="Y579" i="7"/>
  <c r="Y578" i="7"/>
  <c r="Y577" i="7"/>
  <c r="Y576" i="7"/>
  <c r="Y575" i="7"/>
  <c r="Y574" i="7"/>
  <c r="Y573" i="7"/>
  <c r="Y572" i="7"/>
  <c r="Y571" i="7"/>
  <c r="Y570" i="7"/>
  <c r="Y569" i="7"/>
  <c r="Y568" i="7"/>
  <c r="Y567" i="7"/>
  <c r="Y566" i="7"/>
  <c r="Y565" i="7"/>
  <c r="Y564" i="7"/>
  <c r="Y563" i="7"/>
  <c r="Y562" i="7"/>
  <c r="Y561" i="7"/>
  <c r="Y560" i="7"/>
  <c r="Y559" i="7"/>
  <c r="Y558" i="7"/>
  <c r="Y557" i="7"/>
  <c r="Y556" i="7"/>
  <c r="Y555" i="7"/>
  <c r="Y554" i="7"/>
  <c r="Y553" i="7"/>
  <c r="Y552" i="7"/>
  <c r="Y551" i="7"/>
  <c r="Y550" i="7"/>
  <c r="Y549" i="7"/>
  <c r="Y548" i="7"/>
  <c r="Y547" i="7"/>
  <c r="Y546" i="7"/>
  <c r="Y545" i="7"/>
  <c r="Y544" i="7"/>
  <c r="Y543" i="7"/>
  <c r="Y542" i="7"/>
  <c r="Y541" i="7"/>
  <c r="Y540" i="7"/>
  <c r="Y539" i="7"/>
  <c r="Y538" i="7"/>
  <c r="Y537" i="7"/>
  <c r="Y536" i="7"/>
  <c r="Y535" i="7"/>
  <c r="Y534" i="7"/>
  <c r="Y533" i="7"/>
  <c r="Y532" i="7"/>
  <c r="Y531" i="7"/>
  <c r="Y530" i="7"/>
  <c r="Y529" i="7"/>
  <c r="Y528" i="7"/>
  <c r="Y527" i="7"/>
  <c r="Y526" i="7"/>
  <c r="Y525" i="7"/>
  <c r="Y524" i="7"/>
  <c r="Y523" i="7"/>
  <c r="Y522" i="7"/>
  <c r="Y521" i="7"/>
  <c r="Y520" i="7"/>
  <c r="Y519" i="7"/>
  <c r="Y518" i="7"/>
  <c r="Y517" i="7"/>
  <c r="Y516" i="7"/>
  <c r="Y515" i="7"/>
  <c r="Y514" i="7"/>
  <c r="Y513" i="7"/>
  <c r="Y512" i="7"/>
  <c r="Y511" i="7"/>
  <c r="Y510" i="7"/>
  <c r="Y509" i="7"/>
  <c r="Y508" i="7"/>
  <c r="Y507" i="7"/>
  <c r="Y506" i="7"/>
  <c r="Y505" i="7"/>
  <c r="Y504" i="7"/>
  <c r="Y503" i="7"/>
  <c r="Y502" i="7"/>
  <c r="Y501" i="7"/>
  <c r="Y500" i="7"/>
  <c r="Y499" i="7"/>
  <c r="Y498" i="7"/>
  <c r="Y497" i="7"/>
  <c r="Y496" i="7"/>
  <c r="Y495" i="7"/>
  <c r="Y494" i="7"/>
  <c r="Y493" i="7"/>
  <c r="Y492" i="7"/>
  <c r="Y491" i="7"/>
  <c r="Y490" i="7"/>
  <c r="Y489" i="7"/>
  <c r="Y488" i="7"/>
  <c r="Y487" i="7"/>
  <c r="Y486" i="7"/>
  <c r="Y485" i="7"/>
  <c r="Y484" i="7"/>
  <c r="Y483" i="7"/>
  <c r="Y482" i="7"/>
  <c r="Y481" i="7"/>
  <c r="Y480" i="7"/>
  <c r="Y479" i="7"/>
  <c r="Y478" i="7"/>
  <c r="Y477" i="7"/>
  <c r="Y476" i="7"/>
  <c r="Y475" i="7"/>
  <c r="Y474" i="7"/>
  <c r="Y473" i="7"/>
  <c r="Y472" i="7"/>
  <c r="Y471" i="7"/>
  <c r="Y470" i="7"/>
  <c r="Y469" i="7"/>
  <c r="Y468" i="7"/>
  <c r="Y467" i="7"/>
  <c r="Y466" i="7"/>
  <c r="Y465" i="7"/>
  <c r="Y464" i="7"/>
  <c r="Y463" i="7"/>
  <c r="Y462" i="7"/>
  <c r="Y461" i="7"/>
  <c r="Y460" i="7"/>
  <c r="Y459" i="7"/>
  <c r="Y458" i="7"/>
  <c r="Y457" i="7"/>
  <c r="Y456" i="7"/>
  <c r="Y455" i="7"/>
  <c r="Y454" i="7"/>
  <c r="Y453" i="7"/>
  <c r="Y452" i="7"/>
  <c r="Y451" i="7"/>
  <c r="Y450" i="7"/>
  <c r="Y449" i="7"/>
  <c r="Y448" i="7"/>
  <c r="Y447" i="7"/>
  <c r="Y446" i="7"/>
  <c r="Y445" i="7"/>
  <c r="Y444" i="7"/>
  <c r="Y443" i="7"/>
  <c r="Y442" i="7"/>
  <c r="Y441" i="7"/>
  <c r="Y440" i="7"/>
  <c r="Y439" i="7"/>
  <c r="Y438" i="7"/>
  <c r="Y437" i="7"/>
  <c r="Y436" i="7"/>
  <c r="Y435" i="7"/>
  <c r="Y434" i="7"/>
  <c r="Y433" i="7"/>
  <c r="Y432" i="7"/>
  <c r="Y431" i="7"/>
  <c r="Y430" i="7"/>
  <c r="Y429" i="7"/>
  <c r="Y428" i="7"/>
  <c r="Y427" i="7"/>
  <c r="Y426" i="7"/>
  <c r="Y425" i="7"/>
  <c r="Y424" i="7"/>
  <c r="Y423" i="7"/>
  <c r="Y422" i="7"/>
  <c r="Y421" i="7"/>
  <c r="Y420" i="7"/>
  <c r="Y419" i="7"/>
  <c r="Y418" i="7"/>
  <c r="Y417" i="7"/>
  <c r="Y416" i="7"/>
  <c r="Y415" i="7"/>
  <c r="Y414" i="7"/>
  <c r="Y413" i="7"/>
  <c r="Y412" i="7"/>
  <c r="Y411" i="7"/>
  <c r="Y410" i="7"/>
  <c r="Y409" i="7"/>
  <c r="Y408" i="7"/>
  <c r="Y407" i="7"/>
  <c r="Y406" i="7"/>
  <c r="Y405" i="7"/>
  <c r="Y404" i="7"/>
  <c r="Y403" i="7"/>
  <c r="Y402" i="7"/>
  <c r="Y401" i="7"/>
  <c r="Y400" i="7"/>
  <c r="Y399" i="7"/>
  <c r="Y398" i="7"/>
  <c r="Y397" i="7"/>
  <c r="Y396" i="7"/>
  <c r="Y395" i="7"/>
  <c r="Y394" i="7"/>
  <c r="Y393" i="7"/>
  <c r="Y392" i="7"/>
  <c r="Y391" i="7"/>
  <c r="Y390" i="7"/>
  <c r="Y389" i="7"/>
  <c r="Y388" i="7"/>
  <c r="Y387" i="7"/>
  <c r="Y386" i="7"/>
  <c r="Y385" i="7"/>
  <c r="Y384" i="7"/>
  <c r="Y383" i="7"/>
  <c r="Y382" i="7"/>
  <c r="Y381" i="7"/>
  <c r="Y380" i="7"/>
  <c r="Y379" i="7"/>
  <c r="Y378" i="7"/>
  <c r="Y377" i="7"/>
  <c r="Y376" i="7"/>
  <c r="Y375" i="7"/>
  <c r="Y374" i="7"/>
  <c r="Y373" i="7"/>
  <c r="Y372" i="7"/>
  <c r="Y371" i="7"/>
  <c r="Y370" i="7"/>
  <c r="Y369" i="7"/>
  <c r="Y368" i="7"/>
  <c r="Y367" i="7"/>
  <c r="Y366" i="7"/>
  <c r="Y365" i="7"/>
  <c r="Y364" i="7"/>
  <c r="Y363" i="7"/>
  <c r="Y362" i="7"/>
  <c r="Y361" i="7"/>
  <c r="Y360" i="7"/>
  <c r="Y359" i="7"/>
  <c r="Y358" i="7"/>
  <c r="Y357" i="7"/>
  <c r="Y356" i="7"/>
  <c r="Y355" i="7"/>
  <c r="Y354" i="7"/>
  <c r="Y353" i="7"/>
  <c r="Y352" i="7"/>
  <c r="Y351" i="7"/>
  <c r="Y350" i="7"/>
  <c r="Y349" i="7"/>
  <c r="Y348" i="7"/>
  <c r="Y347" i="7"/>
  <c r="Y346" i="7"/>
  <c r="Y345" i="7"/>
  <c r="Y344" i="7"/>
  <c r="Y343" i="7"/>
  <c r="Y342" i="7"/>
  <c r="Y341" i="7"/>
  <c r="Y340" i="7"/>
  <c r="Y339" i="7"/>
  <c r="Y338" i="7"/>
  <c r="Y337" i="7"/>
  <c r="Y336" i="7"/>
  <c r="Y335" i="7"/>
  <c r="Y334" i="7"/>
  <c r="Y333" i="7"/>
  <c r="Y332" i="7"/>
  <c r="Y331" i="7"/>
  <c r="Y330" i="7"/>
  <c r="Y329" i="7"/>
  <c r="Y328" i="7"/>
  <c r="Y327" i="7"/>
  <c r="Y326" i="7"/>
  <c r="Y325" i="7"/>
  <c r="Y324" i="7"/>
  <c r="Y323" i="7"/>
  <c r="Y322" i="7"/>
  <c r="Y321" i="7"/>
  <c r="Y320" i="7"/>
  <c r="Y319" i="7"/>
  <c r="Y318" i="7"/>
  <c r="Y317" i="7"/>
  <c r="Y316" i="7"/>
  <c r="Y315" i="7"/>
  <c r="Y314" i="7"/>
  <c r="Y313" i="7"/>
  <c r="Y312" i="7"/>
  <c r="Y311" i="7"/>
  <c r="Y310" i="7"/>
  <c r="Y309" i="7"/>
  <c r="Y308" i="7"/>
  <c r="Y307" i="7"/>
  <c r="Y306" i="7"/>
  <c r="Y305" i="7"/>
  <c r="Y304" i="7"/>
  <c r="Y303" i="7"/>
  <c r="Y302" i="7"/>
  <c r="Y301" i="7"/>
  <c r="Y300" i="7"/>
  <c r="Y299" i="7"/>
  <c r="Y298" i="7"/>
  <c r="Y297" i="7"/>
  <c r="Y296" i="7"/>
  <c r="Y295" i="7"/>
  <c r="Y294" i="7"/>
  <c r="Y293" i="7"/>
  <c r="Y292" i="7"/>
  <c r="Y291" i="7"/>
  <c r="Y290" i="7"/>
  <c r="Y289" i="7"/>
  <c r="Y288" i="7"/>
  <c r="Y287" i="7"/>
  <c r="Y286" i="7"/>
  <c r="Y285" i="7"/>
  <c r="Y284" i="7"/>
  <c r="Y283" i="7"/>
  <c r="Y282" i="7"/>
  <c r="Y281" i="7"/>
  <c r="Y280" i="7"/>
  <c r="Y279" i="7"/>
  <c r="Y278" i="7"/>
  <c r="Y277" i="7"/>
  <c r="Y276" i="7"/>
  <c r="Y275" i="7"/>
  <c r="Y274" i="7"/>
  <c r="Y273" i="7"/>
  <c r="Y272" i="7"/>
  <c r="Y271" i="7"/>
  <c r="Y270" i="7"/>
  <c r="Y269" i="7"/>
  <c r="Y268" i="7"/>
  <c r="Y267" i="7"/>
  <c r="Y266" i="7"/>
  <c r="Y265" i="7"/>
  <c r="Y264" i="7"/>
  <c r="Y263" i="7"/>
  <c r="Y262" i="7"/>
  <c r="Y261" i="7"/>
  <c r="Y260" i="7"/>
  <c r="Y259" i="7"/>
  <c r="Y258" i="7"/>
  <c r="Y257" i="7"/>
  <c r="Y256" i="7"/>
  <c r="Y255" i="7"/>
  <c r="Y254" i="7"/>
  <c r="Y253" i="7"/>
  <c r="Y252" i="7"/>
  <c r="Y251" i="7"/>
  <c r="Y250" i="7"/>
  <c r="Y249" i="7"/>
  <c r="Y248" i="7"/>
  <c r="Y247" i="7"/>
  <c r="Y246" i="7"/>
  <c r="Y245" i="7"/>
  <c r="Y244" i="7"/>
  <c r="Y243" i="7"/>
  <c r="Y242" i="7"/>
  <c r="Y241" i="7"/>
  <c r="Y240" i="7"/>
  <c r="Y239" i="7"/>
  <c r="Y238" i="7"/>
  <c r="Y237" i="7"/>
  <c r="Y236" i="7"/>
  <c r="Y235" i="7"/>
  <c r="Y234" i="7"/>
  <c r="Y233" i="7"/>
  <c r="Y232" i="7"/>
  <c r="Y231" i="7"/>
  <c r="Y230" i="7"/>
  <c r="Y229" i="7"/>
  <c r="Y228" i="7"/>
  <c r="Y227" i="7"/>
  <c r="Y226" i="7"/>
  <c r="Y225" i="7"/>
  <c r="Y224" i="7"/>
  <c r="Y223" i="7"/>
  <c r="Y222" i="7"/>
  <c r="Y221" i="7"/>
  <c r="Y220" i="7"/>
  <c r="Y219" i="7"/>
  <c r="Y218" i="7"/>
  <c r="Y217" i="7"/>
  <c r="Y216" i="7"/>
  <c r="Y215" i="7"/>
  <c r="Y214" i="7"/>
  <c r="Y213" i="7"/>
  <c r="Y212" i="7"/>
  <c r="Y211" i="7"/>
  <c r="Y210" i="7"/>
  <c r="Y209" i="7"/>
  <c r="Y208" i="7"/>
  <c r="Y207" i="7"/>
  <c r="Y206" i="7"/>
  <c r="Y205" i="7"/>
  <c r="Y204" i="7"/>
  <c r="Y203" i="7"/>
  <c r="Y202" i="7"/>
  <c r="Y201" i="7"/>
  <c r="Y200" i="7"/>
  <c r="Y199" i="7"/>
  <c r="Y198" i="7"/>
  <c r="Y197" i="7"/>
  <c r="Y196" i="7"/>
  <c r="Y195" i="7"/>
  <c r="Y194" i="7"/>
  <c r="Y193" i="7"/>
  <c r="Y192" i="7"/>
  <c r="Y191" i="7"/>
  <c r="Y190" i="7"/>
  <c r="Y189" i="7"/>
  <c r="Y188" i="7"/>
  <c r="Y187" i="7"/>
  <c r="Y186" i="7"/>
  <c r="Y185" i="7"/>
  <c r="Y184" i="7"/>
  <c r="Y183" i="7"/>
  <c r="Y182" i="7"/>
  <c r="Y181" i="7"/>
  <c r="Y180" i="7"/>
  <c r="Y179" i="7"/>
  <c r="Y178" i="7"/>
  <c r="Y177" i="7"/>
  <c r="Y176" i="7"/>
  <c r="Y175" i="7"/>
  <c r="Y174" i="7"/>
  <c r="Y173" i="7"/>
  <c r="Y172" i="7"/>
  <c r="Y171" i="7"/>
  <c r="Y170" i="7"/>
  <c r="Y169" i="7"/>
  <c r="Y168" i="7"/>
  <c r="Y167" i="7"/>
  <c r="Y166" i="7"/>
  <c r="Y165" i="7"/>
  <c r="Y164" i="7"/>
  <c r="Y163" i="7"/>
  <c r="Y162" i="7"/>
  <c r="Y161" i="7"/>
  <c r="Y160" i="7"/>
  <c r="Y159" i="7"/>
  <c r="Y158" i="7"/>
  <c r="Y157" i="7"/>
  <c r="Y156" i="7"/>
  <c r="Y155" i="7"/>
  <c r="Y154" i="7"/>
  <c r="Y153" i="7"/>
  <c r="Y152" i="7"/>
  <c r="Y151" i="7"/>
  <c r="Y150" i="7"/>
  <c r="Y149" i="7"/>
  <c r="Y148" i="7"/>
  <c r="Y147" i="7"/>
  <c r="Y146" i="7"/>
  <c r="Y145" i="7"/>
  <c r="Y144" i="7"/>
  <c r="Y143" i="7"/>
  <c r="Y142" i="7"/>
  <c r="Y141" i="7"/>
  <c r="Y140" i="7"/>
  <c r="Y139" i="7"/>
  <c r="Y138" i="7"/>
  <c r="Y137" i="7"/>
  <c r="Y136" i="7"/>
  <c r="Y135" i="7"/>
  <c r="Y134" i="7"/>
  <c r="Y133" i="7"/>
  <c r="Y132" i="7"/>
  <c r="Y131" i="7"/>
  <c r="Y130" i="7"/>
  <c r="Y129" i="7"/>
  <c r="Y128" i="7"/>
  <c r="Y127" i="7"/>
  <c r="Y126" i="7"/>
  <c r="Y125" i="7"/>
  <c r="Y124" i="7"/>
  <c r="Y123" i="7"/>
  <c r="Y122" i="7"/>
  <c r="Y121" i="7"/>
  <c r="Y120" i="7"/>
  <c r="Y119" i="7"/>
  <c r="Y118" i="7"/>
  <c r="Y117" i="7"/>
  <c r="Y116" i="7"/>
  <c r="Y115" i="7"/>
  <c r="Y114" i="7"/>
  <c r="Y113" i="7"/>
  <c r="Y112" i="7"/>
  <c r="Y111" i="7"/>
  <c r="Y110" i="7"/>
  <c r="Y109" i="7"/>
  <c r="Y108" i="7"/>
  <c r="Y107" i="7"/>
  <c r="Y106" i="7"/>
  <c r="Y105" i="7"/>
  <c r="Y104" i="7"/>
  <c r="Y103" i="7"/>
  <c r="Y102" i="7"/>
  <c r="Y101" i="7"/>
  <c r="Y100" i="7"/>
  <c r="Y99" i="7"/>
  <c r="Y98" i="7"/>
  <c r="Y97" i="7"/>
  <c r="Y96" i="7"/>
  <c r="Y95" i="7"/>
  <c r="Y94" i="7"/>
  <c r="Y93" i="7"/>
  <c r="Y92" i="7"/>
  <c r="Y91" i="7"/>
  <c r="Y90" i="7"/>
  <c r="Y89" i="7"/>
  <c r="Y88" i="7"/>
  <c r="Y87" i="7"/>
  <c r="Y86" i="7"/>
  <c r="Y85" i="7"/>
  <c r="Y84" i="7"/>
  <c r="Y83" i="7"/>
  <c r="Y82" i="7"/>
  <c r="Y81" i="7"/>
  <c r="Y80" i="7"/>
  <c r="Y79" i="7"/>
  <c r="Y78" i="7"/>
  <c r="Y77" i="7"/>
  <c r="Y76" i="7"/>
  <c r="Y75" i="7"/>
  <c r="Y74" i="7"/>
  <c r="Y73" i="7"/>
  <c r="Y72" i="7"/>
  <c r="Y71" i="7"/>
  <c r="Y70" i="7"/>
  <c r="Y69" i="7"/>
  <c r="Y68" i="7"/>
  <c r="Y67" i="7"/>
  <c r="Y66" i="7"/>
  <c r="Y65" i="7"/>
  <c r="Y64" i="7"/>
  <c r="Y63" i="7"/>
  <c r="Y62" i="7"/>
  <c r="Y61" i="7"/>
  <c r="Y60" i="7"/>
  <c r="Y59" i="7"/>
  <c r="Y58" i="7"/>
  <c r="Y57" i="7"/>
  <c r="Y56" i="7"/>
  <c r="Y55" i="7"/>
  <c r="Y54" i="7"/>
  <c r="Y53" i="7"/>
  <c r="Y52" i="7"/>
  <c r="Y51" i="7"/>
  <c r="Y50" i="7"/>
  <c r="Y49" i="7"/>
  <c r="Y48" i="7"/>
  <c r="Y47" i="7"/>
  <c r="Y46" i="7"/>
  <c r="Y45" i="7"/>
  <c r="Y44" i="7"/>
  <c r="Y43" i="7"/>
  <c r="Y42" i="7"/>
  <c r="Y41" i="7"/>
  <c r="Y40" i="7"/>
  <c r="Y39" i="7"/>
  <c r="Y38" i="7"/>
  <c r="Y37" i="7"/>
  <c r="Y36" i="7"/>
  <c r="Y35" i="7"/>
  <c r="Y34" i="7"/>
  <c r="Y33" i="7"/>
  <c r="Y31" i="7"/>
  <c r="Y30" i="7"/>
  <c r="Y29" i="7"/>
  <c r="Y28" i="7"/>
  <c r="Y27" i="7"/>
  <c r="Y25" i="7"/>
  <c r="Y24" i="7"/>
  <c r="Y23" i="7"/>
  <c r="Y22" i="7"/>
  <c r="Y21" i="7"/>
  <c r="Y19" i="7"/>
  <c r="Y18" i="7"/>
  <c r="Y17" i="7"/>
  <c r="Y16" i="7"/>
  <c r="Y15" i="7"/>
  <c r="Y13" i="7"/>
  <c r="Y12" i="7"/>
  <c r="Y11" i="7"/>
  <c r="Y10" i="7"/>
  <c r="Y9" i="7"/>
  <c r="Y7" i="7"/>
  <c r="Y6" i="7"/>
  <c r="Y5" i="7"/>
  <c r="Y4" i="7"/>
  <c r="Y3" i="7"/>
  <c r="AG1" i="1" l="1"/>
  <c r="K601" i="7" l="1"/>
  <c r="K600" i="7"/>
  <c r="K599" i="7"/>
  <c r="K598" i="7"/>
  <c r="K597" i="7"/>
  <c r="K595" i="7"/>
  <c r="K594" i="7"/>
  <c r="K593" i="7"/>
  <c r="K592" i="7"/>
  <c r="K591" i="7"/>
  <c r="K589" i="7"/>
  <c r="K588" i="7"/>
  <c r="K587" i="7"/>
  <c r="K586" i="7"/>
  <c r="K585" i="7"/>
  <c r="L584" i="7" s="1"/>
  <c r="K583" i="7"/>
  <c r="K582" i="7"/>
  <c r="K581" i="7"/>
  <c r="K580" i="7"/>
  <c r="K579" i="7"/>
  <c r="K577" i="7"/>
  <c r="K576" i="7"/>
  <c r="K575" i="7"/>
  <c r="K574" i="7"/>
  <c r="K573" i="7"/>
  <c r="K571" i="7"/>
  <c r="K570" i="7"/>
  <c r="K569" i="7"/>
  <c r="K568" i="7"/>
  <c r="K567" i="7"/>
  <c r="L566" i="7" s="1"/>
  <c r="K565" i="7"/>
  <c r="K564" i="7"/>
  <c r="K560" i="7" s="1"/>
  <c r="K563" i="7"/>
  <c r="K562" i="7"/>
  <c r="K561" i="7"/>
  <c r="K559" i="7"/>
  <c r="K558" i="7"/>
  <c r="K557" i="7"/>
  <c r="K556" i="7"/>
  <c r="K555" i="7"/>
  <c r="L554" i="7" s="1"/>
  <c r="K553" i="7"/>
  <c r="K552" i="7"/>
  <c r="K551" i="7"/>
  <c r="K550" i="7"/>
  <c r="K549" i="7"/>
  <c r="K547" i="7"/>
  <c r="K546" i="7"/>
  <c r="K545" i="7"/>
  <c r="K544" i="7"/>
  <c r="K543" i="7"/>
  <c r="K541" i="7"/>
  <c r="K540" i="7"/>
  <c r="K539" i="7"/>
  <c r="K538" i="7"/>
  <c r="K537" i="7"/>
  <c r="L536" i="7" s="1"/>
  <c r="K535" i="7"/>
  <c r="K534" i="7"/>
  <c r="K533" i="7"/>
  <c r="K532" i="7"/>
  <c r="K531" i="7"/>
  <c r="K529" i="7"/>
  <c r="K528" i="7"/>
  <c r="K527" i="7"/>
  <c r="K526" i="7"/>
  <c r="K525" i="7"/>
  <c r="K523" i="7"/>
  <c r="K522" i="7"/>
  <c r="K521" i="7"/>
  <c r="K520" i="7"/>
  <c r="K519" i="7"/>
  <c r="L518" i="7" s="1"/>
  <c r="K517" i="7"/>
  <c r="K516" i="7"/>
  <c r="K515" i="7"/>
  <c r="K514" i="7"/>
  <c r="K513" i="7"/>
  <c r="K511" i="7"/>
  <c r="K510" i="7"/>
  <c r="K509" i="7"/>
  <c r="K508" i="7"/>
  <c r="K507" i="7"/>
  <c r="L506" i="7" s="1"/>
  <c r="K505" i="7"/>
  <c r="K504" i="7"/>
  <c r="K503" i="7"/>
  <c r="K502" i="7"/>
  <c r="K501" i="7"/>
  <c r="K499" i="7"/>
  <c r="K498" i="7"/>
  <c r="K497" i="7"/>
  <c r="K496" i="7"/>
  <c r="K495" i="7"/>
  <c r="K493" i="7"/>
  <c r="K492" i="7"/>
  <c r="K491" i="7"/>
  <c r="K490" i="7"/>
  <c r="K489" i="7"/>
  <c r="L488" i="7" s="1"/>
  <c r="K487" i="7"/>
  <c r="K486" i="7"/>
  <c r="K485" i="7"/>
  <c r="K484" i="7"/>
  <c r="K483" i="7"/>
  <c r="K481" i="7"/>
  <c r="K480" i="7"/>
  <c r="K479" i="7"/>
  <c r="K478" i="7"/>
  <c r="K477" i="7"/>
  <c r="K475" i="7"/>
  <c r="K474" i="7"/>
  <c r="K473" i="7"/>
  <c r="K472" i="7"/>
  <c r="K471" i="7"/>
  <c r="L470" i="7" s="1"/>
  <c r="K469" i="7"/>
  <c r="K468" i="7"/>
  <c r="K467" i="7"/>
  <c r="K466" i="7"/>
  <c r="K465" i="7"/>
  <c r="K463" i="7"/>
  <c r="K462" i="7"/>
  <c r="K461" i="7"/>
  <c r="K460" i="7"/>
  <c r="K459" i="7"/>
  <c r="L458" i="7" s="1"/>
  <c r="K457" i="7"/>
  <c r="K456" i="7"/>
  <c r="K455" i="7"/>
  <c r="K454" i="7"/>
  <c r="K453" i="7"/>
  <c r="K451" i="7"/>
  <c r="K450" i="7"/>
  <c r="K449" i="7"/>
  <c r="K448" i="7"/>
  <c r="K447" i="7"/>
  <c r="K445" i="7"/>
  <c r="K444" i="7"/>
  <c r="K443" i="7"/>
  <c r="K442" i="7"/>
  <c r="K441" i="7"/>
  <c r="L440" i="7" s="1"/>
  <c r="K439" i="7"/>
  <c r="K438" i="7"/>
  <c r="K437" i="7"/>
  <c r="K436" i="7"/>
  <c r="K435" i="7"/>
  <c r="K433" i="7"/>
  <c r="K432" i="7"/>
  <c r="K431" i="7"/>
  <c r="K430" i="7"/>
  <c r="K429" i="7"/>
  <c r="K427" i="7"/>
  <c r="K426" i="7"/>
  <c r="K425" i="7"/>
  <c r="K424" i="7"/>
  <c r="K423" i="7"/>
  <c r="L422" i="7" s="1"/>
  <c r="K421" i="7"/>
  <c r="K420" i="7"/>
  <c r="K419" i="7"/>
  <c r="K418" i="7"/>
  <c r="K417" i="7"/>
  <c r="K415" i="7"/>
  <c r="K414" i="7"/>
  <c r="K413" i="7"/>
  <c r="K412" i="7"/>
  <c r="K411" i="7"/>
  <c r="L410" i="7" s="1"/>
  <c r="K409" i="7"/>
  <c r="K408" i="7"/>
  <c r="K407" i="7"/>
  <c r="K406" i="7"/>
  <c r="K405" i="7"/>
  <c r="K403" i="7"/>
  <c r="K402" i="7"/>
  <c r="K401" i="7"/>
  <c r="K400" i="7"/>
  <c r="K399" i="7"/>
  <c r="K397" i="7"/>
  <c r="K396" i="7"/>
  <c r="K395" i="7"/>
  <c r="K394" i="7"/>
  <c r="K393" i="7"/>
  <c r="L392" i="7" s="1"/>
  <c r="K391" i="7"/>
  <c r="K390" i="7"/>
  <c r="K389" i="7"/>
  <c r="K388" i="7"/>
  <c r="K387" i="7"/>
  <c r="K385" i="7"/>
  <c r="K384" i="7"/>
  <c r="K383" i="7"/>
  <c r="K382" i="7"/>
  <c r="K381" i="7"/>
  <c r="K379" i="7"/>
  <c r="K378" i="7"/>
  <c r="K377" i="7"/>
  <c r="K376" i="7"/>
  <c r="K375" i="7"/>
  <c r="L374" i="7" s="1"/>
  <c r="K373" i="7"/>
  <c r="K372" i="7"/>
  <c r="K368" i="7" s="1"/>
  <c r="K371" i="7"/>
  <c r="K370" i="7"/>
  <c r="K369" i="7"/>
  <c r="K367" i="7"/>
  <c r="K366" i="7"/>
  <c r="K365" i="7"/>
  <c r="K364" i="7"/>
  <c r="K363" i="7"/>
  <c r="L362" i="7" s="1"/>
  <c r="K361" i="7"/>
  <c r="K360" i="7"/>
  <c r="K359" i="7"/>
  <c r="K358" i="7"/>
  <c r="K357" i="7"/>
  <c r="K355" i="7"/>
  <c r="K354" i="7"/>
  <c r="K353" i="7"/>
  <c r="K352" i="7"/>
  <c r="K351" i="7"/>
  <c r="K349" i="7"/>
  <c r="K348" i="7"/>
  <c r="K347" i="7"/>
  <c r="K346" i="7"/>
  <c r="K345" i="7"/>
  <c r="L344" i="7" s="1"/>
  <c r="K343" i="7"/>
  <c r="K342" i="7"/>
  <c r="K341" i="7"/>
  <c r="K340" i="7"/>
  <c r="K339" i="7"/>
  <c r="K337" i="7"/>
  <c r="K336" i="7"/>
  <c r="K335" i="7"/>
  <c r="K334" i="7"/>
  <c r="K333" i="7"/>
  <c r="K331" i="7"/>
  <c r="K330" i="7"/>
  <c r="K329" i="7"/>
  <c r="K328" i="7"/>
  <c r="K327" i="7"/>
  <c r="L326" i="7" s="1"/>
  <c r="K325" i="7"/>
  <c r="K324" i="7"/>
  <c r="K320" i="7" s="1"/>
  <c r="K323" i="7"/>
  <c r="K322" i="7"/>
  <c r="K321" i="7"/>
  <c r="K319" i="7"/>
  <c r="K318" i="7"/>
  <c r="K317" i="7"/>
  <c r="K316" i="7"/>
  <c r="K315" i="7"/>
  <c r="L314" i="7" s="1"/>
  <c r="K313" i="7"/>
  <c r="K312" i="7"/>
  <c r="K311" i="7"/>
  <c r="K310" i="7"/>
  <c r="K309" i="7"/>
  <c r="K307" i="7"/>
  <c r="K306" i="7"/>
  <c r="K305" i="7"/>
  <c r="K304" i="7"/>
  <c r="K303" i="7"/>
  <c r="K301" i="7"/>
  <c r="K300" i="7"/>
  <c r="K299" i="7"/>
  <c r="K298" i="7"/>
  <c r="K297" i="7"/>
  <c r="L296" i="7" s="1"/>
  <c r="K295" i="7"/>
  <c r="K294" i="7"/>
  <c r="K293" i="7"/>
  <c r="K292" i="7"/>
  <c r="K291" i="7"/>
  <c r="K289" i="7"/>
  <c r="K288" i="7"/>
  <c r="K287" i="7"/>
  <c r="K286" i="7"/>
  <c r="K285" i="7"/>
  <c r="K283" i="7"/>
  <c r="K282" i="7"/>
  <c r="K281" i="7"/>
  <c r="K280" i="7"/>
  <c r="K279" i="7"/>
  <c r="L278" i="7" s="1"/>
  <c r="K277" i="7"/>
  <c r="K276" i="7"/>
  <c r="K275" i="7"/>
  <c r="K274" i="7"/>
  <c r="K273" i="7"/>
  <c r="K271" i="7"/>
  <c r="K270" i="7"/>
  <c r="K269" i="7"/>
  <c r="K268" i="7"/>
  <c r="K267" i="7"/>
  <c r="L266" i="7" s="1"/>
  <c r="K265" i="7"/>
  <c r="K264" i="7"/>
  <c r="K263" i="7"/>
  <c r="K262" i="7"/>
  <c r="K261" i="7"/>
  <c r="K259" i="7"/>
  <c r="K258" i="7"/>
  <c r="K257" i="7"/>
  <c r="K256" i="7"/>
  <c r="K255" i="7"/>
  <c r="K253" i="7"/>
  <c r="K252" i="7"/>
  <c r="K251" i="7"/>
  <c r="K250" i="7"/>
  <c r="K249" i="7"/>
  <c r="L248" i="7" s="1"/>
  <c r="K247" i="7"/>
  <c r="K246" i="7"/>
  <c r="K245" i="7"/>
  <c r="K244" i="7"/>
  <c r="K243" i="7"/>
  <c r="K241" i="7"/>
  <c r="K240" i="7"/>
  <c r="K239" i="7"/>
  <c r="K238" i="7"/>
  <c r="K237" i="7"/>
  <c r="K235" i="7"/>
  <c r="K234" i="7"/>
  <c r="K233" i="7"/>
  <c r="K232" i="7"/>
  <c r="K231" i="7"/>
  <c r="L230" i="7" s="1"/>
  <c r="K229" i="7"/>
  <c r="K228" i="7"/>
  <c r="K227" i="7"/>
  <c r="K226" i="7"/>
  <c r="K225" i="7"/>
  <c r="K223" i="7"/>
  <c r="K222" i="7"/>
  <c r="K221" i="7"/>
  <c r="K220" i="7"/>
  <c r="K219" i="7"/>
  <c r="L218" i="7" s="1"/>
  <c r="K217" i="7"/>
  <c r="K216" i="7"/>
  <c r="K215" i="7"/>
  <c r="K214" i="7"/>
  <c r="K213" i="7"/>
  <c r="K211" i="7"/>
  <c r="K210" i="7"/>
  <c r="K209" i="7"/>
  <c r="K208" i="7"/>
  <c r="K207" i="7"/>
  <c r="K205" i="7"/>
  <c r="K204" i="7"/>
  <c r="K203" i="7"/>
  <c r="K202" i="7"/>
  <c r="K201" i="7"/>
  <c r="L200" i="7" s="1"/>
  <c r="K199" i="7"/>
  <c r="K198" i="7"/>
  <c r="K197" i="7"/>
  <c r="K196" i="7"/>
  <c r="K195" i="7"/>
  <c r="K193" i="7"/>
  <c r="K192" i="7"/>
  <c r="K191" i="7"/>
  <c r="K190" i="7"/>
  <c r="K189" i="7"/>
  <c r="K187" i="7"/>
  <c r="K186" i="7"/>
  <c r="K185" i="7"/>
  <c r="K184" i="7"/>
  <c r="K183" i="7"/>
  <c r="L182" i="7" s="1"/>
  <c r="K181" i="7"/>
  <c r="K180" i="7"/>
  <c r="K179" i="7"/>
  <c r="K178" i="7"/>
  <c r="K177" i="7"/>
  <c r="K175" i="7"/>
  <c r="K174" i="7"/>
  <c r="K173" i="7"/>
  <c r="K172" i="7"/>
  <c r="K171" i="7"/>
  <c r="L170" i="7" s="1"/>
  <c r="K169" i="7"/>
  <c r="K168" i="7"/>
  <c r="K167" i="7"/>
  <c r="K166" i="7"/>
  <c r="K165" i="7"/>
  <c r="K163" i="7"/>
  <c r="K162" i="7"/>
  <c r="K161" i="7"/>
  <c r="K160" i="7"/>
  <c r="K159" i="7"/>
  <c r="K157" i="7"/>
  <c r="K156" i="7"/>
  <c r="K155" i="7"/>
  <c r="K154" i="7"/>
  <c r="K153" i="7"/>
  <c r="L152" i="7" s="1"/>
  <c r="K151" i="7"/>
  <c r="K150" i="7"/>
  <c r="K149" i="7"/>
  <c r="K148" i="7"/>
  <c r="K147" i="7"/>
  <c r="K145" i="7"/>
  <c r="K144" i="7"/>
  <c r="K143" i="7"/>
  <c r="K142" i="7"/>
  <c r="K141" i="7"/>
  <c r="K139" i="7"/>
  <c r="K138" i="7"/>
  <c r="K137" i="7"/>
  <c r="K136" i="7"/>
  <c r="K135" i="7"/>
  <c r="L134" i="7" s="1"/>
  <c r="K133" i="7"/>
  <c r="K132" i="7"/>
  <c r="K131" i="7"/>
  <c r="K130" i="7"/>
  <c r="K129" i="7"/>
  <c r="K127" i="7"/>
  <c r="K126" i="7"/>
  <c r="K125" i="7"/>
  <c r="K124" i="7"/>
  <c r="K123" i="7"/>
  <c r="L122" i="7" s="1"/>
  <c r="K121" i="7"/>
  <c r="K120" i="7"/>
  <c r="K119" i="7"/>
  <c r="K118" i="7"/>
  <c r="K117" i="7"/>
  <c r="K115" i="7"/>
  <c r="K114" i="7"/>
  <c r="K113" i="7"/>
  <c r="K112" i="7"/>
  <c r="K111" i="7"/>
  <c r="K109" i="7"/>
  <c r="K108" i="7"/>
  <c r="K107" i="7"/>
  <c r="K106" i="7"/>
  <c r="K105" i="7"/>
  <c r="K103" i="7"/>
  <c r="K102" i="7"/>
  <c r="K101" i="7"/>
  <c r="K100" i="7"/>
  <c r="K99" i="7"/>
  <c r="K97" i="7"/>
  <c r="K96" i="7"/>
  <c r="K95" i="7"/>
  <c r="K94" i="7"/>
  <c r="K93" i="7"/>
  <c r="K91" i="7"/>
  <c r="K90" i="7"/>
  <c r="K89" i="7"/>
  <c r="K88" i="7"/>
  <c r="K87" i="7"/>
  <c r="L86" i="7" s="1"/>
  <c r="K85" i="7"/>
  <c r="K84" i="7"/>
  <c r="K83" i="7"/>
  <c r="K82" i="7"/>
  <c r="K81" i="7"/>
  <c r="K79" i="7"/>
  <c r="K78" i="7"/>
  <c r="K77" i="7"/>
  <c r="K76" i="7"/>
  <c r="K75" i="7"/>
  <c r="L74" i="7" s="1"/>
  <c r="K73" i="7"/>
  <c r="K72" i="7"/>
  <c r="K71" i="7"/>
  <c r="K70" i="7"/>
  <c r="K69" i="7"/>
  <c r="K67" i="7"/>
  <c r="K66" i="7"/>
  <c r="K65" i="7"/>
  <c r="K64" i="7"/>
  <c r="K63" i="7"/>
  <c r="K61" i="7"/>
  <c r="K60" i="7"/>
  <c r="K59" i="7"/>
  <c r="K58" i="7"/>
  <c r="K57" i="7"/>
  <c r="L56" i="7" s="1"/>
  <c r="K55" i="7"/>
  <c r="K54" i="7"/>
  <c r="K53" i="7"/>
  <c r="K52" i="7"/>
  <c r="K51" i="7"/>
  <c r="K49" i="7"/>
  <c r="K48" i="7"/>
  <c r="K47" i="7"/>
  <c r="K46" i="7"/>
  <c r="K45" i="7"/>
  <c r="K43" i="7"/>
  <c r="K42" i="7"/>
  <c r="K41" i="7"/>
  <c r="K40" i="7"/>
  <c r="K39" i="7"/>
  <c r="L38" i="7" s="1"/>
  <c r="K37" i="7"/>
  <c r="K36" i="7"/>
  <c r="K35" i="7"/>
  <c r="K34" i="7"/>
  <c r="K33" i="7"/>
  <c r="K31" i="7"/>
  <c r="K30" i="7"/>
  <c r="K29" i="7"/>
  <c r="K28" i="7"/>
  <c r="K27" i="7"/>
  <c r="L26" i="7" s="1"/>
  <c r="K25" i="7"/>
  <c r="K24" i="7"/>
  <c r="K23" i="7"/>
  <c r="K22" i="7"/>
  <c r="K21" i="7"/>
  <c r="K19" i="7"/>
  <c r="K18" i="7"/>
  <c r="K17" i="7"/>
  <c r="K16" i="7"/>
  <c r="K15" i="7"/>
  <c r="K13" i="7"/>
  <c r="K12" i="7"/>
  <c r="K11" i="7"/>
  <c r="K10" i="7"/>
  <c r="K9" i="7"/>
  <c r="L8" i="7" s="1"/>
  <c r="O8" i="1" s="1"/>
  <c r="K7" i="7"/>
  <c r="K6" i="7"/>
  <c r="K5" i="7"/>
  <c r="K4" i="7"/>
  <c r="K3" i="7"/>
  <c r="J596" i="7"/>
  <c r="I596" i="7"/>
  <c r="J590" i="7"/>
  <c r="I590" i="7"/>
  <c r="J584" i="7"/>
  <c r="I584" i="7"/>
  <c r="J578" i="7"/>
  <c r="I578" i="7"/>
  <c r="J572" i="7"/>
  <c r="I572" i="7"/>
  <c r="J566" i="7"/>
  <c r="I566" i="7"/>
  <c r="J560" i="7"/>
  <c r="I560" i="7"/>
  <c r="J554" i="7"/>
  <c r="I554" i="7"/>
  <c r="J548" i="7"/>
  <c r="I548" i="7"/>
  <c r="J542" i="7"/>
  <c r="I542" i="7"/>
  <c r="J536" i="7"/>
  <c r="I536" i="7"/>
  <c r="J530" i="7"/>
  <c r="I530" i="7"/>
  <c r="J524" i="7"/>
  <c r="I524" i="7"/>
  <c r="J518" i="7"/>
  <c r="I518" i="7"/>
  <c r="J512" i="7"/>
  <c r="I512" i="7"/>
  <c r="J506" i="7"/>
  <c r="I506" i="7"/>
  <c r="J500" i="7"/>
  <c r="I500" i="7"/>
  <c r="J494" i="7"/>
  <c r="I494" i="7"/>
  <c r="J488" i="7"/>
  <c r="I488" i="7"/>
  <c r="J482" i="7"/>
  <c r="I482" i="7"/>
  <c r="J476" i="7"/>
  <c r="I476" i="7"/>
  <c r="J470" i="7"/>
  <c r="I470" i="7"/>
  <c r="J464" i="7"/>
  <c r="I464" i="7"/>
  <c r="J458" i="7"/>
  <c r="I458" i="7"/>
  <c r="J452" i="7"/>
  <c r="I452" i="7"/>
  <c r="J446" i="7"/>
  <c r="I446" i="7"/>
  <c r="J440" i="7"/>
  <c r="I440" i="7"/>
  <c r="J434" i="7"/>
  <c r="I434" i="7"/>
  <c r="J428" i="7"/>
  <c r="I428" i="7"/>
  <c r="J422" i="7"/>
  <c r="I422" i="7"/>
  <c r="J416" i="7"/>
  <c r="I416" i="7"/>
  <c r="J410" i="7"/>
  <c r="I410" i="7"/>
  <c r="J404" i="7"/>
  <c r="I404" i="7"/>
  <c r="J398" i="7"/>
  <c r="I398" i="7"/>
  <c r="J392" i="7"/>
  <c r="I392" i="7"/>
  <c r="J386" i="7"/>
  <c r="I386" i="7"/>
  <c r="J380" i="7"/>
  <c r="I380" i="7"/>
  <c r="J374" i="7"/>
  <c r="I374" i="7"/>
  <c r="J368" i="7"/>
  <c r="I368" i="7"/>
  <c r="J362" i="7"/>
  <c r="I362" i="7"/>
  <c r="J356" i="7"/>
  <c r="I356" i="7"/>
  <c r="J350" i="7"/>
  <c r="I350" i="7"/>
  <c r="J344" i="7"/>
  <c r="I344" i="7"/>
  <c r="J338" i="7"/>
  <c r="I338" i="7"/>
  <c r="J332" i="7"/>
  <c r="I332" i="7"/>
  <c r="J326" i="7"/>
  <c r="I326" i="7"/>
  <c r="J320" i="7"/>
  <c r="I320" i="7"/>
  <c r="J314" i="7"/>
  <c r="I314" i="7"/>
  <c r="J308" i="7"/>
  <c r="I308" i="7"/>
  <c r="J302" i="7"/>
  <c r="I302" i="7"/>
  <c r="J296" i="7"/>
  <c r="I296" i="7"/>
  <c r="J290" i="7"/>
  <c r="I290" i="7"/>
  <c r="J284" i="7"/>
  <c r="I284" i="7"/>
  <c r="J278" i="7"/>
  <c r="I278" i="7"/>
  <c r="J272" i="7"/>
  <c r="I272" i="7"/>
  <c r="J266" i="7"/>
  <c r="I266" i="7"/>
  <c r="J260" i="7"/>
  <c r="I260" i="7"/>
  <c r="J254" i="7"/>
  <c r="I254" i="7"/>
  <c r="J248" i="7"/>
  <c r="I248" i="7"/>
  <c r="J242" i="7"/>
  <c r="I242" i="7"/>
  <c r="J236" i="7"/>
  <c r="I236" i="7"/>
  <c r="J230" i="7"/>
  <c r="I230" i="7"/>
  <c r="J224" i="7"/>
  <c r="I224" i="7"/>
  <c r="J218" i="7"/>
  <c r="I218" i="7"/>
  <c r="J212" i="7"/>
  <c r="I212" i="7"/>
  <c r="J206" i="7"/>
  <c r="I206" i="7"/>
  <c r="J200" i="7"/>
  <c r="I200" i="7"/>
  <c r="J194" i="7"/>
  <c r="I194" i="7"/>
  <c r="J188" i="7"/>
  <c r="I188" i="7"/>
  <c r="J182" i="7"/>
  <c r="I182" i="7"/>
  <c r="J176" i="7"/>
  <c r="I176" i="7"/>
  <c r="J170" i="7"/>
  <c r="I170" i="7"/>
  <c r="J164" i="7"/>
  <c r="I164" i="7"/>
  <c r="J158" i="7"/>
  <c r="I158" i="7"/>
  <c r="J152" i="7"/>
  <c r="I152" i="7"/>
  <c r="J146" i="7"/>
  <c r="I146" i="7"/>
  <c r="J140" i="7"/>
  <c r="I140" i="7"/>
  <c r="J134" i="7"/>
  <c r="I134" i="7"/>
  <c r="J128" i="7"/>
  <c r="I128" i="7"/>
  <c r="J122" i="7"/>
  <c r="I122" i="7"/>
  <c r="J116" i="7"/>
  <c r="I116" i="7"/>
  <c r="J110" i="7"/>
  <c r="I110" i="7"/>
  <c r="J104" i="7"/>
  <c r="I104" i="7"/>
  <c r="J98" i="7"/>
  <c r="I98" i="7"/>
  <c r="J92" i="7"/>
  <c r="I92" i="7"/>
  <c r="J86" i="7"/>
  <c r="I86" i="7"/>
  <c r="J80" i="7"/>
  <c r="I80" i="7"/>
  <c r="J74" i="7"/>
  <c r="I74" i="7"/>
  <c r="J68" i="7"/>
  <c r="I68" i="7"/>
  <c r="J62" i="7"/>
  <c r="I62" i="7"/>
  <c r="J56" i="7"/>
  <c r="I56" i="7"/>
  <c r="J50" i="7"/>
  <c r="I50" i="7"/>
  <c r="J44" i="7"/>
  <c r="I44" i="7"/>
  <c r="J38" i="7"/>
  <c r="I38" i="7"/>
  <c r="J32" i="7"/>
  <c r="I32" i="7"/>
  <c r="J26" i="7"/>
  <c r="I26" i="7"/>
  <c r="J20" i="7"/>
  <c r="M9" i="1" s="1"/>
  <c r="I20" i="7"/>
  <c r="L9" i="1" s="1"/>
  <c r="J14" i="7"/>
  <c r="M25" i="1" s="1"/>
  <c r="I14" i="7"/>
  <c r="L25" i="1" s="1"/>
  <c r="J8" i="7"/>
  <c r="M8" i="1" s="1"/>
  <c r="N8" i="1" s="1"/>
  <c r="I8" i="7"/>
  <c r="L8" i="1" s="1"/>
  <c r="J2" i="7"/>
  <c r="M10" i="1" s="1"/>
  <c r="K104" i="7" l="1"/>
  <c r="L104" i="7"/>
  <c r="L20" i="7"/>
  <c r="L68" i="7"/>
  <c r="L116" i="7"/>
  <c r="L164" i="7"/>
  <c r="L212" i="7"/>
  <c r="L260" i="7"/>
  <c r="L308" i="7"/>
  <c r="L356" i="7"/>
  <c r="L404" i="7"/>
  <c r="L452" i="7"/>
  <c r="L500" i="7"/>
  <c r="L548" i="7"/>
  <c r="L596" i="7"/>
  <c r="L2" i="7"/>
  <c r="L98" i="7"/>
  <c r="L242" i="7"/>
  <c r="L338" i="7"/>
  <c r="L434" i="7"/>
  <c r="L530" i="7"/>
  <c r="L32" i="7"/>
  <c r="L80" i="7"/>
  <c r="L128" i="7"/>
  <c r="L176" i="7"/>
  <c r="L224" i="7"/>
  <c r="L272" i="7"/>
  <c r="L320" i="7"/>
  <c r="L368" i="7"/>
  <c r="L416" i="7"/>
  <c r="L464" i="7"/>
  <c r="L512" i="7"/>
  <c r="L560" i="7"/>
  <c r="L146" i="7"/>
  <c r="L290" i="7"/>
  <c r="L482" i="7"/>
  <c r="L14" i="7"/>
  <c r="L62" i="7"/>
  <c r="L110" i="7"/>
  <c r="L158" i="7"/>
  <c r="L206" i="7"/>
  <c r="L254" i="7"/>
  <c r="L302" i="7"/>
  <c r="L350" i="7"/>
  <c r="L398" i="7"/>
  <c r="L446" i="7"/>
  <c r="L494" i="7"/>
  <c r="L542" i="7"/>
  <c r="L590" i="7"/>
  <c r="L50" i="7"/>
  <c r="L194" i="7"/>
  <c r="L386" i="7"/>
  <c r="L578" i="7"/>
  <c r="L44" i="7"/>
  <c r="L92" i="7"/>
  <c r="L140" i="7"/>
  <c r="L188" i="7"/>
  <c r="L236" i="7"/>
  <c r="L284" i="7"/>
  <c r="L332" i="7"/>
  <c r="L380" i="7"/>
  <c r="L428" i="7"/>
  <c r="L476" i="7"/>
  <c r="L524" i="7"/>
  <c r="L572" i="7"/>
  <c r="N25" i="1"/>
  <c r="N9" i="1"/>
  <c r="K122" i="7"/>
  <c r="K314" i="7"/>
  <c r="K80" i="7"/>
  <c r="K224" i="7"/>
  <c r="K512" i="7"/>
  <c r="K176" i="7"/>
  <c r="K188" i="7"/>
  <c r="K464" i="7"/>
  <c r="K554" i="7"/>
  <c r="K488" i="7"/>
  <c r="K272" i="7"/>
  <c r="K32" i="7"/>
  <c r="K128" i="7"/>
  <c r="K416" i="7"/>
  <c r="K68" i="7"/>
  <c r="K152" i="7"/>
  <c r="K170" i="7"/>
  <c r="K236" i="7"/>
  <c r="K404" i="7"/>
  <c r="K536" i="7"/>
  <c r="K116" i="7"/>
  <c r="K218" i="7"/>
  <c r="K284" i="7"/>
  <c r="K452" i="7"/>
  <c r="K500" i="7"/>
  <c r="K548" i="7"/>
  <c r="K584" i="7"/>
  <c r="K200" i="7"/>
  <c r="K248" i="7"/>
  <c r="K266" i="7"/>
  <c r="K332" i="7"/>
  <c r="K380" i="7"/>
  <c r="K296" i="7"/>
  <c r="K362" i="7"/>
  <c r="K458" i="7"/>
  <c r="K212" i="7"/>
  <c r="K428" i="7"/>
  <c r="K494" i="7"/>
  <c r="K44" i="7"/>
  <c r="K164" i="7"/>
  <c r="K260" i="7"/>
  <c r="K392" i="7"/>
  <c r="K410" i="7"/>
  <c r="K476" i="7"/>
  <c r="K596" i="7"/>
  <c r="K8" i="7"/>
  <c r="K26" i="7"/>
  <c r="K92" i="7"/>
  <c r="K308" i="7"/>
  <c r="K344" i="7"/>
  <c r="K524" i="7"/>
  <c r="K56" i="7"/>
  <c r="K74" i="7"/>
  <c r="K140" i="7"/>
  <c r="K356" i="7"/>
  <c r="K440" i="7"/>
  <c r="K572" i="7"/>
  <c r="K20" i="7"/>
  <c r="K62" i="7"/>
  <c r="K110" i="7"/>
  <c r="K158" i="7"/>
  <c r="K206" i="7"/>
  <c r="K254" i="7"/>
  <c r="K302" i="7"/>
  <c r="K350" i="7"/>
  <c r="K398" i="7"/>
  <c r="K446" i="7"/>
  <c r="K482" i="7"/>
  <c r="K542" i="7"/>
  <c r="K590" i="7"/>
  <c r="K14" i="7"/>
  <c r="K50" i="7"/>
  <c r="K98" i="7"/>
  <c r="K146" i="7"/>
  <c r="K194" i="7"/>
  <c r="K242" i="7"/>
  <c r="K290" i="7"/>
  <c r="K338" i="7"/>
  <c r="K374" i="7"/>
  <c r="K386" i="7"/>
  <c r="K434" i="7"/>
  <c r="K530" i="7"/>
  <c r="K578" i="7"/>
  <c r="K38" i="7"/>
  <c r="K86" i="7"/>
  <c r="K134" i="7"/>
  <c r="K182" i="7"/>
  <c r="K230" i="7"/>
  <c r="K278" i="7"/>
  <c r="K326" i="7"/>
  <c r="K422" i="7"/>
  <c r="K470" i="7"/>
  <c r="K506" i="7"/>
  <c r="K518" i="7"/>
  <c r="K566" i="7"/>
  <c r="K2" i="7"/>
  <c r="X20" i="1" l="1"/>
  <c r="X11" i="1"/>
  <c r="O9" i="1"/>
  <c r="X9" i="1" s="1"/>
  <c r="O25" i="1"/>
  <c r="X25" i="1" s="1"/>
  <c r="X8" i="1"/>
  <c r="O10" i="1"/>
  <c r="AE7" i="1"/>
  <c r="I2" i="7" l="1"/>
  <c r="L10" i="1" s="1"/>
  <c r="N10" i="1" s="1"/>
  <c r="X10" i="1" s="1"/>
  <c r="R2" i="3"/>
  <c r="CK2" i="8" l="1"/>
  <c r="CJ2" i="8"/>
  <c r="B2" i="1"/>
  <c r="H1" i="1"/>
  <c r="B4" i="1"/>
  <c r="Z3" i="7"/>
  <c r="Z4" i="7" s="1"/>
  <c r="Z5" i="7" s="1"/>
  <c r="Z6" i="7" s="1"/>
  <c r="Z7" i="7" s="1"/>
  <c r="Z8" i="7" s="1"/>
  <c r="Z9" i="7" s="1"/>
  <c r="Z10" i="7" s="1"/>
  <c r="Z11" i="7" s="1"/>
  <c r="Z12" i="7" s="1"/>
  <c r="Z13" i="7" s="1"/>
  <c r="Z14" i="7" s="1"/>
  <c r="Z15" i="7" s="1"/>
  <c r="Z16" i="7" s="1"/>
  <c r="Z17" i="7" s="1"/>
  <c r="Z18" i="7" s="1"/>
  <c r="Z19" i="7" s="1"/>
  <c r="Z20" i="7" s="1"/>
  <c r="Z21" i="7" s="1"/>
  <c r="Z22" i="7" s="1"/>
  <c r="Z23" i="7" s="1"/>
  <c r="Z24" i="7" s="1"/>
  <c r="Z25" i="7" s="1"/>
  <c r="Z26" i="7" s="1"/>
  <c r="Z27" i="7" s="1"/>
  <c r="Z28" i="7" s="1"/>
  <c r="Z29" i="7" s="1"/>
  <c r="Z30" i="7" s="1"/>
  <c r="Z31" i="7" s="1"/>
  <c r="Z32" i="7" s="1"/>
  <c r="Z33" i="7" s="1"/>
  <c r="Z34" i="7" s="1"/>
  <c r="Z35" i="7" s="1"/>
  <c r="Z36" i="7" s="1"/>
  <c r="Z37" i="7" s="1"/>
  <c r="Z38" i="7" s="1"/>
  <c r="Z39" i="7" s="1"/>
  <c r="Z40" i="7" s="1"/>
  <c r="Z41" i="7" s="1"/>
  <c r="Z42" i="7" s="1"/>
  <c r="Z43" i="7" s="1"/>
  <c r="Z44" i="7" s="1"/>
  <c r="Z45" i="7" s="1"/>
  <c r="Z46" i="7" s="1"/>
  <c r="Z47" i="7" s="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Z179" i="7" s="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Y32" i="7" l="1"/>
  <c r="AG26" i="7"/>
  <c r="AG2" i="7"/>
  <c r="AG20" i="7"/>
  <c r="AG32" i="7"/>
  <c r="AG14" i="7"/>
  <c r="AG8" i="7"/>
  <c r="Y26" i="7"/>
  <c r="Y8" i="7"/>
  <c r="Y20" i="7"/>
  <c r="Y2" i="7"/>
  <c r="Y14" i="7"/>
  <c r="AA64" i="7" l="1"/>
  <c r="AA128" i="7"/>
  <c r="AA85" i="7"/>
  <c r="AA192" i="7"/>
  <c r="AD2" i="7"/>
  <c r="AA2" i="7" s="1"/>
  <c r="AA151" i="7"/>
  <c r="AA23" i="7"/>
  <c r="AA110" i="7"/>
  <c r="AA133" i="7"/>
  <c r="AA176" i="7"/>
  <c r="AA48" i="7"/>
  <c r="AA160" i="7"/>
  <c r="AA96" i="7"/>
  <c r="AA32" i="7"/>
  <c r="AA183" i="7"/>
  <c r="AA119" i="7"/>
  <c r="AA55" i="7"/>
  <c r="AA206" i="7"/>
  <c r="AA142" i="7"/>
  <c r="AA78" i="7"/>
  <c r="AA14" i="7"/>
  <c r="AA165" i="7"/>
  <c r="AA101" i="7"/>
  <c r="AA9" i="7"/>
  <c r="AA215" i="7"/>
  <c r="AA87" i="7"/>
  <c r="AA174" i="7"/>
  <c r="AA46" i="7"/>
  <c r="AA197" i="7"/>
  <c r="AA69" i="7"/>
  <c r="AA112" i="7"/>
  <c r="AA199" i="7"/>
  <c r="AA135" i="7"/>
  <c r="AA71" i="7"/>
  <c r="AA7" i="7"/>
  <c r="AA158" i="7"/>
  <c r="AA94" i="7"/>
  <c r="AA30" i="7"/>
  <c r="AA181" i="7"/>
  <c r="AA117" i="7"/>
  <c r="AA208" i="7"/>
  <c r="AA144" i="7"/>
  <c r="AA80" i="7"/>
  <c r="AA16" i="7"/>
  <c r="AA167" i="7"/>
  <c r="AA103" i="7"/>
  <c r="AA39" i="7"/>
  <c r="AA190" i="7"/>
  <c r="AA126" i="7"/>
  <c r="AA62" i="7"/>
  <c r="AA213" i="7"/>
  <c r="AA149" i="7"/>
  <c r="AA188" i="7"/>
  <c r="AA156" i="7"/>
  <c r="AA124" i="7"/>
  <c r="AA92" i="7"/>
  <c r="AA60" i="7"/>
  <c r="AA28" i="7"/>
  <c r="AA12" i="7"/>
  <c r="AA179" i="7"/>
  <c r="AA131" i="7"/>
  <c r="AA99" i="7"/>
  <c r="AA67" i="7"/>
  <c r="AA35" i="7"/>
  <c r="AA3" i="7"/>
  <c r="AA186" i="7"/>
  <c r="AA154" i="7"/>
  <c r="AA122" i="7"/>
  <c r="AA106" i="7"/>
  <c r="AA74" i="7"/>
  <c r="AA42" i="7"/>
  <c r="AA10" i="7"/>
  <c r="AA193" i="7"/>
  <c r="AA177" i="7"/>
  <c r="AA145" i="7"/>
  <c r="AA113" i="7"/>
  <c r="AA81" i="7"/>
  <c r="AA65" i="7"/>
  <c r="AA17" i="7"/>
  <c r="AA200" i="7"/>
  <c r="AA184" i="7"/>
  <c r="AA168" i="7"/>
  <c r="AA152" i="7"/>
  <c r="AA136" i="7"/>
  <c r="AA120" i="7"/>
  <c r="AA104" i="7"/>
  <c r="AA88" i="7"/>
  <c r="AA72" i="7"/>
  <c r="AA56" i="7"/>
  <c r="AA40" i="7"/>
  <c r="AA24" i="7"/>
  <c r="AA8" i="7"/>
  <c r="AA207" i="7"/>
  <c r="AA191" i="7"/>
  <c r="AA175" i="7"/>
  <c r="AA159" i="7"/>
  <c r="AA143" i="7"/>
  <c r="AA127" i="7"/>
  <c r="AA111" i="7"/>
  <c r="AA95" i="7"/>
  <c r="AA79" i="7"/>
  <c r="AA63" i="7"/>
  <c r="AA47" i="7"/>
  <c r="AA31" i="7"/>
  <c r="AA15" i="7"/>
  <c r="AA214" i="7"/>
  <c r="AA198" i="7"/>
  <c r="AA182" i="7"/>
  <c r="AA166" i="7"/>
  <c r="AA150" i="7"/>
  <c r="AA134" i="7"/>
  <c r="AA118" i="7"/>
  <c r="AA102" i="7"/>
  <c r="AA86" i="7"/>
  <c r="AA70" i="7"/>
  <c r="AA54" i="7"/>
  <c r="AA38" i="7"/>
  <c r="AA22" i="7"/>
  <c r="AA6" i="7"/>
  <c r="AA205" i="7"/>
  <c r="AA189" i="7"/>
  <c r="AA173" i="7"/>
  <c r="AA157" i="7"/>
  <c r="AA141" i="7"/>
  <c r="AA125" i="7"/>
  <c r="AA109" i="7"/>
  <c r="AA93" i="7"/>
  <c r="AA77" i="7"/>
  <c r="AA61" i="7"/>
  <c r="AA45" i="7"/>
  <c r="AA29" i="7"/>
  <c r="AA13" i="7"/>
  <c r="AA53" i="7"/>
  <c r="AA37" i="7"/>
  <c r="AA21" i="7"/>
  <c r="AA5" i="7"/>
  <c r="AA204" i="7"/>
  <c r="AA172" i="7"/>
  <c r="AA140" i="7"/>
  <c r="AA108" i="7"/>
  <c r="AA76" i="7"/>
  <c r="AA44" i="7"/>
  <c r="AA211" i="7"/>
  <c r="AA195" i="7"/>
  <c r="AA163" i="7"/>
  <c r="AA147" i="7"/>
  <c r="AA115" i="7"/>
  <c r="AA83" i="7"/>
  <c r="AA51" i="7"/>
  <c r="AA19" i="7"/>
  <c r="AA202" i="7"/>
  <c r="AA170" i="7"/>
  <c r="AA138" i="7"/>
  <c r="AA90" i="7"/>
  <c r="AA58" i="7"/>
  <c r="AA26" i="7"/>
  <c r="AA209" i="7"/>
  <c r="AA161" i="7"/>
  <c r="AA129" i="7"/>
  <c r="AA97" i="7"/>
  <c r="AA49" i="7"/>
  <c r="AA33" i="7"/>
  <c r="AA216" i="7"/>
  <c r="AA212" i="7"/>
  <c r="AA196" i="7"/>
  <c r="AA180" i="7"/>
  <c r="AA164" i="7"/>
  <c r="AA148" i="7"/>
  <c r="AA132" i="7"/>
  <c r="AA116" i="7"/>
  <c r="AA100" i="7"/>
  <c r="AA84" i="7"/>
  <c r="AA68" i="7"/>
  <c r="AA52" i="7"/>
  <c r="AA36" i="7"/>
  <c r="AA20" i="7"/>
  <c r="AA4" i="7"/>
  <c r="AA203" i="7"/>
  <c r="AA187" i="7"/>
  <c r="AA171" i="7"/>
  <c r="AA155" i="7"/>
  <c r="AA139" i="7"/>
  <c r="AA123" i="7"/>
  <c r="AA107" i="7"/>
  <c r="AA91" i="7"/>
  <c r="AA75" i="7"/>
  <c r="AA59" i="7"/>
  <c r="AA43" i="7"/>
  <c r="AA27" i="7"/>
  <c r="AA11" i="7"/>
  <c r="AA210" i="7"/>
  <c r="AA194" i="7"/>
  <c r="AA178" i="7"/>
  <c r="AA162" i="7"/>
  <c r="AA146" i="7"/>
  <c r="AA130" i="7"/>
  <c r="AA114" i="7"/>
  <c r="AA98" i="7"/>
  <c r="AA82" i="7"/>
  <c r="AA66" i="7"/>
  <c r="AA50" i="7"/>
  <c r="AA34" i="7"/>
  <c r="AA18" i="7"/>
  <c r="AA201" i="7"/>
  <c r="AA185" i="7"/>
  <c r="AA169" i="7"/>
  <c r="AA153" i="7"/>
  <c r="AA137" i="7"/>
  <c r="AA121" i="7"/>
  <c r="AA105" i="7"/>
  <c r="AA89" i="7"/>
  <c r="AA73" i="7"/>
  <c r="AA57" i="7"/>
  <c r="AA41" i="7"/>
  <c r="AA25" i="7"/>
</calcChain>
</file>

<file path=xl/comments1.xml><?xml version="1.0" encoding="utf-8"?>
<comments xmlns="http://schemas.openxmlformats.org/spreadsheetml/2006/main">
  <authors>
    <author>terryg</author>
    <author>Admin</author>
  </authors>
  <commentList>
    <comment ref="O5" authorId="0" shapeId="0">
      <text>
        <r>
          <rPr>
            <b/>
            <sz val="9"/>
            <color indexed="81"/>
            <rFont val="Tahoma"/>
            <family val="2"/>
          </rPr>
          <t>terryg:</t>
        </r>
        <r>
          <rPr>
            <sz val="9"/>
            <color indexed="81"/>
            <rFont val="Tahoma"/>
            <family val="2"/>
          </rPr>
          <t xml:space="preserve">
This is to designate whether this budget has already been spent or not, Just keep basic and enter % and will apply to overall budget rollup).</t>
        </r>
      </text>
    </comment>
    <comment ref="A7" authorId="0" shapeId="0">
      <text>
        <r>
          <rPr>
            <b/>
            <sz val="9"/>
            <color indexed="81"/>
            <rFont val="Tahoma"/>
            <family val="2"/>
          </rPr>
          <t>terryg:</t>
        </r>
        <r>
          <rPr>
            <sz val="9"/>
            <color indexed="81"/>
            <rFont val="Tahoma"/>
            <family val="2"/>
          </rPr>
          <t xml:space="preserve">
splits get taken from B1)</t>
        </r>
      </text>
    </comment>
    <comment ref="E8" authorId="0" shapeId="0">
      <text>
        <r>
          <rPr>
            <b/>
            <sz val="9"/>
            <color indexed="81"/>
            <rFont val="Tahoma"/>
            <family val="2"/>
          </rPr>
          <t>terryg:</t>
        </r>
        <r>
          <rPr>
            <sz val="9"/>
            <color indexed="81"/>
            <rFont val="Tahoma"/>
            <family val="2"/>
          </rPr>
          <t xml:space="preserve">
multi-select from dropdown</t>
        </r>
      </text>
    </comment>
    <comment ref="K15" authorId="1" shapeId="0">
      <text>
        <r>
          <rPr>
            <sz val="9"/>
            <color indexed="81"/>
            <rFont val="Tahoma"/>
            <family val="2"/>
          </rPr>
          <t>Resources:_x000D_
_x000D_
Code: ISM_x000D_
Type: InfoSec Manager_x000D_
# Resources: 1_x000D_
Hours per resource: 100_x000D_
Rate: $125000 per Annum_x000D_
_x000D_
Code: ITO_x000D_
Type: IT Operations_x000D_
# Resources: 1_x000D_
Hours per resource: 2080_x000D_
Rate: $100000 per Annum</t>
        </r>
      </text>
    </comment>
    <comment ref="K16" authorId="1" shapeId="0">
      <text>
        <r>
          <rPr>
            <sz val="9"/>
            <color indexed="81"/>
            <rFont val="Tahoma"/>
            <family val="2"/>
          </rPr>
          <t>Resources:_x000D_
_x000D_
Code: ISM_x000D_
Type: InfoSec Manager_x000D_
# Resources: 1_x000D_
Hours per resource: 300_x000D_
Rate: $125000 per Annum_x000D_
_x000D_
Code: ITO_x000D_
Type: IT Operations_x000D_
# Resources: 2_x000D_
Hours per resource: 2080_x000D_
Rate: $100000 per Annum</t>
        </r>
      </text>
    </comment>
    <comment ref="K17" authorId="1" shapeId="0">
      <text>
        <r>
          <rPr>
            <sz val="9"/>
            <color indexed="81"/>
            <rFont val="Tahoma"/>
            <family val="2"/>
          </rPr>
          <t>Resources:_x000D_
_x000D_
Code: ISM_x000D_
Type: InfoSec Manager_x000D_
# Resources: 1_x000D_
Hours per resource: 100_x000D_
Rate: $125000 per Annum_x000D_
_x000D_
Code: ITO_x000D_
Type: IT Operations_x000D_
# Resources: 1_x000D_
Hours per resource: 2080_x000D_
Rate: $100000 per Annum</t>
        </r>
      </text>
    </comment>
    <comment ref="K18" authorId="0" shapeId="0">
      <text>
        <r>
          <rPr>
            <sz val="9"/>
            <color indexed="81"/>
            <rFont val="Tahoma"/>
            <family val="2"/>
          </rPr>
          <t>Resources:_x000D_
_x000D_
Code: ISM_x000D_
Type: InfoSec Manager_x000D_
# Resources: 1_x000D_
Hours per resource: 100_x000D_
Rate: $125000 per Annum_x000D_
_x000D_
Code: ITO_x000D_
Type: IT Operations_x000D_
# Resources: 3_x000D_
Hours per resource: 2080_x000D_
Rate: $100000 per Annum</t>
        </r>
      </text>
    </comment>
    <comment ref="K26" authorId="0" shapeId="0">
      <text>
        <r>
          <rPr>
            <sz val="9"/>
            <color indexed="81"/>
            <rFont val="Tahoma"/>
            <family val="2"/>
          </rPr>
          <t>Resources:_x000D_
_x000D_
Code: ISM_x000D_
Type: InfoSec Manager_x000D_
# Resources: 1_x000D_
Hours per resource: 500_x000D_
Rate: $125000 per Annum_x000D_
_x000D_
Code: INA_x000D_
Type: Network Admin_x000D_
# Resources: 1_x000D_
Hours per resource: 2080_x000D_
Rate: $85000 per Annum_x000D_
_x000D_
Code: ITO_x000D_
Type: IT Operations_x000D_
# Resources: 1_x000D_
Hours per resource: 100_x000D_
Rate: $100000 per Annum</t>
        </r>
      </text>
    </comment>
    <comment ref="K30" authorId="1" shapeId="0">
      <text>
        <r>
          <rPr>
            <sz val="9"/>
            <color indexed="81"/>
            <rFont val="Tahoma"/>
            <family val="2"/>
          </rPr>
          <t>Resources:_x000D_
_x000D_
Code: ISM_x000D_
Type: InfoSec Manager_x000D_
# Resources: 1_x000D_
Hours per resource: 100_x000D_
Rate: $125000 per Annum_x000D_
_x000D_
Code: ITO_x000D_
Type: IT Operations_x000D_
# Resources: 1_x000D_
Hours per resource: 500_x000D_
Rate: $100000 per Annum</t>
        </r>
      </text>
    </comment>
    <comment ref="K31" authorId="0" shapeId="0">
      <text>
        <r>
          <rPr>
            <sz val="9"/>
            <color indexed="81"/>
            <rFont val="Tahoma"/>
            <family val="2"/>
          </rPr>
          <t>Resources:_x000D_
_x000D_
Code: ESM_x000D_
Type: Subject Matter Expert_x000D_
# Resources: 1_x000D_
Hours per resource: 300_x000D_
Rate: $250 per Hour_x000D_
_x000D_
Code: IAU_x000D_
Type: Internal Audit_x000D_
# Resources: 1_x000D_
Hours per resource: 40_x000D_
Rate: $105000 per Annum_x000D_
_x000D_
Code: ISM_x000D_
Type: InfoSec Manager_x000D_
# Resources: 1_x000D_
Hours per resource: 80_x000D_
Rate: $125000 per Annum_x000D_
_x000D_
Code: IPG_x000D_
Type: GRC &amp; Policy Developer_x000D_
# Resources: 1_x000D_
Hours per resource: 100_x000D_
Rate: $125000 per Annum</t>
        </r>
      </text>
    </comment>
    <comment ref="K35" authorId="0" shapeId="0">
      <text>
        <r>
          <rPr>
            <sz val="9"/>
            <color indexed="81"/>
            <rFont val="Tahoma"/>
            <family val="2"/>
          </rPr>
          <t>Resources:_x000D_
_x000D_
Code: ISM_x000D_
Type: InfoSec Manager_x000D_
# Resources: 1_x000D_
Hours per resource: 40_x000D_
Rate: $125000 per Annum_x000D_
_x000D_
Code: IPT_x000D_
Type: Internal Pen Test_x000D_
# Resources: 1_x000D_
Hours per resource: 160_x000D_
Rate: $225000 per Annum</t>
        </r>
      </text>
    </comment>
    <comment ref="K36" authorId="0" shapeId="0">
      <text>
        <r>
          <rPr>
            <sz val="9"/>
            <color indexed="81"/>
            <rFont val="Tahoma"/>
            <family val="2"/>
          </rPr>
          <t>Resources:_x000D_
_x000D_
Code: ISM_x000D_
Type: InfoSec Manager_x000D_
# Resources: 1_x000D_
Hours per resource: 40_x000D_
Rate: $125000 per Annum_x000D_
_x000D_
Code: IPT_x000D_
Type: Internal Pen Test_x000D_
# Resources: 1_x000D_
Hours per resource: 180_x000D_
Rate: $225000 per Annum</t>
        </r>
      </text>
    </comment>
    <comment ref="K37" authorId="0" shapeId="0">
      <text>
        <r>
          <rPr>
            <sz val="9"/>
            <color indexed="81"/>
            <rFont val="Tahoma"/>
            <family val="2"/>
          </rPr>
          <t>Resources:_x000D_
_x000D_
Code: ISM_x000D_
Type: InfoSec Manager_x000D_
# Resources: 1_x000D_
Hours per resource: 40_x000D_
Rate: $125000 per Annum_x000D_
_x000D_
Code: IPT_x000D_
Type: Internal Pen Test_x000D_
# Resources: 1_x000D_
Hours per resource: 160_x000D_
Rate: $225000 per Annum_x000D_
_x000D_
Code: IAU_x000D_
Type: Internal Audit_x000D_
# Resources: 1_x000D_
Hours per resource: 40_x000D_
Rate: $105000 per Annum</t>
        </r>
      </text>
    </comment>
    <comment ref="K40" authorId="0" shapeId="0">
      <text>
        <r>
          <rPr>
            <sz val="9"/>
            <color indexed="81"/>
            <rFont val="Tahoma"/>
            <family val="2"/>
          </rPr>
          <t>Resources:_x000D_
_x000D_
Code: IPM_x000D_
Type: Project Manager_x000D_
# Resources: 1_x000D_
Hours per resource: 40_x000D_
Rate: $85000 per Annum_x000D_
_x000D_
Code: EQS_x000D_
Type: QSA_x000D_
# Resources: 1_x000D_
Hours per resource: 120_x000D_
Rate: $275 per Hour_x000D_
_x000D_
Code: IAU_x000D_
Type: Internal Audit_x000D_
# Resources: 1_x000D_
Hours per resource: 40_x000D_
Rate: $105000 per Annum_x000D_
_x000D_
Code: ISM_x000D_
Type: InfoSec Manager_x000D_
# Resources: 1_x000D_
Hours per resource: 20_x000D_
Rate: $125000 per Annum</t>
        </r>
      </text>
    </comment>
    <comment ref="K41" authorId="0" shapeId="0">
      <text>
        <r>
          <rPr>
            <sz val="9"/>
            <color indexed="81"/>
            <rFont val="Tahoma"/>
            <family val="2"/>
          </rPr>
          <t>Resources:_x000D_
_x000D_
Code: ISM_x000D_
Type: InfoSec Manager_x000D_
# Resources: 1_x000D_
Hours per resource: 40_x000D_
Rate: $125000 per Annum_x000D_
_x000D_
Code: IPG_x000D_
Type: GRC &amp; Policy Developer_x000D_
# Resources: 1_x000D_
Hours per resource: 200_x000D_
Rate: $125000 per Annum</t>
        </r>
      </text>
    </comment>
    <comment ref="K42" authorId="0" shapeId="0">
      <text>
        <r>
          <rPr>
            <sz val="9"/>
            <color indexed="81"/>
            <rFont val="Tahoma"/>
            <family val="2"/>
          </rPr>
          <t>Resources:_x000D_
_x000D_
Code: IAU_x000D_
Type: Internal Audit_x000D_
# Resources: 1_x000D_
Hours per resource: 500_x000D_
Rate: $105000 per Annum</t>
        </r>
      </text>
    </comment>
    <comment ref="K43" authorId="0" shapeId="0">
      <text>
        <r>
          <rPr>
            <sz val="9"/>
            <color indexed="81"/>
            <rFont val="Tahoma"/>
            <family val="2"/>
          </rPr>
          <t>Resources:_x000D_
_x000D_
Code: IPG_x000D_
Type: GRC &amp; Policy Developer_x000D_
# Resources: 1_x000D_
Hours per resource: 300_x000D_
Rate: $125000 per Annum</t>
        </r>
      </text>
    </comment>
    <comment ref="K45" authorId="0" shapeId="0">
      <text>
        <r>
          <rPr>
            <sz val="9"/>
            <color indexed="81"/>
            <rFont val="Tahoma"/>
            <family val="2"/>
          </rPr>
          <t>Resources:_x000D_
_x000D_
Code: INA_x000D_
Type: Network Admin_x000D_
# Resources: 1_x000D_
Hours per resource: 2080_x000D_
Rate: $85000 per Annum_x000D_
_x000D_
Code: ITO_x000D_
Type: IT Operations_x000D_
# Resources: 1_x000D_
Hours per resource: 800_x000D_
Rate: $100000 per Annum</t>
        </r>
      </text>
    </comment>
    <comment ref="K46" authorId="0" shapeId="0">
      <text>
        <r>
          <rPr>
            <sz val="9"/>
            <color indexed="81"/>
            <rFont val="Tahoma"/>
            <family val="2"/>
          </rPr>
          <t>Resources:_x000D_
_x000D_
Code: ISM_x000D_
Type: InfoSec Manager_x000D_
# Resources: 1_x000D_
Hours per resource: 20_x000D_
Rate: $125000 per Annum_x000D_
_x000D_
Code: IPG_x000D_
Type: GRC &amp; Policy Developer_x000D_
# Resources: 1_x000D_
Hours per resource: 40_x000D_
Rate: $125000 per Annum_x000D_
_x000D_
Code: ESM_x000D_
Type: Subject Matter Expert_x000D_
# Resources: 1_x000D_
Hours per resource: 120_x000D_
Rate: $250 per Hour</t>
        </r>
      </text>
    </comment>
    <comment ref="K47" authorId="0" shapeId="0">
      <text>
        <r>
          <rPr>
            <sz val="9"/>
            <color indexed="81"/>
            <rFont val="Tahoma"/>
            <family val="2"/>
          </rPr>
          <t>Resources:_x000D_
_x000D_
Code: ISM_x000D_
Type: InfoSec Manager_x000D_
# Resources: 1_x000D_
Hours per resource: 20_x000D_
Rate: $125000 per Annum_x000D_
_x000D_
Code: ESM_x000D_
Type: Subject Matter Expert_x000D_
# Resources: 1_x000D_
Hours per resource: 80_x000D_
Rate: $250 per Hour</t>
        </r>
      </text>
    </comment>
    <comment ref="K51" authorId="1" shapeId="0">
      <text>
        <r>
          <rPr>
            <sz val="9"/>
            <color indexed="81"/>
            <rFont val="Tahoma"/>
            <family val="2"/>
          </rPr>
          <t>Resources:_x000D_
_x000D_
Code: IPM_x000D_
Type: Project Manager_x000D_
# Resources: 1_x000D_
Hours per resource: 80_x000D_
Rate: $85000 per Annum_x000D_
_x000D_
Code: ITO_x000D_
Type: IT Operations_x000D_
# Resources: 1_x000D_
Hours per resource: 40_x000D_
Rate: $100000 per Annum_x000D_
_x000D_
Code: ESM_x000D_
Type: Subject Matter Expert_x000D_
# Resources: 1_x000D_
Hours per resource: 80_x000D_
Rate: $250 per Hour</t>
        </r>
      </text>
    </comment>
    <comment ref="K52" authorId="0" shapeId="0">
      <text>
        <r>
          <rPr>
            <sz val="9"/>
            <color indexed="81"/>
            <rFont val="Tahoma"/>
            <family val="2"/>
          </rPr>
          <t>Resources:_x000D_
_x000D_
Code: EDE_x000D_
Type: Deployment Engineer_x000D_
# Resources: 1_x000D_
Hours per resource: 80_x000D_
Rate: $65 per Hour</t>
        </r>
      </text>
    </comment>
    <comment ref="K55" authorId="0" shapeId="0">
      <text>
        <r>
          <rPr>
            <sz val="9"/>
            <color indexed="81"/>
            <rFont val="Tahoma"/>
            <family val="2"/>
          </rPr>
          <t>Resources:_x000D_
_x000D_
Code: IDV_x000D_
Type: Application Developer_x000D_
# Resources: 5_x000D_
Hours per resource: 30_x000D_
Rate: $125000 per Annum</t>
        </r>
      </text>
    </comment>
    <comment ref="K56" authorId="0" shapeId="0">
      <text>
        <r>
          <rPr>
            <sz val="9"/>
            <color indexed="81"/>
            <rFont val="Tahoma"/>
            <family val="2"/>
          </rPr>
          <t>Resources:_x000D_
_x000D_
Code: ISA_x000D_
Type: Security Architect_x000D_
# Resources: 7_x000D_
Hours per resource: 40_x000D_
Rate: $125000 per Annum</t>
        </r>
      </text>
    </comment>
    <comment ref="K57" authorId="0" shapeId="0">
      <text>
        <r>
          <rPr>
            <sz val="9"/>
            <color indexed="81"/>
            <rFont val="Tahoma"/>
            <family val="2"/>
          </rPr>
          <t>Resources:_x000D_
_x000D_
Code: ISA_x000D_
Type: Security Architect_x000D_
# Resources: 4_x000D_
Hours per resource: 30_x000D_
Rate: $125000 per Annum_x000D_
_x000D_
Code: ISM_x000D_
Type: InfoSec Manager_x000D_
# Resources: 3_x000D_
Hours per resource: 30_x000D_
Rate: $125000 per Annum</t>
        </r>
      </text>
    </comment>
    <comment ref="K58" authorId="0" shapeId="0">
      <text>
        <r>
          <rPr>
            <sz val="9"/>
            <color indexed="81"/>
            <rFont val="Tahoma"/>
            <family val="2"/>
          </rPr>
          <t>Resources:_x000D_
_x000D_
Code: IDV_x000D_
Type: Application Developer_x000D_
# Resources: 5_x000D_
Hours per resource: 40_x000D_
Rate: $125000 per Annum_x000D_
_x000D_
Code: ISA_x000D_
Type: Security Architect_x000D_
# Resources: 5_x000D_
Hours per resource: 40_x000D_
Rate: $125000 per Annum</t>
        </r>
      </text>
    </comment>
  </commentList>
</comments>
</file>

<file path=xl/comments2.xml><?xml version="1.0" encoding="utf-8"?>
<comments xmlns="http://schemas.openxmlformats.org/spreadsheetml/2006/main">
  <authors>
    <author>terryg</author>
  </authors>
  <commentList>
    <comment ref="H3" authorId="0" shapeId="0">
      <text>
        <r>
          <rPr>
            <sz val="9"/>
            <color indexed="81"/>
            <rFont val="Tahoma"/>
            <family val="2"/>
          </rPr>
          <t>Resources:_x000D_
_x000D_
Code: IPM_x000D_
Type: Project Manager_x000D_
# Resources: 1_x000D_
Hours per resource: 20_x000D_
Rate: $85000 per Annum_x000D_
_x000D_
Code: ESD_x000D_
Type: Sr Deployment Engineer_x000D_
# Resources: 1_x000D_
Hours per resource: 40_x000D_
Rate: $185 per Hour</t>
        </r>
      </text>
    </comment>
    <comment ref="H4" authorId="0" shapeId="0">
      <text>
        <r>
          <rPr>
            <sz val="9"/>
            <color indexed="81"/>
            <rFont val="Tahoma"/>
            <family val="2"/>
          </rPr>
          <t>Resources:_x000D_
_x000D_
Code: IPM_x000D_
Type: Project Manager_x000D_
# Resources: 1_x000D_
Hours per resource: 10_x000D_
Rate: $85000 per Annum_x000D_
_x000D_
Code: ISA_x000D_
Type: Security Architect_x000D_
# Resources: 1_x000D_
Hours per resource: 20_x000D_
Rate: $125000 per Annum</t>
        </r>
      </text>
    </comment>
    <comment ref="H5" authorId="0" shapeId="0">
      <text>
        <r>
          <rPr>
            <sz val="9"/>
            <color indexed="81"/>
            <rFont val="Tahoma"/>
            <family val="2"/>
          </rPr>
          <t>Resources:_x000D_
_x000D_
Code: IPM_x000D_
Type: Project Manager_x000D_
# Resources: 1_x000D_
Hours per resource: 5_x000D_
Rate: $85000 per Annum</t>
        </r>
      </text>
    </comment>
    <comment ref="H6" authorId="0" shapeId="0">
      <text>
        <r>
          <rPr>
            <sz val="9"/>
            <color indexed="81"/>
            <rFont val="Tahoma"/>
            <family val="2"/>
          </rPr>
          <t>Resources:_x000D_
_x000D_
Code: IPM_x000D_
Type: Project Manager_x000D_
# Resources: 1_x000D_
Hours per resource: 5_x000D_
Rate: $85000 per Annum</t>
        </r>
      </text>
    </comment>
    <comment ref="H7" authorId="0" shapeId="0">
      <text>
        <r>
          <rPr>
            <sz val="9"/>
            <color indexed="81"/>
            <rFont val="Tahoma"/>
            <family val="2"/>
          </rPr>
          <t>Resources:_x000D_
_x000D_
Code: IPM_x000D_
Type: Project Manager_x000D_
# Resources: 1_x000D_
Hours per resource: 20_x000D_
Rate: $85000 per Annum_x000D_
_x000D_
Code: ISA_x000D_
Type: Security Architect_x000D_
# Resources: 1_x000D_
Hours per resource: 30_x000D_
Rate: $125000 per Annum_x000D_
_x000D_
Code: ESD_x000D_
Type: Sr Deployment Engineer_x000D_
# Resources: 1_x000D_
Hours per resource: 120_x000D_
Rate: $185 per Hour</t>
        </r>
      </text>
    </comment>
    <comment ref="H9" authorId="0" shapeId="0">
      <text>
        <r>
          <rPr>
            <sz val="9"/>
            <color indexed="81"/>
            <rFont val="Tahoma"/>
            <family val="2"/>
          </rPr>
          <t>Resources:_x000D_
_x000D_
Code: IPM_x000D_
Type: Project Manager_x000D_
# Resources: 1_x000D_
Hours per resource: 80_x000D_
Rate: $85000 per Annum_x000D_
_x000D_
Code: ESD_x000D_
Type: Sr Deployment Engineer_x000D_
# Resources: 1_x000D_
Hours per resource: 140_x000D_
Rate: $185 per Hour_x000D_
_x000D_
Code: IAK_x000D_
Type: PKI Architect_x000D_
# Resources: 1_x000D_
Hours per resource: 250_x000D_
Rate: $150000 per Annum</t>
        </r>
      </text>
    </comment>
    <comment ref="H13" authorId="0" shapeId="0">
      <text>
        <r>
          <rPr>
            <sz val="9"/>
            <color indexed="81"/>
            <rFont val="Tahoma"/>
            <family val="2"/>
          </rPr>
          <t>Resources:_x000D_
_x000D_
Code: IPM_x000D_
Type: Project Manager_x000D_
# Resources: 1_x000D_
Hours per resource: 40_x000D_
Rate: $85000 per Annum_x000D_
_x000D_
Code: EPM_x000D_
Type: Project Management_x000D_
# Resources: 1_x000D_
Hours per resource: 40_x000D_
Rate: $150 per Hour_x000D_
_x000D_
Code: IAK_x000D_
Type: PKI Architect_x000D_
# Resources: 1_x000D_
Hours per resource: 200_x000D_
Rate: $150000 per Annum_x000D_
_x000D_
Code: EAS_x000D_
Type: Application Security Architect_x000D_
# Resources: 1_x000D_
Hours per resource: 120_x000D_
Rate: $275 per Hour_x000D_
_x000D_
Code: EDE_x000D_
Type: Deployment Engineer_x000D_
# Resources: 1_x000D_
Hours per resource: 300_x000D_
Rate: $65 per Hour</t>
        </r>
      </text>
    </comment>
    <comment ref="H15" authorId="0" shapeId="0">
      <text>
        <r>
          <rPr>
            <sz val="9"/>
            <color indexed="81"/>
            <rFont val="Tahoma"/>
            <family val="2"/>
          </rPr>
          <t>Resources:_x000D_
_x000D_
Code: IPM_x000D_
Type: Project Manager_x000D_
# Resources: 1_x000D_
Hours per resource: 20_x000D_
Rate: $85000 per Annum_x000D_
_x000D_
Code: ESD_x000D_
Type: Sr Deployment Engineer_x000D_
# Resources: 1_x000D_
Hours per resource: 40_x000D_
Rate: $185 per Hour</t>
        </r>
      </text>
    </comment>
    <comment ref="H17" authorId="0" shapeId="0">
      <text>
        <r>
          <rPr>
            <sz val="9"/>
            <color indexed="81"/>
            <rFont val="Tahoma"/>
            <family val="2"/>
          </rPr>
          <t>Resources:_x000D_
_x000D_
Code: IPM_x000D_
Type: Project Manager_x000D_
# Resources: 1_x000D_
Hours per resource: 40_x000D_
Rate: $85000 per Annum_x000D_
_x000D_
Code: ISA_x000D_
Type: Security Architect_x000D_
# Resources: 1_x000D_
Hours per resource: 40_x000D_
Rate: $125000 per Annum</t>
        </r>
      </text>
    </comment>
    <comment ref="H18" authorId="0" shapeId="0">
      <text>
        <r>
          <rPr>
            <sz val="9"/>
            <color indexed="81"/>
            <rFont val="Tahoma"/>
            <family val="2"/>
          </rPr>
          <t>Resources:_x000D_
_x000D_
Code: IPM_x000D_
Type: Project Manager_x000D_
# Resources: 1_x000D_
Hours per resource: 20_x000D_
Rate: $85000 per Annum_x000D_
_x000D_
Code: ISA_x000D_
Type: Security Architect_x000D_
# Resources: 1_x000D_
Hours per resource: 30_x000D_
Rate: $125000 per Annum_x000D_
_x000D_
Code: ESD_x000D_
Type: Sr Deployment Engineer_x000D_
# Resources: 1_x000D_
Hours per resource: 120_x000D_
Rate: $185 per Hour</t>
        </r>
      </text>
    </comment>
    <comment ref="H21" authorId="0" shapeId="0">
      <text>
        <r>
          <rPr>
            <sz val="9"/>
            <color indexed="81"/>
            <rFont val="Tahoma"/>
            <family val="2"/>
          </rPr>
          <t>Resources:_x000D_
_x000D_
Code: IPM_x000D_
Type: Project Manager_x000D_
# Resources: 1_x000D_
Hours per resource: 20_x000D_
Rate: $85000 per Annum_x000D_
_x000D_
Code: ISA_x000D_
Type: Security Architect_x000D_
# Resources: 1_x000D_
Hours per resource: 40_x000D_
Rate: $125000 per Annum</t>
        </r>
      </text>
    </comment>
    <comment ref="H22" authorId="0" shapeId="0">
      <text>
        <r>
          <rPr>
            <sz val="9"/>
            <color indexed="81"/>
            <rFont val="Tahoma"/>
            <family val="2"/>
          </rPr>
          <t>Resources:_x000D_
_x000D_
Code: IPM_x000D_
Type: Project Manager_x000D_
# Resources: 1_x000D_
Hours per resource: 20_x000D_
Rate: $85000 per Annum_x000D_
_x000D_
Code: ESD_x000D_
Type: Sr Deployment Engineer_x000D_
# Resources: 1_x000D_
Hours per resource: 40_x000D_
Rate: $185 per Hour_x000D_
_x000D_
Code: ISD_x000D_
Type: Sr Director_x000D_
# Resources: 1_x000D_
Hours per resource: 25_x000D_
Rate: $155000 per Annum</t>
        </r>
      </text>
    </comment>
    <comment ref="H25" authorId="0" shapeId="0">
      <text>
        <r>
          <rPr>
            <sz val="9"/>
            <color indexed="81"/>
            <rFont val="Tahoma"/>
            <family val="2"/>
          </rPr>
          <t>Resources:_x000D_
_x000D_
Code: IPM_x000D_
Type: Project Manager_x000D_
# Resources: 1_x000D_
Hours per resource: 40_x000D_
Rate: $85000 per Annum_x000D_
_x000D_
Code: EPM_x000D_
Type: Project Management_x000D_
# Resources: 1_x000D_
Hours per resource: 40_x000D_
Rate: $150 per Hour_x000D_
_x000D_
Code: IDA_x000D_
Type: Domain Admin_x000D_
# Resources: 1_x000D_
Hours per resource: 200_x000D_
Rate: $75000 per Annum_x000D_
_x000D_
Code: EAS_x000D_
Type: Application Security Architect_x000D_
# Resources: 1_x000D_
Hours per resource: 120_x000D_
Rate: $275 per Hour_x000D_
_x000D_
Code: IAD_x000D_
Type: IDM Architect_x000D_
# Resources: 1_x000D_
Hours per resource: 300_x000D_
Rate: $125000 per Annum</t>
        </r>
      </text>
    </comment>
    <comment ref="H27" authorId="0" shapeId="0">
      <text>
        <r>
          <rPr>
            <sz val="9"/>
            <color indexed="81"/>
            <rFont val="Tahoma"/>
            <family val="2"/>
          </rPr>
          <t>Resources:_x000D_
_x000D_
Code: IPM_x000D_
Type: Project Manager_x000D_
# Resources: 1_x000D_
Hours per resource: 20_x000D_
Rate: $85000 per Annum_x000D_
_x000D_
Code: ISA_x000D_
Type: Security Architect_x000D_
# Resources: 1_x000D_
Hours per resource: 30_x000D_
Rate: $125000 per Annum</t>
        </r>
      </text>
    </comment>
    <comment ref="H28" authorId="0" shapeId="0">
      <text>
        <r>
          <rPr>
            <sz val="9"/>
            <color indexed="81"/>
            <rFont val="Tahoma"/>
            <family val="2"/>
          </rPr>
          <t>Resources:_x000D_
_x000D_
Code: IPM_x000D_
Type: Project Manager_x000D_
# Resources: 1_x000D_
Hours per resource: 20_x000D_
Rate: $85000 per Annum_x000D_
_x000D_
Code: ESD_x000D_
Type: Sr Deployment Engineer_x000D_
# Resources: 1_x000D_
Hours per resource: 40_x000D_
Rate: $185 per Hour</t>
        </r>
      </text>
    </comment>
    <comment ref="H31" authorId="0" shapeId="0">
      <text>
        <r>
          <rPr>
            <sz val="9"/>
            <color indexed="81"/>
            <rFont val="Tahoma"/>
            <family val="2"/>
          </rPr>
          <t>Resources:_x000D_
_x000D_
Code: IPM_x000D_
Type: Project Manager_x000D_
# Resources: 1_x000D_
Hours per resource: 40_x000D_
Rate: $85000 per Annum_x000D_
_x000D_
Code: EPM_x000D_
Type: Project Management_x000D_
# Resources: 1_x000D_
Hours per resource: 80_x000D_
Rate: $150 per Hour_x000D_
_x000D_
Code: IDA_x000D_
Type: Domain Admin_x000D_
# Resources: 1_x000D_
Hours per resource: 200_x000D_
Rate: $75000 per Annum_x000D_
_x000D_
Code: EAS_x000D_
Type: Application Security Architect_x000D_
# Resources: 1_x000D_
Hours per resource: 120_x000D_
Rate: $275 per Hour_x000D_
_x000D_
Code: IAD_x000D_
Type: IDM Architect_x000D_
# Resources: 1_x000D_
Hours per resource: 100_x000D_
Rate: $125000 per Annum</t>
        </r>
      </text>
    </comment>
  </commentList>
</comments>
</file>

<file path=xl/comments3.xml><?xml version="1.0" encoding="utf-8"?>
<comments xmlns="http://schemas.openxmlformats.org/spreadsheetml/2006/main">
  <authors>
    <author>terryg</author>
  </authors>
  <commentList>
    <comment ref="H1" authorId="0" shapeId="0">
      <text>
        <r>
          <rPr>
            <sz val="9"/>
            <color indexed="81"/>
            <rFont val="Tahoma"/>
            <family val="2"/>
          </rPr>
          <t>Type in whether item in Column G is OpEx or CapEx. This will track all designations where assigned in other sheets for reporting</t>
        </r>
        <r>
          <rPr>
            <b/>
            <sz val="9"/>
            <color indexed="81"/>
            <rFont val="Tahoma"/>
            <family val="2"/>
          </rPr>
          <t xml:space="preserve">. </t>
        </r>
      </text>
    </comment>
  </commentList>
</comments>
</file>

<file path=xl/sharedStrings.xml><?xml version="1.0" encoding="utf-8"?>
<sst xmlns="http://schemas.openxmlformats.org/spreadsheetml/2006/main" count="2966" uniqueCount="511">
  <si>
    <t>GRC</t>
  </si>
  <si>
    <t>Security Operations</t>
  </si>
  <si>
    <t>Sub-Category</t>
  </si>
  <si>
    <t>Direct</t>
  </si>
  <si>
    <t>Indirect</t>
  </si>
  <si>
    <t>Split</t>
  </si>
  <si>
    <t>Main Category</t>
  </si>
  <si>
    <t>Sub</t>
  </si>
  <si>
    <t>Tag</t>
  </si>
  <si>
    <t>Hardware</t>
  </si>
  <si>
    <t>Software</t>
  </si>
  <si>
    <t>Subscription</t>
  </si>
  <si>
    <t>Department Owner</t>
  </si>
  <si>
    <t>$$$</t>
  </si>
  <si>
    <t>InfoSec Manager</t>
  </si>
  <si>
    <t>Auditor</t>
  </si>
  <si>
    <t xml:space="preserve">Security Infrastructure </t>
  </si>
  <si>
    <t>Administrative overhead</t>
  </si>
  <si>
    <t>Network security</t>
  </si>
  <si>
    <t>Cloud security</t>
  </si>
  <si>
    <t>Security Innovation</t>
  </si>
  <si>
    <t xml:space="preserve">Department owner </t>
  </si>
  <si>
    <t>Priority</t>
  </si>
  <si>
    <t>Financial Category</t>
  </si>
  <si>
    <t>CapEx / OpEx Assign</t>
  </si>
  <si>
    <t>Main</t>
  </si>
  <si>
    <t>Training</t>
  </si>
  <si>
    <t>Risk Assessment</t>
  </si>
  <si>
    <t>Detection</t>
  </si>
  <si>
    <t>Remediation</t>
  </si>
  <si>
    <t>Investigations</t>
  </si>
  <si>
    <t>Operations</t>
  </si>
  <si>
    <t>DLP</t>
  </si>
  <si>
    <t>Remote Access</t>
  </si>
  <si>
    <t>Travel and Expenses</t>
  </si>
  <si>
    <t>PROJECT</t>
  </si>
  <si>
    <t>Firewall Project</t>
  </si>
  <si>
    <t>EFFORT</t>
  </si>
  <si>
    <t xml:space="preserve">CapEx  </t>
  </si>
  <si>
    <t>OpEx</t>
  </si>
  <si>
    <t>Finance</t>
  </si>
  <si>
    <t>HR</t>
  </si>
  <si>
    <t>Sales</t>
  </si>
  <si>
    <t>Marketing</t>
  </si>
  <si>
    <t>IT Operations</t>
  </si>
  <si>
    <t>INTERNAL RESOURCES</t>
  </si>
  <si>
    <t>EXTERNAL RESOURCES</t>
  </si>
  <si>
    <t>Tags</t>
  </si>
  <si>
    <t>Number of Hours per Week</t>
  </si>
  <si>
    <t>Weeks</t>
  </si>
  <si>
    <t>Total Hours</t>
  </si>
  <si>
    <t>Res Type</t>
  </si>
  <si>
    <t>Pct Budget</t>
  </si>
  <si>
    <t>Remaining</t>
  </si>
  <si>
    <t>Id</t>
  </si>
  <si>
    <t>Row Labels</t>
  </si>
  <si>
    <t>Grand Total</t>
  </si>
  <si>
    <t>(blank)</t>
  </si>
  <si>
    <t>Values</t>
  </si>
  <si>
    <t xml:space="preserve">Indirect </t>
  </si>
  <si>
    <t xml:space="preserve">Direct </t>
  </si>
  <si>
    <t>Direct / Indirect</t>
  </si>
  <si>
    <t>Low</t>
  </si>
  <si>
    <t>Medium</t>
  </si>
  <si>
    <t>High</t>
  </si>
  <si>
    <t>Critical</t>
  </si>
  <si>
    <t>EAU</t>
  </si>
  <si>
    <t>ETA</t>
  </si>
  <si>
    <t>IAU</t>
  </si>
  <si>
    <t>Budget</t>
  </si>
  <si>
    <t xml:space="preserve">Budget </t>
  </si>
  <si>
    <t>Utilized</t>
  </si>
  <si>
    <t xml:space="preserve">Utilized </t>
  </si>
  <si>
    <t>CapEx / OpEx</t>
  </si>
  <si>
    <t>PCT</t>
  </si>
  <si>
    <t>Resource Cost</t>
  </si>
  <si>
    <t>RESOURCE COST</t>
  </si>
  <si>
    <t>TOTAL COST</t>
  </si>
  <si>
    <t>OTHER COST</t>
  </si>
  <si>
    <t>RESOURCE DEMAND</t>
  </si>
  <si>
    <t>DEPARTMENT OWNER</t>
  </si>
  <si>
    <t>DIRECT Y/N</t>
  </si>
  <si>
    <t>SPLIT %</t>
  </si>
  <si>
    <t>FINANCIAL CATEGORY</t>
  </si>
  <si>
    <t>PRIORITY</t>
  </si>
  <si>
    <t>PROGRAM NAME</t>
  </si>
  <si>
    <t>SUB</t>
  </si>
  <si>
    <t>MAIN CATEGORY</t>
  </si>
  <si>
    <t>NOTES</t>
  </si>
  <si>
    <t>DESCRIPTION OF THE PROJECT</t>
  </si>
  <si>
    <t xml:space="preserve">DEPARTMENT OWNER </t>
  </si>
  <si>
    <t>UTILIZED %</t>
  </si>
  <si>
    <t>Other Cost</t>
  </si>
  <si>
    <t>Total Cost</t>
  </si>
  <si>
    <t>Sum of Total Cost</t>
  </si>
  <si>
    <t>Cost</t>
  </si>
  <si>
    <t>Resource Utilized</t>
  </si>
  <si>
    <t>Other Cost Utilized</t>
  </si>
  <si>
    <t>MEASUREMENT</t>
  </si>
  <si>
    <t>VALUE</t>
  </si>
  <si>
    <t>Values will be re-used in reports by correlation to a pre-defined formula</t>
  </si>
  <si>
    <t>Cannot create new Measurements (need to be built into reporting), therefore provide feedback on additional measurements that would be useful</t>
  </si>
  <si>
    <t>INSTRUCTION AND DEV NOTES</t>
  </si>
  <si>
    <t>VERSION</t>
  </si>
  <si>
    <t>STATUS</t>
  </si>
  <si>
    <t>CORE FUNCTIONAL UPDATES</t>
  </si>
  <si>
    <t>Released</t>
  </si>
  <si>
    <t>Alpha Concept Model</t>
  </si>
  <si>
    <t>Internal Beta Concept</t>
  </si>
  <si>
    <t>Improvements from internal beta feedback</t>
  </si>
  <si>
    <t>Updates for limited beta release feedback</t>
  </si>
  <si>
    <t>Not Started</t>
  </si>
  <si>
    <t>Updates from limited beta release feedback</t>
  </si>
  <si>
    <t>Updates from initial public community release feedback</t>
  </si>
  <si>
    <t>Updates from community feedback</t>
  </si>
  <si>
    <t>1. Major UI Improvement
2. Reporting changes (more focus, refinement and UI improvement
3. PROFILE additions based on feedback &gt; New dynamic elements in reports using profile values
4. Default DROPDOWN list value improvements based on feedback
5. Improved sorting and re-ordering of items in ENTRY and PROJECT
6. Bug Fixes</t>
  </si>
  <si>
    <t>1. Significant UI updates (borders, colors, etc.)
2. Link Projects in ENTRY to PROJECTS sheet
3. Dynamic header and row formatting in PROJECTS (will visually identify those projects that are used/not used in ENTRY
4. More focused reporting (in REPORTS) based on feedback
5. Minor UI improvements in REPORTS (will wait for more focused feedback to make full UI improvements; 3D, dynamic, etc.)
6. Default categories, sub-category, tags, and role additions/deletions, based on feedback
7. Improve overall intuitive function in some sheets based on feedback
8. Bug Fixes</t>
  </si>
  <si>
    <t>Monthly updates from community feedback</t>
  </si>
  <si>
    <t>Domain Admin</t>
  </si>
  <si>
    <t>DBA</t>
  </si>
  <si>
    <t>Audit</t>
  </si>
  <si>
    <t>Internal Audit</t>
  </si>
  <si>
    <t>QSA</t>
  </si>
  <si>
    <t>Network Admin</t>
  </si>
  <si>
    <t>Desktop Engineering</t>
  </si>
  <si>
    <t>Application Developer</t>
  </si>
  <si>
    <t>Project Manager</t>
  </si>
  <si>
    <t>Security Architect</t>
  </si>
  <si>
    <t>PKI Architect</t>
  </si>
  <si>
    <t>IDM Architect</t>
  </si>
  <si>
    <t>Sr Director</t>
  </si>
  <si>
    <t>Internal Pen Test</t>
  </si>
  <si>
    <t>IPT</t>
  </si>
  <si>
    <t>GRC &amp; Policy Developer</t>
  </si>
  <si>
    <t>IDA</t>
  </si>
  <si>
    <t>IDB</t>
  </si>
  <si>
    <t>INA</t>
  </si>
  <si>
    <t>IDE</t>
  </si>
  <si>
    <t>IDV</t>
  </si>
  <si>
    <t>IPM</t>
  </si>
  <si>
    <t>ISA</t>
  </si>
  <si>
    <t>IAD</t>
  </si>
  <si>
    <t>IAK</t>
  </si>
  <si>
    <t>IPG</t>
  </si>
  <si>
    <t>ISD</t>
  </si>
  <si>
    <t>Deployment Engineer</t>
  </si>
  <si>
    <t>Project Management</t>
  </si>
  <si>
    <t>Application Security Architect</t>
  </si>
  <si>
    <t>Application Architect</t>
  </si>
  <si>
    <t>Subject Matter Expert</t>
  </si>
  <si>
    <t>Web Developer</t>
  </si>
  <si>
    <t>Certification</t>
  </si>
  <si>
    <t>Pen Test Service Resource</t>
  </si>
  <si>
    <t xml:space="preserve">Incident Response </t>
  </si>
  <si>
    <t>EPM</t>
  </si>
  <si>
    <t>ESM</t>
  </si>
  <si>
    <t>EAA</t>
  </si>
  <si>
    <t>EAS</t>
  </si>
  <si>
    <t>EAD</t>
  </si>
  <si>
    <t>EWD</t>
  </si>
  <si>
    <t>EDE</t>
  </si>
  <si>
    <t>ESD</t>
  </si>
  <si>
    <t>Sr Deployment Engineer</t>
  </si>
  <si>
    <t>EQS</t>
  </si>
  <si>
    <t>ECR</t>
  </si>
  <si>
    <t>EPT</t>
  </si>
  <si>
    <t>EIR</t>
  </si>
  <si>
    <t>Personnel Development &amp; Training</t>
  </si>
  <si>
    <t>End User Awareness</t>
  </si>
  <si>
    <t>Manufacturing</t>
  </si>
  <si>
    <t>Engineering</t>
  </si>
  <si>
    <t>One-time Service Fees</t>
  </si>
  <si>
    <t>Resources</t>
  </si>
  <si>
    <t>Anti-Virus &amp; Scanning</t>
  </si>
  <si>
    <t>Authentication</t>
  </si>
  <si>
    <t>Endpoint Security</t>
  </si>
  <si>
    <t>Identity &amp; Access Management</t>
  </si>
  <si>
    <t>Identity Management</t>
  </si>
  <si>
    <t>Intrusion Detection</t>
  </si>
  <si>
    <t>Legal</t>
  </si>
  <si>
    <t>Policy Development</t>
  </si>
  <si>
    <t>Application Security</t>
  </si>
  <si>
    <t>Development</t>
  </si>
  <si>
    <t>Web Development</t>
  </si>
  <si>
    <t>Program Management</t>
  </si>
  <si>
    <t>Architecture &amp; Design</t>
  </si>
  <si>
    <t>Incident Response</t>
  </si>
  <si>
    <t>SIEM</t>
  </si>
  <si>
    <t>Compliance</t>
  </si>
  <si>
    <t>Governance</t>
  </si>
  <si>
    <t>Physical Security</t>
  </si>
  <si>
    <t>Scanning and Monitoring</t>
  </si>
  <si>
    <t>Chance Management</t>
  </si>
  <si>
    <t>Application Development</t>
  </si>
  <si>
    <t>Mobile Security</t>
  </si>
  <si>
    <t>MDM</t>
  </si>
  <si>
    <t>Secure Containerization</t>
  </si>
  <si>
    <t>Encryption</t>
  </si>
  <si>
    <t>Signing (crypto)</t>
  </si>
  <si>
    <t>Secure Communications</t>
  </si>
  <si>
    <t>Trusted Computing</t>
  </si>
  <si>
    <t>Privileged Security</t>
  </si>
  <si>
    <t>Database</t>
  </si>
  <si>
    <t>Web Application Security</t>
  </si>
  <si>
    <t>SDLC Program</t>
  </si>
  <si>
    <t>Disclosure Policy Development</t>
  </si>
  <si>
    <t>Privacy</t>
  </si>
  <si>
    <t>Process Engineering</t>
  </si>
  <si>
    <t>Onboarding &amp; Termination</t>
  </si>
  <si>
    <t>Data Integrity</t>
  </si>
  <si>
    <t>Social Engineering Resiliance</t>
  </si>
  <si>
    <t>Search and Retention</t>
  </si>
  <si>
    <t>Entry</t>
  </si>
  <si>
    <t>Smart Card Project</t>
  </si>
  <si>
    <t>Acquire</t>
  </si>
  <si>
    <t>Infrastreucture software (key mgt, CA, CMS, DB, Server)</t>
  </si>
  <si>
    <t>Infrastructire Hardware (servers, HSMs)</t>
  </si>
  <si>
    <t>Architecture, Design and Project Plan</t>
  </si>
  <si>
    <t>Planning</t>
  </si>
  <si>
    <t>Endpoint Hardware Cards and Readers)</t>
  </si>
  <si>
    <t>Consulting</t>
  </si>
  <si>
    <t>Design process, policy, lifecycle flows, logging and alerts.</t>
  </si>
  <si>
    <t>Information Security</t>
  </si>
  <si>
    <t>ITO</t>
  </si>
  <si>
    <t>ISM</t>
  </si>
  <si>
    <t>INA1H2080,ITO1H800</t>
  </si>
  <si>
    <t>Anti-Virus &amp; Scanning,SIEM,Intrusion Detection</t>
  </si>
  <si>
    <t>Annual Network Monitoring</t>
  </si>
  <si>
    <t>East Westy Traffic Analysis</t>
  </si>
  <si>
    <t>Solution Definiton, configuration design</t>
  </si>
  <si>
    <t>Benchmark vendors, PoC, Selection, contracts</t>
  </si>
  <si>
    <t>Deployment</t>
  </si>
  <si>
    <t>Deploy service</t>
  </si>
  <si>
    <t>Monitoring Service Subscription (annual)</t>
  </si>
  <si>
    <t>Role Based Acess (RBAC)</t>
  </si>
  <si>
    <t>Solution Definition, Design</t>
  </si>
  <si>
    <t>Project Planning</t>
  </si>
  <si>
    <t>PoC, Business Case, selection, contracts</t>
  </si>
  <si>
    <t>Pooling server infrastructure</t>
  </si>
  <si>
    <t>Project planning</t>
  </si>
  <si>
    <t>Architecture and Design</t>
  </si>
  <si>
    <t>IPM1H20,ESD1H40</t>
  </si>
  <si>
    <t>IPM1H10,ISA1H20</t>
  </si>
  <si>
    <t>IPM1H5</t>
  </si>
  <si>
    <t>IPM1H20,ISA1H30,ESD1H120</t>
  </si>
  <si>
    <t>Mobile Device Management (MDM)</t>
  </si>
  <si>
    <t>Policy, GRC, and Controls Definition and Design</t>
  </si>
  <si>
    <t>software</t>
  </si>
  <si>
    <t>Servers, gateways and other related hardware</t>
  </si>
  <si>
    <t>MDM Vendor Software, Server OS, VM, Web Server, DB</t>
  </si>
  <si>
    <t>Deploy software and services</t>
  </si>
  <si>
    <t>Project Plan, Functional and Technical Design</t>
  </si>
  <si>
    <t>Maintenance &amp; Support</t>
  </si>
  <si>
    <t>IPM1H80,ESD1H140,IAK1H250</t>
  </si>
  <si>
    <t>IPM1H40,EPM1H40,IAK1H200,EAS1H120,EDE1H300</t>
  </si>
  <si>
    <t>IPM1H40,ISA1H40</t>
  </si>
  <si>
    <t>IPM1H40,EPM1H40,IDA1H200,EAS1H120,IAD1H300</t>
  </si>
  <si>
    <t>IPM1H20,ISA1H40</t>
  </si>
  <si>
    <t>IPM1H20,ESD1H40,ISD1H25</t>
  </si>
  <si>
    <t>IPM1H20,ISA1H30</t>
  </si>
  <si>
    <t>IPM1H40,EPM1H80,IDA1H200,EAS1H120,IAD1H100</t>
  </si>
  <si>
    <t>Intrusion Detection,Privileged Security,Identity Management,Onboarding &amp; Termination</t>
  </si>
  <si>
    <t>Data Integrity,Encryption,Remote Access,Signing (crypto),Secure Communications,Authentication</t>
  </si>
  <si>
    <t>Authentication,Intrusion Detection,Remote Access</t>
  </si>
  <si>
    <t>SIEM,Scanning and Monitoring,Intrusion Detection</t>
  </si>
  <si>
    <t>Pen Testing</t>
  </si>
  <si>
    <t>Red Team</t>
  </si>
  <si>
    <t>Privileged Security,Legal,Intrusion Detection</t>
  </si>
  <si>
    <t>Re-engineer policy from findings</t>
  </si>
  <si>
    <t>PCI</t>
  </si>
  <si>
    <t>Ongoing Internal Audit</t>
  </si>
  <si>
    <t>Build new program framework</t>
  </si>
  <si>
    <t>IPM1H40,EQS1H120,IAU1H40,ISM1H20</t>
  </si>
  <si>
    <t>ISM1H40,IPG1H200</t>
  </si>
  <si>
    <t>IAU1H500</t>
  </si>
  <si>
    <t>IPG1H300</t>
  </si>
  <si>
    <t>Legal,Certification</t>
  </si>
  <si>
    <t>Process Engineering,Privacy</t>
  </si>
  <si>
    <t>Certification,Privacy,Onboarding &amp; Termination</t>
  </si>
  <si>
    <t>Privacy,Legal</t>
  </si>
  <si>
    <t>Reduce Vulnerabilities</t>
  </si>
  <si>
    <t>Intrusion Detection,SDLC Program</t>
  </si>
  <si>
    <t>ISM1H500,INA1H2080,ITO1H100</t>
  </si>
  <si>
    <t>ISM1H100,ITO1H500</t>
  </si>
  <si>
    <t>ISM1H40,IPT1H160</t>
  </si>
  <si>
    <t>ISM1H40,IPT1H180</t>
  </si>
  <si>
    <t>Red Team &amp; Monitoring Platform</t>
  </si>
  <si>
    <t>ISM1H40,IPT1H160,IAU1H40</t>
  </si>
  <si>
    <t>Design and Implement sSDLC</t>
  </si>
  <si>
    <t>Train developers on sSDLC</t>
  </si>
  <si>
    <t>Trusted Computing,SDLC Program,Application Development,Chance Management</t>
  </si>
  <si>
    <t>ISM1H20,ESM1H80</t>
  </si>
  <si>
    <t>ISM1H20,IPG1H40,ESM1H120</t>
  </si>
  <si>
    <t>Gamification software</t>
  </si>
  <si>
    <t>Gamification Resources</t>
  </si>
  <si>
    <t>Social Engineering Resiliance,Data Integrity</t>
  </si>
  <si>
    <t>IPM1H80,ITO1H40,ESM1H80</t>
  </si>
  <si>
    <t>EDE1H80</t>
  </si>
  <si>
    <t>Secure Coding</t>
  </si>
  <si>
    <t>CISSP Sponsorship</t>
  </si>
  <si>
    <t>Trade Show Attandance</t>
  </si>
  <si>
    <t>SANS Training</t>
  </si>
  <si>
    <t>IDV5H30</t>
  </si>
  <si>
    <t>ISA7H40</t>
  </si>
  <si>
    <t>ISA4H30,ISM3H30</t>
  </si>
  <si>
    <t>IDV5H40,ISA5H40</t>
  </si>
  <si>
    <t>Resources to staff</t>
  </si>
  <si>
    <t>Refine Procedures</t>
  </si>
  <si>
    <t>ESM1H300,IAU1H40,ISM1H80,IPG1H100</t>
  </si>
  <si>
    <t>PKI Operations</t>
  </si>
  <si>
    <t>Domain Operations</t>
  </si>
  <si>
    <t>SOC Operations</t>
  </si>
  <si>
    <t>Tracking and Audit</t>
  </si>
  <si>
    <t>Identity Management,DLP</t>
  </si>
  <si>
    <t>Encryption,Trusted Computing</t>
  </si>
  <si>
    <t>ISM1H100,ITO1H2080</t>
  </si>
  <si>
    <t>ISM1H300,ITO2H2080</t>
  </si>
  <si>
    <t>ISM1H100,ITO3H2080</t>
  </si>
  <si>
    <t>v0.10</t>
  </si>
  <si>
    <t>v0.11</t>
  </si>
  <si>
    <t>v0.12</t>
  </si>
  <si>
    <t>v0.2.1</t>
  </si>
  <si>
    <t>v0.2.2</t>
  </si>
  <si>
    <t>v1.0.0</t>
  </si>
  <si>
    <t>v1.1.0</t>
  </si>
  <si>
    <t>v1.2.0</t>
  </si>
  <si>
    <t>v0.16</t>
  </si>
  <si>
    <t>Specific Functional Tabs</t>
  </si>
  <si>
    <t>Grey Tabs</t>
  </si>
  <si>
    <t>Orange Tabs</t>
  </si>
  <si>
    <t>Red Tabs</t>
  </si>
  <si>
    <t>Guidance tabs for instruction. Field descriptions can be modified without consequence.</t>
  </si>
  <si>
    <t>These are administrator tabs. For the most part they are used by the developer to track and disclose status to operator (if interested). Bugs and planned releases can be found here.</t>
  </si>
  <si>
    <t>Project Tab</t>
  </si>
  <si>
    <t>Entry Tab</t>
  </si>
  <si>
    <t>Resources Tab</t>
  </si>
  <si>
    <t>DISCLOSURE</t>
  </si>
  <si>
    <t>Are for output only (reporting). No editing should be made in these areas as it may impact meta data, results, and corrupt file. However, chart expressions (layout and font) should not be impacted.</t>
  </si>
  <si>
    <t xml:space="preserve">This is the centralized sheet for ALL budget costs and general budgets are allocated and details of programs can be entered. </t>
  </si>
  <si>
    <t xml:space="preserve">This is where the Operator can define their resources and rates. It is broken up into internal and external resources to separate per hour and utilization perspectives. </t>
  </si>
  <si>
    <t>Total Budget</t>
  </si>
  <si>
    <t>Allocated Budget</t>
  </si>
  <si>
    <t>This is where Operator can break total budget entered in B1 down between main categories. For simplicity, enter percentage in each main section (example Entry: A4)</t>
  </si>
  <si>
    <t>This is the total Security Budget for the organization. See Entry:B1. Enter it here</t>
  </si>
  <si>
    <t>Sub-categories</t>
  </si>
  <si>
    <t>Assign a sub category for tracking</t>
  </si>
  <si>
    <t>Utilization</t>
  </si>
  <si>
    <t>Assign a tag for greater granularity. Multiple tags can be selected by repeating the dropdown and selecting another item. Select an item again to remove it. All will be tracked for reporting.</t>
  </si>
  <si>
    <t>Separates resources cost from other costs. Derived from "resource demand" cells. This will also track high level and granular resource demand across all assigned classifications. Projected effort to execute line item.</t>
  </si>
  <si>
    <t xml:space="preserve">This is an area where Operator can assign how much of the projected line cost was already utilized (spent) to date. The tool will track what is spent verses allocation and projections in reporting. </t>
  </si>
  <si>
    <t xml:space="preserve">Other  </t>
  </si>
  <si>
    <t>Report</t>
  </si>
  <si>
    <t>Slicer</t>
  </si>
  <si>
    <t>Selecting slicers</t>
  </si>
  <si>
    <t>Just click on the slicer selections you with to include in the current view. Operator may multi-select by holding down the CONTOL key while selecting. It is advised to start from left to right on main categories first.</t>
  </si>
  <si>
    <t>Unselecting slicers</t>
  </si>
  <si>
    <t>Reverting to default</t>
  </si>
  <si>
    <t>CONTROL &gt; Select</t>
  </si>
  <si>
    <t>Getting Started: Operator (user) Guide</t>
  </si>
  <si>
    <t>Guide Tab</t>
  </si>
  <si>
    <t xml:space="preserve"> Concept Budget Structure</t>
  </si>
  <si>
    <t>Refresh</t>
  </si>
  <si>
    <t>Main Categories</t>
  </si>
  <si>
    <t>Project vs. Program</t>
  </si>
  <si>
    <t xml:space="preserve">Program Name (Column D) is where Operator will enter the name to reference the item the wish to budget. This is typically a simple one line item. Just type in the name. Alternatively, there is a dropdown, and items that can be selected here are projects that have already been entered in the PROJECT tab. See Project section for more details. When a project is selected, all its attributes are carried over to be centralized in the roll up on the ENTRY sheet. Projects will be highlighted in Green if selected so they are easy to distinguish. Once selected, most values are greyed out and inoperable. Will display totals but not details. To see project details, go to project sheet. </t>
  </si>
  <si>
    <t>Sub-Categories</t>
  </si>
  <si>
    <t xml:space="preserve">Assign tag from the dropdown selection in the cell. Multiple may be selected and removed by repeating the process. </t>
  </si>
  <si>
    <t>Assign priority to each item. This is tracked for reporting (slicer may filter by priority or exclude certain priority levels if desired).</t>
  </si>
  <si>
    <t>Resource Demand</t>
  </si>
  <si>
    <t>Costs</t>
  </si>
  <si>
    <t>Multiple resources may be assigned to each task. These are taken from RESOURCES where Operator may redefine them. Note: if Operator wishes to redefine Resources, it is better to do so in the beginning before using the tool heavily. The format to enter a resource is the resource code (always three letters), then quantity of that resource (use number), then "H" (for hours) and enter number of hour (number). Another resource may be entered separated by comma, no space. The tool will let the Operator know if it was entered incorrectly and provide how to do so correctly. Buttons at the top of the sheet can be pressed to display the resources and codes so Operators do not have to toggle between the RESOURCES sheet to see them.</t>
  </si>
  <si>
    <t>Enter dollar values based on the line item costs excluding resources</t>
  </si>
  <si>
    <t xml:space="preserve">Enter how much has been spent or resourced to date. Numerical percentage entries. </t>
  </si>
  <si>
    <t>Add/Remove lines</t>
  </si>
  <si>
    <t>Projects</t>
  </si>
  <si>
    <t>Limitation of items</t>
  </si>
  <si>
    <t xml:space="preserve">Currently, there is a limitation of 5 lines that can be associated with a project. We will fix this later once all beta feedback is in and will be part of an early production version release to be more dynamic. </t>
  </si>
  <si>
    <t>Methodology</t>
  </si>
  <si>
    <t>External Resources</t>
  </si>
  <si>
    <t>Internal Resources</t>
  </si>
  <si>
    <t xml:space="preserve">Operator may define all resources, titles, costs and related "codes". These resources are used elsewhere but are references to this sheet where they are defined. </t>
  </si>
  <si>
    <t xml:space="preserve">This the section on the right. Generally these are consultants that are paid by an hourly rate. </t>
  </si>
  <si>
    <t>Codes</t>
  </si>
  <si>
    <t>Salaries and rates</t>
  </si>
  <si>
    <t>Operator may change and define all salary and rates.</t>
  </si>
  <si>
    <t>Titles</t>
  </si>
  <si>
    <t>Operator may change all titles.</t>
  </si>
  <si>
    <t>Add</t>
  </si>
  <si>
    <t>Remove</t>
  </si>
  <si>
    <t>Operator may add as many roles as he/she desired. Just enter in line. Do not copy/paste multiple items to add or move. Only do so one at a time however. If making major changes copy whole list to another area and copy/paste values one at a time back to desired cell.</t>
  </si>
  <si>
    <t>Just DELETE the item from the cell</t>
  </si>
  <si>
    <t>Dropdown</t>
  </si>
  <si>
    <t>Profile</t>
  </si>
  <si>
    <t>Release Notes</t>
  </si>
  <si>
    <t>OpEx vs CapEx</t>
  </si>
  <si>
    <t>Column H: Enter either or designation next to each Financial Category. It will automatically be associated when a financial category is selected in a program or project.</t>
  </si>
  <si>
    <t>Remove Item</t>
  </si>
  <si>
    <t>Add Item</t>
  </si>
  <si>
    <t>Select Cell &gt; DELETE</t>
  </si>
  <si>
    <t>Resource Hours</t>
  </si>
  <si>
    <t>Enter value associated with measurement</t>
  </si>
  <si>
    <t>Status</t>
  </si>
  <si>
    <t xml:space="preserve">Provides visibility into recent and planned updates. This way Operators may give valuable feedback and know if it is already on our radar or how to do it better. </t>
  </si>
  <si>
    <t>These are areas where Operator can change parameters such as categories, tags, associations and pretty much make the tool their own to fit how they define their program.</t>
  </si>
  <si>
    <t>Other non-resource items can be entered here (such as hardware, software, etc.). Projected for specific items</t>
  </si>
  <si>
    <t xml:space="preserve">Note: Each time the Operator goes to the Report tab, the tool will refresh. It will appear to stutter for a few seconds but this is the expected behavior and is normal as the tool is re-reading all data from the tables and generating a new report. This will happen each time going to another tab and back to report. However, should be quick (5 seconds or so; if more please report back to us to make us aware). </t>
  </si>
  <si>
    <t xml:space="preserve">This tool uses "slicer" selections (a type of new function for excel to select specific data sets for inclusion criteria). The tool tracks all value entries and associations in the background and Operator may use slicer selections to remove, redact, or focus using only specific parameters. </t>
  </si>
  <si>
    <t>The report is designed to display reports using all possible tracked assignments/parameters in the tool. However, after Operator makes selections, not only is the report more narrow but some previous options (tags, etc.) may entirely disappear. This is because the more refined the selections become, some options will not display if they have no value. To correct this, revert to showing all data in the slicer (or all of them) by clicking the red "x" in the upper right of each slicer box. If all items in a slicer box are not displaying, then you need to clear another slicer selection back to default to clear dependencies created from current selection.</t>
  </si>
  <si>
    <t xml:space="preserve">When a main category is selected, it will turn that line into a main category header where % total budget can be entered at far left of the row (Iand directly below it the dollar value of the percent assigned, budget for that category). To remove a main category header just delete the main category assignment (select cell and DELETE). Be aware, that all % assignments for Main Categories MUST add up to exactly 100% or the REPORT will throw an error letting you know that Main Categories do not add up to 100% and to go back and fix it. Report will be inoperable until it is fixed. </t>
  </si>
  <si>
    <t xml:space="preserve">Operator may add or remove lines under a Main Category. This enables Main Categories to be put anywhere and appropriate number of items underneath without having to copy/paste items to move them (as would likely cause errors). Just select a cell on the row to be removed and press "remove row" button. To add, select cell and row will be added above selected cell. </t>
  </si>
  <si>
    <t>Assign Sub Categories via the dropdown selection in the cell</t>
  </si>
  <si>
    <t>Depot Owner</t>
  </si>
  <si>
    <t xml:space="preserve">Sometimes security delivers projects and services at the request of other department stakeholders and may fund all or partial of the delivery as to not impact the security budget entirely for the expense. Here, use "information security" by default but when an item is sponsored by another department is may be selected. Then in next column in adjacent cell another selection can be assigned (Direct, Indirect, Split) which designates how much comes out of your budget verses yours. Direct selection will mean that 100% of the cost comes out of security budget. The cell will automatically assign 100% and lock cell based on this selection. Indirect means that 0% comes out of security budget (100% reimbursed by the department sponsor) and will again be greyed out, locked and displayed as 0% (to show that no impact to security budget). Split is where security is sharing the cost and getting reimbursed partially by the designated department. Enter the percentage that security is responsible for and the remainder will be assigned (in the background) to the department where it can be displayed dynamically in reports later. </t>
  </si>
  <si>
    <t xml:space="preserve">Assign a selection to the item (if not greyed out). CapEx and OpEx are automatically assigned to these items based on current defaults in DROPDOWN sheet. Operator may change these associations to emulate their organizational financial methodology. </t>
  </si>
  <si>
    <t xml:space="preserve">Either, retype over an item or go to last cell in column, type desired entry and hit ENTER. The validation parameters automatically adjust and get included in the logic of the tool. </t>
  </si>
  <si>
    <t>All Projects already selected</t>
  </si>
  <si>
    <t>MDM,DLP</t>
  </si>
  <si>
    <t>MONTH</t>
  </si>
  <si>
    <t>Months</t>
  </si>
  <si>
    <t>January</t>
  </si>
  <si>
    <t>February</t>
  </si>
  <si>
    <t>March</t>
  </si>
  <si>
    <t>April</t>
  </si>
  <si>
    <t>May</t>
  </si>
  <si>
    <t>June</t>
  </si>
  <si>
    <t>July</t>
  </si>
  <si>
    <t>August</t>
  </si>
  <si>
    <t>September</t>
  </si>
  <si>
    <t>October</t>
  </si>
  <si>
    <t>November</t>
  </si>
  <si>
    <t>December</t>
  </si>
  <si>
    <t>Month</t>
  </si>
  <si>
    <t xml:space="preserve">  TOTAL BUDGET</t>
  </si>
  <si>
    <t xml:space="preserve"> % BUDGET ASSIGNED</t>
  </si>
  <si>
    <t>TEST</t>
  </si>
  <si>
    <t>test2</t>
  </si>
  <si>
    <t>CODE</t>
  </si>
  <si>
    <t>Value</t>
  </si>
  <si>
    <t>Projected</t>
  </si>
  <si>
    <t>Budget per Unit</t>
  </si>
  <si>
    <t>Projected per Unit</t>
  </si>
  <si>
    <t>Utilized per Unit</t>
  </si>
  <si>
    <t xml:space="preserve">Projected per Unit </t>
  </si>
  <si>
    <t xml:space="preserve">Utilized per Unit </t>
  </si>
  <si>
    <t>OTHER PROJECTED</t>
  </si>
  <si>
    <t>TOTAL PROJECTED</t>
  </si>
  <si>
    <t xml:space="preserve">Projected </t>
  </si>
  <si>
    <t xml:space="preserve">Resource Projected </t>
  </si>
  <si>
    <t xml:space="preserve">Resource Projected Utilized </t>
  </si>
  <si>
    <t xml:space="preserve">Other Projected </t>
  </si>
  <si>
    <t xml:space="preserve">Other Projected Utilized </t>
  </si>
  <si>
    <t xml:space="preserve">Total Resource Projected </t>
  </si>
  <si>
    <t xml:space="preserve">Total Other Projected </t>
  </si>
  <si>
    <t xml:space="preserve">Projected  </t>
  </si>
  <si>
    <t>YEAR</t>
  </si>
  <si>
    <t>Year</t>
  </si>
  <si>
    <t>Column1</t>
  </si>
  <si>
    <t>2015</t>
  </si>
  <si>
    <t>Aug</t>
  </si>
  <si>
    <t>Sep</t>
  </si>
  <si>
    <t>Nov</t>
  </si>
  <si>
    <t>Dec</t>
  </si>
  <si>
    <t>Feb</t>
  </si>
  <si>
    <t>Mar</t>
  </si>
  <si>
    <t>Apr</t>
  </si>
  <si>
    <t>Jun</t>
  </si>
  <si>
    <t>Jul</t>
  </si>
  <si>
    <t>Start Year</t>
  </si>
  <si>
    <t>Start Month</t>
  </si>
  <si>
    <t>End Year</t>
  </si>
  <si>
    <t>End Month</t>
  </si>
  <si>
    <t>Select Date Range</t>
  </si>
  <si>
    <t>Resource code RES is not available in 'Resources' tab. Please add the code in 'Resources' tab.</t>
  </si>
  <si>
    <t># of Corporate Users</t>
  </si>
  <si>
    <t># IT Staff</t>
  </si>
  <si>
    <t># InfoSec Staff</t>
  </si>
  <si>
    <t># of PCs</t>
  </si>
  <si>
    <t>Oct</t>
  </si>
  <si>
    <t>Dcompleted</t>
  </si>
  <si>
    <t>Completed</t>
  </si>
  <si>
    <t>1. Implement Year and date assignments</t>
  </si>
  <si>
    <t>1. Implment date range to accommodate offset fiscal years.</t>
  </si>
  <si>
    <t>Date Assignments</t>
  </si>
  <si>
    <t>Select a year and month next to each item in entry and/or project where appropriate. This is used for reporting range filters.</t>
  </si>
  <si>
    <t>Total Security Budget. Enter in B1</t>
  </si>
  <si>
    <t xml:space="preserve">  SURPLUS</t>
  </si>
  <si>
    <t>SURPLUS</t>
  </si>
  <si>
    <t xml:space="preserve"> UTILIZATION</t>
  </si>
  <si>
    <t>UTILIZATION</t>
  </si>
  <si>
    <t>This displays how much in total has already been spent and is generally taken from Utilization % designations in total. i.e., how much has been spent.</t>
  </si>
  <si>
    <t>This is a sheet where Operator can define custom organizational performanc metrics for delivery/spend relationships. Operator may edit values.</t>
  </si>
  <si>
    <t xml:space="preserve">Values entered will take the total projected and spend from the Operator selected date ranges in PROFILE REPORT. It is important to filter date range values. </t>
  </si>
  <si>
    <t>System Requirements</t>
  </si>
  <si>
    <t>OS</t>
  </si>
  <si>
    <t>Whatever system Microsoft Office supported versions will run on.</t>
  </si>
  <si>
    <t xml:space="preserve">Excel 2010 and 2013 on Windows. Some features may not work on earlier versions due to recent code utilized in later versions. Mac Office is not yet officially supported. We knnow that due to some limitations in Mac Office some code in excel VBA and macros while run on PC do not on Mac. However, it appears that Mac for Office 2016 is projected to address many of these limitations. It you try to operate this tool in Mac ooffice 2016 we would like the feedback. Meanwhile, likely run it in either a VM or bootcamp on mac. </t>
  </si>
  <si>
    <t>Office Versions</t>
  </si>
  <si>
    <t>Date Ranges</t>
  </si>
  <si>
    <t xml:space="preserve">Operator must select a date range and assign a date to each line item. Otherwise it will no date will be output from the report and items with no assignment will not get captured. This is somewhat a limitation in excel that we will try to address in future (via rollup surplus and cascading project underages and utilization). But for now, beta, lets capture other feedback to see whet ether priorities are. </t>
  </si>
  <si>
    <t xml:space="preserve">This is automatically generated from the values Operator assigned in the "projected" fields (resource demand and other costs (see total costs column) and deducting from total  Budget to provide a projected surplus or deficit in spending. </t>
  </si>
  <si>
    <t>Mapping to Entry</t>
  </si>
  <si>
    <t xml:space="preserve">Other value assignments through the ENTRY and PROJECT tabs can be used and will track assignments throughout the tool in the background for granular reporting. </t>
  </si>
  <si>
    <t xml:space="preserve">If Operator selects the underlined project name text in the ENTRY tab, it will link back to the PROJECT sheet so you can see exactly where the related project details are. This will be handy as many projects are entered and utilized to find/edit. </t>
  </si>
  <si>
    <t>Creating Projects</t>
  </si>
  <si>
    <t xml:space="preserve">When a Project header is used (blue are spaces for projects that are not yet entered) by entering the name of the project in the blue header space, enter the items and efforts that consist of that project. All of the items in a project roll up to a single line in ENTRY tab when selected. However here you can see and select the details. When the project is used in ENTRY the header will turn green. When not used in ENTRY tab, it will be red to signal that there is a project awaiting to be utilized. Until utilized (selected from within ENTRY tab) it will not show up in reports, etc. Blue headers remain unconstructed projected. </t>
  </si>
  <si>
    <t xml:space="preserve">This is the section to the left. Generally, these are internal employees paid a salary. In this instance, we generally like to think in terms of salary, full time, a portion of their time and utilization against that. If you look in the DROPDOWN tab, to the right (where it says "number of weeks", "hours per week" and "total hours" this is how you can enter how the tool perceives how much a F/T resource works and translates utilization in the background to know what their effort is worth in terms of time/dollar parity. This is all done so you can continue to think of them in terms of time/utilization. </t>
  </si>
  <si>
    <t xml:space="preserve">Each Resource list has a three digit code to the left of the roles. These are used in the ENTRY and PROJECTS tabs to define resources to use. These codes may be changed by operator here but MUST be precisely 3 digits (no less and no more). </t>
  </si>
  <si>
    <t xml:space="preserve">This is the area where many items can be changed by the Operator to tailor the budget categorization to reflect their methodology. Categories, sub-categories, tags, etc. Everything can be changed except for "Direct" and "total hours". </t>
  </si>
  <si>
    <t xml:space="preserve">This is used to designate how many hours a year salaried employees work. Do not change "total hours", as this is the result from values that can be modified in P and Q to derive R accounting for expected work week hours and number of working/paid weeks. </t>
  </si>
  <si>
    <t>There are many formulas, customizations and exceptions happening in the background of the PeerSource(TM) Budget tool. Therefore, pay attention as to what you should and should not be editing. Some sheets are connected in the back, mistakes may carry over and impact results. Most things will be either locked or greyed out that you should not be editing. If an item is entered incorrectly it is likely to throw an error. Either hit "ok" or "debug", clear cell and try again. If this does not work, change the value to another selection and back, or delete again. Sometimes the VBA code needs to reset. We are still working out the kinks.</t>
  </si>
  <si>
    <t xml:space="preserve">This is specifically for detailed projects. Projects may be carried over to Entry tab for utilization again the budget. Until selected in Entry, they are not included in budget roll-ups.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</si>
</sst>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0"/>
    <numFmt numFmtId="165" formatCode="[$$-409]#,##0_ ;\-[$$-409]#,##0\ "/>
    <numFmt numFmtId="166" formatCode="#,##0\ [$₽-46D]"/>
    <numFmt numFmtId="167" formatCode="0.0%"/>
    <numFmt numFmtId="168" formatCode="[$$-409]#,##0.00"/>
    <numFmt numFmtId="169" formatCode="\$#,##0;[Red]\$#,##0;"/>
  </numFmts>
  <fonts count="30" x14ac:knownFonts="1">
    <font>
      <sz val="11"/>
      <color theme="1"/>
      <name val="Calibri"/>
      <family val="2"/>
      <scheme val="minor"/>
    </font>
    <font>
      <sz val="10"/>
      <color theme="1"/>
      <name val="Wingdings"/>
      <charset val="2"/>
    </font>
    <font>
      <b/>
      <sz val="11"/>
      <color theme="0"/>
      <name val="Calibri"/>
      <family val="2"/>
      <scheme val="minor"/>
    </font>
    <font>
      <sz val="11"/>
      <color theme="0"/>
      <name val="Calibri"/>
      <family val="2"/>
      <scheme val="minor"/>
    </font>
    <font>
      <u/>
      <sz val="11"/>
      <color theme="11"/>
      <name val="Calibri"/>
      <family val="2"/>
      <scheme val="minor"/>
    </font>
    <font>
      <u/>
      <sz val="11"/>
      <color theme="10"/>
      <name val="Calibri"/>
      <family val="2"/>
      <scheme val="minor"/>
    </font>
    <font>
      <sz val="9"/>
      <color indexed="81"/>
      <name val="Tahoma"/>
      <family val="2"/>
    </font>
    <font>
      <b/>
      <sz val="9"/>
      <color indexed="81"/>
      <name val="Tahoma"/>
      <family val="2"/>
    </font>
    <font>
      <sz val="11"/>
      <color theme="1"/>
      <name val="Calibri"/>
      <family val="2"/>
      <scheme val="minor"/>
    </font>
    <font>
      <b/>
      <sz val="10"/>
      <color theme="0"/>
      <name val="Calibri"/>
      <family val="2"/>
      <scheme val="minor"/>
    </font>
    <font>
      <sz val="10"/>
      <color theme="1"/>
      <name val="Calibri"/>
      <family val="2"/>
      <scheme val="minor"/>
    </font>
    <font>
      <sz val="10"/>
      <color theme="0"/>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6"/>
      <color theme="1" tint="0.249977111117893"/>
      <name val="Calibri"/>
      <family val="2"/>
      <scheme val="minor"/>
    </font>
    <font>
      <i/>
      <sz val="11"/>
      <color theme="1"/>
      <name val="Calibri"/>
      <family val="2"/>
      <scheme val="minor"/>
    </font>
    <font>
      <sz val="11"/>
      <color theme="1" tint="0.249977111117893"/>
      <name val="Calibri"/>
      <family val="2"/>
      <scheme val="minor"/>
    </font>
    <font>
      <b/>
      <sz val="11"/>
      <color theme="1" tint="0.249977111117893"/>
      <name val="Calibri"/>
      <family val="2"/>
      <scheme val="minor"/>
    </font>
    <font>
      <b/>
      <sz val="14"/>
      <color theme="1" tint="0.249977111117893"/>
      <name val="Calibri"/>
      <family val="2"/>
      <scheme val="minor"/>
    </font>
    <font>
      <b/>
      <sz val="11"/>
      <color theme="1" tint="4.9989318521683403E-2"/>
      <name val="Calibri"/>
      <family val="2"/>
      <scheme val="minor"/>
    </font>
    <font>
      <sz val="14"/>
      <color theme="1" tint="0.249977111117893"/>
      <name val="Calibri"/>
      <family val="2"/>
      <scheme val="minor"/>
    </font>
    <font>
      <b/>
      <sz val="11"/>
      <name val="Calibri"/>
      <family val="2"/>
      <scheme val="minor"/>
    </font>
    <font>
      <b/>
      <sz val="11"/>
      <color rgb="FFFF0000"/>
      <name val="Calibri"/>
      <family val="2"/>
      <scheme val="minor"/>
    </font>
    <font>
      <b/>
      <sz val="10"/>
      <color theme="1"/>
      <name val="Calibri"/>
      <family val="2"/>
      <scheme val="minor"/>
    </font>
    <font>
      <sz val="12"/>
      <color theme="1"/>
      <name val="Calibri"/>
      <family val="2"/>
      <scheme val="minor"/>
    </font>
    <font>
      <b/>
      <u/>
      <sz val="11"/>
      <color theme="10"/>
      <name val="Calibri"/>
      <family val="2"/>
      <scheme val="minor"/>
    </font>
    <font>
      <sz val="10"/>
      <name val="Calibri"/>
      <family val="2"/>
      <scheme val="minor"/>
    </font>
    <font>
      <b/>
      <u/>
      <sz val="12"/>
      <color theme="8" tint="-0.499984740745262"/>
      <name val="Calibri"/>
      <family val="2"/>
      <scheme val="minor"/>
    </font>
    <font>
      <b/>
      <u/>
      <sz val="11"/>
      <color theme="8" tint="-0.499984740745262"/>
      <name val="Calibri"/>
      <family val="2"/>
      <scheme val="minor"/>
    </font>
  </fonts>
  <fills count="23">
    <fill>
      <patternFill patternType="none"/>
    </fill>
    <fill>
      <patternFill patternType="gray125"/>
    </fill>
    <fill>
      <patternFill patternType="solid">
        <fgColor theme="2"/>
        <bgColor indexed="64"/>
      </patternFill>
    </fill>
    <fill>
      <patternFill patternType="solid">
        <fgColor theme="1" tint="4.9989318521683403E-2"/>
        <bgColor indexed="64"/>
      </patternFill>
    </fill>
    <fill>
      <patternFill patternType="solid">
        <fgColor theme="4"/>
        <bgColor indexed="64"/>
      </patternFill>
    </fill>
    <fill>
      <patternFill patternType="solid">
        <fgColor rgb="FFFFFF00"/>
        <bgColor indexed="64"/>
      </patternFill>
    </fill>
    <fill>
      <patternFill patternType="solid">
        <fgColor theme="4" tint="-0.249977111117893"/>
        <bgColor indexed="64"/>
      </patternFill>
    </fill>
    <fill>
      <patternFill patternType="solid">
        <fgColor rgb="FF00B050"/>
        <bgColor indexed="64"/>
      </patternFill>
    </fill>
    <fill>
      <patternFill patternType="solid">
        <fgColor theme="4" tint="0.59999389629810485"/>
        <bgColor indexed="64"/>
      </patternFill>
    </fill>
    <fill>
      <patternFill patternType="solid">
        <fgColor theme="1"/>
        <bgColor indexed="64"/>
      </patternFill>
    </fill>
    <fill>
      <patternFill patternType="solid">
        <fgColor theme="5" tint="-0.499984740745262"/>
        <bgColor indexed="64"/>
      </patternFill>
    </fill>
    <fill>
      <patternFill patternType="solid">
        <fgColor theme="5"/>
      </patternFill>
    </fill>
    <fill>
      <patternFill patternType="solid">
        <fgColor theme="1" tint="0.499984740745262"/>
        <bgColor indexed="64"/>
      </patternFill>
    </fill>
    <fill>
      <patternFill patternType="solid">
        <fgColor theme="4" tint="0.39997558519241921"/>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5"/>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C00000"/>
        <bgColor indexed="64"/>
      </patternFill>
    </fill>
  </fills>
  <borders count="63">
    <border>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auto="1"/>
      </bottom>
      <diagonal/>
    </border>
    <border>
      <left style="thin">
        <color theme="0" tint="-0.14996795556505021"/>
      </left>
      <right style="thin">
        <color theme="0" tint="-0.14996795556505021"/>
      </right>
      <top style="thin">
        <color theme="0" tint="-0.14996795556505021"/>
      </top>
      <bottom style="thin">
        <color auto="1"/>
      </bottom>
      <diagonal/>
    </border>
    <border>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
      <left style="thin">
        <color theme="0" tint="-0.14996795556505021"/>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auto="1"/>
      </bottom>
      <diagonal/>
    </border>
    <border>
      <left style="thin">
        <color theme="0" tint="-0.14996795556505021"/>
      </left>
      <right style="thin">
        <color theme="0" tint="-0.14993743705557422"/>
      </right>
      <top style="thin">
        <color indexed="64"/>
      </top>
      <bottom style="thin">
        <color indexed="64"/>
      </bottom>
      <diagonal/>
    </border>
    <border>
      <left style="thin">
        <color theme="0" tint="-0.14993743705557422"/>
      </left>
      <right style="thin">
        <color theme="0" tint="-0.14993743705557422"/>
      </right>
      <top style="thin">
        <color indexed="64"/>
      </top>
      <bottom style="thin">
        <color indexed="64"/>
      </bottom>
      <diagonal/>
    </border>
    <border>
      <left style="thin">
        <color theme="0" tint="-0.14996795556505021"/>
      </left>
      <right style="thin">
        <color theme="0" tint="-0.14993743705557422"/>
      </right>
      <top/>
      <bottom style="thin">
        <color theme="0" tint="-0.14996795556505021"/>
      </bottom>
      <diagonal/>
    </border>
    <border>
      <left style="thin">
        <color theme="0" tint="-0.14993743705557422"/>
      </left>
      <right style="thin">
        <color theme="0" tint="-0.14993743705557422"/>
      </right>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indexed="64"/>
      </bottom>
      <diagonal/>
    </border>
    <border>
      <left style="thin">
        <color theme="0" tint="-0.14993743705557422"/>
      </left>
      <right style="thin">
        <color theme="0" tint="-0.14993743705557422"/>
      </right>
      <top style="thin">
        <color theme="0" tint="-0.14996795556505021"/>
      </top>
      <bottom style="thin">
        <color indexed="64"/>
      </bottom>
      <diagonal/>
    </border>
    <border>
      <left style="thin">
        <color theme="0" tint="-0.14996795556505021"/>
      </left>
      <right style="thin">
        <color auto="1"/>
      </right>
      <top style="thin">
        <color auto="1"/>
      </top>
      <bottom style="thin">
        <color theme="0" tint="-0.14996795556505021"/>
      </bottom>
      <diagonal/>
    </border>
    <border>
      <left style="thin">
        <color theme="0" tint="-0.14996795556505021"/>
      </left>
      <right style="thin">
        <color auto="1"/>
      </right>
      <top style="thin">
        <color theme="0" tint="-0.14996795556505021"/>
      </top>
      <bottom style="thin">
        <color theme="0" tint="-0.14996795556505021"/>
      </bottom>
      <diagonal/>
    </border>
    <border>
      <left style="thin">
        <color theme="0" tint="-0.14996795556505021"/>
      </left>
      <right style="thin">
        <color auto="1"/>
      </right>
      <top style="thin">
        <color theme="0" tint="-0.14996795556505021"/>
      </top>
      <bottom style="thin">
        <color auto="1"/>
      </bottom>
      <diagonal/>
    </border>
    <border>
      <left style="thick">
        <color theme="0"/>
      </left>
      <right style="thick">
        <color theme="0"/>
      </right>
      <top style="thick">
        <color theme="0"/>
      </top>
      <bottom style="thick">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theme="0" tint="-0.24994659260841701"/>
      </right>
      <top/>
      <bottom style="medium">
        <color theme="0" tint="-0.24994659260841701"/>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medium">
        <color theme="0" tint="-0.14993743705557422"/>
      </left>
      <right style="medium">
        <color theme="0" tint="-0.14993743705557422"/>
      </right>
      <top style="medium">
        <color theme="0" tint="-0.14993743705557422"/>
      </top>
      <bottom style="medium">
        <color theme="0" tint="-0.14993743705557422"/>
      </bottom>
      <diagonal/>
    </border>
    <border>
      <left style="medium">
        <color theme="0" tint="-0.14993743705557422"/>
      </left>
      <right style="medium">
        <color theme="0" tint="-0.14993743705557422"/>
      </right>
      <top/>
      <bottom style="medium">
        <color theme="0" tint="-0.1499374370555742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top/>
      <bottom style="thin">
        <color indexed="64"/>
      </bottom>
      <diagonal/>
    </border>
    <border>
      <left/>
      <right style="thin">
        <color theme="0" tint="-0.14996795556505021"/>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auto="1"/>
      </bottom>
      <diagonal/>
    </border>
    <border>
      <left style="thin">
        <color theme="0"/>
      </left>
      <right style="thin">
        <color theme="0" tint="-0.14996795556505021"/>
      </right>
      <top/>
      <bottom style="thin">
        <color theme="0" tint="-0.14996795556505021"/>
      </bottom>
      <diagonal/>
    </border>
    <border>
      <left style="thin">
        <color theme="0"/>
      </left>
      <right style="thin">
        <color theme="0" tint="-0.14996795556505021"/>
      </right>
      <top style="thin">
        <color theme="0" tint="-0.14996795556505021"/>
      </top>
      <bottom style="thin">
        <color theme="0" tint="-0.14996795556505021"/>
      </bottom>
      <diagonal/>
    </border>
    <border>
      <left style="thin">
        <color theme="0"/>
      </left>
      <right style="thin">
        <color theme="0" tint="-0.14996795556505021"/>
      </right>
      <top style="thin">
        <color theme="0" tint="-0.14996795556505021"/>
      </top>
      <bottom style="thin">
        <color auto="1"/>
      </bottom>
      <diagonal/>
    </border>
    <border>
      <left style="thick">
        <color theme="0"/>
      </left>
      <right style="thick">
        <color theme="0"/>
      </right>
      <top style="thick">
        <color theme="0"/>
      </top>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thin">
        <color indexed="64"/>
      </left>
      <right style="thin">
        <color theme="0" tint="-0.14996795556505021"/>
      </right>
      <top/>
      <bottom style="thin">
        <color indexed="64"/>
      </bottom>
      <diagonal/>
    </border>
    <border>
      <left style="thin">
        <color theme="0" tint="-0.14996795556505021"/>
      </left>
      <right style="thin">
        <color theme="0" tint="-0.14993743705557422"/>
      </right>
      <top/>
      <bottom style="thin">
        <color indexed="64"/>
      </bottom>
      <diagonal/>
    </border>
    <border>
      <left style="thin">
        <color theme="0" tint="-0.14993743705557422"/>
      </left>
      <right style="thin">
        <color theme="0" tint="-0.14993743705557422"/>
      </right>
      <top/>
      <bottom style="thin">
        <color indexed="64"/>
      </bottom>
      <diagonal/>
    </border>
    <border>
      <left style="thin">
        <color theme="0" tint="-0.14996795556505021"/>
      </left>
      <right style="thin">
        <color indexed="64"/>
      </right>
      <top/>
      <bottom style="thin">
        <color indexed="64"/>
      </bottom>
      <diagonal/>
    </border>
    <border>
      <left style="hair">
        <color theme="0" tint="-0.34998626667073579"/>
      </left>
      <right style="hair">
        <color theme="0" tint="-0.34998626667073579"/>
      </right>
      <top style="hair">
        <color theme="0" tint="-0.34998626667073579"/>
      </top>
      <bottom/>
      <diagonal/>
    </border>
    <border>
      <left style="hair">
        <color theme="0" tint="-0.499984740745262"/>
      </left>
      <right style="hair">
        <color theme="0" tint="-0.499984740745262"/>
      </right>
      <top style="hair">
        <color theme="0" tint="-0.499984740745262"/>
      </top>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style="medium">
        <color theme="0"/>
      </left>
      <right style="medium">
        <color theme="0"/>
      </right>
      <top/>
      <bottom style="medium">
        <color theme="0"/>
      </bottom>
      <diagonal/>
    </border>
    <border>
      <left style="medium">
        <color theme="0" tint="-0.24994659260841701"/>
      </left>
      <right style="medium">
        <color theme="0" tint="-0.24994659260841701"/>
      </right>
      <top style="medium">
        <color theme="0" tint="-0.24994659260841701"/>
      </top>
      <bottom/>
      <diagonal/>
    </border>
    <border>
      <left style="thin">
        <color theme="0" tint="-0.14993743705557422"/>
      </left>
      <right style="thin">
        <color theme="0" tint="-0.14993743705557422"/>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style="thin">
        <color theme="0" tint="-0.14996795556505021"/>
      </left>
      <right style="thin">
        <color theme="0" tint="-0.14993743705557422"/>
      </right>
      <top style="thick">
        <color theme="0"/>
      </top>
      <bottom style="thin">
        <color auto="1"/>
      </bottom>
      <diagonal/>
    </border>
    <border>
      <left/>
      <right style="thin">
        <color indexed="64"/>
      </right>
      <top style="thin">
        <color indexed="64"/>
      </top>
      <bottom style="dashed">
        <color auto="1"/>
      </bottom>
      <diagonal/>
    </border>
    <border>
      <left style="thin">
        <color auto="1"/>
      </left>
      <right style="thin">
        <color indexed="64"/>
      </right>
      <top style="thin">
        <color indexed="64"/>
      </top>
      <bottom style="dashed">
        <color auto="1"/>
      </bottom>
      <diagonal/>
    </border>
    <border>
      <left style="thin">
        <color indexed="64"/>
      </left>
      <right style="thin">
        <color indexed="64"/>
      </right>
      <top style="dashed">
        <color auto="1"/>
      </top>
      <bottom style="thin">
        <color indexed="64"/>
      </bottom>
      <diagonal/>
    </border>
    <border>
      <left/>
      <right style="thin">
        <color indexed="64"/>
      </right>
      <top/>
      <bottom style="thin">
        <color indexed="64"/>
      </bottom>
      <diagonal/>
    </border>
  </borders>
  <cellStyleXfs count="52">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9" fontId="8" fillId="0" borderId="0" applyFont="0" applyFill="0" applyBorder="0" applyAlignment="0" applyProtection="0"/>
    <xf numFmtId="0" fontId="3" fillId="11" borderId="0" applyNumberFormat="0" applyBorder="0" applyAlignment="0" applyProtection="0"/>
    <xf numFmtId="0" fontId="5" fillId="0" borderId="0" applyNumberFormat="0" applyFill="0" applyBorder="0" applyAlignment="0" applyProtection="0"/>
  </cellStyleXfs>
  <cellXfs count="288">
    <xf numFmtId="0" fontId="0" fillId="0" borderId="0" xfId="0"/>
    <xf numFmtId="0" fontId="0" fillId="0" borderId="0" xfId="0" applyAlignment="1">
      <alignment horizontal="left" vertical="top" wrapText="1"/>
    </xf>
    <xf numFmtId="0" fontId="0" fillId="0" borderId="0" xfId="0" applyProtection="1">
      <protection locked="0"/>
    </xf>
    <xf numFmtId="0" fontId="0" fillId="0" borderId="0" xfId="0" applyBorder="1" applyProtection="1">
      <protection locked="0"/>
    </xf>
    <xf numFmtId="0" fontId="0" fillId="2" borderId="0" xfId="0" applyFill="1" applyBorder="1" applyProtection="1">
      <protection locked="0"/>
    </xf>
    <xf numFmtId="0" fontId="1" fillId="0" borderId="0" xfId="0" applyFont="1" applyAlignment="1" applyProtection="1">
      <alignment horizontal="left" vertical="center" indent="14"/>
      <protection locked="0"/>
    </xf>
    <xf numFmtId="9" fontId="0" fillId="0" borderId="0" xfId="0" applyNumberFormat="1" applyProtection="1">
      <protection locked="0"/>
    </xf>
    <xf numFmtId="0" fontId="0" fillId="0" borderId="0" xfId="0" applyProtection="1"/>
    <xf numFmtId="0" fontId="10" fillId="0" borderId="0" xfId="0" applyFont="1" applyProtection="1">
      <protection locked="0"/>
    </xf>
    <xf numFmtId="0" fontId="10" fillId="0" borderId="0" xfId="0" applyFont="1" applyAlignment="1" applyProtection="1">
      <alignment wrapText="1"/>
      <protection locked="0"/>
    </xf>
    <xf numFmtId="0" fontId="10" fillId="0" borderId="0" xfId="0" applyFont="1" applyAlignment="1" applyProtection="1">
      <alignment horizontal="center"/>
      <protection locked="0"/>
    </xf>
    <xf numFmtId="0" fontId="10" fillId="0" borderId="0" xfId="0" applyFont="1" applyAlignment="1" applyProtection="1">
      <alignment horizontal="center"/>
    </xf>
    <xf numFmtId="0" fontId="10" fillId="8" borderId="2" xfId="0" applyFont="1" applyFill="1" applyBorder="1" applyAlignment="1" applyProtection="1">
      <alignment horizontal="center" vertical="center"/>
      <protection locked="0"/>
    </xf>
    <xf numFmtId="0" fontId="11" fillId="10" borderId="2" xfId="0" applyFont="1" applyFill="1" applyBorder="1" applyAlignment="1" applyProtection="1">
      <alignment horizontal="center" vertical="center"/>
    </xf>
    <xf numFmtId="9" fontId="10" fillId="0" borderId="4" xfId="0" applyNumberFormat="1" applyFont="1" applyBorder="1" applyAlignment="1" applyProtection="1">
      <alignment horizontal="center"/>
    </xf>
    <xf numFmtId="9" fontId="10" fillId="0" borderId="6" xfId="0" applyNumberFormat="1" applyFont="1" applyBorder="1" applyAlignment="1" applyProtection="1">
      <alignment horizontal="center"/>
    </xf>
    <xf numFmtId="9" fontId="10" fillId="0" borderId="10" xfId="0" applyNumberFormat="1" applyFont="1" applyBorder="1" applyAlignment="1" applyProtection="1">
      <alignment horizontal="center"/>
    </xf>
    <xf numFmtId="164" fontId="10" fillId="0" borderId="0" xfId="0" applyNumberFormat="1" applyFont="1" applyAlignment="1" applyProtection="1">
      <alignment horizontal="center"/>
    </xf>
    <xf numFmtId="0" fontId="10" fillId="4" borderId="12" xfId="0" applyFont="1" applyFill="1" applyBorder="1" applyAlignment="1" applyProtection="1">
      <alignment horizontal="center" vertical="center"/>
    </xf>
    <xf numFmtId="0" fontId="10" fillId="4" borderId="12" xfId="0" applyFont="1" applyFill="1" applyBorder="1" applyAlignment="1" applyProtection="1">
      <alignment horizontal="left" vertical="center" indent="1"/>
    </xf>
    <xf numFmtId="0" fontId="10" fillId="0" borderId="10" xfId="0" applyFont="1" applyBorder="1" applyAlignment="1" applyProtection="1">
      <alignment horizontal="left" indent="1"/>
      <protection locked="0"/>
    </xf>
    <xf numFmtId="0" fontId="10" fillId="0" borderId="4" xfId="0" applyFont="1" applyBorder="1" applyAlignment="1" applyProtection="1">
      <alignment horizontal="left" indent="1"/>
      <protection locked="0"/>
    </xf>
    <xf numFmtId="0" fontId="10" fillId="0" borderId="6" xfId="0" applyFont="1" applyBorder="1" applyAlignment="1" applyProtection="1">
      <alignment horizontal="left" indent="1"/>
      <protection locked="0"/>
    </xf>
    <xf numFmtId="0" fontId="10" fillId="0" borderId="0" xfId="0" applyFont="1" applyAlignment="1" applyProtection="1">
      <alignment horizontal="left" indent="1"/>
      <protection locked="0"/>
    </xf>
    <xf numFmtId="0" fontId="0" fillId="0" borderId="0" xfId="0" applyAlignment="1" applyProtection="1">
      <alignment horizontal="left" indent="1"/>
      <protection locked="0"/>
    </xf>
    <xf numFmtId="0" fontId="0" fillId="0" borderId="0" xfId="0" applyAlignment="1" applyProtection="1">
      <alignment horizontal="left" indent="1"/>
    </xf>
    <xf numFmtId="9" fontId="0" fillId="0" borderId="0" xfId="49" applyFont="1" applyAlignment="1" applyProtection="1">
      <alignment horizontal="center"/>
      <protection locked="0"/>
    </xf>
    <xf numFmtId="9" fontId="0" fillId="2" borderId="0" xfId="49" applyFont="1" applyFill="1" applyBorder="1" applyAlignment="1" applyProtection="1">
      <alignment horizontal="center"/>
      <protection locked="0"/>
    </xf>
    <xf numFmtId="9" fontId="0" fillId="0" borderId="0" xfId="49" applyFont="1" applyAlignment="1" applyProtection="1">
      <alignment horizontal="center"/>
    </xf>
    <xf numFmtId="0" fontId="0" fillId="0" borderId="0" xfId="0" applyFill="1" applyAlignment="1" applyProtection="1">
      <alignment horizontal="left" indent="1"/>
      <protection locked="0"/>
    </xf>
    <xf numFmtId="0" fontId="9" fillId="3" borderId="0" xfId="0" applyFont="1" applyFill="1" applyBorder="1" applyAlignment="1" applyProtection="1">
      <alignment horizontal="center" vertical="center"/>
      <protection locked="0"/>
    </xf>
    <xf numFmtId="9" fontId="9" fillId="3" borderId="0" xfId="49" applyFont="1" applyFill="1" applyBorder="1" applyAlignment="1" applyProtection="1">
      <alignment horizontal="center" vertical="center"/>
      <protection locked="0"/>
    </xf>
    <xf numFmtId="164" fontId="9" fillId="3" borderId="0" xfId="0" applyNumberFormat="1"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0" fontId="0" fillId="0" borderId="0" xfId="0" pivotButton="1"/>
    <xf numFmtId="0" fontId="0" fillId="0" borderId="0" xfId="0" applyAlignment="1">
      <alignment horizontal="left"/>
    </xf>
    <xf numFmtId="164" fontId="0" fillId="0" borderId="0" xfId="0" applyNumberFormat="1"/>
    <xf numFmtId="0" fontId="12" fillId="0" borderId="0" xfId="0" applyFont="1"/>
    <xf numFmtId="164" fontId="0" fillId="0" borderId="0" xfId="0" applyNumberFormat="1" applyAlignment="1">
      <alignment horizontal="left"/>
    </xf>
    <xf numFmtId="0" fontId="13" fillId="0" borderId="0" xfId="0" applyFont="1" applyProtection="1">
      <protection locked="0"/>
    </xf>
    <xf numFmtId="0" fontId="13" fillId="0" borderId="0" xfId="0" applyFont="1" applyBorder="1" applyProtection="1">
      <protection locked="0"/>
    </xf>
    <xf numFmtId="164" fontId="0" fillId="0" borderId="0" xfId="0" applyNumberFormat="1" applyProtection="1"/>
    <xf numFmtId="164" fontId="0" fillId="0" borderId="0" xfId="0" applyNumberFormat="1" applyProtection="1">
      <protection locked="0"/>
    </xf>
    <xf numFmtId="0" fontId="0" fillId="0" borderId="0" xfId="0" applyNumberFormat="1"/>
    <xf numFmtId="0" fontId="10" fillId="0" borderId="27" xfId="0" applyFont="1" applyBorder="1" applyProtection="1">
      <protection locked="0"/>
    </xf>
    <xf numFmtId="0" fontId="10" fillId="0" borderId="28" xfId="0" applyFont="1" applyBorder="1" applyProtection="1">
      <protection locked="0"/>
    </xf>
    <xf numFmtId="0" fontId="10" fillId="0" borderId="29" xfId="0" applyFont="1" applyBorder="1" applyProtection="1">
      <protection locked="0"/>
    </xf>
    <xf numFmtId="0" fontId="10" fillId="4" borderId="14" xfId="0" applyFont="1" applyFill="1" applyBorder="1" applyProtection="1">
      <protection locked="0"/>
    </xf>
    <xf numFmtId="168" fontId="0" fillId="0" borderId="0" xfId="0" applyNumberFormat="1"/>
    <xf numFmtId="0" fontId="0" fillId="0" borderId="31" xfId="0" applyBorder="1"/>
    <xf numFmtId="0" fontId="0" fillId="15" borderId="31" xfId="0" applyFill="1" applyBorder="1"/>
    <xf numFmtId="0" fontId="0" fillId="0" borderId="33" xfId="0" applyBorder="1"/>
    <xf numFmtId="0" fontId="0" fillId="0" borderId="0" xfId="0" applyAlignment="1">
      <alignment horizontal="center" vertical="center"/>
    </xf>
    <xf numFmtId="0" fontId="2" fillId="14" borderId="30" xfId="0" applyFont="1" applyFill="1" applyBorder="1" applyAlignment="1">
      <alignment horizontal="center" vertical="center"/>
    </xf>
    <xf numFmtId="0" fontId="0" fillId="0" borderId="35" xfId="0" applyBorder="1" applyAlignment="1">
      <alignment horizontal="left" vertical="top"/>
    </xf>
    <xf numFmtId="0" fontId="0" fillId="15" borderId="34" xfId="0" applyFill="1" applyBorder="1" applyAlignment="1">
      <alignment horizontal="left" vertical="top"/>
    </xf>
    <xf numFmtId="0" fontId="0" fillId="0" borderId="34" xfId="0" applyBorder="1" applyAlignment="1">
      <alignment horizontal="left" vertical="top"/>
    </xf>
    <xf numFmtId="0" fontId="0" fillId="0" borderId="35" xfId="0" applyBorder="1" applyAlignment="1">
      <alignment horizontal="left" vertical="top" wrapText="1"/>
    </xf>
    <xf numFmtId="0" fontId="0" fillId="15" borderId="34" xfId="0" applyFill="1" applyBorder="1" applyAlignment="1">
      <alignment horizontal="left" vertical="top" wrapText="1"/>
    </xf>
    <xf numFmtId="0" fontId="0" fillId="0" borderId="34" xfId="0" applyBorder="1" applyAlignment="1">
      <alignment horizontal="left" vertical="top" wrapText="1"/>
    </xf>
    <xf numFmtId="16" fontId="0" fillId="0" borderId="34" xfId="0" applyNumberFormat="1" applyBorder="1" applyAlignment="1">
      <alignment horizontal="left" vertical="top"/>
    </xf>
    <xf numFmtId="16" fontId="0" fillId="15" borderId="34" xfId="0" applyNumberFormat="1" applyFill="1" applyBorder="1" applyAlignment="1">
      <alignment horizontal="left" vertical="top"/>
    </xf>
    <xf numFmtId="0" fontId="0" fillId="15" borderId="34" xfId="0" applyFill="1" applyBorder="1" applyAlignment="1">
      <alignment horizontal="left" wrapText="1"/>
    </xf>
    <xf numFmtId="164" fontId="0" fillId="0" borderId="0" xfId="0" applyNumberFormat="1" applyAlignment="1">
      <alignment horizontal="center" vertical="center"/>
    </xf>
    <xf numFmtId="0" fontId="0" fillId="0" borderId="0" xfId="0" applyAlignment="1">
      <alignment horizontal="left" vertical="center"/>
    </xf>
    <xf numFmtId="9" fontId="10" fillId="0" borderId="4" xfId="0" applyNumberFormat="1" applyFont="1" applyBorder="1" applyAlignment="1" applyProtection="1">
      <alignment horizontal="center"/>
      <protection locked="0"/>
    </xf>
    <xf numFmtId="9" fontId="10" fillId="0" borderId="6" xfId="0" applyNumberFormat="1" applyFont="1" applyBorder="1" applyAlignment="1" applyProtection="1">
      <alignment horizontal="center"/>
      <protection locked="0"/>
    </xf>
    <xf numFmtId="0" fontId="12" fillId="0" borderId="0" xfId="0" applyFont="1" applyProtection="1">
      <protection locked="0"/>
    </xf>
    <xf numFmtId="0" fontId="0" fillId="2" borderId="0" xfId="0" applyFill="1" applyProtection="1"/>
    <xf numFmtId="9" fontId="10" fillId="0" borderId="38" xfId="0" applyNumberFormat="1" applyFont="1" applyBorder="1" applyAlignment="1" applyProtection="1">
      <alignment horizontal="center"/>
      <protection locked="0"/>
    </xf>
    <xf numFmtId="9" fontId="10" fillId="0" borderId="39" xfId="0" applyNumberFormat="1" applyFont="1" applyBorder="1" applyAlignment="1" applyProtection="1">
      <alignment horizontal="center"/>
      <protection locked="0"/>
    </xf>
    <xf numFmtId="9" fontId="10" fillId="0" borderId="40" xfId="0" applyNumberFormat="1" applyFont="1" applyBorder="1" applyAlignment="1" applyProtection="1">
      <alignment horizontal="center"/>
      <protection locked="0"/>
    </xf>
    <xf numFmtId="9" fontId="10" fillId="0" borderId="41" xfId="0" applyNumberFormat="1" applyFont="1" applyBorder="1" applyAlignment="1" applyProtection="1">
      <alignment horizontal="center"/>
      <protection locked="0"/>
    </xf>
    <xf numFmtId="9" fontId="10" fillId="0" borderId="42" xfId="0" applyNumberFormat="1" applyFont="1" applyBorder="1" applyAlignment="1" applyProtection="1">
      <alignment horizontal="center"/>
      <protection locked="0"/>
    </xf>
    <xf numFmtId="9" fontId="10" fillId="0" borderId="43" xfId="0" applyNumberFormat="1" applyFont="1" applyBorder="1" applyAlignment="1" applyProtection="1">
      <alignment horizontal="center"/>
      <protection locked="0"/>
    </xf>
    <xf numFmtId="0" fontId="0" fillId="0" borderId="0" xfId="0" applyFill="1" applyBorder="1" applyAlignment="1" applyProtection="1">
      <alignment horizontal="center" vertical="center"/>
    </xf>
    <xf numFmtId="165" fontId="2" fillId="0" borderId="0" xfId="50" applyNumberFormat="1" applyFont="1" applyFill="1" applyBorder="1" applyAlignment="1" applyProtection="1">
      <alignment horizontal="center" vertical="center"/>
    </xf>
    <xf numFmtId="9" fontId="0" fillId="0" borderId="0" xfId="49" applyFont="1" applyBorder="1" applyAlignment="1" applyProtection="1">
      <alignment horizontal="center"/>
    </xf>
    <xf numFmtId="165" fontId="23" fillId="0" borderId="30" xfId="50" applyNumberFormat="1" applyFont="1" applyFill="1" applyBorder="1" applyAlignment="1" applyProtection="1">
      <alignment horizontal="center" vertical="center"/>
      <protection locked="0"/>
    </xf>
    <xf numFmtId="165" fontId="2" fillId="12" borderId="30" xfId="50" applyNumberFormat="1" applyFont="1" applyFill="1" applyBorder="1" applyAlignment="1" applyProtection="1">
      <alignment horizontal="center" vertical="center"/>
    </xf>
    <xf numFmtId="0" fontId="14" fillId="13" borderId="30" xfId="0" applyFont="1" applyFill="1" applyBorder="1" applyAlignment="1" applyProtection="1">
      <alignment vertical="center"/>
    </xf>
    <xf numFmtId="9" fontId="0" fillId="6" borderId="0" xfId="0" applyNumberFormat="1" applyFill="1" applyProtection="1">
      <protection locked="0"/>
    </xf>
    <xf numFmtId="0" fontId="0" fillId="6" borderId="0" xfId="0" applyFill="1" applyAlignment="1" applyProtection="1">
      <alignment horizontal="left" indent="1"/>
      <protection locked="0"/>
    </xf>
    <xf numFmtId="0" fontId="0" fillId="6" borderId="0" xfId="0" applyFill="1" applyAlignment="1" applyProtection="1">
      <alignment horizontal="left" indent="1"/>
    </xf>
    <xf numFmtId="0" fontId="0" fillId="0" borderId="36" xfId="0" applyBorder="1" applyAlignment="1" applyProtection="1">
      <alignment horizontal="left" indent="1"/>
      <protection locked="0"/>
    </xf>
    <xf numFmtId="0" fontId="0" fillId="0" borderId="36" xfId="0" applyBorder="1" applyAlignment="1" applyProtection="1">
      <alignment horizontal="left" indent="1"/>
    </xf>
    <xf numFmtId="9" fontId="0" fillId="0" borderId="36" xfId="49" applyFont="1" applyBorder="1" applyAlignment="1" applyProtection="1">
      <alignment horizontal="center"/>
    </xf>
    <xf numFmtId="0" fontId="0" fillId="0" borderId="36" xfId="0" applyBorder="1" applyProtection="1">
      <protection locked="0"/>
    </xf>
    <xf numFmtId="0" fontId="0" fillId="0" borderId="36" xfId="0" applyNumberFormat="1" applyFont="1" applyBorder="1" applyAlignment="1" applyProtection="1">
      <alignment horizontal="left" indent="1"/>
      <protection locked="0"/>
    </xf>
    <xf numFmtId="9" fontId="0" fillId="0" borderId="36" xfId="0" applyNumberFormat="1" applyBorder="1" applyAlignment="1" applyProtection="1">
      <alignment horizontal="left" indent="1"/>
    </xf>
    <xf numFmtId="9" fontId="0" fillId="0" borderId="36" xfId="49" applyFont="1" applyBorder="1" applyAlignment="1" applyProtection="1">
      <alignment horizontal="center" vertical="center"/>
    </xf>
    <xf numFmtId="0" fontId="0" fillId="0" borderId="36" xfId="0" applyFont="1" applyBorder="1" applyAlignment="1" applyProtection="1">
      <alignment horizontal="left" vertical="center" indent="1"/>
    </xf>
    <xf numFmtId="9" fontId="0" fillId="0" borderId="36" xfId="49" applyFont="1" applyBorder="1" applyAlignment="1" applyProtection="1">
      <alignment horizontal="center"/>
      <protection locked="0"/>
    </xf>
    <xf numFmtId="0" fontId="14" fillId="13" borderId="44" xfId="0" applyFont="1" applyFill="1" applyBorder="1" applyAlignment="1" applyProtection="1">
      <alignment vertical="center"/>
    </xf>
    <xf numFmtId="165" fontId="2" fillId="12" borderId="44" xfId="50" applyNumberFormat="1" applyFont="1" applyFill="1" applyBorder="1" applyAlignment="1" applyProtection="1">
      <alignment horizontal="center" vertical="center"/>
    </xf>
    <xf numFmtId="0" fontId="2" fillId="3" borderId="30" xfId="0" applyFont="1" applyFill="1" applyBorder="1" applyAlignment="1" applyProtection="1">
      <alignment horizontal="center"/>
    </xf>
    <xf numFmtId="9" fontId="2" fillId="3" borderId="30" xfId="49" applyFont="1" applyFill="1" applyBorder="1" applyAlignment="1" applyProtection="1">
      <alignment horizontal="center"/>
    </xf>
    <xf numFmtId="164" fontId="2" fillId="3" borderId="30" xfId="0" applyNumberFormat="1" applyFont="1" applyFill="1" applyBorder="1" applyAlignment="1" applyProtection="1">
      <alignment horizontal="center"/>
    </xf>
    <xf numFmtId="0" fontId="0" fillId="0" borderId="45" xfId="0" applyBorder="1" applyAlignment="1" applyProtection="1">
      <alignment horizontal="left" indent="1"/>
      <protection locked="0"/>
    </xf>
    <xf numFmtId="9" fontId="0" fillId="0" borderId="45" xfId="49" applyFont="1" applyBorder="1" applyAlignment="1" applyProtection="1">
      <alignment horizontal="center"/>
      <protection locked="0"/>
    </xf>
    <xf numFmtId="9" fontId="0" fillId="0" borderId="45" xfId="49" applyFont="1" applyBorder="1" applyAlignment="1" applyProtection="1">
      <alignment horizontal="center"/>
    </xf>
    <xf numFmtId="0" fontId="0" fillId="0" borderId="45" xfId="0" applyBorder="1" applyAlignment="1" applyProtection="1">
      <alignment horizontal="left" indent="1"/>
    </xf>
    <xf numFmtId="0" fontId="10" fillId="4" borderId="8" xfId="0" applyFont="1" applyFill="1" applyBorder="1" applyAlignment="1" applyProtection="1">
      <alignment horizontal="left" vertical="center" indent="1"/>
    </xf>
    <xf numFmtId="0" fontId="10" fillId="4" borderId="8" xfId="0" applyFont="1" applyFill="1" applyBorder="1" applyAlignment="1" applyProtection="1">
      <alignment horizontal="center" vertical="center"/>
    </xf>
    <xf numFmtId="167" fontId="10" fillId="0" borderId="7" xfId="0" applyNumberFormat="1" applyFont="1" applyBorder="1" applyAlignment="1" applyProtection="1">
      <alignment horizontal="center" vertical="center"/>
    </xf>
    <xf numFmtId="0" fontId="10" fillId="4" borderId="49" xfId="0" applyFont="1" applyFill="1" applyBorder="1" applyProtection="1">
      <protection locked="0"/>
    </xf>
    <xf numFmtId="0" fontId="2" fillId="3" borderId="30" xfId="0" applyFont="1" applyFill="1" applyBorder="1" applyAlignment="1" applyProtection="1">
      <alignment horizontal="center" vertical="center"/>
      <protection locked="0"/>
    </xf>
    <xf numFmtId="9" fontId="2" fillId="3" borderId="30" xfId="49" applyFont="1" applyFill="1" applyBorder="1" applyAlignment="1" applyProtection="1">
      <alignment horizontal="center" vertical="center"/>
      <protection locked="0"/>
    </xf>
    <xf numFmtId="164" fontId="2" fillId="3" borderId="30" xfId="0" applyNumberFormat="1" applyFont="1" applyFill="1" applyBorder="1" applyAlignment="1" applyProtection="1">
      <alignment horizontal="center" vertical="center"/>
    </xf>
    <xf numFmtId="0" fontId="14" fillId="4" borderId="46" xfId="0" applyFont="1" applyFill="1" applyBorder="1" applyAlignment="1" applyProtection="1">
      <alignment horizontal="left" vertical="center" indent="1"/>
      <protection locked="0"/>
    </xf>
    <xf numFmtId="0" fontId="24" fillId="0" borderId="9" xfId="0" applyFont="1" applyBorder="1" applyAlignment="1" applyProtection="1">
      <alignment horizontal="left" indent="1"/>
    </xf>
    <xf numFmtId="0" fontId="24" fillId="0" borderId="3" xfId="0" applyFont="1" applyBorder="1" applyAlignment="1" applyProtection="1">
      <alignment horizontal="left" indent="1"/>
    </xf>
    <xf numFmtId="0" fontId="24" fillId="0" borderId="5" xfId="0" applyFont="1" applyBorder="1" applyAlignment="1" applyProtection="1">
      <alignment horizontal="left" indent="1"/>
    </xf>
    <xf numFmtId="0" fontId="14" fillId="4" borderId="11" xfId="0" applyFont="1" applyFill="1" applyBorder="1" applyAlignment="1" applyProtection="1">
      <alignment horizontal="left" vertical="center" indent="1"/>
      <protection locked="0"/>
    </xf>
    <xf numFmtId="0" fontId="24" fillId="0" borderId="0" xfId="0" applyFont="1" applyAlignment="1" applyProtection="1">
      <alignment horizontal="left" indent="1"/>
      <protection locked="0"/>
    </xf>
    <xf numFmtId="0" fontId="24" fillId="0" borderId="0" xfId="0" applyFont="1" applyProtection="1">
      <protection locked="0"/>
    </xf>
    <xf numFmtId="0" fontId="14" fillId="16" borderId="0" xfId="0" applyFont="1" applyFill="1" applyAlignment="1">
      <alignment horizontal="center"/>
    </xf>
    <xf numFmtId="0" fontId="2" fillId="3" borderId="0" xfId="0" applyFont="1" applyFill="1" applyAlignment="1" applyProtection="1">
      <alignment horizontal="center" vertical="center"/>
      <protection locked="0"/>
    </xf>
    <xf numFmtId="0" fontId="2" fillId="3" borderId="13" xfId="0" applyFont="1" applyFill="1" applyBorder="1" applyAlignment="1" applyProtection="1">
      <alignment horizontal="center" vertical="center"/>
      <protection locked="0"/>
    </xf>
    <xf numFmtId="0" fontId="0" fillId="0" borderId="0" xfId="0" applyFont="1" applyAlignment="1" applyProtection="1">
      <alignment vertical="center"/>
      <protection locked="0"/>
    </xf>
    <xf numFmtId="0" fontId="3" fillId="9" borderId="1" xfId="0" applyFont="1" applyFill="1" applyBorder="1" applyAlignment="1" applyProtection="1">
      <alignment vertical="center"/>
      <protection locked="0"/>
    </xf>
    <xf numFmtId="0" fontId="3" fillId="9" borderId="0" xfId="0" applyFont="1" applyFill="1" applyAlignment="1" applyProtection="1">
      <alignment vertical="center"/>
      <protection locked="0"/>
    </xf>
    <xf numFmtId="0" fontId="2" fillId="0" borderId="0" xfId="0" applyFont="1" applyFill="1" applyAlignment="1" applyProtection="1">
      <alignment horizontal="center" vertical="center"/>
      <protection locked="0"/>
    </xf>
    <xf numFmtId="164" fontId="0" fillId="0" borderId="31" xfId="0" applyNumberFormat="1" applyBorder="1"/>
    <xf numFmtId="164" fontId="0" fillId="15" borderId="31" xfId="0" applyNumberFormat="1" applyFill="1" applyBorder="1"/>
    <xf numFmtId="0" fontId="0" fillId="0" borderId="32" xfId="0" applyBorder="1"/>
    <xf numFmtId="164" fontId="0" fillId="0" borderId="32" xfId="0" applyNumberFormat="1" applyBorder="1"/>
    <xf numFmtId="0" fontId="2" fillId="6" borderId="30" xfId="0" applyFont="1" applyFill="1" applyBorder="1" applyAlignment="1">
      <alignment horizontal="center" vertical="center"/>
    </xf>
    <xf numFmtId="0" fontId="2" fillId="7" borderId="30" xfId="0" applyFont="1" applyFill="1" applyBorder="1" applyAlignment="1">
      <alignment horizontal="center" vertical="center"/>
    </xf>
    <xf numFmtId="0" fontId="25" fillId="0" borderId="0" xfId="0" applyFont="1" applyAlignment="1">
      <alignment horizontal="center" vertical="center"/>
    </xf>
    <xf numFmtId="17" fontId="10" fillId="0" borderId="0" xfId="0" applyNumberFormat="1" applyFont="1" applyProtection="1">
      <protection locked="0"/>
    </xf>
    <xf numFmtId="164" fontId="0" fillId="0" borderId="0" xfId="0" applyNumberFormat="1" applyFont="1" applyProtection="1"/>
    <xf numFmtId="0" fontId="0" fillId="0" borderId="50" xfId="0" applyBorder="1" applyAlignment="1" applyProtection="1">
      <alignment horizontal="left" indent="1"/>
      <protection locked="0"/>
    </xf>
    <xf numFmtId="9" fontId="0" fillId="0" borderId="50" xfId="49" applyFont="1" applyBorder="1" applyAlignment="1" applyProtection="1">
      <alignment horizontal="center"/>
    </xf>
    <xf numFmtId="9" fontId="0" fillId="0" borderId="50" xfId="49" applyFont="1" applyBorder="1" applyAlignment="1" applyProtection="1">
      <alignment horizontal="center"/>
      <protection locked="0"/>
    </xf>
    <xf numFmtId="0" fontId="0" fillId="0" borderId="51" xfId="0" applyBorder="1" applyProtection="1">
      <protection locked="0"/>
    </xf>
    <xf numFmtId="0" fontId="0" fillId="0" borderId="52" xfId="0" applyBorder="1" applyAlignment="1" applyProtection="1">
      <alignment horizontal="left" indent="1"/>
      <protection locked="0"/>
    </xf>
    <xf numFmtId="9" fontId="0" fillId="0" borderId="52" xfId="49" applyFont="1" applyBorder="1" applyAlignment="1" applyProtection="1">
      <alignment horizontal="center"/>
    </xf>
    <xf numFmtId="9" fontId="0" fillId="0" borderId="52" xfId="49" applyFont="1" applyBorder="1" applyAlignment="1" applyProtection="1">
      <alignment horizontal="center"/>
      <protection locked="0"/>
    </xf>
    <xf numFmtId="0" fontId="0" fillId="0" borderId="52" xfId="0" applyBorder="1" applyProtection="1">
      <protection locked="0"/>
    </xf>
    <xf numFmtId="0" fontId="26" fillId="0" borderId="36" xfId="51" applyFont="1" applyBorder="1" applyAlignment="1" applyProtection="1">
      <alignment horizontal="left" indent="1"/>
      <protection locked="0"/>
    </xf>
    <xf numFmtId="0" fontId="14" fillId="2" borderId="0" xfId="0" applyFont="1" applyFill="1" applyBorder="1" applyProtection="1">
      <protection locked="0"/>
    </xf>
    <xf numFmtId="0" fontId="14" fillId="6" borderId="0" xfId="0" applyFont="1" applyFill="1" applyAlignment="1" applyProtection="1">
      <alignment horizontal="left" indent="1"/>
    </xf>
    <xf numFmtId="0" fontId="14" fillId="0" borderId="36" xfId="0" applyFont="1" applyBorder="1" applyAlignment="1" applyProtection="1">
      <alignment horizontal="left" indent="1"/>
      <protection locked="0"/>
    </xf>
    <xf numFmtId="0" fontId="14" fillId="0" borderId="0" xfId="0" applyFont="1" applyAlignment="1" applyProtection="1">
      <alignment horizontal="left" indent="1"/>
    </xf>
    <xf numFmtId="0" fontId="14" fillId="0" borderId="45" xfId="0" applyFont="1" applyBorder="1" applyAlignment="1" applyProtection="1">
      <alignment horizontal="left" indent="1"/>
      <protection locked="0"/>
    </xf>
    <xf numFmtId="0" fontId="26" fillId="0" borderId="45" xfId="51" applyFont="1" applyBorder="1" applyAlignment="1" applyProtection="1">
      <alignment horizontal="left" indent="1"/>
      <protection locked="0"/>
    </xf>
    <xf numFmtId="0" fontId="14" fillId="0" borderId="50" xfId="0" applyFont="1" applyBorder="1" applyAlignment="1" applyProtection="1">
      <alignment horizontal="left" indent="1"/>
      <protection locked="0"/>
    </xf>
    <xf numFmtId="0" fontId="14" fillId="0" borderId="52" xfId="0" applyFont="1" applyBorder="1" applyAlignment="1" applyProtection="1">
      <alignment horizontal="left" indent="1"/>
      <protection locked="0"/>
    </xf>
    <xf numFmtId="0" fontId="14" fillId="0" borderId="52" xfId="0" applyFont="1" applyBorder="1" applyProtection="1">
      <protection locked="0"/>
    </xf>
    <xf numFmtId="164" fontId="2" fillId="3" borderId="30" xfId="0" applyNumberFormat="1" applyFont="1" applyFill="1" applyBorder="1" applyAlignment="1" applyProtection="1">
      <alignment horizontal="left" vertical="center" indent="1"/>
    </xf>
    <xf numFmtId="167" fontId="10" fillId="0" borderId="37" xfId="0" applyNumberFormat="1" applyFont="1" applyBorder="1" applyAlignment="1" applyProtection="1">
      <alignment horizontal="left" vertical="center" indent="1"/>
    </xf>
    <xf numFmtId="9" fontId="10" fillId="0" borderId="16" xfId="0" applyNumberFormat="1" applyFont="1" applyBorder="1" applyAlignment="1" applyProtection="1">
      <alignment horizontal="left" indent="1"/>
      <protection locked="0"/>
    </xf>
    <xf numFmtId="9" fontId="10" fillId="0" borderId="17" xfId="0" applyNumberFormat="1" applyFont="1" applyBorder="1" applyAlignment="1" applyProtection="1">
      <alignment horizontal="left" indent="1"/>
      <protection locked="0"/>
    </xf>
    <xf numFmtId="9" fontId="10" fillId="0" borderId="18" xfId="0" applyNumberFormat="1" applyFont="1" applyBorder="1" applyAlignment="1" applyProtection="1">
      <alignment horizontal="left" indent="1"/>
      <protection locked="0"/>
    </xf>
    <xf numFmtId="167" fontId="10" fillId="0" borderId="15" xfId="0" applyNumberFormat="1" applyFont="1" applyBorder="1" applyAlignment="1" applyProtection="1">
      <alignment horizontal="left" vertical="center" indent="1"/>
    </xf>
    <xf numFmtId="164" fontId="10" fillId="0" borderId="0" xfId="0" applyNumberFormat="1" applyFont="1" applyAlignment="1" applyProtection="1">
      <alignment horizontal="left" indent="1"/>
    </xf>
    <xf numFmtId="9" fontId="0" fillId="0" borderId="0" xfId="49" applyFont="1" applyAlignment="1" applyProtection="1">
      <alignment horizontal="left" vertical="center" indent="1"/>
      <protection locked="0"/>
    </xf>
    <xf numFmtId="9" fontId="2" fillId="3" borderId="30" xfId="49" applyFont="1" applyFill="1" applyBorder="1" applyAlignment="1" applyProtection="1">
      <alignment horizontal="left" vertical="center" indent="1"/>
    </xf>
    <xf numFmtId="9" fontId="0" fillId="2" borderId="0" xfId="49" applyFont="1" applyFill="1" applyBorder="1" applyAlignment="1" applyProtection="1">
      <alignment horizontal="left" vertical="center" indent="1"/>
      <protection locked="0"/>
    </xf>
    <xf numFmtId="9" fontId="0" fillId="0" borderId="0" xfId="49" applyFont="1" applyAlignment="1" applyProtection="1">
      <alignment horizontal="left" vertical="center" indent="1"/>
    </xf>
    <xf numFmtId="17" fontId="0" fillId="0" borderId="36" xfId="49" applyNumberFormat="1" applyFont="1" applyBorder="1" applyAlignment="1" applyProtection="1">
      <alignment horizontal="left" vertical="center" indent="1"/>
    </xf>
    <xf numFmtId="17" fontId="0" fillId="0" borderId="36" xfId="49" applyNumberFormat="1" applyFont="1" applyBorder="1" applyAlignment="1" applyProtection="1">
      <alignment horizontal="left" vertical="center" indent="1"/>
      <protection locked="0"/>
    </xf>
    <xf numFmtId="17" fontId="0" fillId="0" borderId="0" xfId="49" applyNumberFormat="1" applyFont="1" applyAlignment="1" applyProtection="1">
      <alignment horizontal="left" vertical="center" indent="1"/>
    </xf>
    <xf numFmtId="17" fontId="0" fillId="0" borderId="45" xfId="49" applyNumberFormat="1" applyFont="1" applyBorder="1" applyAlignment="1" applyProtection="1">
      <alignment horizontal="left" vertical="center" indent="1"/>
      <protection locked="0"/>
    </xf>
    <xf numFmtId="17" fontId="0" fillId="0" borderId="45" xfId="49" applyNumberFormat="1" applyFont="1" applyBorder="1" applyAlignment="1" applyProtection="1">
      <alignment horizontal="left" vertical="center" indent="1"/>
    </xf>
    <xf numFmtId="17" fontId="0" fillId="0" borderId="50" xfId="49" applyNumberFormat="1" applyFont="1" applyBorder="1" applyAlignment="1" applyProtection="1">
      <alignment horizontal="left" vertical="center" indent="1"/>
      <protection locked="0"/>
    </xf>
    <xf numFmtId="17" fontId="0" fillId="0" borderId="52" xfId="49" applyNumberFormat="1" applyFont="1" applyBorder="1" applyAlignment="1" applyProtection="1">
      <alignment horizontal="left" vertical="center" indent="1"/>
      <protection locked="0"/>
    </xf>
    <xf numFmtId="0" fontId="2" fillId="14" borderId="53" xfId="0" applyFont="1" applyFill="1" applyBorder="1" applyAlignment="1">
      <alignment horizontal="center"/>
    </xf>
    <xf numFmtId="169" fontId="0" fillId="0" borderId="0" xfId="0" applyNumberFormat="1" applyAlignment="1" applyProtection="1">
      <alignment horizontal="center"/>
    </xf>
    <xf numFmtId="169" fontId="2" fillId="3" borderId="30" xfId="0" applyNumberFormat="1" applyFont="1" applyFill="1" applyBorder="1" applyAlignment="1" applyProtection="1">
      <alignment horizontal="center"/>
    </xf>
    <xf numFmtId="169" fontId="0" fillId="2" borderId="0" xfId="0" applyNumberFormat="1" applyFill="1" applyBorder="1" applyAlignment="1" applyProtection="1">
      <alignment horizontal="center"/>
      <protection locked="0"/>
    </xf>
    <xf numFmtId="169" fontId="0" fillId="0" borderId="36" xfId="0" applyNumberFormat="1" applyBorder="1" applyAlignment="1" applyProtection="1">
      <alignment horizontal="center"/>
    </xf>
    <xf numFmtId="169" fontId="0" fillId="0" borderId="45" xfId="0" applyNumberFormat="1" applyBorder="1" applyAlignment="1" applyProtection="1">
      <alignment horizontal="center"/>
    </xf>
    <xf numFmtId="169" fontId="0" fillId="0" borderId="50" xfId="0" applyNumberFormat="1" applyBorder="1" applyAlignment="1" applyProtection="1">
      <alignment horizontal="center"/>
    </xf>
    <xf numFmtId="169" fontId="0" fillId="0" borderId="52" xfId="0" applyNumberFormat="1" applyBorder="1" applyAlignment="1" applyProtection="1">
      <alignment horizontal="center"/>
    </xf>
    <xf numFmtId="169" fontId="0" fillId="0" borderId="0" xfId="0" applyNumberFormat="1" applyAlignment="1" applyProtection="1">
      <alignment horizontal="center"/>
      <protection locked="0"/>
    </xf>
    <xf numFmtId="169" fontId="0" fillId="0" borderId="36" xfId="0" applyNumberFormat="1" applyFont="1" applyBorder="1" applyAlignment="1" applyProtection="1">
      <alignment horizontal="center" vertical="center"/>
    </xf>
    <xf numFmtId="169" fontId="0" fillId="0" borderId="36" xfId="0" applyNumberFormat="1" applyBorder="1" applyAlignment="1" applyProtection="1">
      <alignment horizontal="center"/>
      <protection locked="0"/>
    </xf>
    <xf numFmtId="169" fontId="0" fillId="5" borderId="36" xfId="0" applyNumberFormat="1" applyFill="1" applyBorder="1" applyAlignment="1" applyProtection="1">
      <alignment horizontal="center"/>
    </xf>
    <xf numFmtId="169" fontId="0" fillId="0" borderId="36" xfId="0" applyNumberFormat="1" applyFill="1" applyBorder="1" applyAlignment="1" applyProtection="1">
      <alignment horizontal="center"/>
      <protection locked="0"/>
    </xf>
    <xf numFmtId="169" fontId="0" fillId="0" borderId="45" xfId="0" applyNumberFormat="1" applyBorder="1" applyAlignment="1" applyProtection="1">
      <alignment horizontal="center"/>
      <protection locked="0"/>
    </xf>
    <xf numFmtId="169" fontId="0" fillId="0" borderId="50" xfId="0" applyNumberFormat="1" applyBorder="1" applyAlignment="1" applyProtection="1">
      <alignment horizontal="center"/>
      <protection locked="0"/>
    </xf>
    <xf numFmtId="169" fontId="0" fillId="0" borderId="52" xfId="0" applyNumberFormat="1" applyBorder="1" applyAlignment="1" applyProtection="1">
      <alignment horizontal="center"/>
      <protection locked="0"/>
    </xf>
    <xf numFmtId="169" fontId="2" fillId="3" borderId="30" xfId="0" applyNumberFormat="1" applyFont="1" applyFill="1" applyBorder="1" applyAlignment="1" applyProtection="1">
      <alignment horizontal="center" vertical="center"/>
    </xf>
    <xf numFmtId="169" fontId="10" fillId="0" borderId="47" xfId="0" applyNumberFormat="1" applyFont="1" applyBorder="1" applyAlignment="1" applyProtection="1">
      <alignment horizontal="center" vertical="center"/>
    </xf>
    <xf numFmtId="169" fontId="10" fillId="0" borderId="48" xfId="0" applyNumberFormat="1" applyFont="1" applyBorder="1" applyAlignment="1" applyProtection="1">
      <alignment horizontal="center" vertical="center"/>
    </xf>
    <xf numFmtId="169" fontId="10" fillId="0" borderId="21" xfId="0" applyNumberFormat="1" applyFont="1" applyBorder="1" applyAlignment="1" applyProtection="1">
      <alignment horizontal="center"/>
    </xf>
    <xf numFmtId="169" fontId="10" fillId="0" borderId="22" xfId="0" applyNumberFormat="1" applyFont="1" applyBorder="1" applyAlignment="1" applyProtection="1">
      <alignment horizontal="center"/>
      <protection locked="0"/>
    </xf>
    <xf numFmtId="169" fontId="10" fillId="0" borderId="22" xfId="0" applyNumberFormat="1" applyFont="1" applyBorder="1" applyAlignment="1" applyProtection="1">
      <alignment horizontal="center"/>
    </xf>
    <xf numFmtId="169" fontId="10" fillId="0" borderId="23" xfId="0" applyNumberFormat="1" applyFont="1" applyBorder="1" applyAlignment="1" applyProtection="1">
      <alignment horizontal="center"/>
    </xf>
    <xf numFmtId="169" fontId="10" fillId="0" borderId="24" xfId="0" applyNumberFormat="1" applyFont="1" applyBorder="1" applyAlignment="1" applyProtection="1">
      <alignment horizontal="center"/>
      <protection locked="0"/>
    </xf>
    <xf numFmtId="169" fontId="10" fillId="0" borderId="25" xfId="0" applyNumberFormat="1" applyFont="1" applyBorder="1" applyAlignment="1" applyProtection="1">
      <alignment horizontal="center"/>
    </xf>
    <xf numFmtId="169" fontId="10" fillId="0" borderId="26" xfId="0" applyNumberFormat="1" applyFont="1" applyBorder="1" applyAlignment="1" applyProtection="1">
      <alignment horizontal="center"/>
      <protection locked="0"/>
    </xf>
    <xf numFmtId="169" fontId="10" fillId="0" borderId="19" xfId="0" applyNumberFormat="1" applyFont="1" applyBorder="1" applyAlignment="1" applyProtection="1">
      <alignment horizontal="center" vertical="center"/>
    </xf>
    <xf numFmtId="169" fontId="10" fillId="0" borderId="20" xfId="0" applyNumberFormat="1" applyFont="1" applyBorder="1" applyAlignment="1" applyProtection="1">
      <alignment horizontal="center" vertical="center"/>
    </xf>
    <xf numFmtId="169" fontId="10" fillId="0" borderId="26" xfId="0" applyNumberFormat="1" applyFont="1" applyBorder="1" applyAlignment="1" applyProtection="1">
      <alignment horizontal="center"/>
    </xf>
    <xf numFmtId="169" fontId="10" fillId="0" borderId="0" xfId="0" applyNumberFormat="1" applyFont="1" applyAlignment="1" applyProtection="1">
      <alignment horizontal="center"/>
    </xf>
    <xf numFmtId="169" fontId="27" fillId="0" borderId="55" xfId="0" applyNumberFormat="1" applyFont="1" applyFill="1" applyBorder="1" applyAlignment="1" applyProtection="1">
      <alignment horizontal="center" vertical="center"/>
    </xf>
    <xf numFmtId="169" fontId="0" fillId="0" borderId="0" xfId="0" applyNumberFormat="1"/>
    <xf numFmtId="9" fontId="2" fillId="12" borderId="30" xfId="49" applyFont="1" applyFill="1" applyBorder="1" applyAlignment="1" applyProtection="1">
      <alignment horizontal="center" vertical="center"/>
    </xf>
    <xf numFmtId="0" fontId="2" fillId="9" borderId="57" xfId="0" applyFont="1" applyFill="1" applyBorder="1" applyAlignment="1">
      <alignment vertical="center"/>
    </xf>
    <xf numFmtId="1" fontId="10" fillId="20" borderId="56" xfId="0" applyNumberFormat="1" applyFont="1" applyFill="1" applyBorder="1"/>
    <xf numFmtId="1" fontId="10" fillId="0" borderId="56" xfId="0" applyNumberFormat="1" applyFont="1" applyBorder="1"/>
    <xf numFmtId="167" fontId="10" fillId="0" borderId="58" xfId="0" applyNumberFormat="1" applyFont="1" applyBorder="1" applyAlignment="1" applyProtection="1">
      <alignment horizontal="center" vertical="center"/>
    </xf>
    <xf numFmtId="1" fontId="0" fillId="0" borderId="0" xfId="49" applyNumberFormat="1" applyFont="1" applyAlignment="1" applyProtection="1">
      <alignment horizontal="center"/>
    </xf>
    <xf numFmtId="1" fontId="0" fillId="0" borderId="36" xfId="49" applyNumberFormat="1" applyFont="1" applyBorder="1" applyAlignment="1" applyProtection="1">
      <alignment horizontal="center"/>
    </xf>
    <xf numFmtId="1" fontId="0" fillId="0" borderId="36" xfId="49" applyNumberFormat="1" applyFont="1" applyBorder="1" applyAlignment="1" applyProtection="1">
      <alignment horizontal="center"/>
      <protection locked="0"/>
    </xf>
    <xf numFmtId="1" fontId="0" fillId="0" borderId="45" xfId="49" applyNumberFormat="1" applyFont="1" applyBorder="1" applyAlignment="1" applyProtection="1">
      <alignment horizontal="center"/>
      <protection locked="0"/>
    </xf>
    <xf numFmtId="1" fontId="0" fillId="0" borderId="45" xfId="49" applyNumberFormat="1" applyFont="1" applyBorder="1" applyAlignment="1" applyProtection="1">
      <alignment horizontal="center"/>
    </xf>
    <xf numFmtId="1" fontId="0" fillId="0" borderId="50" xfId="49" applyNumberFormat="1" applyFont="1" applyBorder="1" applyAlignment="1" applyProtection="1">
      <alignment horizontal="center"/>
      <protection locked="0"/>
    </xf>
    <xf numFmtId="1" fontId="0" fillId="0" borderId="52" xfId="49" applyNumberFormat="1" applyFont="1" applyBorder="1" applyAlignment="1" applyProtection="1">
      <alignment horizontal="center"/>
      <protection locked="0"/>
    </xf>
    <xf numFmtId="1" fontId="10" fillId="0" borderId="21" xfId="0" applyNumberFormat="1" applyFont="1" applyBorder="1" applyAlignment="1" applyProtection="1">
      <alignment horizontal="center"/>
      <protection locked="0"/>
    </xf>
    <xf numFmtId="1" fontId="10" fillId="0" borderId="23" xfId="0" applyNumberFormat="1" applyFont="1" applyBorder="1" applyAlignment="1" applyProtection="1">
      <alignment horizontal="center"/>
      <protection locked="0"/>
    </xf>
    <xf numFmtId="1" fontId="10" fillId="0" borderId="25" xfId="0" applyNumberFormat="1" applyFont="1" applyBorder="1" applyAlignment="1" applyProtection="1">
      <alignment horizontal="center"/>
      <protection locked="0"/>
    </xf>
    <xf numFmtId="1" fontId="10" fillId="0" borderId="19" xfId="0" applyNumberFormat="1" applyFont="1" applyBorder="1" applyAlignment="1" applyProtection="1">
      <alignment horizontal="center" vertical="center"/>
    </xf>
    <xf numFmtId="1" fontId="10" fillId="0" borderId="0" xfId="0" applyNumberFormat="1" applyFont="1" applyAlignment="1" applyProtection="1">
      <alignment horizontal="center"/>
    </xf>
    <xf numFmtId="17" fontId="0" fillId="0" borderId="0" xfId="0" applyNumberFormat="1"/>
    <xf numFmtId="0" fontId="0" fillId="0" borderId="0" xfId="0" applyAlignment="1">
      <alignment horizontal="left" indent="1"/>
    </xf>
    <xf numFmtId="17" fontId="0" fillId="0" borderId="0" xfId="0" applyNumberFormat="1" applyAlignment="1">
      <alignment horizontal="left" indent="1"/>
    </xf>
    <xf numFmtId="0" fontId="0" fillId="0" borderId="60" xfId="0" applyBorder="1" applyAlignment="1">
      <alignment horizontal="left" indent="1"/>
    </xf>
    <xf numFmtId="0" fontId="0" fillId="0" borderId="61" xfId="0" applyBorder="1" applyAlignment="1">
      <alignment horizontal="left" indent="1"/>
    </xf>
    <xf numFmtId="9" fontId="0" fillId="0" borderId="36" xfId="49" applyNumberFormat="1" applyFont="1" applyBorder="1" applyAlignment="1" applyProtection="1">
      <alignment horizontal="center"/>
    </xf>
    <xf numFmtId="0" fontId="0" fillId="0" borderId="0" xfId="0" applyFont="1"/>
    <xf numFmtId="0" fontId="0" fillId="0" borderId="60" xfId="0" applyFont="1" applyBorder="1" applyAlignment="1">
      <alignment horizontal="left" indent="1"/>
    </xf>
    <xf numFmtId="0" fontId="0" fillId="0" borderId="61" xfId="0" applyFont="1" applyBorder="1" applyAlignment="1">
      <alignment horizontal="left" indent="1"/>
    </xf>
    <xf numFmtId="0" fontId="0" fillId="0" borderId="0" xfId="0" applyFont="1" applyAlignment="1">
      <alignment horizontal="left" indent="1"/>
    </xf>
    <xf numFmtId="0" fontId="0" fillId="4" borderId="62" xfId="0" applyFill="1" applyBorder="1" applyAlignment="1" applyProtection="1">
      <alignment horizontal="left" indent="1"/>
      <protection locked="0"/>
    </xf>
    <xf numFmtId="0" fontId="0" fillId="4" borderId="59" xfId="0" applyFill="1" applyBorder="1" applyAlignment="1" applyProtection="1">
      <alignment horizontal="left" indent="1"/>
      <protection locked="0"/>
    </xf>
    <xf numFmtId="0" fontId="0" fillId="4" borderId="59" xfId="0" applyFont="1" applyFill="1" applyBorder="1" applyAlignment="1" applyProtection="1">
      <alignment horizontal="left" indent="1"/>
      <protection locked="0"/>
    </xf>
    <xf numFmtId="0" fontId="0" fillId="4" borderId="62" xfId="0" applyFont="1" applyFill="1" applyBorder="1" applyAlignment="1" applyProtection="1">
      <alignment horizontal="left" indent="1"/>
      <protection locked="0"/>
    </xf>
    <xf numFmtId="0" fontId="5" fillId="0" borderId="36" xfId="51" applyBorder="1" applyAlignment="1" applyProtection="1">
      <alignment horizontal="left" indent="1"/>
      <protection locked="0"/>
    </xf>
    <xf numFmtId="0" fontId="14" fillId="0" borderId="32" xfId="0" applyFont="1" applyBorder="1" applyProtection="1">
      <protection locked="0"/>
    </xf>
    <xf numFmtId="3" fontId="0" fillId="0" borderId="32" xfId="0" applyNumberFormat="1" applyBorder="1" applyProtection="1">
      <protection locked="0"/>
    </xf>
    <xf numFmtId="0" fontId="14" fillId="15" borderId="31" xfId="0" applyFont="1" applyFill="1" applyBorder="1" applyProtection="1">
      <protection locked="0"/>
    </xf>
    <xf numFmtId="3" fontId="0" fillId="15" borderId="31" xfId="0" applyNumberFormat="1" applyFill="1" applyBorder="1" applyProtection="1">
      <protection locked="0"/>
    </xf>
    <xf numFmtId="0" fontId="14" fillId="0" borderId="31" xfId="0" applyFont="1" applyBorder="1" applyProtection="1">
      <protection locked="0"/>
    </xf>
    <xf numFmtId="3" fontId="0" fillId="0" borderId="31" xfId="0" applyNumberFormat="1" applyBorder="1" applyProtection="1">
      <protection locked="0"/>
    </xf>
    <xf numFmtId="0" fontId="14" fillId="15" borderId="54" xfId="0" applyFont="1" applyFill="1" applyBorder="1" applyProtection="1">
      <protection locked="0"/>
    </xf>
    <xf numFmtId="3" fontId="0" fillId="15" borderId="54" xfId="0" applyNumberFormat="1" applyFill="1" applyBorder="1" applyProtection="1">
      <protection locked="0"/>
    </xf>
    <xf numFmtId="0" fontId="0" fillId="15" borderId="31" xfId="0" applyFill="1" applyBorder="1" applyProtection="1">
      <protection locked="0"/>
    </xf>
    <xf numFmtId="0" fontId="0" fillId="0" borderId="31" xfId="0" applyBorder="1" applyProtection="1">
      <protection locked="0"/>
    </xf>
    <xf numFmtId="3" fontId="0" fillId="0" borderId="0" xfId="0" applyNumberFormat="1" applyProtection="1">
      <protection locked="0"/>
    </xf>
    <xf numFmtId="0" fontId="14" fillId="0" borderId="54" xfId="0" applyFont="1" applyBorder="1" applyProtection="1">
      <protection locked="0"/>
    </xf>
    <xf numFmtId="3" fontId="0" fillId="0" borderId="54" xfId="0" applyNumberFormat="1" applyBorder="1" applyProtection="1">
      <protection locked="0"/>
    </xf>
    <xf numFmtId="0" fontId="15" fillId="0" borderId="0" xfId="0" applyFont="1" applyFill="1" applyAlignment="1" applyProtection="1">
      <alignment horizontal="center"/>
      <protection locked="0"/>
    </xf>
    <xf numFmtId="0" fontId="15" fillId="0" borderId="0" xfId="0" applyFont="1" applyFill="1" applyProtection="1">
      <protection locked="0"/>
    </xf>
    <xf numFmtId="0" fontId="16" fillId="0" borderId="0" xfId="0" applyFont="1" applyFill="1" applyAlignment="1" applyProtection="1">
      <alignment vertical="top"/>
      <protection locked="0"/>
    </xf>
    <xf numFmtId="0" fontId="0" fillId="0" borderId="0" xfId="0" applyFill="1" applyAlignment="1" applyProtection="1">
      <alignment horizontal="left" vertical="top" wrapText="1"/>
      <protection locked="0"/>
    </xf>
    <xf numFmtId="0" fontId="17" fillId="0" borderId="0" xfId="0" applyFont="1" applyFill="1" applyAlignment="1" applyProtection="1">
      <alignment horizontal="center"/>
      <protection locked="0"/>
    </xf>
    <xf numFmtId="0" fontId="18" fillId="0" borderId="0" xfId="0" applyFont="1" applyFill="1" applyProtection="1">
      <protection locked="0"/>
    </xf>
    <xf numFmtId="0" fontId="19" fillId="0" borderId="0" xfId="0" applyFont="1" applyFill="1" applyProtection="1">
      <protection locked="0"/>
    </xf>
    <xf numFmtId="0" fontId="0" fillId="0" borderId="36" xfId="0" applyFont="1" applyFill="1" applyBorder="1" applyAlignment="1" applyProtection="1">
      <alignment horizontal="center" vertical="center"/>
      <protection locked="0"/>
    </xf>
    <xf numFmtId="0" fontId="0" fillId="0" borderId="36" xfId="0" applyFill="1" applyBorder="1" applyAlignment="1" applyProtection="1">
      <alignment horizontal="left" vertical="top" wrapText="1"/>
      <protection locked="0"/>
    </xf>
    <xf numFmtId="0" fontId="2" fillId="14" borderId="36" xfId="0" applyFont="1" applyFill="1" applyBorder="1" applyAlignment="1" applyProtection="1">
      <alignment horizontal="center" vertical="center"/>
      <protection locked="0"/>
    </xf>
    <xf numFmtId="0" fontId="0" fillId="0" borderId="36" xfId="0" applyFill="1" applyBorder="1" applyAlignment="1" applyProtection="1">
      <alignment horizontal="left" vertical="center" wrapText="1"/>
      <protection locked="0"/>
    </xf>
    <xf numFmtId="0" fontId="2" fillId="7" borderId="36" xfId="0" applyFont="1" applyFill="1" applyBorder="1" applyAlignment="1" applyProtection="1">
      <alignment horizontal="center" vertical="center"/>
      <protection locked="0"/>
    </xf>
    <xf numFmtId="0" fontId="2" fillId="6" borderId="36" xfId="0" applyFont="1" applyFill="1" applyBorder="1" applyAlignment="1" applyProtection="1">
      <alignment horizontal="center" vertical="center"/>
      <protection locked="0"/>
    </xf>
    <xf numFmtId="0" fontId="2" fillId="18" borderId="36" xfId="0" applyFont="1" applyFill="1" applyBorder="1" applyAlignment="1" applyProtection="1">
      <alignment horizontal="center" vertical="center"/>
      <protection locked="0"/>
    </xf>
    <xf numFmtId="0" fontId="2" fillId="17" borderId="36" xfId="0" applyFont="1" applyFill="1" applyBorder="1" applyAlignment="1" applyProtection="1">
      <alignment horizontal="center" vertical="center"/>
      <protection locked="0"/>
    </xf>
    <xf numFmtId="0" fontId="2" fillId="16" borderId="36"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0" fillId="0" borderId="0" xfId="0" applyFill="1" applyBorder="1" applyAlignment="1" applyProtection="1">
      <alignment horizontal="left" vertical="top" wrapText="1"/>
      <protection locked="0"/>
    </xf>
    <xf numFmtId="0" fontId="2" fillId="0" borderId="0" xfId="0" applyFont="1" applyFill="1" applyBorder="1" applyAlignment="1" applyProtection="1">
      <alignment horizontal="center" vertical="center"/>
      <protection locked="0"/>
    </xf>
    <xf numFmtId="0" fontId="16" fillId="0" borderId="0" xfId="0" applyFont="1" applyFill="1" applyAlignment="1" applyProtection="1">
      <alignment horizontal="left" vertical="top"/>
      <protection locked="0"/>
    </xf>
    <xf numFmtId="0" fontId="0" fillId="0" borderId="0" xfId="0" applyFill="1" applyAlignment="1" applyProtection="1">
      <alignment horizontal="left" vertical="top"/>
      <protection locked="0"/>
    </xf>
    <xf numFmtId="0" fontId="14" fillId="0" borderId="36" xfId="0" applyFont="1" applyFill="1" applyBorder="1" applyAlignment="1" applyProtection="1">
      <alignment horizontal="left" vertical="center"/>
      <protection locked="0"/>
    </xf>
    <xf numFmtId="0" fontId="20" fillId="0" borderId="36" xfId="0" applyFont="1" applyFill="1" applyBorder="1" applyAlignment="1" applyProtection="1">
      <alignment horizontal="left" vertical="center"/>
      <protection locked="0"/>
    </xf>
    <xf numFmtId="0" fontId="18" fillId="0" borderId="0" xfId="0" applyFont="1" applyFill="1" applyAlignment="1" applyProtection="1">
      <alignment horizontal="center" vertical="center"/>
      <protection locked="0"/>
    </xf>
    <xf numFmtId="0" fontId="21" fillId="0" borderId="0" xfId="0" applyFont="1" applyFill="1" applyAlignment="1" applyProtection="1">
      <alignment horizontal="left" vertical="top" wrapText="1"/>
      <protection locked="0"/>
    </xf>
    <xf numFmtId="0" fontId="19" fillId="0" borderId="0" xfId="0" applyFont="1" applyFill="1" applyBorder="1" applyProtection="1">
      <protection locked="0"/>
    </xf>
    <xf numFmtId="0" fontId="14" fillId="0" borderId="0" xfId="0" applyFont="1" applyFill="1" applyAlignment="1" applyProtection="1">
      <alignment horizontal="center" vertical="center"/>
      <protection locked="0"/>
    </xf>
    <xf numFmtId="0" fontId="14" fillId="7" borderId="36" xfId="0" applyFont="1" applyFill="1" applyBorder="1" applyAlignment="1" applyProtection="1">
      <alignment horizontal="left" vertical="center"/>
      <protection locked="0"/>
    </xf>
    <xf numFmtId="0" fontId="2" fillId="6" borderId="36" xfId="0" applyFont="1" applyFill="1" applyBorder="1" applyAlignment="1" applyProtection="1">
      <alignment horizontal="left" vertical="center"/>
      <protection locked="0"/>
    </xf>
    <xf numFmtId="0" fontId="2" fillId="18" borderId="36" xfId="0" applyFont="1" applyFill="1" applyBorder="1" applyAlignment="1" applyProtection="1">
      <alignment horizontal="left" vertical="center"/>
      <protection locked="0"/>
    </xf>
    <xf numFmtId="0" fontId="2" fillId="17" borderId="36" xfId="0" applyFont="1" applyFill="1" applyBorder="1" applyAlignment="1" applyProtection="1">
      <alignment horizontal="left" vertical="center"/>
      <protection locked="0"/>
    </xf>
    <xf numFmtId="0" fontId="15" fillId="0" borderId="0" xfId="0" applyFont="1" applyFill="1" applyAlignment="1" applyProtection="1">
      <alignment horizontal="center" vertical="center"/>
      <protection locked="0"/>
    </xf>
    <xf numFmtId="0" fontId="15" fillId="0" borderId="0" xfId="0" applyFont="1" applyFill="1" applyAlignment="1" applyProtection="1">
      <alignment vertical="center"/>
      <protection locked="0"/>
    </xf>
    <xf numFmtId="0" fontId="22" fillId="19" borderId="36" xfId="0" applyFont="1" applyFill="1" applyBorder="1" applyAlignment="1" applyProtection="1">
      <alignment horizontal="left" vertical="center"/>
      <protection locked="0"/>
    </xf>
    <xf numFmtId="0" fontId="22" fillId="19" borderId="0" xfId="0" applyFont="1" applyFill="1" applyAlignment="1" applyProtection="1">
      <alignment vertical="center"/>
      <protection locked="0"/>
    </xf>
    <xf numFmtId="0" fontId="15" fillId="0" borderId="0" xfId="0" applyFont="1" applyFill="1" applyAlignment="1" applyProtection="1">
      <alignment horizontal="left" vertical="top"/>
      <protection locked="0"/>
    </xf>
    <xf numFmtId="0" fontId="5" fillId="0" borderId="45" xfId="51" applyBorder="1" applyAlignment="1" applyProtection="1">
      <alignment horizontal="left" indent="1"/>
      <protection locked="0"/>
    </xf>
    <xf numFmtId="0" fontId="2" fillId="22" borderId="36" xfId="0" applyFont="1" applyFill="1" applyBorder="1" applyAlignment="1" applyProtection="1">
      <alignment horizontal="left" vertical="center"/>
      <protection locked="0"/>
    </xf>
    <xf numFmtId="0" fontId="2" fillId="22" borderId="36" xfId="0" applyFont="1" applyFill="1" applyBorder="1" applyAlignment="1" applyProtection="1">
      <alignment horizontal="center" vertical="center"/>
      <protection locked="0"/>
    </xf>
    <xf numFmtId="0" fontId="28" fillId="0" borderId="37" xfId="0" applyFont="1" applyBorder="1" applyAlignment="1">
      <alignment horizontal="center" vertical="top"/>
    </xf>
    <xf numFmtId="0" fontId="3" fillId="21" borderId="0" xfId="0" applyFont="1" applyFill="1" applyBorder="1" applyAlignment="1">
      <alignment horizontal="center" vertical="center"/>
    </xf>
    <xf numFmtId="0" fontId="29" fillId="0" borderId="37" xfId="0" applyFont="1" applyBorder="1" applyAlignment="1">
      <alignment horizontal="center" vertical="top"/>
    </xf>
    <xf numFmtId="9" fontId="13" fillId="0" borderId="0" xfId="49" applyFont="1" applyBorder="1" applyAlignment="1" applyProtection="1">
      <alignment horizontal="center"/>
      <protection locked="0"/>
    </xf>
  </cellXfs>
  <cellStyles count="52">
    <cellStyle name="Accent2" xfId="50" builtinId="33"/>
    <cellStyle name="Followed Hyperlink" xfId="1" builtinId="9" hidden="1"/>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1" builtinId="8"/>
    <cellStyle name="Normal" xfId="0" builtinId="0"/>
    <cellStyle name="Percent" xfId="49" builtinId="5"/>
  </cellStyles>
  <dxfs count="71">
    <dxf>
      <numFmt numFmtId="169" formatCode="\$#,##0;[Red]\$#,##0;"/>
    </dxf>
    <dxf>
      <numFmt numFmtId="169" formatCode="\$#,##0;[Red]\$#,##0;"/>
    </dxf>
    <dxf>
      <numFmt numFmtId="169" formatCode="\$#,##0;[Red]\$#,##0;"/>
    </dxf>
    <dxf>
      <numFmt numFmtId="164" formatCode="[$$-409]#,##0"/>
    </dxf>
    <dxf>
      <numFmt numFmtId="22" formatCode="mmm\-yy"/>
    </dxf>
    <dxf>
      <numFmt numFmtId="164" formatCode="[$$-409]#,##0"/>
    </dxf>
    <dxf>
      <numFmt numFmtId="164" formatCode="[$$-409]#,##0"/>
    </dxf>
    <dxf>
      <numFmt numFmtId="164" formatCode="[$$-409]#,##0"/>
    </dxf>
    <dxf>
      <numFmt numFmtId="164" formatCode="[$$-409]#,##0"/>
    </dxf>
    <dxf>
      <numFmt numFmtId="164" formatCode="[$$-409]#,##0"/>
    </dxf>
    <dxf>
      <numFmt numFmtId="164" formatCode="[$$-409]#,##0"/>
    </dxf>
    <dxf>
      <numFmt numFmtId="164" formatCode="[$$-409]#,##0"/>
    </dxf>
    <dxf>
      <numFmt numFmtId="164" formatCode="[$$-409]#,##0"/>
    </dxf>
    <dxf>
      <numFmt numFmtId="164" formatCode="[$$-409]#,##0"/>
    </dxf>
    <dxf>
      <numFmt numFmtId="164" formatCode="[$$-409]#,##0"/>
    </dxf>
    <dxf>
      <font>
        <b/>
        <i val="0"/>
        <strike val="0"/>
        <condense val="0"/>
        <extend val="0"/>
        <outline val="0"/>
        <shadow val="0"/>
        <u val="none"/>
        <vertAlign val="baseline"/>
        <sz val="10"/>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numFmt numFmtId="164" formatCode="[$$-409]#,##0"/>
    </dxf>
    <dxf>
      <numFmt numFmtId="169" formatCode="\$#,##0;[Red]\$#,##0;"/>
    </dxf>
    <dxf>
      <numFmt numFmtId="169" formatCode="\$#,##0;[Red]\$#,##0;"/>
    </dxf>
    <dxf>
      <numFmt numFmtId="22" formatCode="mmm\-yy"/>
    </dxf>
    <dxf>
      <numFmt numFmtId="164" formatCode="[$$-409]#,##0"/>
    </dxf>
    <dxf>
      <numFmt numFmtId="166" formatCode="#,##0\ [$₽-46D]"/>
    </dxf>
    <dxf>
      <numFmt numFmtId="164" formatCode="[$$-409]#,##0"/>
    </dxf>
    <dxf>
      <font>
        <color theme="2" tint="-0.499984740745262"/>
      </font>
      <fill>
        <patternFill>
          <bgColor theme="0" tint="-0.14996795556505021"/>
        </patternFill>
      </fill>
    </dxf>
    <dxf>
      <protection locked="0" hidden="0"/>
    </dxf>
    <dxf>
      <protection locked="0" hidden="0"/>
    </dxf>
    <dxf>
      <border outline="0">
        <top style="medium">
          <color theme="0"/>
        </top>
        <bottom style="medium">
          <color theme="0" tint="-0.24994659260841701"/>
        </bottom>
      </border>
    </dxf>
    <dxf>
      <protection locked="0" hidden="0"/>
    </dxf>
    <dxf>
      <border outline="0">
        <bottom style="medium">
          <color theme="0"/>
        </bottom>
      </border>
    </dxf>
    <dxf>
      <font>
        <b/>
        <i val="0"/>
        <strike val="0"/>
        <condense val="0"/>
        <extend val="0"/>
        <outline val="0"/>
        <shadow val="0"/>
        <u val="none"/>
        <vertAlign val="baseline"/>
        <sz val="11"/>
        <color theme="0"/>
        <name val="Calibri"/>
        <scheme val="minor"/>
      </font>
      <fill>
        <patternFill patternType="solid">
          <fgColor indexed="64"/>
          <bgColor theme="1" tint="0.14999847407452621"/>
        </patternFill>
      </fill>
      <alignment horizontal="center" vertical="bottom" textRotation="0" wrapText="0" indent="0" justifyLastLine="0" shrinkToFit="0" readingOrder="0"/>
      <border diagonalUp="0" diagonalDown="0" outline="0">
        <left style="medium">
          <color theme="0"/>
        </left>
        <right style="medium">
          <color theme="0"/>
        </right>
        <top/>
        <bottom/>
      </border>
    </dxf>
    <dxf>
      <font>
        <b val="0"/>
        <i val="0"/>
        <strike val="0"/>
        <condense val="0"/>
        <extend val="0"/>
        <outline val="0"/>
        <shadow val="0"/>
        <u val="none"/>
        <vertAlign val="baseline"/>
        <sz val="10"/>
        <color theme="1"/>
        <name val="Calibri"/>
        <scheme val="minor"/>
      </font>
      <numFmt numFmtId="1" formatCode="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alibri"/>
        <scheme val="minor"/>
      </font>
      <numFmt numFmtId="1" formatCode="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protection locked="0" hidden="0"/>
    </dxf>
    <dxf>
      <font>
        <b val="0"/>
        <i val="0"/>
        <strike val="0"/>
        <condense val="0"/>
        <extend val="0"/>
        <outline val="0"/>
        <shadow val="0"/>
        <u val="none"/>
        <vertAlign val="baseline"/>
        <sz val="10"/>
        <color theme="1"/>
        <name val="Calibri"/>
        <scheme val="minor"/>
      </font>
      <protection locked="0" hidden="0"/>
    </dxf>
    <dxf>
      <font>
        <b val="0"/>
        <i val="0"/>
        <strike val="0"/>
        <condense val="0"/>
        <extend val="0"/>
        <outline val="0"/>
        <shadow val="0"/>
        <u val="none"/>
        <vertAlign val="baseline"/>
        <sz val="11"/>
        <color theme="0"/>
        <name val="Calibri"/>
        <scheme val="minor"/>
      </font>
      <fill>
        <patternFill patternType="solid">
          <fgColor indexed="64"/>
          <bgColor theme="1"/>
        </patternFill>
      </fill>
      <alignment vertical="center" textRotation="0" wrapText="0" indent="0" justifyLastLine="0" shrinkToFit="0" readingOrder="0"/>
      <protection locked="0" hidden="0"/>
    </dxf>
    <dxf>
      <font>
        <strike val="0"/>
        <outline val="0"/>
        <shadow val="0"/>
        <u val="none"/>
        <vertAlign val="baseline"/>
        <sz val="10"/>
        <name val="Calibri"/>
        <scheme val="minor"/>
      </font>
      <protection locked="0" hidden="0"/>
    </dxf>
    <dxf>
      <font>
        <strike val="0"/>
        <outline val="0"/>
        <shadow val="0"/>
        <u val="none"/>
        <vertAlign val="baseline"/>
        <sz val="10"/>
        <name val="Calibri"/>
        <scheme val="minor"/>
      </font>
      <protection locked="0" hidden="0"/>
    </dxf>
    <dxf>
      <font>
        <b/>
        <i val="0"/>
        <strike val="0"/>
        <condense val="0"/>
        <extend val="0"/>
        <outline val="0"/>
        <shadow val="0"/>
        <u val="none"/>
        <vertAlign val="baseline"/>
        <sz val="11"/>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font>
        <strike val="0"/>
        <outline val="0"/>
        <shadow val="0"/>
        <u val="none"/>
        <vertAlign val="baseline"/>
        <sz val="10"/>
        <name val="Calibri"/>
        <scheme val="minor"/>
      </font>
      <protection locked="0" hidden="0"/>
    </dxf>
    <dxf>
      <font>
        <strike val="0"/>
        <outline val="0"/>
        <shadow val="0"/>
        <u val="none"/>
        <vertAlign val="baseline"/>
        <sz val="10"/>
        <name val="Calibri"/>
        <scheme val="minor"/>
      </font>
      <protection locked="0" hidden="0"/>
    </dxf>
    <dxf>
      <font>
        <b/>
        <i val="0"/>
        <strike val="0"/>
        <condense val="0"/>
        <extend val="0"/>
        <outline val="0"/>
        <shadow val="0"/>
        <u val="none"/>
        <vertAlign val="baseline"/>
        <sz val="11"/>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font>
        <strike val="0"/>
        <outline val="0"/>
        <shadow val="0"/>
        <u val="none"/>
        <vertAlign val="baseline"/>
        <sz val="10"/>
        <name val="Calibri"/>
        <scheme val="minor"/>
      </font>
      <protection locked="0" hidden="0"/>
    </dxf>
    <dxf>
      <font>
        <strike val="0"/>
        <outline val="0"/>
        <shadow val="0"/>
        <u val="none"/>
        <vertAlign val="baseline"/>
        <sz val="10"/>
        <name val="Calibri"/>
        <scheme val="minor"/>
      </font>
      <protection locked="0" hidden="0"/>
    </dxf>
    <dxf>
      <font>
        <b/>
        <i val="0"/>
        <strike val="0"/>
        <condense val="0"/>
        <extend val="0"/>
        <outline val="0"/>
        <shadow val="0"/>
        <u val="none"/>
        <vertAlign val="baseline"/>
        <sz val="11"/>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font>
        <strike val="0"/>
        <outline val="0"/>
        <shadow val="0"/>
        <u val="none"/>
        <vertAlign val="baseline"/>
        <sz val="10"/>
        <name val="Calibri"/>
        <scheme val="minor"/>
      </font>
      <alignment horizontal="general" vertical="bottom" textRotation="0" wrapText="1" indent="0" justifyLastLine="0" shrinkToFit="0" readingOrder="0"/>
      <protection locked="0" hidden="0"/>
    </dxf>
    <dxf>
      <font>
        <strike val="0"/>
        <outline val="0"/>
        <shadow val="0"/>
        <u val="none"/>
        <vertAlign val="baseline"/>
        <sz val="10"/>
        <name val="Calibri"/>
        <scheme val="minor"/>
      </font>
      <alignment horizontal="general" vertical="bottom"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font>
        <strike val="0"/>
        <outline val="0"/>
        <shadow val="0"/>
        <u val="none"/>
        <vertAlign val="baseline"/>
        <sz val="10"/>
        <name val="Calibri"/>
        <scheme val="minor"/>
      </font>
      <protection locked="0" hidden="0"/>
    </dxf>
    <dxf>
      <font>
        <strike val="0"/>
        <outline val="0"/>
        <shadow val="0"/>
        <u val="none"/>
        <vertAlign val="baseline"/>
        <sz val="10"/>
        <name val="Calibri"/>
        <scheme val="minor"/>
      </font>
      <protection locked="0" hidden="0"/>
    </dxf>
    <dxf>
      <font>
        <b/>
        <i val="0"/>
        <strike val="0"/>
        <condense val="0"/>
        <extend val="0"/>
        <outline val="0"/>
        <shadow val="0"/>
        <u val="none"/>
        <vertAlign val="baseline"/>
        <sz val="11"/>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font>
        <strike val="0"/>
        <outline val="0"/>
        <shadow val="0"/>
        <u val="none"/>
        <vertAlign val="baseline"/>
        <sz val="10"/>
        <name val="Calibri"/>
        <scheme val="minor"/>
      </font>
      <protection locked="0" hidden="0"/>
    </dxf>
    <dxf>
      <font>
        <strike val="0"/>
        <outline val="0"/>
        <shadow val="0"/>
        <u val="none"/>
        <vertAlign val="baseline"/>
        <sz val="10"/>
        <name val="Calibri"/>
        <scheme val="minor"/>
      </font>
      <protection locked="0" hidden="0"/>
    </dxf>
    <dxf>
      <font>
        <b/>
        <i val="0"/>
        <strike val="0"/>
        <condense val="0"/>
        <extend val="0"/>
        <outline val="0"/>
        <shadow val="0"/>
        <u val="none"/>
        <vertAlign val="baseline"/>
        <sz val="11"/>
        <color theme="0"/>
        <name val="Calibri"/>
        <scheme val="minor"/>
      </font>
      <fill>
        <patternFill patternType="solid">
          <fgColor indexed="64"/>
          <bgColor theme="1" tint="4.9989318521683403E-2"/>
        </patternFill>
      </fill>
      <alignment horizontal="center" vertical="center" textRotation="0" wrapText="0" indent="0" justifyLastLine="0" shrinkToFit="0" readingOrder="0"/>
      <protection locked="0" hidden="0"/>
    </dxf>
    <dxf>
      <fill>
        <patternFill>
          <bgColor rgb="FF00B050"/>
        </patternFill>
      </fill>
    </dxf>
    <dxf>
      <fill>
        <patternFill>
          <bgColor theme="5" tint="-0.24994659260841701"/>
        </patternFill>
      </fill>
    </dxf>
    <dxf>
      <font>
        <color theme="2" tint="-0.499984740745262"/>
      </font>
      <fill>
        <patternFill>
          <bgColor theme="0" tint="-0.14996795556505021"/>
        </patternFill>
      </fill>
    </dxf>
    <dxf>
      <fill>
        <patternFill>
          <bgColor theme="4"/>
        </patternFill>
      </fill>
    </dxf>
    <dxf>
      <font>
        <color theme="2" tint="-0.499984740745262"/>
      </font>
      <fill>
        <patternFill>
          <bgColor theme="0" tint="-0.14996795556505021"/>
        </patternFill>
      </fill>
    </dxf>
    <dxf>
      <fill>
        <patternFill>
          <bgColor theme="4"/>
        </patternFill>
      </fill>
    </dxf>
    <dxf>
      <font>
        <b/>
        <i val="0"/>
        <color theme="9" tint="-0.499984740745262"/>
      </font>
    </dxf>
    <dxf>
      <font>
        <color theme="2" tint="-0.499984740745262"/>
      </font>
      <fill>
        <patternFill>
          <bgColor theme="0" tint="-0.14996795556505021"/>
        </patternFill>
      </fill>
    </dxf>
    <dxf>
      <font>
        <b val="0"/>
        <i val="0"/>
        <color theme="0"/>
      </font>
      <fill>
        <patternFill>
          <bgColor theme="1" tint="0.499984740745262"/>
        </patternFill>
      </fill>
    </dxf>
    <dxf>
      <font>
        <b/>
        <i val="0"/>
        <color theme="0"/>
      </font>
      <fill>
        <patternFill>
          <bgColor theme="9"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9.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5.xml"/><Relationship Id="rId25"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theme" Target="theme/theme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7/relationships/slicerCache" Target="slicerCaches/slicerCache11.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[InfoSecBudget_v1.0.2.xlsm]Calculations!PvtTags</c:name>
    <c:fmtId val="6"/>
  </c:pivotSource>
  <c:chart>
    <c:title>
      <c:tx>
        <c:rich>
          <a:bodyPr/>
          <a:lstStyle/>
          <a:p>
            <a:pPr>
              <a:defRPr>
                <a:solidFill>
                  <a:srgbClr val="002060"/>
                </a:solidFill>
              </a:defRPr>
            </a:pPr>
            <a:r>
              <a:rPr lang="en-GB" sz="1800" b="1" i="0" baseline="0">
                <a:solidFill>
                  <a:srgbClr val="002060"/>
                </a:solidFill>
                <a:effectLst/>
              </a:rPr>
              <a:t>Tags (Cost vs Utilized)</a:t>
            </a:r>
            <a:endParaRPr lang="en-GB">
              <a:solidFill>
                <a:srgbClr val="002060"/>
              </a:solidFill>
              <a:effectLst/>
            </a:endParaRPr>
          </a:p>
        </c:rich>
      </c:tx>
      <c:layout>
        <c:manualLayout>
          <c:xMode val="edge"/>
          <c:yMode val="edge"/>
          <c:x val="0.38795094842216132"/>
          <c:y val="1.8604651162790697E-2"/>
        </c:manualLayout>
      </c:layout>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008443424674611E-2"/>
          <c:y val="0.11334677088015932"/>
          <c:w val="0.94457777822701561"/>
          <c:h val="0.76908861530430239"/>
        </c:manualLayout>
      </c:layout>
      <c:barChart>
        <c:barDir val="col"/>
        <c:grouping val="clustered"/>
        <c:varyColors val="0"/>
        <c:ser>
          <c:idx val="0"/>
          <c:order val="0"/>
          <c:tx>
            <c:strRef>
              <c:f>Calculations!$AA$9</c:f>
              <c:strCache>
                <c:ptCount val="1"/>
                <c:pt idx="0">
                  <c:v>Projected</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Calculations!$Z$10:$Z$35</c:f>
              <c:strCache>
                <c:ptCount val="25"/>
                <c:pt idx="0">
                  <c:v>(blank)</c:v>
                </c:pt>
                <c:pt idx="1">
                  <c:v>Application Development</c:v>
                </c:pt>
                <c:pt idx="2">
                  <c:v>Data Integrity</c:v>
                </c:pt>
                <c:pt idx="3">
                  <c:v>Intrusion Detection</c:v>
                </c:pt>
                <c:pt idx="4">
                  <c:v>Authentication</c:v>
                </c:pt>
                <c:pt idx="5">
                  <c:v>Certification</c:v>
                </c:pt>
                <c:pt idx="6">
                  <c:v>Anti-Virus &amp; Scanning</c:v>
                </c:pt>
                <c:pt idx="7">
                  <c:v>SIEM</c:v>
                </c:pt>
                <c:pt idx="8">
                  <c:v>Encryption</c:v>
                </c:pt>
                <c:pt idx="9">
                  <c:v>Remote Access</c:v>
                </c:pt>
                <c:pt idx="10">
                  <c:v>Signing (crypto)</c:v>
                </c:pt>
                <c:pt idx="11">
                  <c:v>Secure Communications</c:v>
                </c:pt>
                <c:pt idx="12">
                  <c:v>Privileged Security</c:v>
                </c:pt>
                <c:pt idx="13">
                  <c:v>Identity Management</c:v>
                </c:pt>
                <c:pt idx="14">
                  <c:v>Onboarding &amp; Termination</c:v>
                </c:pt>
                <c:pt idx="15">
                  <c:v>MDM</c:v>
                </c:pt>
                <c:pt idx="16">
                  <c:v>DLP</c:v>
                </c:pt>
                <c:pt idx="17">
                  <c:v>Trusted Computing</c:v>
                </c:pt>
                <c:pt idx="18">
                  <c:v>Scanning and Monitoring</c:v>
                </c:pt>
                <c:pt idx="19">
                  <c:v>Process Engineering</c:v>
                </c:pt>
                <c:pt idx="20">
                  <c:v>Legal</c:v>
                </c:pt>
                <c:pt idx="21">
                  <c:v>Privacy</c:v>
                </c:pt>
                <c:pt idx="22">
                  <c:v>SDLC Program</c:v>
                </c:pt>
                <c:pt idx="23">
                  <c:v>Chance Management</c:v>
                </c:pt>
                <c:pt idx="24">
                  <c:v>Social Engineering Resiliance</c:v>
                </c:pt>
              </c:strCache>
            </c:strRef>
          </c:cat>
          <c:val>
            <c:numRef>
              <c:f>Calculations!$AA$10:$AA$35</c:f>
              <c:numCache>
                <c:formatCode>[$$-409]#,##0</c:formatCode>
                <c:ptCount val="25"/>
                <c:pt idx="0">
                  <c:v>425000</c:v>
                </c:pt>
                <c:pt idx="1">
                  <c:v>29603.365384615387</c:v>
                </c:pt>
                <c:pt idx="2">
                  <c:v>399350.96153846156</c:v>
                </c:pt>
                <c:pt idx="3">
                  <c:v>443864.78365384624</c:v>
                </c:pt>
                <c:pt idx="4">
                  <c:v>187564.26282051284</c:v>
                </c:pt>
                <c:pt idx="5">
                  <c:v>27341.346153846152</c:v>
                </c:pt>
                <c:pt idx="6">
                  <c:v>39951.923076923071</c:v>
                </c:pt>
                <c:pt idx="7">
                  <c:v>49571.474358974352</c:v>
                </c:pt>
                <c:pt idx="8">
                  <c:v>306630.76923076925</c:v>
                </c:pt>
                <c:pt idx="9">
                  <c:v>187564.26282051284</c:v>
                </c:pt>
                <c:pt idx="10">
                  <c:v>153625.96153846156</c:v>
                </c:pt>
                <c:pt idx="11">
                  <c:v>153625.96153846156</c:v>
                </c:pt>
                <c:pt idx="12">
                  <c:v>162566.546474359</c:v>
                </c:pt>
                <c:pt idx="13">
                  <c:v>172798.91826923075</c:v>
                </c:pt>
                <c:pt idx="14">
                  <c:v>128207.5721153846</c:v>
                </c:pt>
                <c:pt idx="15">
                  <c:v>426310.09615384613</c:v>
                </c:pt>
                <c:pt idx="16">
                  <c:v>479314.90384615381</c:v>
                </c:pt>
                <c:pt idx="17">
                  <c:v>161406.25</c:v>
                </c:pt>
                <c:pt idx="18">
                  <c:v>9619.5512820512813</c:v>
                </c:pt>
                <c:pt idx="19">
                  <c:v>95048.076923076937</c:v>
                </c:pt>
                <c:pt idx="20">
                  <c:v>61700.320512820523</c:v>
                </c:pt>
                <c:pt idx="21">
                  <c:v>15625</c:v>
                </c:pt>
                <c:pt idx="22">
                  <c:v>70132.211538461532</c:v>
                </c:pt>
                <c:pt idx="23">
                  <c:v>8401.4423076923067</c:v>
                </c:pt>
                <c:pt idx="24">
                  <c:v>27696.153846153844</c:v>
                </c:pt>
              </c:numCache>
            </c:numRef>
          </c:val>
        </c:ser>
        <c:ser>
          <c:idx val="1"/>
          <c:order val="1"/>
          <c:tx>
            <c:strRef>
              <c:f>Calculations!$AB$9</c:f>
              <c:strCache>
                <c:ptCount val="1"/>
                <c:pt idx="0">
                  <c:v>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Calculations!$Z$10:$Z$35</c:f>
              <c:strCache>
                <c:ptCount val="25"/>
                <c:pt idx="0">
                  <c:v>(blank)</c:v>
                </c:pt>
                <c:pt idx="1">
                  <c:v>Application Development</c:v>
                </c:pt>
                <c:pt idx="2">
                  <c:v>Data Integrity</c:v>
                </c:pt>
                <c:pt idx="3">
                  <c:v>Intrusion Detection</c:v>
                </c:pt>
                <c:pt idx="4">
                  <c:v>Authentication</c:v>
                </c:pt>
                <c:pt idx="5">
                  <c:v>Certification</c:v>
                </c:pt>
                <c:pt idx="6">
                  <c:v>Anti-Virus &amp; Scanning</c:v>
                </c:pt>
                <c:pt idx="7">
                  <c:v>SIEM</c:v>
                </c:pt>
                <c:pt idx="8">
                  <c:v>Encryption</c:v>
                </c:pt>
                <c:pt idx="9">
                  <c:v>Remote Access</c:v>
                </c:pt>
                <c:pt idx="10">
                  <c:v>Signing (crypto)</c:v>
                </c:pt>
                <c:pt idx="11">
                  <c:v>Secure Communications</c:v>
                </c:pt>
                <c:pt idx="12">
                  <c:v>Privileged Security</c:v>
                </c:pt>
                <c:pt idx="13">
                  <c:v>Identity Management</c:v>
                </c:pt>
                <c:pt idx="14">
                  <c:v>Onboarding &amp; Termination</c:v>
                </c:pt>
                <c:pt idx="15">
                  <c:v>MDM</c:v>
                </c:pt>
                <c:pt idx="16">
                  <c:v>DLP</c:v>
                </c:pt>
                <c:pt idx="17">
                  <c:v>Trusted Computing</c:v>
                </c:pt>
                <c:pt idx="18">
                  <c:v>Scanning and Monitoring</c:v>
                </c:pt>
                <c:pt idx="19">
                  <c:v>Process Engineering</c:v>
                </c:pt>
                <c:pt idx="20">
                  <c:v>Legal</c:v>
                </c:pt>
                <c:pt idx="21">
                  <c:v>Privacy</c:v>
                </c:pt>
                <c:pt idx="22">
                  <c:v>SDLC Program</c:v>
                </c:pt>
                <c:pt idx="23">
                  <c:v>Chance Management</c:v>
                </c:pt>
                <c:pt idx="24">
                  <c:v>Social Engineering Resiliance</c:v>
                </c:pt>
              </c:strCache>
            </c:strRef>
          </c:cat>
          <c:val>
            <c:numRef>
              <c:f>Calculations!$AB$10:$AB$35</c:f>
              <c:numCache>
                <c:formatCode>[$$-409]#,##0</c:formatCode>
                <c:ptCount val="25"/>
                <c:pt idx="0">
                  <c:v>232782.45192307691</c:v>
                </c:pt>
                <c:pt idx="1">
                  <c:v>29603.365384615387</c:v>
                </c:pt>
                <c:pt idx="2">
                  <c:v>339983.17307692306</c:v>
                </c:pt>
                <c:pt idx="3">
                  <c:v>277086.65464743588</c:v>
                </c:pt>
                <c:pt idx="4">
                  <c:v>134494.55128205128</c:v>
                </c:pt>
                <c:pt idx="5">
                  <c:v>23134.615384615383</c:v>
                </c:pt>
                <c:pt idx="6">
                  <c:v>25968.750000000004</c:v>
                </c:pt>
                <c:pt idx="7">
                  <c:v>27469.166666666668</c:v>
                </c:pt>
                <c:pt idx="8">
                  <c:v>192359.13461538462</c:v>
                </c:pt>
                <c:pt idx="9">
                  <c:v>134494.55128205128</c:v>
                </c:pt>
                <c:pt idx="10">
                  <c:v>100556.25</c:v>
                </c:pt>
                <c:pt idx="11">
                  <c:v>100556.25</c:v>
                </c:pt>
                <c:pt idx="12">
                  <c:v>43515.725160256421</c:v>
                </c:pt>
                <c:pt idx="13">
                  <c:v>68283.353365384624</c:v>
                </c:pt>
                <c:pt idx="14">
                  <c:v>19485.276442307695</c:v>
                </c:pt>
                <c:pt idx="15">
                  <c:v>43810.096153846156</c:v>
                </c:pt>
                <c:pt idx="16">
                  <c:v>96814.903846153844</c:v>
                </c:pt>
                <c:pt idx="17">
                  <c:v>100204.32692307692</c:v>
                </c:pt>
                <c:pt idx="18">
                  <c:v>1500.4166666666665</c:v>
                </c:pt>
                <c:pt idx="19">
                  <c:v>70990.384615384624</c:v>
                </c:pt>
                <c:pt idx="20">
                  <c:v>47165.064102564102</c:v>
                </c:pt>
                <c:pt idx="21">
                  <c:v>4927.8846153846152</c:v>
                </c:pt>
                <c:pt idx="22">
                  <c:v>70132.211538461532</c:v>
                </c:pt>
                <c:pt idx="23">
                  <c:v>8401.4423076923067</c:v>
                </c:pt>
                <c:pt idx="24">
                  <c:v>21398.076923076922</c:v>
                </c:pt>
              </c:numCache>
            </c:numRef>
          </c:val>
        </c:ser>
        <c:dLbls>
          <c:dLblPos val="outEnd"/>
          <c:showLegendKey val="0"/>
          <c:showVal val="1"/>
          <c:showCatName val="0"/>
          <c:showSerName val="0"/>
          <c:showPercent val="0"/>
          <c:showBubbleSize val="0"/>
        </c:dLbls>
        <c:gapWidth val="50"/>
        <c:axId val="-1273678224"/>
        <c:axId val="-1273681488"/>
      </c:barChart>
      <c:catAx>
        <c:axId val="-1273678224"/>
        <c:scaling>
          <c:orientation val="minMax"/>
        </c:scaling>
        <c:delete val="0"/>
        <c:axPos val="b"/>
        <c:numFmt formatCode="General" sourceLinked="0"/>
        <c:majorTickMark val="out"/>
        <c:minorTickMark val="none"/>
        <c:tickLblPos val="nextTo"/>
        <c:crossAx val="-1273681488"/>
        <c:crosses val="autoZero"/>
        <c:auto val="1"/>
        <c:lblAlgn val="ctr"/>
        <c:lblOffset val="100"/>
        <c:noMultiLvlLbl val="0"/>
      </c:catAx>
      <c:valAx>
        <c:axId val="-1273681488"/>
        <c:scaling>
          <c:orientation val="minMax"/>
        </c:scaling>
        <c:delete val="0"/>
        <c:axPos val="l"/>
        <c:numFmt formatCode="[$$-409]#,##0" sourceLinked="1"/>
        <c:majorTickMark val="out"/>
        <c:minorTickMark val="none"/>
        <c:tickLblPos val="nextTo"/>
        <c:crossAx val="-1273678224"/>
        <c:crosses val="autoZero"/>
        <c:crossBetween val="between"/>
      </c:valAx>
      <c:dTable>
        <c:showHorzBorder val="0"/>
        <c:showVertBorder val="1"/>
        <c:showOutline val="1"/>
        <c:showKeys val="1"/>
        <c:txPr>
          <a:bodyPr/>
          <a:lstStyle/>
          <a:p>
            <a:pPr rtl="0">
              <a:defRPr sz="900"/>
            </a:pPr>
            <a:endParaRPr lang="en-US"/>
          </a:p>
        </c:txPr>
      </c:dTable>
    </c:plotArea>
    <c:legend>
      <c:legendPos val="t"/>
      <c:layout>
        <c:manualLayout>
          <c:xMode val="edge"/>
          <c:yMode val="edge"/>
          <c:x val="0.79438796412075752"/>
          <c:y val="3.4315627673612618E-2"/>
          <c:w val="0.16109299504536934"/>
          <c:h val="4.4402488362987776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[InfoSecBudget_v1.0.2.xlsm]Calculations!pvtDirect</c:name>
    <c:fmtId val="2"/>
  </c:pivotSource>
  <c:chart>
    <c:title>
      <c:tx>
        <c:rich>
          <a:bodyPr/>
          <a:lstStyle/>
          <a:p>
            <a:pPr>
              <a:defRPr sz="1750">
                <a:solidFill>
                  <a:srgbClr val="002060"/>
                </a:solidFill>
              </a:defRPr>
            </a:pPr>
            <a:r>
              <a:rPr lang="en-US" sz="1750">
                <a:solidFill>
                  <a:srgbClr val="002060"/>
                </a:solidFill>
              </a:rPr>
              <a:t>Total Cost (Direct vs Indirect)</a:t>
            </a:r>
          </a:p>
        </c:rich>
      </c:tx>
      <c:layout>
        <c:manualLayout>
          <c:xMode val="edge"/>
          <c:yMode val="edge"/>
          <c:x val="0.2380920247802559"/>
          <c:y val="1.7445479442592404E-2"/>
        </c:manualLayout>
      </c:layout>
      <c:overlay val="0"/>
    </c:title>
    <c:autoTitleDeleted val="0"/>
    <c:pivotFmts>
      <c:pivotFmt>
        <c:idx val="0"/>
        <c:dLbl>
          <c:idx val="0"/>
          <c:dLblPos val="ctr"/>
          <c:showLegendKey val="0"/>
          <c:showVal val="1"/>
          <c:showCatName val="1"/>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ctr"/>
          <c:showLegendKey val="0"/>
          <c:showVal val="1"/>
          <c:showCatName val="1"/>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ctr"/>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32021985952322"/>
          <c:y val="0.17435510597196632"/>
          <c:w val="0.7367231638418078"/>
          <c:h val="0.7312148097795157"/>
        </c:manualLayout>
      </c:layout>
      <c:pieChart>
        <c:varyColors val="1"/>
        <c:ser>
          <c:idx val="0"/>
          <c:order val="0"/>
          <c:tx>
            <c:strRef>
              <c:f>Calculations!$AB$1</c:f>
              <c:strCache>
                <c:ptCount val="1"/>
                <c:pt idx="0">
                  <c:v>Total</c:v>
                </c:pt>
              </c:strCache>
            </c:strRef>
          </c:tx>
          <c:explosion val="26"/>
          <c:dLbls>
            <c:spPr/>
            <c:txPr>
              <a:bodyPr/>
              <a:lstStyle/>
              <a:p>
                <a:pPr>
                  <a:defRPr/>
                </a:pPr>
                <a:endParaRPr lang="en-US"/>
              </a:p>
            </c:txPr>
            <c:dLblPos val="ctr"/>
            <c:showLegendKey val="0"/>
            <c:showVal val="1"/>
            <c:showCatName val="1"/>
            <c:showSerName val="0"/>
            <c:showPercent val="0"/>
            <c:showBubbleSize val="0"/>
            <c:showLeaderLines val="1"/>
            <c:extLst>
              <c:ext xmlns:c15="http://schemas.microsoft.com/office/drawing/2012/chart" uri="{CE6537A1-D6FC-4f65-9D91-7224C49458BB}"/>
            </c:extLst>
          </c:dLbls>
          <c:cat>
            <c:strRef>
              <c:f>Calculations!$AA$2:$AA$3</c:f>
              <c:strCache>
                <c:ptCount val="2"/>
                <c:pt idx="0">
                  <c:v>Direct </c:v>
                </c:pt>
                <c:pt idx="1">
                  <c:v>Indirect </c:v>
                </c:pt>
              </c:strCache>
            </c:strRef>
          </c:cat>
          <c:val>
            <c:numRef>
              <c:f>Calculations!$AB$2:$AB$3</c:f>
              <c:numCache>
                <c:formatCode>[$$-409]#,##0</c:formatCode>
                <c:ptCount val="2"/>
                <c:pt idx="0">
                  <c:v>3288321.0576923057</c:v>
                </c:pt>
                <c:pt idx="1">
                  <c:v>934201.05769230763</c:v>
                </c:pt>
              </c:numCache>
            </c:numRef>
          </c:val>
        </c:ser>
        <c:dLbls>
          <c:showLegendKey val="0"/>
          <c:showVal val="0"/>
          <c:showCatName val="0"/>
          <c:showSerName val="0"/>
          <c:showPercent val="0"/>
          <c:showBubbleSize val="0"/>
          <c:showLeaderLines val="1"/>
        </c:dLbls>
        <c:firstSliceAng val="0"/>
      </c:pieChart>
    </c:plotArea>
    <c:legend>
      <c:legendPos val="b"/>
      <c:layout>
        <c:manualLayout>
          <c:xMode val="edge"/>
          <c:yMode val="edge"/>
          <c:x val="0.72154828047055919"/>
          <c:y val="2.7830936231572352E-2"/>
          <c:w val="0.25184038435873479"/>
          <c:h val="4.506644196208856E-2"/>
        </c:manualLayout>
      </c:layout>
      <c:overlay val="0"/>
      <c:txPr>
        <a:bodyPr/>
        <a:lstStyle/>
        <a:p>
          <a:pPr>
            <a:defRPr sz="1400" b="0">
              <a:solidFill>
                <a:srgbClr val="002060"/>
              </a:solidFill>
            </a:defRPr>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[InfoSecBudget_v1.0.2.xlsm]Calculations!pvtSub</c:name>
    <c:fmtId val="2"/>
  </c:pivotSource>
  <c:chart>
    <c:title>
      <c:tx>
        <c:rich>
          <a:bodyPr/>
          <a:lstStyle/>
          <a:p>
            <a:pPr>
              <a:defRPr sz="1800">
                <a:solidFill>
                  <a:srgbClr val="002060"/>
                </a:solidFill>
              </a:defRPr>
            </a:pPr>
            <a:r>
              <a:rPr lang="en-GB" sz="1800">
                <a:solidFill>
                  <a:srgbClr val="002060"/>
                </a:solidFill>
              </a:rPr>
              <a:t>Sub Categories (Cost vs Utilized)</a:t>
            </a:r>
          </a:p>
        </c:rich>
      </c:tx>
      <c:layout>
        <c:manualLayout>
          <c:xMode val="edge"/>
          <c:yMode val="edge"/>
          <c:x val="0.38795094842216132"/>
          <c:y val="1.8604651162790697E-2"/>
        </c:manualLayout>
      </c:layout>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008440324364949E-2"/>
          <c:y val="0.10598028837555526"/>
          <c:w val="0.94457778196167896"/>
          <c:h val="0.77645509780890654"/>
        </c:manualLayout>
      </c:layout>
      <c:barChart>
        <c:barDir val="col"/>
        <c:grouping val="clustered"/>
        <c:varyColors val="0"/>
        <c:ser>
          <c:idx val="0"/>
          <c:order val="0"/>
          <c:tx>
            <c:strRef>
              <c:f>Calculations!$AF$1</c:f>
              <c:strCache>
                <c:ptCount val="1"/>
                <c:pt idx="0">
                  <c:v>Projected</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Calculations!$AE$2:$AE$13</c:f>
              <c:strCache>
                <c:ptCount val="11"/>
                <c:pt idx="0">
                  <c:v>Incident Response</c:v>
                </c:pt>
                <c:pt idx="1">
                  <c:v>Network security</c:v>
                </c:pt>
                <c:pt idx="2">
                  <c:v>Identity &amp; Access Management</c:v>
                </c:pt>
                <c:pt idx="3">
                  <c:v>Mobile Security</c:v>
                </c:pt>
                <c:pt idx="4">
                  <c:v>Cloud security</c:v>
                </c:pt>
                <c:pt idx="5">
                  <c:v>Application Security</c:v>
                </c:pt>
                <c:pt idx="6">
                  <c:v>Web Application Security</c:v>
                </c:pt>
                <c:pt idx="7">
                  <c:v>Compliance</c:v>
                </c:pt>
                <c:pt idx="8">
                  <c:v>Governance</c:v>
                </c:pt>
                <c:pt idx="9">
                  <c:v>Audit</c:v>
                </c:pt>
                <c:pt idx="10">
                  <c:v>Program Management</c:v>
                </c:pt>
              </c:strCache>
            </c:strRef>
          </c:cat>
          <c:val>
            <c:numRef>
              <c:f>Calculations!$AF$2:$AF$13</c:f>
              <c:numCache>
                <c:formatCode>[$$-409]#,##0</c:formatCode>
                <c:ptCount val="11"/>
                <c:pt idx="0">
                  <c:v>117884.61538461539</c:v>
                </c:pt>
                <c:pt idx="1">
                  <c:v>490433.17307692318</c:v>
                </c:pt>
                <c:pt idx="2">
                  <c:v>1506941.8269230754</c:v>
                </c:pt>
                <c:pt idx="3">
                  <c:v>852620.19230769225</c:v>
                </c:pt>
                <c:pt idx="4">
                  <c:v>106009.61538461538</c:v>
                </c:pt>
                <c:pt idx="5">
                  <c:v>807548.07692307665</c:v>
                </c:pt>
                <c:pt idx="6">
                  <c:v>208173.07692307688</c:v>
                </c:pt>
                <c:pt idx="7">
                  <c:v>37855.769230769234</c:v>
                </c:pt>
                <c:pt idx="8">
                  <c:v>44623.076923076922</c:v>
                </c:pt>
                <c:pt idx="9">
                  <c:v>25240.384615384617</c:v>
                </c:pt>
                <c:pt idx="10">
                  <c:v>25192.307692307688</c:v>
                </c:pt>
              </c:numCache>
            </c:numRef>
          </c:val>
        </c:ser>
        <c:ser>
          <c:idx val="1"/>
          <c:order val="1"/>
          <c:tx>
            <c:strRef>
              <c:f>Calculations!$AG$1</c:f>
              <c:strCache>
                <c:ptCount val="1"/>
                <c:pt idx="0">
                  <c:v>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Calculations!$AE$2:$AE$13</c:f>
              <c:strCache>
                <c:ptCount val="11"/>
                <c:pt idx="0">
                  <c:v>Incident Response</c:v>
                </c:pt>
                <c:pt idx="1">
                  <c:v>Network security</c:v>
                </c:pt>
                <c:pt idx="2">
                  <c:v>Identity &amp; Access Management</c:v>
                </c:pt>
                <c:pt idx="3">
                  <c:v>Mobile Security</c:v>
                </c:pt>
                <c:pt idx="4">
                  <c:v>Cloud security</c:v>
                </c:pt>
                <c:pt idx="5">
                  <c:v>Application Security</c:v>
                </c:pt>
                <c:pt idx="6">
                  <c:v>Web Application Security</c:v>
                </c:pt>
                <c:pt idx="7">
                  <c:v>Compliance</c:v>
                </c:pt>
                <c:pt idx="8">
                  <c:v>Governance</c:v>
                </c:pt>
                <c:pt idx="9">
                  <c:v>Audit</c:v>
                </c:pt>
                <c:pt idx="10">
                  <c:v>Program Management</c:v>
                </c:pt>
              </c:strCache>
            </c:strRef>
          </c:cat>
          <c:val>
            <c:numRef>
              <c:f>Calculations!$AG$2:$AG$13</c:f>
              <c:numCache>
                <c:formatCode>[$$-409]#,##0</c:formatCode>
                <c:ptCount val="11"/>
                <c:pt idx="0">
                  <c:v>85293.269230769234</c:v>
                </c:pt>
                <c:pt idx="1">
                  <c:v>402251.24999999988</c:v>
                </c:pt>
                <c:pt idx="2">
                  <c:v>759860.33653846139</c:v>
                </c:pt>
                <c:pt idx="3">
                  <c:v>87620.192307692312</c:v>
                </c:pt>
                <c:pt idx="4">
                  <c:v>106009.61538461538</c:v>
                </c:pt>
                <c:pt idx="5">
                  <c:v>471195.9134615385</c:v>
                </c:pt>
                <c:pt idx="6">
                  <c:v>208173.07692307688</c:v>
                </c:pt>
                <c:pt idx="7">
                  <c:v>37855.769230769234</c:v>
                </c:pt>
                <c:pt idx="8">
                  <c:v>31642.307692307695</c:v>
                </c:pt>
                <c:pt idx="9">
                  <c:v>12620.192307692309</c:v>
                </c:pt>
                <c:pt idx="10">
                  <c:v>12596.153846153844</c:v>
                </c:pt>
              </c:numCache>
            </c:numRef>
          </c:val>
        </c:ser>
        <c:dLbls>
          <c:dLblPos val="outEnd"/>
          <c:showLegendKey val="0"/>
          <c:showVal val="1"/>
          <c:showCatName val="0"/>
          <c:showSerName val="0"/>
          <c:showPercent val="0"/>
          <c:showBubbleSize val="0"/>
        </c:dLbls>
        <c:gapWidth val="50"/>
        <c:axId val="-1270786464"/>
        <c:axId val="-1270788096"/>
      </c:barChart>
      <c:catAx>
        <c:axId val="-1270786464"/>
        <c:scaling>
          <c:orientation val="minMax"/>
        </c:scaling>
        <c:delete val="0"/>
        <c:axPos val="b"/>
        <c:numFmt formatCode="General" sourceLinked="0"/>
        <c:majorTickMark val="out"/>
        <c:minorTickMark val="none"/>
        <c:tickLblPos val="nextTo"/>
        <c:crossAx val="-1270788096"/>
        <c:crosses val="autoZero"/>
        <c:auto val="1"/>
        <c:lblAlgn val="ctr"/>
        <c:lblOffset val="100"/>
        <c:noMultiLvlLbl val="0"/>
      </c:catAx>
      <c:valAx>
        <c:axId val="-1270788096"/>
        <c:scaling>
          <c:orientation val="minMax"/>
        </c:scaling>
        <c:delete val="0"/>
        <c:axPos val="l"/>
        <c:numFmt formatCode="[$$-409]#,##0" sourceLinked="1"/>
        <c:majorTickMark val="out"/>
        <c:minorTickMark val="none"/>
        <c:tickLblPos val="nextTo"/>
        <c:crossAx val="-1270786464"/>
        <c:crosses val="autoZero"/>
        <c:crossBetween val="between"/>
      </c:valAx>
      <c:dTable>
        <c:showHorzBorder val="0"/>
        <c:showVertBorder val="1"/>
        <c:showOutline val="1"/>
        <c:showKeys val="1"/>
      </c:dTable>
    </c:plotArea>
    <c:legend>
      <c:legendPos val="t"/>
      <c:layout>
        <c:manualLayout>
          <c:xMode val="edge"/>
          <c:yMode val="edge"/>
          <c:x val="0.80140459591551083"/>
          <c:y val="1.9582662664404518E-2"/>
          <c:w val="0.16339362620502429"/>
          <c:h val="4.4402488362987776E-2"/>
        </c:manualLayout>
      </c:layout>
      <c:overlay val="0"/>
      <c:txPr>
        <a:bodyPr/>
        <a:lstStyle/>
        <a:p>
          <a:pPr>
            <a:defRPr sz="16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[InfoSecBudget_v1.0.2.xlsm]Calculations!pvtFinancial</c:name>
    <c:fmtId val="2"/>
  </c:pivotSource>
  <c:chart>
    <c:title>
      <c:tx>
        <c:rich>
          <a:bodyPr/>
          <a:lstStyle/>
          <a:p>
            <a:pPr>
              <a:defRPr sz="1800">
                <a:solidFill>
                  <a:schemeClr val="accent5">
                    <a:lumMod val="50000"/>
                  </a:schemeClr>
                </a:solidFill>
              </a:defRPr>
            </a:pPr>
            <a:r>
              <a:rPr lang="en-GB" sz="1800">
                <a:solidFill>
                  <a:schemeClr val="accent5">
                    <a:lumMod val="50000"/>
                  </a:schemeClr>
                </a:solidFill>
              </a:rPr>
              <a:t>Financial Categories (Cost vs Utilized)</a:t>
            </a:r>
          </a:p>
        </c:rich>
      </c:tx>
      <c:overlay val="1"/>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Calculations!$AK$1</c:f>
              <c:strCache>
                <c:ptCount val="1"/>
                <c:pt idx="0">
                  <c:v>Projected</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Calculations!$AJ$2:$AJ$8</c:f>
              <c:strCache>
                <c:ptCount val="6"/>
                <c:pt idx="0">
                  <c:v>Subscription</c:v>
                </c:pt>
                <c:pt idx="1">
                  <c:v>Software</c:v>
                </c:pt>
                <c:pt idx="2">
                  <c:v>Hardware</c:v>
                </c:pt>
                <c:pt idx="3">
                  <c:v>Resources</c:v>
                </c:pt>
                <c:pt idx="4">
                  <c:v>Operations</c:v>
                </c:pt>
                <c:pt idx="5">
                  <c:v>Training</c:v>
                </c:pt>
              </c:strCache>
            </c:strRef>
          </c:cat>
          <c:val>
            <c:numRef>
              <c:f>Calculations!$AK$2:$AK$8</c:f>
              <c:numCache>
                <c:formatCode>[$$-409]#,##0</c:formatCode>
                <c:ptCount val="6"/>
                <c:pt idx="0">
                  <c:v>114911.53846153844</c:v>
                </c:pt>
                <c:pt idx="1">
                  <c:v>1050000</c:v>
                </c:pt>
                <c:pt idx="2">
                  <c:v>1100204.3269230768</c:v>
                </c:pt>
                <c:pt idx="3">
                  <c:v>508342.78846153856</c:v>
                </c:pt>
                <c:pt idx="4">
                  <c:v>977669.23076923098</c:v>
                </c:pt>
                <c:pt idx="5">
                  <c:v>471394.23076923069</c:v>
                </c:pt>
              </c:numCache>
            </c:numRef>
          </c:val>
        </c:ser>
        <c:ser>
          <c:idx val="1"/>
          <c:order val="1"/>
          <c:tx>
            <c:strRef>
              <c:f>Calculations!$AL$1</c:f>
              <c:strCache>
                <c:ptCount val="1"/>
                <c:pt idx="0">
                  <c:v>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Calculations!$AJ$2:$AJ$8</c:f>
              <c:strCache>
                <c:ptCount val="6"/>
                <c:pt idx="0">
                  <c:v>Subscription</c:v>
                </c:pt>
                <c:pt idx="1">
                  <c:v>Software</c:v>
                </c:pt>
                <c:pt idx="2">
                  <c:v>Hardware</c:v>
                </c:pt>
                <c:pt idx="3">
                  <c:v>Resources</c:v>
                </c:pt>
                <c:pt idx="4">
                  <c:v>Operations</c:v>
                </c:pt>
                <c:pt idx="5">
                  <c:v>Training</c:v>
                </c:pt>
              </c:strCache>
            </c:strRef>
          </c:cat>
          <c:val>
            <c:numRef>
              <c:f>Calculations!$AL$2:$AL$8</c:f>
              <c:numCache>
                <c:formatCode>[$$-409]#,##0</c:formatCode>
                <c:ptCount val="6"/>
                <c:pt idx="0">
                  <c:v>114911.53846153847</c:v>
                </c:pt>
                <c:pt idx="1">
                  <c:v>465000.00000000006</c:v>
                </c:pt>
                <c:pt idx="2">
                  <c:v>297704.32692307694</c:v>
                </c:pt>
                <c:pt idx="3">
                  <c:v>324125.04807692318</c:v>
                </c:pt>
                <c:pt idx="4">
                  <c:v>746796.63461538439</c:v>
                </c:pt>
                <c:pt idx="5">
                  <c:v>266580.52884615381</c:v>
                </c:pt>
              </c:numCache>
            </c:numRef>
          </c:val>
        </c:ser>
        <c:dLbls>
          <c:dLblPos val="outEnd"/>
          <c:showLegendKey val="0"/>
          <c:showVal val="1"/>
          <c:showCatName val="0"/>
          <c:showSerName val="0"/>
          <c:showPercent val="0"/>
          <c:showBubbleSize val="0"/>
        </c:dLbls>
        <c:gapWidth val="150"/>
        <c:axId val="-1270795712"/>
        <c:axId val="-1270790272"/>
      </c:barChart>
      <c:catAx>
        <c:axId val="-1270795712"/>
        <c:scaling>
          <c:orientation val="minMax"/>
        </c:scaling>
        <c:delete val="0"/>
        <c:axPos val="b"/>
        <c:numFmt formatCode="General" sourceLinked="0"/>
        <c:majorTickMark val="out"/>
        <c:minorTickMark val="none"/>
        <c:tickLblPos val="nextTo"/>
        <c:crossAx val="-1270790272"/>
        <c:crosses val="autoZero"/>
        <c:auto val="1"/>
        <c:lblAlgn val="ctr"/>
        <c:lblOffset val="100"/>
        <c:noMultiLvlLbl val="0"/>
      </c:catAx>
      <c:valAx>
        <c:axId val="-1270790272"/>
        <c:scaling>
          <c:orientation val="minMax"/>
        </c:scaling>
        <c:delete val="0"/>
        <c:axPos val="l"/>
        <c:numFmt formatCode="[$$-409]#,##0" sourceLinked="1"/>
        <c:majorTickMark val="out"/>
        <c:minorTickMark val="none"/>
        <c:tickLblPos val="nextTo"/>
        <c:crossAx val="-1270795712"/>
        <c:crosses val="autoZero"/>
        <c:crossBetween val="between"/>
      </c:valAx>
      <c:dTable>
        <c:showHorzBorder val="0"/>
        <c:showVertBorder val="1"/>
        <c:showOutline val="1"/>
        <c:showKeys val="1"/>
      </c:dTable>
    </c:plotArea>
    <c:legend>
      <c:legendPos val="t"/>
      <c:layout>
        <c:manualLayout>
          <c:xMode val="edge"/>
          <c:yMode val="edge"/>
          <c:x val="0.80146835636742098"/>
          <c:y val="2.8097062579821201E-2"/>
          <c:w val="0.15316811695810212"/>
          <c:h val="4.6188795366096477E-2"/>
        </c:manualLayout>
      </c:layout>
      <c:overlay val="0"/>
      <c:txPr>
        <a:bodyPr/>
        <a:lstStyle/>
        <a:p>
          <a:pPr>
            <a:defRPr sz="1600"/>
          </a:pPr>
          <a:endParaRPr lang="en-US"/>
        </a:p>
      </c:txPr>
    </c:legend>
    <c:plotVisOnly val="1"/>
    <c:dispBlanksAs val="gap"/>
    <c:showDLblsOverMax val="0"/>
  </c:chart>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[InfoSecBudget_v1.0.2.xlsm]Calculations!pvtDepartment</c:name>
    <c:fmtId val="4"/>
  </c:pivotSource>
  <c:chart>
    <c:title>
      <c:tx>
        <c:rich>
          <a:bodyPr/>
          <a:lstStyle/>
          <a:p>
            <a:pPr>
              <a:defRPr>
                <a:solidFill>
                  <a:srgbClr val="002060"/>
                </a:solidFill>
              </a:defRPr>
            </a:pPr>
            <a:r>
              <a:rPr lang="en-GB" sz="1800" b="1" i="0" baseline="0">
                <a:solidFill>
                  <a:srgbClr val="002060"/>
                </a:solidFill>
                <a:effectLst/>
              </a:rPr>
              <a:t>Department Owner (Cost vs Utilized)</a:t>
            </a:r>
            <a:endParaRPr lang="en-GB">
              <a:solidFill>
                <a:srgbClr val="002060"/>
              </a:solidFill>
              <a:effectLst/>
            </a:endParaRPr>
          </a:p>
        </c:rich>
      </c:tx>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890624107325896E-2"/>
          <c:y val="0.11026335191247162"/>
          <c:w val="0.94471970453117171"/>
          <c:h val="0.77019060819644736"/>
        </c:manualLayout>
      </c:layout>
      <c:barChart>
        <c:barDir val="col"/>
        <c:grouping val="clustered"/>
        <c:varyColors val="0"/>
        <c:ser>
          <c:idx val="0"/>
          <c:order val="0"/>
          <c:tx>
            <c:strRef>
              <c:f>Calculations!$AP$1</c:f>
              <c:strCache>
                <c:ptCount val="1"/>
                <c:pt idx="0">
                  <c:v>Projected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Calculations!$AO$2:$AO$7</c:f>
              <c:strCache>
                <c:ptCount val="5"/>
                <c:pt idx="0">
                  <c:v>HR</c:v>
                </c:pt>
                <c:pt idx="1">
                  <c:v>IT Operations</c:v>
                </c:pt>
                <c:pt idx="2">
                  <c:v>Sales</c:v>
                </c:pt>
                <c:pt idx="3">
                  <c:v>Information Security</c:v>
                </c:pt>
                <c:pt idx="4">
                  <c:v>Legal</c:v>
                </c:pt>
              </c:strCache>
            </c:strRef>
          </c:cat>
          <c:val>
            <c:numRef>
              <c:f>Calculations!$AP$2:$AP$7</c:f>
              <c:numCache>
                <c:formatCode>[$$-409]#,##0</c:formatCode>
                <c:ptCount val="5"/>
                <c:pt idx="0">
                  <c:v>880392.30769230786</c:v>
                </c:pt>
                <c:pt idx="1">
                  <c:v>940695.19230769214</c:v>
                </c:pt>
                <c:pt idx="2">
                  <c:v>106009.61538461538</c:v>
                </c:pt>
                <c:pt idx="3">
                  <c:v>2257569.2307692301</c:v>
                </c:pt>
                <c:pt idx="4">
                  <c:v>37855.769230769234</c:v>
                </c:pt>
              </c:numCache>
            </c:numRef>
          </c:val>
        </c:ser>
        <c:ser>
          <c:idx val="1"/>
          <c:order val="1"/>
          <c:tx>
            <c:strRef>
              <c:f>Calculations!$AQ$1</c:f>
              <c:strCache>
                <c:ptCount val="1"/>
                <c:pt idx="0">
                  <c:v>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Calculations!$AO$2:$AO$7</c:f>
              <c:strCache>
                <c:ptCount val="5"/>
                <c:pt idx="0">
                  <c:v>HR</c:v>
                </c:pt>
                <c:pt idx="1">
                  <c:v>IT Operations</c:v>
                </c:pt>
                <c:pt idx="2">
                  <c:v>Sales</c:v>
                </c:pt>
                <c:pt idx="3">
                  <c:v>Information Security</c:v>
                </c:pt>
                <c:pt idx="4">
                  <c:v>Legal</c:v>
                </c:pt>
              </c:strCache>
            </c:strRef>
          </c:cat>
          <c:val>
            <c:numRef>
              <c:f>Calculations!$AQ$2:$AQ$7</c:f>
              <c:numCache>
                <c:formatCode>[$$-409]#,##0</c:formatCode>
                <c:ptCount val="5"/>
                <c:pt idx="0">
                  <c:v>315578.60576923081</c:v>
                </c:pt>
                <c:pt idx="1">
                  <c:v>100657.01923076925</c:v>
                </c:pt>
                <c:pt idx="2">
                  <c:v>106009.61538461538</c:v>
                </c:pt>
                <c:pt idx="3">
                  <c:v>1655017.0673076925</c:v>
                </c:pt>
                <c:pt idx="4">
                  <c:v>37855.769230769234</c:v>
                </c:pt>
              </c:numCache>
            </c:numRef>
          </c:val>
        </c:ser>
        <c:dLbls>
          <c:dLblPos val="outEnd"/>
          <c:showLegendKey val="0"/>
          <c:showVal val="1"/>
          <c:showCatName val="0"/>
          <c:showSerName val="0"/>
          <c:showPercent val="0"/>
          <c:showBubbleSize val="0"/>
        </c:dLbls>
        <c:gapWidth val="150"/>
        <c:axId val="-1270799520"/>
        <c:axId val="-1270791360"/>
      </c:barChart>
      <c:catAx>
        <c:axId val="-1270799520"/>
        <c:scaling>
          <c:orientation val="minMax"/>
        </c:scaling>
        <c:delete val="0"/>
        <c:axPos val="b"/>
        <c:numFmt formatCode="General" sourceLinked="0"/>
        <c:majorTickMark val="out"/>
        <c:minorTickMark val="none"/>
        <c:tickLblPos val="nextTo"/>
        <c:crossAx val="-1270791360"/>
        <c:crosses val="autoZero"/>
        <c:auto val="1"/>
        <c:lblAlgn val="ctr"/>
        <c:lblOffset val="100"/>
        <c:noMultiLvlLbl val="0"/>
      </c:catAx>
      <c:valAx>
        <c:axId val="-1270791360"/>
        <c:scaling>
          <c:orientation val="minMax"/>
        </c:scaling>
        <c:delete val="0"/>
        <c:axPos val="l"/>
        <c:numFmt formatCode="[$$-409]#,##0" sourceLinked="1"/>
        <c:majorTickMark val="out"/>
        <c:minorTickMark val="none"/>
        <c:tickLblPos val="nextTo"/>
        <c:crossAx val="-1270799520"/>
        <c:crosses val="autoZero"/>
        <c:crossBetween val="between"/>
      </c:valAx>
      <c:dTable>
        <c:showHorzBorder val="0"/>
        <c:showVertBorder val="1"/>
        <c:showOutline val="1"/>
        <c:showKeys val="1"/>
        <c:txPr>
          <a:bodyPr/>
          <a:lstStyle/>
          <a:p>
            <a:pPr rtl="0">
              <a:defRPr sz="1200"/>
            </a:pPr>
            <a:endParaRPr lang="en-US"/>
          </a:p>
        </c:txPr>
      </c:dTable>
    </c:plotArea>
    <c:legend>
      <c:legendPos val="t"/>
      <c:layout>
        <c:manualLayout>
          <c:xMode val="edge"/>
          <c:yMode val="edge"/>
          <c:x val="0.80929720214305767"/>
          <c:y val="2.7403344244890736E-2"/>
          <c:w val="0.14317649113189598"/>
          <c:h val="4.5150844908431388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[InfoSecBudget_v1.0.2.xlsm]Calculations!pvtSpent</c:name>
    <c:fmtId val="3"/>
  </c:pivotSource>
  <c:chart>
    <c:title>
      <c:tx>
        <c:rich>
          <a:bodyPr/>
          <a:lstStyle/>
          <a:p>
            <a:pPr>
              <a:defRPr>
                <a:solidFill>
                  <a:srgbClr val="002060"/>
                </a:solidFill>
              </a:defRPr>
            </a:pPr>
            <a:r>
              <a:rPr lang="en-GB" sz="1800" b="1" i="0" baseline="0">
                <a:solidFill>
                  <a:srgbClr val="002060"/>
                </a:solidFill>
                <a:effectLst/>
              </a:rPr>
              <a:t>Priority (Cost vs Utilized)</a:t>
            </a:r>
            <a:endParaRPr lang="en-GB">
              <a:solidFill>
                <a:srgbClr val="002060"/>
              </a:solidFill>
              <a:effectLst/>
            </a:endParaRPr>
          </a:p>
        </c:rich>
      </c:tx>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069474878331334E-2"/>
          <c:y val="9.6692505746572233E-2"/>
          <c:w val="0.91197979457460787"/>
          <c:h val="0.78508976667837715"/>
        </c:manualLayout>
      </c:layout>
      <c:barChart>
        <c:barDir val="col"/>
        <c:grouping val="clustered"/>
        <c:varyColors val="0"/>
        <c:ser>
          <c:idx val="0"/>
          <c:order val="0"/>
          <c:tx>
            <c:strRef>
              <c:f>Calculations!$AU$1</c:f>
              <c:strCache>
                <c:ptCount val="1"/>
                <c:pt idx="0">
                  <c:v>Projected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Calculations!$AT$2:$AT$6</c:f>
              <c:strCache>
                <c:ptCount val="4"/>
                <c:pt idx="0">
                  <c:v>Medium</c:v>
                </c:pt>
                <c:pt idx="1">
                  <c:v>Critical</c:v>
                </c:pt>
                <c:pt idx="2">
                  <c:v>Low</c:v>
                </c:pt>
                <c:pt idx="3">
                  <c:v>High</c:v>
                </c:pt>
              </c:strCache>
            </c:strRef>
          </c:cat>
          <c:val>
            <c:numRef>
              <c:f>Calculations!$AU$2:$AU$6</c:f>
              <c:numCache>
                <c:formatCode>[$$-409]#,##0</c:formatCode>
                <c:ptCount val="4"/>
                <c:pt idx="0">
                  <c:v>1284052.4038461538</c:v>
                </c:pt>
                <c:pt idx="1">
                  <c:v>374286.05769230769</c:v>
                </c:pt>
                <c:pt idx="2">
                  <c:v>120432.69230769231</c:v>
                </c:pt>
                <c:pt idx="3">
                  <c:v>2443750.9615384606</c:v>
                </c:pt>
              </c:numCache>
            </c:numRef>
          </c:val>
        </c:ser>
        <c:ser>
          <c:idx val="1"/>
          <c:order val="1"/>
          <c:tx>
            <c:strRef>
              <c:f>Calculations!$AV$1</c:f>
              <c:strCache>
                <c:ptCount val="1"/>
                <c:pt idx="0">
                  <c:v>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Calculations!$AT$2:$AT$6</c:f>
              <c:strCache>
                <c:ptCount val="4"/>
                <c:pt idx="0">
                  <c:v>Medium</c:v>
                </c:pt>
                <c:pt idx="1">
                  <c:v>Critical</c:v>
                </c:pt>
                <c:pt idx="2">
                  <c:v>Low</c:v>
                </c:pt>
                <c:pt idx="3">
                  <c:v>High</c:v>
                </c:pt>
              </c:strCache>
            </c:strRef>
          </c:cat>
          <c:val>
            <c:numRef>
              <c:f>Calculations!$AV$2:$AV$6</c:f>
              <c:numCache>
                <c:formatCode>[$$-409]#,##0</c:formatCode>
                <c:ptCount val="4"/>
                <c:pt idx="0">
                  <c:v>584900.76923076902</c:v>
                </c:pt>
                <c:pt idx="1">
                  <c:v>317312.49999999994</c:v>
                </c:pt>
                <c:pt idx="2">
                  <c:v>96850.961538461546</c:v>
                </c:pt>
                <c:pt idx="3">
                  <c:v>1216053.846153846</c:v>
                </c:pt>
              </c:numCache>
            </c:numRef>
          </c:val>
        </c:ser>
        <c:dLbls>
          <c:dLblPos val="outEnd"/>
          <c:showLegendKey val="0"/>
          <c:showVal val="1"/>
          <c:showCatName val="0"/>
          <c:showSerName val="0"/>
          <c:showPercent val="0"/>
          <c:showBubbleSize val="0"/>
        </c:dLbls>
        <c:gapWidth val="150"/>
        <c:axId val="-1270784288"/>
        <c:axId val="-1270798976"/>
      </c:barChart>
      <c:catAx>
        <c:axId val="-1270784288"/>
        <c:scaling>
          <c:orientation val="minMax"/>
        </c:scaling>
        <c:delete val="0"/>
        <c:axPos val="b"/>
        <c:numFmt formatCode="General" sourceLinked="0"/>
        <c:majorTickMark val="out"/>
        <c:minorTickMark val="none"/>
        <c:tickLblPos val="nextTo"/>
        <c:crossAx val="-1270798976"/>
        <c:crosses val="autoZero"/>
        <c:auto val="1"/>
        <c:lblAlgn val="ctr"/>
        <c:lblOffset val="100"/>
        <c:noMultiLvlLbl val="0"/>
      </c:catAx>
      <c:valAx>
        <c:axId val="-1270798976"/>
        <c:scaling>
          <c:orientation val="minMax"/>
        </c:scaling>
        <c:delete val="0"/>
        <c:axPos val="l"/>
        <c:numFmt formatCode="[$$-409]#,##0" sourceLinked="1"/>
        <c:majorTickMark val="out"/>
        <c:minorTickMark val="none"/>
        <c:tickLblPos val="nextTo"/>
        <c:crossAx val="-1270784288"/>
        <c:crosses val="autoZero"/>
        <c:crossBetween val="between"/>
      </c:valAx>
      <c:dTable>
        <c:showHorzBorder val="0"/>
        <c:showVertBorder val="1"/>
        <c:showOutline val="1"/>
        <c:showKeys val="1"/>
        <c:txPr>
          <a:bodyPr/>
          <a:lstStyle/>
          <a:p>
            <a:pPr rtl="0">
              <a:defRPr sz="1100"/>
            </a:pPr>
            <a:endParaRPr lang="en-US"/>
          </a:p>
        </c:txPr>
      </c:dTable>
    </c:plotArea>
    <c:legend>
      <c:legendPos val="t"/>
      <c:layout>
        <c:manualLayout>
          <c:xMode val="edge"/>
          <c:yMode val="edge"/>
          <c:x val="0.81843786637646598"/>
          <c:y val="1.9691451406347545E-2"/>
          <c:w val="0.15157386128470085"/>
          <c:h val="4.4649160173197207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[InfoSecBudget_v1.0.2.xlsm]Calculations!pvtRes</c:name>
    <c:fmtId val="3"/>
  </c:pivotSource>
  <c:chart>
    <c:title>
      <c:tx>
        <c:rich>
          <a:bodyPr/>
          <a:lstStyle/>
          <a:p>
            <a:pPr>
              <a:defRPr>
                <a:solidFill>
                  <a:srgbClr val="002060"/>
                </a:solidFill>
              </a:defRPr>
            </a:pPr>
            <a:r>
              <a:rPr lang="en-GB" sz="1800" b="1" i="0" baseline="0">
                <a:solidFill>
                  <a:srgbClr val="002060"/>
                </a:solidFill>
                <a:effectLst/>
              </a:rPr>
              <a:t>Resource Type (Cost vs Utilized)</a:t>
            </a:r>
            <a:endParaRPr lang="en-GB">
              <a:solidFill>
                <a:srgbClr val="002060"/>
              </a:solidFill>
              <a:effectLst/>
            </a:endParaRPr>
          </a:p>
        </c:rich>
      </c:tx>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861263503290499E-2"/>
          <c:y val="0.11927770656574904"/>
          <c:w val="0.94475507260248903"/>
          <c:h val="0.75700604284929496"/>
        </c:manualLayout>
      </c:layout>
      <c:barChart>
        <c:barDir val="col"/>
        <c:grouping val="clustered"/>
        <c:varyColors val="0"/>
        <c:ser>
          <c:idx val="0"/>
          <c:order val="0"/>
          <c:tx>
            <c:strRef>
              <c:f>Calculations!$AZ$1</c:f>
              <c:strCache>
                <c:ptCount val="1"/>
                <c:pt idx="0">
                  <c:v>Resource Projected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Calculations!$AY$2:$AY$22</c:f>
              <c:strCache>
                <c:ptCount val="20"/>
                <c:pt idx="0">
                  <c:v>(blank)</c:v>
                </c:pt>
                <c:pt idx="1">
                  <c:v>InfoSec Manager</c:v>
                </c:pt>
                <c:pt idx="2">
                  <c:v>Internal Audit</c:v>
                </c:pt>
                <c:pt idx="3">
                  <c:v>QSA</c:v>
                </c:pt>
                <c:pt idx="4">
                  <c:v>Security Architect</c:v>
                </c:pt>
                <c:pt idx="5">
                  <c:v>IT Operations</c:v>
                </c:pt>
                <c:pt idx="6">
                  <c:v>Project Manager</c:v>
                </c:pt>
                <c:pt idx="7">
                  <c:v>Sr Deployment Engineer</c:v>
                </c:pt>
                <c:pt idx="8">
                  <c:v>Network Admin</c:v>
                </c:pt>
                <c:pt idx="9">
                  <c:v>PKI Architect</c:v>
                </c:pt>
                <c:pt idx="10">
                  <c:v>Project Management</c:v>
                </c:pt>
                <c:pt idx="11">
                  <c:v>Application Security Architect</c:v>
                </c:pt>
                <c:pt idx="12">
                  <c:v>Deployment Engineer</c:v>
                </c:pt>
                <c:pt idx="13">
                  <c:v>Sr Director</c:v>
                </c:pt>
                <c:pt idx="14">
                  <c:v>Domain Admin</c:v>
                </c:pt>
                <c:pt idx="15">
                  <c:v>IDM Architect</c:v>
                </c:pt>
                <c:pt idx="16">
                  <c:v>Subject Matter Expert</c:v>
                </c:pt>
                <c:pt idx="17">
                  <c:v>GRC &amp; Policy Developer</c:v>
                </c:pt>
                <c:pt idx="18">
                  <c:v>Internal Pen Test</c:v>
                </c:pt>
                <c:pt idx="19">
                  <c:v>Application Developer</c:v>
                </c:pt>
              </c:strCache>
            </c:strRef>
          </c:cat>
          <c:val>
            <c:numRef>
              <c:f>Calculations!$AZ$2:$AZ$22</c:f>
              <c:numCache>
                <c:formatCode>[$$-409]#,##0</c:formatCode>
                <c:ptCount val="20"/>
                <c:pt idx="0">
                  <c:v>0</c:v>
                </c:pt>
                <c:pt idx="1">
                  <c:v>95552.884615384595</c:v>
                </c:pt>
                <c:pt idx="2">
                  <c:v>31298.076923076918</c:v>
                </c:pt>
                <c:pt idx="3">
                  <c:v>33000</c:v>
                </c:pt>
                <c:pt idx="4">
                  <c:v>45673.076923076929</c:v>
                </c:pt>
                <c:pt idx="5">
                  <c:v>769230.76923076925</c:v>
                </c:pt>
                <c:pt idx="6">
                  <c:v>16959.13461538461</c:v>
                </c:pt>
                <c:pt idx="7">
                  <c:v>55500</c:v>
                </c:pt>
                <c:pt idx="8">
                  <c:v>170000</c:v>
                </c:pt>
                <c:pt idx="9">
                  <c:v>32451.923076923067</c:v>
                </c:pt>
                <c:pt idx="10">
                  <c:v>12000</c:v>
                </c:pt>
                <c:pt idx="11">
                  <c:v>66000</c:v>
                </c:pt>
                <c:pt idx="12">
                  <c:v>24700</c:v>
                </c:pt>
                <c:pt idx="13">
                  <c:v>1862.9807692307693</c:v>
                </c:pt>
                <c:pt idx="14">
                  <c:v>7211.538461538461</c:v>
                </c:pt>
                <c:pt idx="15">
                  <c:v>18028.846153846152</c:v>
                </c:pt>
                <c:pt idx="16">
                  <c:v>145000</c:v>
                </c:pt>
                <c:pt idx="17">
                  <c:v>20432.692307692309</c:v>
                </c:pt>
                <c:pt idx="18">
                  <c:v>54086.538461538454</c:v>
                </c:pt>
                <c:pt idx="19">
                  <c:v>21033.653846153844</c:v>
                </c:pt>
              </c:numCache>
            </c:numRef>
          </c:val>
        </c:ser>
        <c:ser>
          <c:idx val="1"/>
          <c:order val="1"/>
          <c:tx>
            <c:strRef>
              <c:f>Calculations!$BA$1</c:f>
              <c:strCache>
                <c:ptCount val="1"/>
                <c:pt idx="0">
                  <c:v>Resource Projected 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Calculations!$AY$2:$AY$22</c:f>
              <c:strCache>
                <c:ptCount val="20"/>
                <c:pt idx="0">
                  <c:v>(blank)</c:v>
                </c:pt>
                <c:pt idx="1">
                  <c:v>InfoSec Manager</c:v>
                </c:pt>
                <c:pt idx="2">
                  <c:v>Internal Audit</c:v>
                </c:pt>
                <c:pt idx="3">
                  <c:v>QSA</c:v>
                </c:pt>
                <c:pt idx="4">
                  <c:v>Security Architect</c:v>
                </c:pt>
                <c:pt idx="5">
                  <c:v>IT Operations</c:v>
                </c:pt>
                <c:pt idx="6">
                  <c:v>Project Manager</c:v>
                </c:pt>
                <c:pt idx="7">
                  <c:v>Sr Deployment Engineer</c:v>
                </c:pt>
                <c:pt idx="8">
                  <c:v>Network Admin</c:v>
                </c:pt>
                <c:pt idx="9">
                  <c:v>PKI Architect</c:v>
                </c:pt>
                <c:pt idx="10">
                  <c:v>Project Management</c:v>
                </c:pt>
                <c:pt idx="11">
                  <c:v>Application Security Architect</c:v>
                </c:pt>
                <c:pt idx="12">
                  <c:v>Deployment Engineer</c:v>
                </c:pt>
                <c:pt idx="13">
                  <c:v>Sr Director</c:v>
                </c:pt>
                <c:pt idx="14">
                  <c:v>Domain Admin</c:v>
                </c:pt>
                <c:pt idx="15">
                  <c:v>IDM Architect</c:v>
                </c:pt>
                <c:pt idx="16">
                  <c:v>Subject Matter Expert</c:v>
                </c:pt>
                <c:pt idx="17">
                  <c:v>GRC &amp; Policy Developer</c:v>
                </c:pt>
                <c:pt idx="18">
                  <c:v>Internal Pen Test</c:v>
                </c:pt>
                <c:pt idx="19">
                  <c:v>Application Developer</c:v>
                </c:pt>
              </c:strCache>
            </c:strRef>
          </c:cat>
          <c:val>
            <c:numRef>
              <c:f>Calculations!$BA$2:$BA$22</c:f>
              <c:numCache>
                <c:formatCode>[$$-409]#,##0</c:formatCode>
                <c:ptCount val="20"/>
                <c:pt idx="0">
                  <c:v>0</c:v>
                </c:pt>
                <c:pt idx="1">
                  <c:v>67037.25961538461</c:v>
                </c:pt>
                <c:pt idx="2">
                  <c:v>16254.807692307693</c:v>
                </c:pt>
                <c:pt idx="3">
                  <c:v>33000</c:v>
                </c:pt>
                <c:pt idx="4">
                  <c:v>28786.057692307699</c:v>
                </c:pt>
                <c:pt idx="5">
                  <c:v>624567.30769230763</c:v>
                </c:pt>
                <c:pt idx="6">
                  <c:v>10747.596153846151</c:v>
                </c:pt>
                <c:pt idx="7">
                  <c:v>31820.000000000004</c:v>
                </c:pt>
                <c:pt idx="8">
                  <c:v>140250</c:v>
                </c:pt>
                <c:pt idx="9">
                  <c:v>21634.615384615387</c:v>
                </c:pt>
                <c:pt idx="10">
                  <c:v>2700</c:v>
                </c:pt>
                <c:pt idx="11">
                  <c:v>14850</c:v>
                </c:pt>
                <c:pt idx="12">
                  <c:v>10075</c:v>
                </c:pt>
                <c:pt idx="13">
                  <c:v>931.49038461538464</c:v>
                </c:pt>
                <c:pt idx="14">
                  <c:v>1442.3076923076924</c:v>
                </c:pt>
                <c:pt idx="15">
                  <c:v>3605.7692307692305</c:v>
                </c:pt>
                <c:pt idx="16">
                  <c:v>120000</c:v>
                </c:pt>
                <c:pt idx="17">
                  <c:v>8413.461538461539</c:v>
                </c:pt>
                <c:pt idx="18">
                  <c:v>17307.692307692312</c:v>
                </c:pt>
                <c:pt idx="19">
                  <c:v>12319.711538461539</c:v>
                </c:pt>
              </c:numCache>
            </c:numRef>
          </c:val>
        </c:ser>
        <c:dLbls>
          <c:dLblPos val="outEnd"/>
          <c:showLegendKey val="0"/>
          <c:showVal val="1"/>
          <c:showCatName val="0"/>
          <c:showSerName val="0"/>
          <c:showPercent val="0"/>
          <c:showBubbleSize val="0"/>
        </c:dLbls>
        <c:gapWidth val="50"/>
        <c:axId val="-1270785376"/>
        <c:axId val="-1270792448"/>
      </c:barChart>
      <c:catAx>
        <c:axId val="-1270785376"/>
        <c:scaling>
          <c:orientation val="minMax"/>
        </c:scaling>
        <c:delete val="0"/>
        <c:axPos val="b"/>
        <c:numFmt formatCode="General" sourceLinked="0"/>
        <c:majorTickMark val="out"/>
        <c:minorTickMark val="none"/>
        <c:tickLblPos val="nextTo"/>
        <c:crossAx val="-1270792448"/>
        <c:crosses val="autoZero"/>
        <c:auto val="1"/>
        <c:lblAlgn val="ctr"/>
        <c:lblOffset val="100"/>
        <c:noMultiLvlLbl val="0"/>
      </c:catAx>
      <c:valAx>
        <c:axId val="-1270792448"/>
        <c:scaling>
          <c:orientation val="minMax"/>
        </c:scaling>
        <c:delete val="0"/>
        <c:axPos val="l"/>
        <c:numFmt formatCode="[$$-409]#,##0" sourceLinked="1"/>
        <c:majorTickMark val="out"/>
        <c:minorTickMark val="none"/>
        <c:tickLblPos val="nextTo"/>
        <c:crossAx val="-1270785376"/>
        <c:crosses val="autoZero"/>
        <c:crossBetween val="between"/>
      </c:valAx>
      <c:dTable>
        <c:showHorzBorder val="0"/>
        <c:showVertBorder val="1"/>
        <c:showOutline val="1"/>
        <c:showKeys val="1"/>
        <c:txPr>
          <a:bodyPr/>
          <a:lstStyle/>
          <a:p>
            <a:pPr rtl="0">
              <a:defRPr sz="900"/>
            </a:pPr>
            <a:endParaRPr lang="en-US"/>
          </a:p>
        </c:txPr>
      </c:dTable>
    </c:plotArea>
    <c:legend>
      <c:legendPos val="t"/>
      <c:layout>
        <c:manualLayout>
          <c:xMode val="edge"/>
          <c:yMode val="edge"/>
          <c:x val="0.70248737007537143"/>
          <c:y val="3.0943254186249974E-2"/>
          <c:w val="0.28534368204934663"/>
          <c:h val="4.6725874381981322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[InfoSecBudget_v1.0.2.xlsm]Calculations!pvtMain</c:name>
    <c:fmtId val="4"/>
  </c:pivotSource>
  <c:chart>
    <c:title>
      <c:tx>
        <c:rich>
          <a:bodyPr/>
          <a:lstStyle/>
          <a:p>
            <a:pPr>
              <a:defRPr>
                <a:solidFill>
                  <a:srgbClr val="002060"/>
                </a:solidFill>
              </a:defRPr>
            </a:pPr>
            <a:r>
              <a:rPr lang="en-GB">
                <a:solidFill>
                  <a:srgbClr val="002060"/>
                </a:solidFill>
              </a:rPr>
              <a:t>Main Categories</a:t>
            </a:r>
            <a:r>
              <a:rPr lang="en-GB" baseline="0">
                <a:solidFill>
                  <a:srgbClr val="002060"/>
                </a:solidFill>
              </a:rPr>
              <a:t> (Budget vs Projected  vs Utilized)</a:t>
            </a:r>
            <a:endParaRPr lang="en-GB">
              <a:solidFill>
                <a:srgbClr val="002060"/>
              </a:solidFill>
            </a:endParaRPr>
          </a:p>
        </c:rich>
      </c:tx>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pivotFmt>
      <c:pivotFmt>
        <c:idx val="3"/>
        <c:marker>
          <c:symbol val="none"/>
        </c:marker>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c:spPr>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65000"/>
            </a:schemeClr>
          </a:solidFill>
        </c:spPr>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c:spPr>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solidFill>
        </c:spPr>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218270885696127E-2"/>
          <c:y val="0.10479980911476974"/>
          <c:w val="0.94578172911430392"/>
          <c:h val="0.71256597470770711"/>
        </c:manualLayout>
      </c:layout>
      <c:barChart>
        <c:barDir val="col"/>
        <c:grouping val="clustered"/>
        <c:varyColors val="0"/>
        <c:ser>
          <c:idx val="0"/>
          <c:order val="0"/>
          <c:tx>
            <c:strRef>
              <c:f>Calculations!$BE$1</c:f>
              <c:strCache>
                <c:ptCount val="1"/>
                <c:pt idx="0">
                  <c:v>Budget </c:v>
                </c:pt>
              </c:strCache>
            </c:strRef>
          </c:tx>
          <c:spPr>
            <a:solidFill>
              <a:schemeClr val="bg1">
                <a:lumMod val="65000"/>
              </a:schemeClr>
            </a:solidFill>
          </c:spPr>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Calculations!$BD$2:$BD$11</c:f>
              <c:strCache>
                <c:ptCount val="9"/>
                <c:pt idx="0">
                  <c:v>Security Infrastructure </c:v>
                </c:pt>
                <c:pt idx="1">
                  <c:v>Security Operations</c:v>
                </c:pt>
                <c:pt idx="2">
                  <c:v>Detection</c:v>
                </c:pt>
                <c:pt idx="3">
                  <c:v>GRC</c:v>
                </c:pt>
                <c:pt idx="4">
                  <c:v>Personnel Development &amp; Training</c:v>
                </c:pt>
                <c:pt idx="5">
                  <c:v>Investigations</c:v>
                </c:pt>
                <c:pt idx="6">
                  <c:v>Risk Assessment</c:v>
                </c:pt>
                <c:pt idx="7">
                  <c:v>Remediation</c:v>
                </c:pt>
                <c:pt idx="8">
                  <c:v>End User Awareness</c:v>
                </c:pt>
              </c:strCache>
            </c:strRef>
          </c:cat>
          <c:val>
            <c:numRef>
              <c:f>Calculations!$BE$2:$BE$11</c:f>
              <c:numCache>
                <c:formatCode>[$$-409]#,##0</c:formatCode>
                <c:ptCount val="9"/>
                <c:pt idx="0">
                  <c:v>3055000</c:v>
                </c:pt>
                <c:pt idx="1">
                  <c:v>975000</c:v>
                </c:pt>
                <c:pt idx="2">
                  <c:v>650000</c:v>
                </c:pt>
                <c:pt idx="3">
                  <c:v>455000.00000000006</c:v>
                </c:pt>
                <c:pt idx="4">
                  <c:v>520000</c:v>
                </c:pt>
                <c:pt idx="5">
                  <c:v>260000</c:v>
                </c:pt>
                <c:pt idx="6">
                  <c:v>260000</c:v>
                </c:pt>
                <c:pt idx="7">
                  <c:v>130000</c:v>
                </c:pt>
                <c:pt idx="8">
                  <c:v>65000</c:v>
                </c:pt>
              </c:numCache>
            </c:numRef>
          </c:val>
        </c:ser>
        <c:ser>
          <c:idx val="1"/>
          <c:order val="1"/>
          <c:tx>
            <c:strRef>
              <c:f>Calculations!$BF$1</c:f>
              <c:strCache>
                <c:ptCount val="1"/>
                <c:pt idx="0">
                  <c:v>Projected </c:v>
                </c:pt>
              </c:strCache>
            </c:strRef>
          </c:tx>
          <c:spPr>
            <a:solidFill>
              <a:schemeClr val="accent5"/>
            </a:solidFill>
          </c:spPr>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Calculations!$BD$2:$BD$11</c:f>
              <c:strCache>
                <c:ptCount val="9"/>
                <c:pt idx="0">
                  <c:v>Security Infrastructure </c:v>
                </c:pt>
                <c:pt idx="1">
                  <c:v>Security Operations</c:v>
                </c:pt>
                <c:pt idx="2">
                  <c:v>Detection</c:v>
                </c:pt>
                <c:pt idx="3">
                  <c:v>GRC</c:v>
                </c:pt>
                <c:pt idx="4">
                  <c:v>Personnel Development &amp; Training</c:v>
                </c:pt>
                <c:pt idx="5">
                  <c:v>Investigations</c:v>
                </c:pt>
                <c:pt idx="6">
                  <c:v>Risk Assessment</c:v>
                </c:pt>
                <c:pt idx="7">
                  <c:v>Remediation</c:v>
                </c:pt>
                <c:pt idx="8">
                  <c:v>End User Awareness</c:v>
                </c:pt>
              </c:strCache>
            </c:strRef>
          </c:cat>
          <c:val>
            <c:numRef>
              <c:f>Calculations!$BF$2:$BF$11</c:f>
              <c:numCache>
                <c:formatCode>[$$-409]#,##0</c:formatCode>
                <c:ptCount val="9"/>
                <c:pt idx="0">
                  <c:v>2355367.3076923057</c:v>
                </c:pt>
                <c:pt idx="1">
                  <c:v>736057.69230769225</c:v>
                </c:pt>
                <c:pt idx="2">
                  <c:v>148714.42307692303</c:v>
                </c:pt>
                <c:pt idx="3">
                  <c:v>77519.230769230751</c:v>
                </c:pt>
                <c:pt idx="4">
                  <c:v>425000</c:v>
                </c:pt>
                <c:pt idx="5">
                  <c:v>117884.61538461539</c:v>
                </c:pt>
                <c:pt idx="6">
                  <c:v>128317.30769230764</c:v>
                </c:pt>
                <c:pt idx="7">
                  <c:v>178269.23076923075</c:v>
                </c:pt>
                <c:pt idx="8">
                  <c:v>55392.307692307688</c:v>
                </c:pt>
              </c:numCache>
            </c:numRef>
          </c:val>
        </c:ser>
        <c:ser>
          <c:idx val="2"/>
          <c:order val="2"/>
          <c:tx>
            <c:strRef>
              <c:f>Calculations!$BG$1</c:f>
              <c:strCache>
                <c:ptCount val="1"/>
                <c:pt idx="0">
                  <c:v>Utilized </c:v>
                </c:pt>
              </c:strCache>
            </c:strRef>
          </c:tx>
          <c:spPr>
            <a:solidFill>
              <a:schemeClr val="accent2"/>
            </a:solidFill>
          </c:spPr>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Calculations!$BD$2:$BD$11</c:f>
              <c:strCache>
                <c:ptCount val="9"/>
                <c:pt idx="0">
                  <c:v>Security Infrastructure </c:v>
                </c:pt>
                <c:pt idx="1">
                  <c:v>Security Operations</c:v>
                </c:pt>
                <c:pt idx="2">
                  <c:v>Detection</c:v>
                </c:pt>
                <c:pt idx="3">
                  <c:v>GRC</c:v>
                </c:pt>
                <c:pt idx="4">
                  <c:v>Personnel Development &amp; Training</c:v>
                </c:pt>
                <c:pt idx="5">
                  <c:v>Investigations</c:v>
                </c:pt>
                <c:pt idx="6">
                  <c:v>Risk Assessment</c:v>
                </c:pt>
                <c:pt idx="7">
                  <c:v>Remediation</c:v>
                </c:pt>
                <c:pt idx="8">
                  <c:v>End User Awareness</c:v>
                </c:pt>
              </c:strCache>
            </c:strRef>
          </c:cat>
          <c:val>
            <c:numRef>
              <c:f>Calculations!$BG$2:$BG$11</c:f>
              <c:numCache>
                <c:formatCode>[$$-409]#,##0</c:formatCode>
                <c:ptCount val="9"/>
                <c:pt idx="0">
                  <c:v>853886.77884615352</c:v>
                </c:pt>
                <c:pt idx="1">
                  <c:v>603052.88461538462</c:v>
                </c:pt>
                <c:pt idx="2">
                  <c:v>82407.500000000029</c:v>
                </c:pt>
                <c:pt idx="3">
                  <c:v>51918.269230769241</c:v>
                </c:pt>
                <c:pt idx="4">
                  <c:v>232782.45192307691</c:v>
                </c:pt>
                <c:pt idx="5">
                  <c:v>85293.269230769234</c:v>
                </c:pt>
                <c:pt idx="6">
                  <c:v>84711.538461538483</c:v>
                </c:pt>
                <c:pt idx="7">
                  <c:v>178269.23076923075</c:v>
                </c:pt>
                <c:pt idx="8">
                  <c:v>42796.153846153858</c:v>
                </c:pt>
              </c:numCache>
            </c:numRef>
          </c:val>
        </c:ser>
        <c:dLbls>
          <c:dLblPos val="outEnd"/>
          <c:showLegendKey val="0"/>
          <c:showVal val="1"/>
          <c:showCatName val="0"/>
          <c:showSerName val="0"/>
          <c:showPercent val="0"/>
          <c:showBubbleSize val="0"/>
        </c:dLbls>
        <c:gapWidth val="50"/>
        <c:axId val="-1270794080"/>
        <c:axId val="-1270793536"/>
      </c:barChart>
      <c:catAx>
        <c:axId val="-1270794080"/>
        <c:scaling>
          <c:orientation val="minMax"/>
        </c:scaling>
        <c:delete val="0"/>
        <c:axPos val="b"/>
        <c:numFmt formatCode="General" sourceLinked="0"/>
        <c:majorTickMark val="out"/>
        <c:minorTickMark val="none"/>
        <c:tickLblPos val="nextTo"/>
        <c:crossAx val="-1270793536"/>
        <c:crosses val="autoZero"/>
        <c:auto val="1"/>
        <c:lblAlgn val="ctr"/>
        <c:lblOffset val="100"/>
        <c:noMultiLvlLbl val="0"/>
      </c:catAx>
      <c:valAx>
        <c:axId val="-1270793536"/>
        <c:scaling>
          <c:orientation val="minMax"/>
        </c:scaling>
        <c:delete val="0"/>
        <c:axPos val="l"/>
        <c:numFmt formatCode="[$$-409]#,##0" sourceLinked="1"/>
        <c:majorTickMark val="out"/>
        <c:minorTickMark val="none"/>
        <c:tickLblPos val="nextTo"/>
        <c:crossAx val="-1270794080"/>
        <c:crosses val="autoZero"/>
        <c:crossBetween val="between"/>
      </c:valAx>
      <c:dTable>
        <c:showHorzBorder val="0"/>
        <c:showVertBorder val="1"/>
        <c:showOutline val="1"/>
        <c:showKeys val="1"/>
        <c:txPr>
          <a:bodyPr/>
          <a:lstStyle/>
          <a:p>
            <a:pPr rtl="0">
              <a:defRPr sz="1050"/>
            </a:pPr>
            <a:endParaRPr lang="en-US"/>
          </a:p>
        </c:txPr>
      </c:dTable>
      <c:spPr>
        <a:effectLst>
          <a:outerShdw sx="1000" sy="1000" algn="ctr" rotWithShape="0">
            <a:srgbClr val="000000"/>
          </a:outerShdw>
        </a:effectLst>
      </c:spPr>
    </c:plotArea>
    <c:legend>
      <c:legendPos val="t"/>
      <c:layout>
        <c:manualLayout>
          <c:xMode val="edge"/>
          <c:yMode val="edge"/>
          <c:x val="0.77710207289196342"/>
          <c:y val="1.4489780887357166E-2"/>
          <c:w val="0.18704915044662332"/>
          <c:h val="6.8052302806444587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[InfoSecBudget_v1.0.2.xlsm]Calculations!PivotTable2</c:name>
    <c:fmtId val="5"/>
  </c:pivotSource>
  <c:chart>
    <c:title>
      <c:tx>
        <c:rich>
          <a:bodyPr/>
          <a:lstStyle/>
          <a:p>
            <a:pPr>
              <a:defRPr sz="1750" b="1">
                <a:solidFill>
                  <a:srgbClr val="002060"/>
                </a:solidFill>
              </a:defRPr>
            </a:pPr>
            <a:r>
              <a:rPr lang="en-US" sz="1750" b="1">
                <a:solidFill>
                  <a:srgbClr val="002060"/>
                </a:solidFill>
              </a:rPr>
              <a:t>Total Cost (CapEx vs OpEx)</a:t>
            </a:r>
            <a:endParaRPr lang="en-GB" sz="1750" b="1">
              <a:solidFill>
                <a:srgbClr val="002060"/>
              </a:solidFill>
            </a:endParaRP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LblPos val="inEnd"/>
          <c:showLegendKey val="0"/>
          <c:showVal val="1"/>
          <c:showCatName val="1"/>
          <c:showSerName val="0"/>
          <c:showPercent val="0"/>
          <c:showBubbleSize val="0"/>
          <c:extLst>
            <c:ext xmlns:c15="http://schemas.microsoft.com/office/drawing/2012/chart" uri="{CE6537A1-D6FC-4f65-9D91-7224C49458BB}"/>
          </c:extLst>
        </c:dLbl>
      </c:pivotFmt>
      <c:pivotFmt>
        <c:idx val="5"/>
      </c:pivotFmt>
      <c:pivotFmt>
        <c:idx val="6"/>
        <c:dLbl>
          <c:idx val="0"/>
          <c:delete val="1"/>
          <c:extLst>
            <c:ext xmlns:c15="http://schemas.microsoft.com/office/drawing/2012/chart" uri="{CE6537A1-D6FC-4f65-9D91-7224C49458BB}"/>
          </c:extLst>
        </c:dLbl>
      </c:pivotFmt>
      <c:pivotFmt>
        <c:idx val="7"/>
        <c:marker>
          <c:symbol val="none"/>
        </c:marker>
        <c:dLbl>
          <c:idx val="0"/>
          <c:numFmt formatCode="[$$-409]#,##0" sourceLinked="0"/>
          <c:spPr/>
          <c:txPr>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49366997347587"/>
          <c:y val="0.1934914067944897"/>
          <c:w val="0.60167088579838446"/>
          <c:h val="0.71611311297952174"/>
        </c:manualLayout>
      </c:layout>
      <c:pieChart>
        <c:varyColors val="1"/>
        <c:ser>
          <c:idx val="0"/>
          <c:order val="0"/>
          <c:tx>
            <c:strRef>
              <c:f>Calculations!$BQ$1</c:f>
              <c:strCache>
                <c:ptCount val="1"/>
                <c:pt idx="0">
                  <c:v>Total</c:v>
                </c:pt>
              </c:strCache>
            </c:strRef>
          </c:tx>
          <c:dLbls>
            <c:numFmt formatCode="[$$-409]#,##0" sourceLinked="0"/>
            <c:spPr/>
            <c:txPr>
              <a:bodyPr/>
              <a:lstStyle/>
              <a:p>
                <a:pPr>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Calculations!$BP$2:$BP$4</c:f>
              <c:strCache>
                <c:ptCount val="2"/>
                <c:pt idx="0">
                  <c:v>OpEx</c:v>
                </c:pt>
                <c:pt idx="1">
                  <c:v>CapEx  </c:v>
                </c:pt>
              </c:strCache>
            </c:strRef>
          </c:cat>
          <c:val>
            <c:numRef>
              <c:f>Calculations!$BQ$2:$BQ$4</c:f>
              <c:numCache>
                <c:formatCode>General</c:formatCode>
                <c:ptCount val="2"/>
                <c:pt idx="0">
                  <c:v>2072317.7884615385</c:v>
                </c:pt>
                <c:pt idx="1">
                  <c:v>2150204.326923077</c:v>
                </c:pt>
              </c:numCache>
            </c:numRef>
          </c:val>
        </c:ser>
        <c:dLbls>
          <c:dLblPos val="inEnd"/>
          <c:showLegendKey val="0"/>
          <c:showVal val="1"/>
          <c:showCatName val="0"/>
          <c:showSerName val="0"/>
          <c:showPercent val="0"/>
          <c:showBubbleSize val="0"/>
          <c:showLeaderLines val="1"/>
        </c:dLbls>
        <c:firstSliceAng val="0"/>
      </c:pieChart>
    </c:plotArea>
    <c:legend>
      <c:legendPos val="t"/>
      <c:layout>
        <c:manualLayout>
          <c:xMode val="edge"/>
          <c:yMode val="edge"/>
          <c:x val="0.71987867511928116"/>
          <c:y val="2.7558165398816673E-2"/>
          <c:w val="0.27164911186260959"/>
          <c:h val="4.5405934427688067E-2"/>
        </c:manualLayout>
      </c:layout>
      <c:overlay val="0"/>
      <c:txPr>
        <a:bodyPr/>
        <a:lstStyle/>
        <a:p>
          <a:pPr>
            <a:defRPr sz="14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[InfoSecBudget_v1.0.2.xlsm]Calculations!PivotTable1</c:name>
    <c:fmtId val="4"/>
  </c:pivotSource>
  <c:chart>
    <c:title>
      <c:tx>
        <c:rich>
          <a:bodyPr/>
          <a:lstStyle/>
          <a:p>
            <a:pPr>
              <a:defRPr>
                <a:solidFill>
                  <a:schemeClr val="accent5">
                    <a:lumMod val="50000"/>
                  </a:schemeClr>
                </a:solidFill>
              </a:defRPr>
            </a:pPr>
            <a:r>
              <a:rPr lang="en-GB" sz="1800" b="1" i="0" baseline="0">
                <a:solidFill>
                  <a:schemeClr val="accent5">
                    <a:lumMod val="50000"/>
                  </a:schemeClr>
                </a:solidFill>
                <a:effectLst/>
              </a:rPr>
              <a:t>CapEx / OpEx (Cost vs Utilized)</a:t>
            </a:r>
            <a:endParaRPr lang="en-GB">
              <a:solidFill>
                <a:schemeClr val="accent5">
                  <a:lumMod val="50000"/>
                </a:schemeClr>
              </a:solidFill>
              <a:effectLst/>
            </a:endParaRPr>
          </a:p>
        </c:rich>
      </c:tx>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Calculations!$BL$1</c:f>
              <c:strCache>
                <c:ptCount val="1"/>
                <c:pt idx="0">
                  <c:v>Projected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Calculations!$BK$2:$BK$4</c:f>
              <c:strCache>
                <c:ptCount val="2"/>
                <c:pt idx="0">
                  <c:v>OpEx</c:v>
                </c:pt>
                <c:pt idx="1">
                  <c:v>CapEx  </c:v>
                </c:pt>
              </c:strCache>
            </c:strRef>
          </c:cat>
          <c:val>
            <c:numRef>
              <c:f>Calculations!$BL$2:$BL$4</c:f>
              <c:numCache>
                <c:formatCode>[$$-409]#,##0.00</c:formatCode>
                <c:ptCount val="2"/>
                <c:pt idx="0">
                  <c:v>2072317.7884615385</c:v>
                </c:pt>
                <c:pt idx="1">
                  <c:v>2150204.326923077</c:v>
                </c:pt>
              </c:numCache>
            </c:numRef>
          </c:val>
        </c:ser>
        <c:ser>
          <c:idx val="1"/>
          <c:order val="1"/>
          <c:tx>
            <c:strRef>
              <c:f>Calculations!$BM$1</c:f>
              <c:strCache>
                <c:ptCount val="1"/>
                <c:pt idx="0">
                  <c:v>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Calculations!$BK$2:$BK$4</c:f>
              <c:strCache>
                <c:ptCount val="2"/>
                <c:pt idx="0">
                  <c:v>OpEx</c:v>
                </c:pt>
                <c:pt idx="1">
                  <c:v>CapEx  </c:v>
                </c:pt>
              </c:strCache>
            </c:strRef>
          </c:cat>
          <c:val>
            <c:numRef>
              <c:f>Calculations!$BM$2:$BM$4</c:f>
              <c:numCache>
                <c:formatCode>[$$-409]#,##0</c:formatCode>
                <c:ptCount val="2"/>
                <c:pt idx="0">
                  <c:v>1452413.7500000012</c:v>
                </c:pt>
                <c:pt idx="1">
                  <c:v>762704.32692307688</c:v>
                </c:pt>
              </c:numCache>
            </c:numRef>
          </c:val>
        </c:ser>
        <c:dLbls>
          <c:dLblPos val="outEnd"/>
          <c:showLegendKey val="0"/>
          <c:showVal val="1"/>
          <c:showCatName val="0"/>
          <c:showSerName val="0"/>
          <c:showPercent val="0"/>
          <c:showBubbleSize val="0"/>
        </c:dLbls>
        <c:gapWidth val="150"/>
        <c:axId val="-1270044224"/>
        <c:axId val="-1270038240"/>
      </c:barChart>
      <c:catAx>
        <c:axId val="-1270044224"/>
        <c:scaling>
          <c:orientation val="minMax"/>
        </c:scaling>
        <c:delete val="0"/>
        <c:axPos val="b"/>
        <c:numFmt formatCode="General" sourceLinked="0"/>
        <c:majorTickMark val="out"/>
        <c:minorTickMark val="none"/>
        <c:tickLblPos val="nextTo"/>
        <c:crossAx val="-1270038240"/>
        <c:crosses val="autoZero"/>
        <c:auto val="1"/>
        <c:lblAlgn val="ctr"/>
        <c:lblOffset val="100"/>
        <c:noMultiLvlLbl val="0"/>
      </c:catAx>
      <c:valAx>
        <c:axId val="-1270038240"/>
        <c:scaling>
          <c:orientation val="minMax"/>
        </c:scaling>
        <c:delete val="0"/>
        <c:axPos val="l"/>
        <c:numFmt formatCode="[$$-409]#,##0.00" sourceLinked="1"/>
        <c:majorTickMark val="out"/>
        <c:minorTickMark val="none"/>
        <c:tickLblPos val="nextTo"/>
        <c:crossAx val="-1270044224"/>
        <c:crosses val="autoZero"/>
        <c:crossBetween val="between"/>
      </c:valAx>
      <c:dTable>
        <c:showHorzBorder val="0"/>
        <c:showVertBorder val="1"/>
        <c:showOutline val="1"/>
        <c:showKeys val="1"/>
        <c:txPr>
          <a:bodyPr/>
          <a:lstStyle/>
          <a:p>
            <a:pPr rtl="0">
              <a:defRPr sz="900"/>
            </a:pPr>
            <a:endParaRPr lang="en-US"/>
          </a:p>
        </c:txPr>
      </c:dTable>
    </c:plotArea>
    <c:legend>
      <c:legendPos val="t"/>
      <c:layout>
        <c:manualLayout>
          <c:xMode val="edge"/>
          <c:yMode val="edge"/>
          <c:x val="0.8175029377711861"/>
          <c:y val="2.9150164873280659E-2"/>
          <c:w val="0.15475889084325747"/>
          <c:h val="4.8028976371892719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[InfoSecBudget_v1.0.2.xlsm]Calculations!PivotTable4</c:name>
    <c:fmtId val="8"/>
  </c:pivotSource>
  <c:chart>
    <c:title>
      <c:tx>
        <c:rich>
          <a:bodyPr/>
          <a:lstStyle/>
          <a:p>
            <a:pPr>
              <a:defRPr>
                <a:solidFill>
                  <a:srgbClr val="002060"/>
                </a:solidFill>
              </a:defRPr>
            </a:pPr>
            <a:r>
              <a:rPr lang="en-US">
                <a:solidFill>
                  <a:srgbClr val="002060"/>
                </a:solidFill>
              </a:rPr>
              <a:t>Resource Cost vs Other</a:t>
            </a:r>
            <a:r>
              <a:rPr lang="en-US" baseline="0">
                <a:solidFill>
                  <a:srgbClr val="002060"/>
                </a:solidFill>
              </a:rPr>
              <a:t> Cost</a:t>
            </a:r>
            <a:endParaRPr lang="en-US">
              <a:solidFill>
                <a:srgbClr val="002060"/>
              </a:solidFill>
            </a:endParaRPr>
          </a:p>
        </c:rich>
      </c:tx>
      <c:overlay val="0"/>
    </c:title>
    <c:autoTitleDeleted val="0"/>
    <c:pivotFmts>
      <c:pivotFmt>
        <c:idx val="0"/>
        <c:marker>
          <c:symbol val="none"/>
        </c:marker>
        <c:dLbl>
          <c:idx val="0"/>
          <c:spPr/>
          <c:txPr>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marker>
          <c:symbol val="none"/>
        </c:marker>
      </c:pivotFmt>
      <c:pivotFmt>
        <c:idx val="2"/>
        <c:marker>
          <c:symbol val="none"/>
        </c:marker>
        <c:dLbl>
          <c:idx val="0"/>
          <c:spPr/>
          <c:txPr>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Calculations!$BZ$1</c:f>
              <c:strCache>
                <c:ptCount val="1"/>
                <c:pt idx="0">
                  <c:v>Total</c:v>
                </c:pt>
              </c:strCache>
            </c:strRef>
          </c:tx>
          <c:dLbls>
            <c:spPr/>
            <c:txPr>
              <a:bodyPr/>
              <a:lstStyle/>
              <a:p>
                <a:pPr>
                  <a:defRPr/>
                </a:pPr>
                <a:endParaRPr lang="en-US"/>
              </a:p>
            </c:txPr>
            <c:showLegendKey val="0"/>
            <c:showVal val="1"/>
            <c:showCatName val="0"/>
            <c:showSerName val="0"/>
            <c:showPercent val="1"/>
            <c:showBubbleSize val="0"/>
            <c:showLeaderLines val="1"/>
            <c:extLst>
              <c:ext xmlns:c15="http://schemas.microsoft.com/office/drawing/2012/chart" uri="{CE6537A1-D6FC-4f65-9D91-7224C49458BB}"/>
            </c:extLst>
          </c:dLbls>
          <c:cat>
            <c:strRef>
              <c:f>Calculations!$BY$2:$BY$3</c:f>
              <c:strCache>
                <c:ptCount val="2"/>
                <c:pt idx="0">
                  <c:v>Total Resource Projected </c:v>
                </c:pt>
                <c:pt idx="1">
                  <c:v>Total Other Projected </c:v>
                </c:pt>
              </c:strCache>
            </c:strRef>
          </c:cat>
          <c:val>
            <c:numRef>
              <c:f>Calculations!$BZ$2:$BZ$3</c:f>
              <c:numCache>
                <c:formatCode>[$$-409]#,##0</c:formatCode>
                <c:ptCount val="2"/>
                <c:pt idx="0">
                  <c:v>1620022.1153846148</c:v>
                </c:pt>
                <c:pt idx="1">
                  <c:v>2602500.0000000009</c:v>
                </c:pt>
              </c:numCache>
            </c:numRef>
          </c:val>
        </c:ser>
        <c:dLbls>
          <c:showLegendKey val="0"/>
          <c:showVal val="0"/>
          <c:showCatName val="0"/>
          <c:showSerName val="0"/>
          <c:showPercent val="0"/>
          <c:showBubbleSize val="0"/>
          <c:showLeaderLines val="1"/>
        </c:dLbls>
        <c:firstSliceAng val="0"/>
      </c:pieChart>
    </c:plotArea>
    <c:legend>
      <c:legendPos val="t"/>
      <c:layout>
        <c:manualLayout>
          <c:xMode val="edge"/>
          <c:yMode val="edge"/>
          <c:x val="0.37651566507533407"/>
          <c:y val="0.10879058399815186"/>
          <c:w val="0.62167982373193664"/>
          <c:h val="4.6867155746717813E-2"/>
        </c:manualLayout>
      </c:layout>
      <c:overlay val="0"/>
      <c:txPr>
        <a:bodyPr/>
        <a:lstStyle/>
        <a:p>
          <a:pPr>
            <a:defRPr sz="14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[InfoSecBudget_v1.0.2.xlsm]Calculations!PivotTable5</c:name>
    <c:fmtId val="5"/>
  </c:pivotSource>
  <c:chart>
    <c:title>
      <c:tx>
        <c:rich>
          <a:bodyPr/>
          <a:lstStyle/>
          <a:p>
            <a:pPr>
              <a:defRPr/>
            </a:pPr>
            <a:r>
              <a:rPr lang="en-GB" sz="1800" b="1" i="0" u="none" strike="noStrike" baseline="0">
                <a:solidFill>
                  <a:srgbClr val="002060"/>
                </a:solidFill>
                <a:effectLst/>
              </a:rPr>
              <a:t>Month (Projected vs Utilized)</a:t>
            </a:r>
            <a:endParaRPr lang="en-GB">
              <a:solidFill>
                <a:srgbClr val="00206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747429276885342E-2"/>
          <c:y val="0.18819884261455266"/>
          <c:w val="0.93625257072311463"/>
          <c:h val="0.66185845745185468"/>
        </c:manualLayout>
      </c:layout>
      <c:barChart>
        <c:barDir val="col"/>
        <c:grouping val="clustered"/>
        <c:varyColors val="0"/>
        <c:ser>
          <c:idx val="0"/>
          <c:order val="0"/>
          <c:tx>
            <c:strRef>
              <c:f>Calculations!$DD$1</c:f>
              <c:strCache>
                <c:ptCount val="1"/>
                <c:pt idx="0">
                  <c:v>Projected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Calculations!$DC$2:$DC$13</c:f>
              <c:multiLvlStrCache>
                <c:ptCount val="10"/>
                <c:lvl>
                  <c:pt idx="0">
                    <c:v>Feb</c:v>
                  </c:pt>
                  <c:pt idx="1">
                    <c:v>Mar</c:v>
                  </c:pt>
                  <c:pt idx="2">
                    <c:v>Apr</c:v>
                  </c:pt>
                  <c:pt idx="3">
                    <c:v>Jun</c:v>
                  </c:pt>
                  <c:pt idx="4">
                    <c:v>Jul</c:v>
                  </c:pt>
                  <c:pt idx="5">
                    <c:v>Aug</c:v>
                  </c:pt>
                  <c:pt idx="6">
                    <c:v>Sep</c:v>
                  </c:pt>
                  <c:pt idx="7">
                    <c:v>Oct</c:v>
                  </c:pt>
                  <c:pt idx="8">
                    <c:v>Nov</c:v>
                  </c:pt>
                  <c:pt idx="9">
                    <c:v>Dec</c:v>
                  </c:pt>
                </c:lvl>
                <c:lvl>
                  <c:pt idx="0">
                    <c:v>2015</c:v>
                  </c:pt>
                </c:lvl>
              </c:multiLvlStrCache>
            </c:multiLvlStrRef>
          </c:cat>
          <c:val>
            <c:numRef>
              <c:f>Calculations!$DD$2:$DD$13</c:f>
              <c:numCache>
                <c:formatCode>[$$-409]#,##0</c:formatCode>
                <c:ptCount val="10"/>
                <c:pt idx="0">
                  <c:v>577259.61538461538</c:v>
                </c:pt>
                <c:pt idx="1">
                  <c:v>679936.05769230798</c:v>
                </c:pt>
                <c:pt idx="2">
                  <c:v>470807.69230769231</c:v>
                </c:pt>
                <c:pt idx="3">
                  <c:v>80937.500000000029</c:v>
                </c:pt>
                <c:pt idx="4">
                  <c:v>637151.44230769225</c:v>
                </c:pt>
                <c:pt idx="5">
                  <c:v>302175.96153846156</c:v>
                </c:pt>
                <c:pt idx="6">
                  <c:v>37855.769230769234</c:v>
                </c:pt>
                <c:pt idx="7">
                  <c:v>517013.46153846144</c:v>
                </c:pt>
                <c:pt idx="8">
                  <c:v>145923.07692307688</c:v>
                </c:pt>
                <c:pt idx="9">
                  <c:v>773461.5384615385</c:v>
                </c:pt>
              </c:numCache>
            </c:numRef>
          </c:val>
        </c:ser>
        <c:ser>
          <c:idx val="1"/>
          <c:order val="1"/>
          <c:tx>
            <c:strRef>
              <c:f>Calculations!$DE$1</c:f>
              <c:strCache>
                <c:ptCount val="1"/>
                <c:pt idx="0">
                  <c:v>Utilized </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Calculations!$DC$2:$DC$13</c:f>
              <c:multiLvlStrCache>
                <c:ptCount val="10"/>
                <c:lvl>
                  <c:pt idx="0">
                    <c:v>Feb</c:v>
                  </c:pt>
                  <c:pt idx="1">
                    <c:v>Mar</c:v>
                  </c:pt>
                  <c:pt idx="2">
                    <c:v>Apr</c:v>
                  </c:pt>
                  <c:pt idx="3">
                    <c:v>Jun</c:v>
                  </c:pt>
                  <c:pt idx="4">
                    <c:v>Jul</c:v>
                  </c:pt>
                  <c:pt idx="5">
                    <c:v>Aug</c:v>
                  </c:pt>
                  <c:pt idx="6">
                    <c:v>Sep</c:v>
                  </c:pt>
                  <c:pt idx="7">
                    <c:v>Oct</c:v>
                  </c:pt>
                  <c:pt idx="8">
                    <c:v>Nov</c:v>
                  </c:pt>
                  <c:pt idx="9">
                    <c:v>Dec</c:v>
                  </c:pt>
                </c:lvl>
                <c:lvl>
                  <c:pt idx="0">
                    <c:v>2015</c:v>
                  </c:pt>
                </c:lvl>
              </c:multiLvlStrCache>
            </c:multiLvlStrRef>
          </c:cat>
          <c:val>
            <c:numRef>
              <c:f>Calculations!$DE$2:$DE$13</c:f>
              <c:numCache>
                <c:formatCode>[$$-409]#,##0</c:formatCode>
                <c:ptCount val="10"/>
                <c:pt idx="0">
                  <c:v>351937.5</c:v>
                </c:pt>
                <c:pt idx="1">
                  <c:v>595446.39423076913</c:v>
                </c:pt>
                <c:pt idx="2">
                  <c:v>158573.31730769231</c:v>
                </c:pt>
                <c:pt idx="3">
                  <c:v>61105.76923076922</c:v>
                </c:pt>
                <c:pt idx="4">
                  <c:v>425629.80769230763</c:v>
                </c:pt>
                <c:pt idx="5">
                  <c:v>184068.55769230769</c:v>
                </c:pt>
                <c:pt idx="6">
                  <c:v>37855.769230769234</c:v>
                </c:pt>
                <c:pt idx="7">
                  <c:v>131436.53846153847</c:v>
                </c:pt>
                <c:pt idx="8">
                  <c:v>80602.884615384581</c:v>
                </c:pt>
                <c:pt idx="9">
                  <c:v>188461.53846153847</c:v>
                </c:pt>
              </c:numCache>
            </c:numRef>
          </c:val>
        </c:ser>
        <c:dLbls>
          <c:dLblPos val="outEnd"/>
          <c:showLegendKey val="0"/>
          <c:showVal val="1"/>
          <c:showCatName val="0"/>
          <c:showSerName val="0"/>
          <c:showPercent val="0"/>
          <c:showBubbleSize val="0"/>
        </c:dLbls>
        <c:gapWidth val="150"/>
        <c:axId val="-1270036608"/>
        <c:axId val="-1270044768"/>
      </c:barChart>
      <c:catAx>
        <c:axId val="-1270036608"/>
        <c:scaling>
          <c:orientation val="minMax"/>
        </c:scaling>
        <c:delete val="0"/>
        <c:axPos val="b"/>
        <c:numFmt formatCode="General" sourceLinked="0"/>
        <c:majorTickMark val="out"/>
        <c:minorTickMark val="none"/>
        <c:tickLblPos val="nextTo"/>
        <c:crossAx val="-1270044768"/>
        <c:crosses val="autoZero"/>
        <c:auto val="1"/>
        <c:lblAlgn val="ctr"/>
        <c:lblOffset val="100"/>
        <c:noMultiLvlLbl val="0"/>
      </c:catAx>
      <c:valAx>
        <c:axId val="-1270044768"/>
        <c:scaling>
          <c:orientation val="minMax"/>
        </c:scaling>
        <c:delete val="0"/>
        <c:axPos val="l"/>
        <c:numFmt formatCode="[$$-409]#,##0" sourceLinked="1"/>
        <c:majorTickMark val="out"/>
        <c:minorTickMark val="none"/>
        <c:tickLblPos val="nextTo"/>
        <c:crossAx val="-1270036608"/>
        <c:crosses val="autoZero"/>
        <c:crossBetween val="between"/>
      </c:valAx>
      <c:dTable>
        <c:showHorzBorder val="0"/>
        <c:showVertBorder val="1"/>
        <c:showOutline val="1"/>
        <c:showKeys val="1"/>
      </c:dTable>
    </c:plotArea>
    <c:legend>
      <c:legendPos val="t"/>
      <c:layout>
        <c:manualLayout>
          <c:xMode val="edge"/>
          <c:yMode val="edge"/>
          <c:x val="0.83441210828811818"/>
          <c:y val="3.7349776384936098E-2"/>
          <c:w val="0.13243919136018639"/>
          <c:h val="4.832850580692083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[InfoSecBudget_v1.0.2.xlsm]Calculations!pvtProfile</c:name>
    <c:fmtId val="2"/>
  </c:pivotSource>
  <c:chart>
    <c:title>
      <c:tx>
        <c:rich>
          <a:bodyPr/>
          <a:lstStyle/>
          <a:p>
            <a:pPr>
              <a:defRPr>
                <a:solidFill>
                  <a:schemeClr val="accent5">
                    <a:lumMod val="50000"/>
                  </a:schemeClr>
                </a:solidFill>
              </a:defRPr>
            </a:pPr>
            <a:r>
              <a:rPr lang="en-GB">
                <a:solidFill>
                  <a:schemeClr val="accent5">
                    <a:lumMod val="50000"/>
                  </a:schemeClr>
                </a:solidFill>
              </a:rPr>
              <a:t>Profile (Budget vs Projected</a:t>
            </a:r>
            <a:r>
              <a:rPr lang="en-GB" baseline="0">
                <a:solidFill>
                  <a:schemeClr val="accent5">
                    <a:lumMod val="50000"/>
                  </a:schemeClr>
                </a:solidFill>
              </a:rPr>
              <a:t> vs Utilized)</a:t>
            </a:r>
            <a:endParaRPr lang="en-GB">
              <a:solidFill>
                <a:schemeClr val="accent5">
                  <a:lumMod val="50000"/>
                </a:schemeClr>
              </a:solidFill>
            </a:endParaRPr>
          </a:p>
        </c:rich>
      </c:tx>
      <c:layout>
        <c:manualLayout>
          <c:xMode val="edge"/>
          <c:yMode val="edge"/>
          <c:x val="0.33226235682431943"/>
          <c:y val="1.2800000000000001E-2"/>
        </c:manualLayout>
      </c:layout>
      <c:overlay val="0"/>
    </c:title>
    <c:autoTitleDeleted val="0"/>
    <c:pivotFmts>
      <c:pivotFmt>
        <c:idx val="0"/>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lumMod val="65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pivotFmt>
    </c:pivotFmts>
    <c:plotArea>
      <c:layout>
        <c:manualLayout>
          <c:layoutTarget val="inner"/>
          <c:xMode val="edge"/>
          <c:yMode val="edge"/>
          <c:x val="9.4524748138414369E-2"/>
          <c:y val="9.4746036745406825E-2"/>
          <c:w val="0.89583880858519493"/>
          <c:h val="0.76206866141732288"/>
        </c:manualLayout>
      </c:layout>
      <c:barChart>
        <c:barDir val="col"/>
        <c:grouping val="clustered"/>
        <c:varyColors val="0"/>
        <c:ser>
          <c:idx val="0"/>
          <c:order val="0"/>
          <c:tx>
            <c:strRef>
              <c:f>Calculations!$CP$4</c:f>
              <c:strCache>
                <c:ptCount val="1"/>
                <c:pt idx="0">
                  <c:v>Projected per Unit </c:v>
                </c:pt>
              </c:strCache>
            </c:strRef>
          </c:tx>
          <c:spPr>
            <a:solidFill>
              <a:schemeClr val="accent5"/>
            </a:solidFill>
          </c:spPr>
          <c:invertIfNegative val="0"/>
          <c:dLbls>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Calculations!$CO$5:$CO$9</c:f>
              <c:strCache>
                <c:ptCount val="4"/>
                <c:pt idx="0">
                  <c:v># of Corporate Users</c:v>
                </c:pt>
                <c:pt idx="1">
                  <c:v># IT Staff</c:v>
                </c:pt>
                <c:pt idx="2">
                  <c:v># InfoSec Staff</c:v>
                </c:pt>
                <c:pt idx="3">
                  <c:v># of PCs</c:v>
                </c:pt>
              </c:strCache>
            </c:strRef>
          </c:cat>
          <c:val>
            <c:numRef>
              <c:f>Calculations!$CP$5:$CP$9</c:f>
              <c:numCache>
                <c:formatCode>\$#,##0;[Red]\$#,##0;</c:formatCode>
                <c:ptCount val="4"/>
                <c:pt idx="0">
                  <c:v>743.99278846153879</c:v>
                </c:pt>
                <c:pt idx="1">
                  <c:v>16232.569930069938</c:v>
                </c:pt>
                <c:pt idx="2">
                  <c:v>59519.423076923107</c:v>
                </c:pt>
                <c:pt idx="3">
                  <c:v>595.19423076923101</c:v>
                </c:pt>
              </c:numCache>
            </c:numRef>
          </c:val>
        </c:ser>
        <c:ser>
          <c:idx val="1"/>
          <c:order val="1"/>
          <c:tx>
            <c:strRef>
              <c:f>Calculations!$CQ$4</c:f>
              <c:strCache>
                <c:ptCount val="1"/>
                <c:pt idx="0">
                  <c:v>Utilized per Unit </c:v>
                </c:pt>
              </c:strCache>
            </c:strRef>
          </c:tx>
          <c:spPr>
            <a:solidFill>
              <a:schemeClr val="accent2"/>
            </a:solidFill>
          </c:spPr>
          <c:invertIfNegative val="0"/>
          <c:dLbls>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Calculations!$CO$5:$CO$9</c:f>
              <c:strCache>
                <c:ptCount val="4"/>
                <c:pt idx="0">
                  <c:v># of Corporate Users</c:v>
                </c:pt>
                <c:pt idx="1">
                  <c:v># IT Staff</c:v>
                </c:pt>
                <c:pt idx="2">
                  <c:v># InfoSec Staff</c:v>
                </c:pt>
                <c:pt idx="3">
                  <c:v># of PCs</c:v>
                </c:pt>
              </c:strCache>
            </c:strRef>
          </c:cat>
          <c:val>
            <c:numRef>
              <c:f>Calculations!$CQ$5:$CQ$9</c:f>
              <c:numCache>
                <c:formatCode>\$#,##0;[Red]\$#,##0;</c:formatCode>
                <c:ptCount val="4"/>
                <c:pt idx="0">
                  <c:v>382.63923076923089</c:v>
                </c:pt>
                <c:pt idx="1">
                  <c:v>8348.4923076923114</c:v>
                </c:pt>
                <c:pt idx="2">
                  <c:v>30611.138461538474</c:v>
                </c:pt>
                <c:pt idx="3">
                  <c:v>306.11138461538474</c:v>
                </c:pt>
              </c:numCache>
            </c:numRef>
          </c:val>
        </c:ser>
        <c:dLbls>
          <c:showLegendKey val="0"/>
          <c:showVal val="1"/>
          <c:showCatName val="0"/>
          <c:showSerName val="0"/>
          <c:showPercent val="0"/>
          <c:showBubbleSize val="0"/>
        </c:dLbls>
        <c:gapWidth val="150"/>
        <c:axId val="-1270050208"/>
        <c:axId val="-1270046944"/>
      </c:barChart>
      <c:catAx>
        <c:axId val="-1270050208"/>
        <c:scaling>
          <c:orientation val="minMax"/>
        </c:scaling>
        <c:delete val="0"/>
        <c:axPos val="b"/>
        <c:numFmt formatCode="General" sourceLinked="0"/>
        <c:majorTickMark val="out"/>
        <c:minorTickMark val="none"/>
        <c:tickLblPos val="nextTo"/>
        <c:crossAx val="-1270046944"/>
        <c:crosses val="autoZero"/>
        <c:auto val="1"/>
        <c:lblAlgn val="ctr"/>
        <c:lblOffset val="100"/>
        <c:noMultiLvlLbl val="0"/>
      </c:catAx>
      <c:valAx>
        <c:axId val="-1270046944"/>
        <c:scaling>
          <c:orientation val="minMax"/>
        </c:scaling>
        <c:delete val="0"/>
        <c:axPos val="l"/>
        <c:numFmt formatCode="\$#,##0;[Red]\$#,##0;" sourceLinked="1"/>
        <c:majorTickMark val="out"/>
        <c:minorTickMark val="none"/>
        <c:tickLblPos val="nextTo"/>
        <c:crossAx val="-1270050208"/>
        <c:crosses val="autoZero"/>
        <c:crossBetween val="between"/>
      </c:valAx>
      <c:dTable>
        <c:showHorzBorder val="0"/>
        <c:showVertBorder val="1"/>
        <c:showOutline val="1"/>
        <c:showKeys val="1"/>
      </c:dTable>
    </c:plotArea>
    <c:legend>
      <c:legendPos val="t"/>
      <c:layout>
        <c:manualLayout>
          <c:xMode val="edge"/>
          <c:yMode val="edge"/>
          <c:x val="0.63293911519929913"/>
          <c:y val="1.3677690288713913E-2"/>
          <c:w val="0.35997937511424738"/>
          <c:h val="5.2758317682937338E-2"/>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4</xdr:col>
      <xdr:colOff>1605492</xdr:colOff>
      <xdr:row>0</xdr:row>
      <xdr:rowOff>69850</xdr:rowOff>
    </xdr:from>
    <xdr:to>
      <xdr:col>4</xdr:col>
      <xdr:colOff>5355166</xdr:colOff>
      <xdr:row>5</xdr:row>
      <xdr:rowOff>131413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39242" y="69850"/>
          <a:ext cx="3749674" cy="10140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149226</xdr:colOff>
      <xdr:row>0</xdr:row>
      <xdr:rowOff>86784</xdr:rowOff>
    </xdr:from>
    <xdr:to>
      <xdr:col>3</xdr:col>
      <xdr:colOff>1902884</xdr:colOff>
      <xdr:row>9</xdr:row>
      <xdr:rowOff>73026</xdr:rowOff>
    </xdr:to>
    <mc:AlternateContent xmlns:mc="http://schemas.openxmlformats.org/markup-compatibility/2006" xmlns:a14="http://schemas.microsoft.com/office/drawing/2010/main">
      <mc:Choice Requires="a14">
        <xdr:graphicFrame macro="">
          <xdr:nvGraphicFramePr>
            <xdr:cNvPr id="2" name="Main Category 1"/>
            <xdr:cNvGraphicFramePr/>
          </xdr:nvGraphicFramePr>
          <xdr:xfrm>
            <a:off x="0" y="0"/>
            <a:ext cx="0" cy="0"/>
          </xdr:xfrm>
          <a:graphic>
            <a:graphicData uri="http://schemas.microsoft.com/office/drawing/2010/slicer">
              <sle:slicer xmlns:sle="http://schemas.microsoft.com/office/drawing/2010/slicer" name="Main Category 1"/>
            </a:graphicData>
          </a:graphic>
        </xdr:graphicFrame>
      </mc:Choice>
      <mc:Fallback xmlns="">
        <xdr:sp macro="" textlink="">
          <xdr:nvSpPr>
            <xdr:cNvPr id="0" name=""/>
            <xdr:cNvSpPr>
              <a:spLocks noTextEdit="1"/>
            </xdr:cNvSpPr>
          </xdr:nvSpPr>
          <xdr:spPr>
            <a:xfrm>
              <a:off x="2456393" y="86784"/>
              <a:ext cx="1753658" cy="193357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xdr:col>
      <xdr:colOff>2026709</xdr:colOff>
      <xdr:row>0</xdr:row>
      <xdr:rowOff>96309</xdr:rowOff>
    </xdr:from>
    <xdr:to>
      <xdr:col>3</xdr:col>
      <xdr:colOff>3788485</xdr:colOff>
      <xdr:row>9</xdr:row>
      <xdr:rowOff>82551</xdr:rowOff>
    </xdr:to>
    <mc:AlternateContent xmlns:mc="http://schemas.openxmlformats.org/markup-compatibility/2006" xmlns:a14="http://schemas.microsoft.com/office/drawing/2010/main">
      <mc:Choice Requires="a14">
        <xdr:graphicFrame macro="">
          <xdr:nvGraphicFramePr>
            <xdr:cNvPr id="3" name="Sub 1"/>
            <xdr:cNvGraphicFramePr/>
          </xdr:nvGraphicFramePr>
          <xdr:xfrm>
            <a:off x="0" y="0"/>
            <a:ext cx="0" cy="0"/>
          </xdr:xfrm>
          <a:graphic>
            <a:graphicData uri="http://schemas.microsoft.com/office/drawing/2010/slicer">
              <sle:slicer xmlns:sle="http://schemas.microsoft.com/office/drawing/2010/slicer" name="Sub 1"/>
            </a:graphicData>
          </a:graphic>
        </xdr:graphicFrame>
      </mc:Choice>
      <mc:Fallback xmlns="">
        <xdr:sp macro="" textlink="">
          <xdr:nvSpPr>
            <xdr:cNvPr id="0" name=""/>
            <xdr:cNvSpPr>
              <a:spLocks noTextEdit="1"/>
            </xdr:cNvSpPr>
          </xdr:nvSpPr>
          <xdr:spPr>
            <a:xfrm>
              <a:off x="4333876" y="96309"/>
              <a:ext cx="1761776" cy="193357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xdr:col>
      <xdr:colOff>3931709</xdr:colOff>
      <xdr:row>0</xdr:row>
      <xdr:rowOff>77259</xdr:rowOff>
    </xdr:from>
    <xdr:to>
      <xdr:col>3</xdr:col>
      <xdr:colOff>5693485</xdr:colOff>
      <xdr:row>9</xdr:row>
      <xdr:rowOff>63501</xdr:rowOff>
    </xdr:to>
    <mc:AlternateContent xmlns:mc="http://schemas.openxmlformats.org/markup-compatibility/2006" xmlns:a14="http://schemas.microsoft.com/office/drawing/2010/main">
      <mc:Choice Requires="a14">
        <xdr:graphicFrame macro="">
          <xdr:nvGraphicFramePr>
            <xdr:cNvPr id="4" name="Tag 1"/>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6238876" y="77259"/>
              <a:ext cx="1761776" cy="193357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xdr:col>
      <xdr:colOff>5820833</xdr:colOff>
      <xdr:row>0</xdr:row>
      <xdr:rowOff>87842</xdr:rowOff>
    </xdr:from>
    <xdr:to>
      <xdr:col>4</xdr:col>
      <xdr:colOff>148167</xdr:colOff>
      <xdr:row>9</xdr:row>
      <xdr:rowOff>74084</xdr:rowOff>
    </xdr:to>
    <mc:AlternateContent xmlns:mc="http://schemas.openxmlformats.org/markup-compatibility/2006" xmlns:a14="http://schemas.microsoft.com/office/drawing/2010/main">
      <mc:Choice Requires="a14">
        <xdr:graphicFrame macro="">
          <xdr:nvGraphicFramePr>
            <xdr:cNvPr id="5" name="Priority 1"/>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8128000" y="87842"/>
              <a:ext cx="1471084" cy="193357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11</xdr:col>
      <xdr:colOff>35984</xdr:colOff>
      <xdr:row>0</xdr:row>
      <xdr:rowOff>68792</xdr:rowOff>
    </xdr:from>
    <xdr:to>
      <xdr:col>14</xdr:col>
      <xdr:colOff>51510</xdr:colOff>
      <xdr:row>9</xdr:row>
      <xdr:rowOff>55034</xdr:rowOff>
    </xdr:to>
    <mc:AlternateContent xmlns:mc="http://schemas.openxmlformats.org/markup-compatibility/2006" xmlns:a14="http://schemas.microsoft.com/office/drawing/2010/main">
      <mc:Choice Requires="a14">
        <xdr:graphicFrame macro="">
          <xdr:nvGraphicFramePr>
            <xdr:cNvPr id="6" name="Department owner  1"/>
            <xdr:cNvGraphicFramePr/>
          </xdr:nvGraphicFramePr>
          <xdr:xfrm>
            <a:off x="0" y="0"/>
            <a:ext cx="0" cy="0"/>
          </xdr:xfrm>
          <a:graphic>
            <a:graphicData uri="http://schemas.microsoft.com/office/drawing/2010/slicer">
              <sle:slicer xmlns:sle="http://schemas.microsoft.com/office/drawing/2010/slicer" name="Department owner  1"/>
            </a:graphicData>
          </a:graphic>
        </xdr:graphicFrame>
      </mc:Choice>
      <mc:Fallback xmlns="">
        <xdr:sp macro="" textlink="">
          <xdr:nvSpPr>
            <xdr:cNvPr id="0" name=""/>
            <xdr:cNvSpPr>
              <a:spLocks noTextEdit="1"/>
            </xdr:cNvSpPr>
          </xdr:nvSpPr>
          <xdr:spPr>
            <a:xfrm>
              <a:off x="13561484" y="68792"/>
              <a:ext cx="1761776" cy="193357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291042</xdr:colOff>
      <xdr:row>0</xdr:row>
      <xdr:rowOff>87842</xdr:rowOff>
    </xdr:from>
    <xdr:to>
      <xdr:col>7</xdr:col>
      <xdr:colOff>306568</xdr:colOff>
      <xdr:row>9</xdr:row>
      <xdr:rowOff>74084</xdr:rowOff>
    </xdr:to>
    <mc:AlternateContent xmlns:mc="http://schemas.openxmlformats.org/markup-compatibility/2006" xmlns:a14="http://schemas.microsoft.com/office/drawing/2010/main">
      <mc:Choice Requires="a14">
        <xdr:graphicFrame macro="">
          <xdr:nvGraphicFramePr>
            <xdr:cNvPr id="7" name="Financial Category 1"/>
            <xdr:cNvGraphicFramePr/>
          </xdr:nvGraphicFramePr>
          <xdr:xfrm>
            <a:off x="0" y="0"/>
            <a:ext cx="0" cy="0"/>
          </xdr:xfrm>
          <a:graphic>
            <a:graphicData uri="http://schemas.microsoft.com/office/drawing/2010/slicer">
              <sle:slicer xmlns:sle="http://schemas.microsoft.com/office/drawing/2010/slicer" name="Financial Category 1"/>
            </a:graphicData>
          </a:graphic>
        </xdr:graphicFrame>
      </mc:Choice>
      <mc:Fallback xmlns="">
        <xdr:sp macro="" textlink="">
          <xdr:nvSpPr>
            <xdr:cNvPr id="0" name=""/>
            <xdr:cNvSpPr>
              <a:spLocks noTextEdit="1"/>
            </xdr:cNvSpPr>
          </xdr:nvSpPr>
          <xdr:spPr>
            <a:xfrm>
              <a:off x="9741959" y="87842"/>
              <a:ext cx="1761776" cy="193357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459317</xdr:colOff>
      <xdr:row>0</xdr:row>
      <xdr:rowOff>78317</xdr:rowOff>
    </xdr:from>
    <xdr:to>
      <xdr:col>10</xdr:col>
      <xdr:colOff>474843</xdr:colOff>
      <xdr:row>9</xdr:row>
      <xdr:rowOff>64559</xdr:rowOff>
    </xdr:to>
    <mc:AlternateContent xmlns:mc="http://schemas.openxmlformats.org/markup-compatibility/2006" xmlns:a14="http://schemas.microsoft.com/office/drawing/2010/main">
      <mc:Choice Requires="a14">
        <xdr:graphicFrame macro="">
          <xdr:nvGraphicFramePr>
            <xdr:cNvPr id="8" name="Res Type 1"/>
            <xdr:cNvGraphicFramePr/>
          </xdr:nvGraphicFramePr>
          <xdr:xfrm>
            <a:off x="0" y="0"/>
            <a:ext cx="0" cy="0"/>
          </xdr:xfrm>
          <a:graphic>
            <a:graphicData uri="http://schemas.microsoft.com/office/drawing/2010/slicer">
              <sle:slicer xmlns:sle="http://schemas.microsoft.com/office/drawing/2010/slicer" name="Res Type 1"/>
            </a:graphicData>
          </a:graphic>
        </xdr:graphicFrame>
      </mc:Choice>
      <mc:Fallback xmlns="">
        <xdr:sp macro="" textlink="">
          <xdr:nvSpPr>
            <xdr:cNvPr id="0" name=""/>
            <xdr:cNvSpPr>
              <a:spLocks noTextEdit="1"/>
            </xdr:cNvSpPr>
          </xdr:nvSpPr>
          <xdr:spPr>
            <a:xfrm>
              <a:off x="11656484" y="78317"/>
              <a:ext cx="1761776" cy="193357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164042</xdr:colOff>
      <xdr:row>145</xdr:row>
      <xdr:rowOff>179916</xdr:rowOff>
    </xdr:from>
    <xdr:to>
      <xdr:col>16</xdr:col>
      <xdr:colOff>447041</xdr:colOff>
      <xdr:row>173</xdr:row>
      <xdr:rowOff>17991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223309</xdr:colOff>
      <xdr:row>273</xdr:row>
      <xdr:rowOff>81490</xdr:rowOff>
    </xdr:from>
    <xdr:to>
      <xdr:col>22</xdr:col>
      <xdr:colOff>375708</xdr:colOff>
      <xdr:row>300</xdr:row>
      <xdr:rowOff>33866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164040</xdr:colOff>
      <xdr:row>112</xdr:row>
      <xdr:rowOff>75140</xdr:rowOff>
    </xdr:from>
    <xdr:to>
      <xdr:col>16</xdr:col>
      <xdr:colOff>445854</xdr:colOff>
      <xdr:row>139</xdr:row>
      <xdr:rowOff>103715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59266</xdr:colOff>
      <xdr:row>210</xdr:row>
      <xdr:rowOff>179916</xdr:rowOff>
    </xdr:from>
    <xdr:to>
      <xdr:col>16</xdr:col>
      <xdr:colOff>374310</xdr:colOff>
      <xdr:row>237</xdr:row>
      <xdr:rowOff>8466</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192617</xdr:colOff>
      <xdr:row>178</xdr:row>
      <xdr:rowOff>65616</xdr:rowOff>
    </xdr:from>
    <xdr:to>
      <xdr:col>16</xdr:col>
      <xdr:colOff>518341</xdr:colOff>
      <xdr:row>205</xdr:row>
      <xdr:rowOff>8466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78315</xdr:colOff>
      <xdr:row>78</xdr:row>
      <xdr:rowOff>122765</xdr:rowOff>
    </xdr:from>
    <xdr:to>
      <xdr:col>16</xdr:col>
      <xdr:colOff>317404</xdr:colOff>
      <xdr:row>105</xdr:row>
      <xdr:rowOff>122766</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78315</xdr:colOff>
      <xdr:row>241</xdr:row>
      <xdr:rowOff>84666</xdr:rowOff>
    </xdr:from>
    <xdr:to>
      <xdr:col>16</xdr:col>
      <xdr:colOff>414720</xdr:colOff>
      <xdr:row>267</xdr:row>
      <xdr:rowOff>46566</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87842</xdr:colOff>
      <xdr:row>9</xdr:row>
      <xdr:rowOff>264584</xdr:rowOff>
    </xdr:from>
    <xdr:to>
      <xdr:col>16</xdr:col>
      <xdr:colOff>360160</xdr:colOff>
      <xdr:row>37</xdr:row>
      <xdr:rowOff>65616</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xdr:col>
      <xdr:colOff>5440891</xdr:colOff>
      <xdr:row>273</xdr:row>
      <xdr:rowOff>75140</xdr:rowOff>
    </xdr:from>
    <xdr:to>
      <xdr:col>11</xdr:col>
      <xdr:colOff>275166</xdr:colOff>
      <xdr:row>299</xdr:row>
      <xdr:rowOff>179915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1</xdr:col>
      <xdr:colOff>96308</xdr:colOff>
      <xdr:row>303</xdr:row>
      <xdr:rowOff>169331</xdr:rowOff>
    </xdr:from>
    <xdr:to>
      <xdr:col>16</xdr:col>
      <xdr:colOff>507286</xdr:colOff>
      <xdr:row>328</xdr:row>
      <xdr:rowOff>188382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14</xdr:col>
      <xdr:colOff>194734</xdr:colOff>
      <xdr:row>0</xdr:row>
      <xdr:rowOff>68792</xdr:rowOff>
    </xdr:from>
    <xdr:to>
      <xdr:col>16</xdr:col>
      <xdr:colOff>359833</xdr:colOff>
      <xdr:row>9</xdr:row>
      <xdr:rowOff>45510</xdr:rowOff>
    </xdr:to>
    <mc:AlternateContent xmlns:mc="http://schemas.openxmlformats.org/markup-compatibility/2006" xmlns:a14="http://schemas.microsoft.com/office/drawing/2010/main">
      <mc:Choice Requires="a14">
        <xdr:graphicFrame macro="">
          <xdr:nvGraphicFramePr>
            <xdr:cNvPr id="21" name="CapEx / OpEx"/>
            <xdr:cNvGraphicFramePr/>
          </xdr:nvGraphicFramePr>
          <xdr:xfrm>
            <a:off x="0" y="0"/>
            <a:ext cx="0" cy="0"/>
          </xdr:xfrm>
          <a:graphic>
            <a:graphicData uri="http://schemas.microsoft.com/office/drawing/2010/slicer">
              <sle:slicer xmlns:sle="http://schemas.microsoft.com/office/drawing/2010/slicer" name="CapEx / OpEx"/>
            </a:graphicData>
          </a:graphic>
        </xdr:graphicFrame>
      </mc:Choice>
      <mc:Fallback xmlns="">
        <xdr:sp macro="" textlink="">
          <xdr:nvSpPr>
            <xdr:cNvPr id="0" name=""/>
            <xdr:cNvSpPr>
              <a:spLocks noTextEdit="1"/>
            </xdr:cNvSpPr>
          </xdr:nvSpPr>
          <xdr:spPr>
            <a:xfrm>
              <a:off x="15466484" y="68792"/>
              <a:ext cx="1329266" cy="1924051"/>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89958</xdr:colOff>
      <xdr:row>273</xdr:row>
      <xdr:rowOff>148167</xdr:rowOff>
    </xdr:from>
    <xdr:to>
      <xdr:col>3</xdr:col>
      <xdr:colOff>4894791</xdr:colOff>
      <xdr:row>299</xdr:row>
      <xdr:rowOff>95251</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47626</xdr:colOff>
      <xdr:row>44</xdr:row>
      <xdr:rowOff>89958</xdr:rowOff>
    </xdr:from>
    <xdr:to>
      <xdr:col>16</xdr:col>
      <xdr:colOff>319769</xdr:colOff>
      <xdr:row>72</xdr:row>
      <xdr:rowOff>26458</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52916</xdr:colOff>
      <xdr:row>0</xdr:row>
      <xdr:rowOff>31751</xdr:rowOff>
    </xdr:from>
    <xdr:to>
      <xdr:col>2</xdr:col>
      <xdr:colOff>1195916</xdr:colOff>
      <xdr:row>0</xdr:row>
      <xdr:rowOff>306917</xdr:rowOff>
    </xdr:to>
    <xdr:sp macro="[0]!shReport.selectAllDates" textlink="">
      <xdr:nvSpPr>
        <xdr:cNvPr id="25" name="Rounded Rectangle 24"/>
        <xdr:cNvSpPr/>
      </xdr:nvSpPr>
      <xdr:spPr>
        <a:xfrm>
          <a:off x="126999" y="31751"/>
          <a:ext cx="2106084" cy="275166"/>
        </a:xfrm>
        <a:prstGeom prst="roundRect">
          <a:avLst/>
        </a:prstGeom>
        <a:ln w="285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Select All Dates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119592</xdr:colOff>
      <xdr:row>10</xdr:row>
      <xdr:rowOff>53976</xdr:rowOff>
    </xdr:from>
    <xdr:to>
      <xdr:col>23</xdr:col>
      <xdr:colOff>68792</xdr:colOff>
      <xdr:row>39</xdr:row>
      <xdr:rowOff>53976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352425</xdr:colOff>
      <xdr:row>0</xdr:row>
      <xdr:rowOff>161926</xdr:rowOff>
    </xdr:from>
    <xdr:to>
      <xdr:col>5</xdr:col>
      <xdr:colOff>581025</xdr:colOff>
      <xdr:row>8</xdr:row>
      <xdr:rowOff>63501</xdr:rowOff>
    </xdr:to>
    <mc:AlternateContent xmlns:mc="http://schemas.openxmlformats.org/markup-compatibility/2006" xmlns:a14="http://schemas.microsoft.com/office/drawing/2010/main">
      <mc:Choice Requires="a14">
        <xdr:graphicFrame macro="">
          <xdr:nvGraphicFramePr>
            <xdr:cNvPr id="3" name="Profile"/>
            <xdr:cNvGraphicFramePr/>
          </xdr:nvGraphicFramePr>
          <xdr:xfrm>
            <a:off x="0" y="0"/>
            <a:ext cx="0" cy="0"/>
          </xdr:xfrm>
          <a:graphic>
            <a:graphicData uri="http://schemas.microsoft.com/office/drawing/2010/slicer">
              <sle:slicer xmlns:sle="http://schemas.microsoft.com/office/drawing/2010/slicer" name="Profile"/>
            </a:graphicData>
          </a:graphic>
        </xdr:graphicFrame>
      </mc:Choice>
      <mc:Fallback xmlns="">
        <xdr:sp macro="" textlink="">
          <xdr:nvSpPr>
            <xdr:cNvPr id="0" name=""/>
            <xdr:cNvSpPr>
              <a:spLocks noTextEdit="1"/>
            </xdr:cNvSpPr>
          </xdr:nvSpPr>
          <xdr:spPr>
            <a:xfrm>
              <a:off x="2712508" y="161926"/>
              <a:ext cx="1456267" cy="1605492"/>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84667</xdr:colOff>
      <xdr:row>0</xdr:row>
      <xdr:rowOff>42333</xdr:rowOff>
    </xdr:from>
    <xdr:to>
      <xdr:col>2</xdr:col>
      <xdr:colOff>1227668</xdr:colOff>
      <xdr:row>0</xdr:row>
      <xdr:rowOff>317500</xdr:rowOff>
    </xdr:to>
    <xdr:sp macro="[0]!shProfileReport.selectAllDatesP" textlink="">
      <xdr:nvSpPr>
        <xdr:cNvPr id="4" name="Rounded Rectangle 3"/>
        <xdr:cNvSpPr/>
      </xdr:nvSpPr>
      <xdr:spPr>
        <a:xfrm>
          <a:off x="211667" y="42333"/>
          <a:ext cx="2106084" cy="275167"/>
        </a:xfrm>
        <a:prstGeom prst="roundRect">
          <a:avLst/>
        </a:prstGeom>
        <a:ln w="285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Select All Dates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554076</xdr:colOff>
      <xdr:row>2</xdr:row>
      <xdr:rowOff>56650</xdr:rowOff>
    </xdr:from>
    <xdr:to>
      <xdr:col>2</xdr:col>
      <xdr:colOff>1925676</xdr:colOff>
      <xdr:row>3</xdr:row>
      <xdr:rowOff>178993</xdr:rowOff>
    </xdr:to>
    <xdr:sp macro="[0]!shEntry.deleteRow" textlink="">
      <xdr:nvSpPr>
        <xdr:cNvPr id="2" name="Rounded Rectangle 1"/>
        <xdr:cNvSpPr/>
      </xdr:nvSpPr>
      <xdr:spPr>
        <a:xfrm>
          <a:off x="3654993" y="543483"/>
          <a:ext cx="1371600" cy="365760"/>
        </a:xfrm>
        <a:prstGeom prst="roundRect">
          <a:avLst/>
        </a:prstGeom>
        <a:ln w="285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Delete Row</a:t>
          </a:r>
        </a:p>
      </xdr:txBody>
    </xdr:sp>
    <xdr:clientData/>
  </xdr:twoCellAnchor>
  <xdr:twoCellAnchor>
    <xdr:from>
      <xdr:col>2</xdr:col>
      <xdr:colOff>554076</xdr:colOff>
      <xdr:row>0</xdr:row>
      <xdr:rowOff>97739</xdr:rowOff>
    </xdr:from>
    <xdr:to>
      <xdr:col>2</xdr:col>
      <xdr:colOff>1925676</xdr:colOff>
      <xdr:row>1</xdr:row>
      <xdr:rowOff>220082</xdr:rowOff>
    </xdr:to>
    <xdr:sp macro="[0]!shEntry.insertRow" textlink="">
      <xdr:nvSpPr>
        <xdr:cNvPr id="4" name="Rounded Rectangle 3"/>
        <xdr:cNvSpPr/>
      </xdr:nvSpPr>
      <xdr:spPr>
        <a:xfrm>
          <a:off x="3654993" y="97739"/>
          <a:ext cx="1371600" cy="365760"/>
        </a:xfrm>
        <a:prstGeom prst="roundRect">
          <a:avLst/>
        </a:prstGeom>
        <a:ln w="285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Insert Row</a:t>
          </a:r>
        </a:p>
      </xdr:txBody>
    </xdr:sp>
    <xdr:clientData/>
  </xdr:twoCellAnchor>
  <xdr:twoCellAnchor>
    <xdr:from>
      <xdr:col>3</xdr:col>
      <xdr:colOff>223376</xdr:colOff>
      <xdr:row>0</xdr:row>
      <xdr:rowOff>97739</xdr:rowOff>
    </xdr:from>
    <xdr:to>
      <xdr:col>3</xdr:col>
      <xdr:colOff>1594976</xdr:colOff>
      <xdr:row>1</xdr:row>
      <xdr:rowOff>220082</xdr:rowOff>
    </xdr:to>
    <xdr:sp macro="[0]!shEntry.showIR" textlink="">
      <xdr:nvSpPr>
        <xdr:cNvPr id="5" name="Rounded Rectangle 4"/>
        <xdr:cNvSpPr/>
      </xdr:nvSpPr>
      <xdr:spPr>
        <a:xfrm>
          <a:off x="5483293" y="97739"/>
          <a:ext cx="1371600" cy="365760"/>
        </a:xfrm>
        <a:prstGeom prst="roundRect">
          <a:avLst/>
        </a:prstGeom>
        <a:solidFill>
          <a:schemeClr val="accent4">
            <a:lumMod val="75000"/>
          </a:schemeClr>
        </a:solidFill>
        <a:ln w="285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Show Internal</a:t>
          </a:r>
          <a:r>
            <a:rPr lang="en-GB" sz="1100" b="1" baseline="0"/>
            <a:t> </a:t>
          </a:r>
          <a:r>
            <a:rPr lang="en-GB" sz="1100" b="1"/>
            <a:t>Resource Codes</a:t>
          </a:r>
        </a:p>
      </xdr:txBody>
    </xdr:sp>
    <xdr:clientData/>
  </xdr:twoCellAnchor>
  <xdr:twoCellAnchor>
    <xdr:from>
      <xdr:col>3</xdr:col>
      <xdr:colOff>223376</xdr:colOff>
      <xdr:row>2</xdr:row>
      <xdr:rowOff>56650</xdr:rowOff>
    </xdr:from>
    <xdr:to>
      <xdr:col>3</xdr:col>
      <xdr:colOff>1594976</xdr:colOff>
      <xdr:row>3</xdr:row>
      <xdr:rowOff>178993</xdr:rowOff>
    </xdr:to>
    <xdr:sp macro="[0]!shEntry.showER" textlink="">
      <xdr:nvSpPr>
        <xdr:cNvPr id="6" name="Rounded Rectangle 5"/>
        <xdr:cNvSpPr/>
      </xdr:nvSpPr>
      <xdr:spPr>
        <a:xfrm>
          <a:off x="5483293" y="543483"/>
          <a:ext cx="1371600" cy="365760"/>
        </a:xfrm>
        <a:prstGeom prst="roundRect">
          <a:avLst/>
        </a:prstGeom>
        <a:solidFill>
          <a:schemeClr val="accent4">
            <a:lumMod val="75000"/>
          </a:schemeClr>
        </a:solidFill>
        <a:ln w="285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Show External</a:t>
          </a:r>
          <a:r>
            <a:rPr lang="en-GB" sz="1100" b="1" baseline="0"/>
            <a:t> </a:t>
          </a:r>
          <a:r>
            <a:rPr lang="en-GB" sz="1100" b="1"/>
            <a:t>Resource Codes</a:t>
          </a:r>
        </a:p>
      </xdr:txBody>
    </xdr:sp>
    <xdr:clientData/>
  </xdr:twoCellAnchor>
  <xdr:twoCellAnchor editAs="oneCell">
    <xdr:from>
      <xdr:col>4</xdr:col>
      <xdr:colOff>1037167</xdr:colOff>
      <xdr:row>0</xdr:row>
      <xdr:rowOff>42334</xdr:rowOff>
    </xdr:from>
    <xdr:to>
      <xdr:col>4</xdr:col>
      <xdr:colOff>4466167</xdr:colOff>
      <xdr:row>3</xdr:row>
      <xdr:rowOff>201084</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56084" y="42334"/>
          <a:ext cx="3429000" cy="889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109</xdr:col>
      <xdr:colOff>542925</xdr:colOff>
      <xdr:row>0</xdr:row>
      <xdr:rowOff>142875</xdr:rowOff>
    </xdr:from>
    <xdr:to>
      <xdr:col>112</xdr:col>
      <xdr:colOff>542925</xdr:colOff>
      <xdr:row>14</xdr:row>
      <xdr:rowOff>0</xdr:rowOff>
    </xdr:to>
    <mc:AlternateContent xmlns:mc="http://schemas.openxmlformats.org/markup-compatibility/2006" xmlns:a14="http://schemas.microsoft.com/office/drawing/2010/main">
      <mc:Choice Requires="a14">
        <xdr:graphicFrame macro="">
          <xdr:nvGraphicFramePr>
            <xdr:cNvPr id="8" name="Column1"/>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95688150" y="1428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97</xdr:col>
      <xdr:colOff>76200</xdr:colOff>
      <xdr:row>3</xdr:row>
      <xdr:rowOff>57150</xdr:rowOff>
    </xdr:from>
    <xdr:to>
      <xdr:col>99</xdr:col>
      <xdr:colOff>552450</xdr:colOff>
      <xdr:row>16</xdr:row>
      <xdr:rowOff>104775</xdr:rowOff>
    </xdr:to>
    <mc:AlternateContent xmlns:mc="http://schemas.openxmlformats.org/markup-compatibility/2006" xmlns:a14="http://schemas.microsoft.com/office/drawing/2010/main">
      <mc:Choice Requires="a14">
        <xdr:graphicFrame macro="">
          <xdr:nvGraphicFramePr>
            <xdr:cNvPr id="2" name="Column1 1"/>
            <xdr:cNvGraphicFramePr/>
          </xdr:nvGraphicFramePr>
          <xdr:xfrm>
            <a:off x="0" y="0"/>
            <a:ext cx="0" cy="0"/>
          </xdr:xfrm>
          <a:graphic>
            <a:graphicData uri="http://schemas.microsoft.com/office/drawing/2010/slicer">
              <sle:slicer xmlns:sle="http://schemas.microsoft.com/office/drawing/2010/slicer" name="Column1 1"/>
            </a:graphicData>
          </a:graphic>
        </xdr:graphicFrame>
      </mc:Choice>
      <mc:Fallback xmlns="">
        <xdr:sp macro="" textlink="">
          <xdr:nvSpPr>
            <xdr:cNvPr id="0" name=""/>
            <xdr:cNvSpPr>
              <a:spLocks noTextEdit="1"/>
            </xdr:cNvSpPr>
          </xdr:nvSpPr>
          <xdr:spPr>
            <a:xfrm>
              <a:off x="91697175" y="6286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tgold" refreshedDate="42221.022825" createdVersion="4" refreshedVersion="5" minRefreshableVersion="3" recordCount="4">
  <cacheSource type="worksheet">
    <worksheetSource name="tblProfileCal"/>
  </cacheSource>
  <cacheFields count="5">
    <cacheField name="Profile" numFmtId="0">
      <sharedItems count="13">
        <s v="# of Corporate Users"/>
        <s v="# IT Staff"/>
        <s v="# InfoSec Staff"/>
        <s v="# of PCs"/>
        <s v="# Servers" u="1"/>
        <s v="Mobile Devices" u="1"/>
        <s v="PCs" u="1"/>
        <s v="# Users" u="1"/>
        <s v="Users" u="1"/>
        <s v="# PCs" u="1"/>
        <s v="# Mobile Devices" u="1"/>
        <s v="aa" u="1"/>
        <s v="Servers" u="1"/>
      </sharedItems>
    </cacheField>
    <cacheField name="Value" numFmtId="0">
      <sharedItems containsSemiMixedTypes="0" containsString="0" containsNumber="1" containsInteger="1" minValue="75" maxValue="7500"/>
    </cacheField>
    <cacheField name="Budget per Unit" numFmtId="169">
      <sharedItems containsSemiMixedTypes="0" containsString="0" containsNumber="1" minValue="866.66666666666924" maxValue="86666.666666666933"/>
    </cacheField>
    <cacheField name="Projected per Unit" numFmtId="169">
      <sharedItems containsSemiMixedTypes="0" containsString="0" containsNumber="1" minValue="595.19423076923101" maxValue="59519.423076923107"/>
    </cacheField>
    <cacheField name="Utilized per Unit" numFmtId="169">
      <sharedItems containsSemiMixedTypes="0" containsString="0" containsNumber="1" minValue="306.11138461538474" maxValue="30611.138461538474"/>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tgold" refreshedDate="42221.022844328705" createdVersion="4" refreshedVersion="5" minRefreshableVersion="3" recordCount="284">
  <cacheSource type="worksheet">
    <worksheetSource name="DataTable"/>
  </cacheSource>
  <cacheFields count="25">
    <cacheField name="Id" numFmtId="0">
      <sharedItems containsSemiMixedTypes="0" containsString="0" containsNumber="1" containsInteger="1" minValue="1" maxValue="284"/>
    </cacheField>
    <cacheField name="Main Category" numFmtId="0">
      <sharedItems containsBlank="1" count="13">
        <s v="Security Infrastructure "/>
        <s v="Security Operations"/>
        <s v="Detection"/>
        <s v="Investigations"/>
        <s v="Risk Assessment"/>
        <s v="GRC"/>
        <s v="Remediation"/>
        <s v="End User Awareness"/>
        <s v="Personnel Development &amp; Training"/>
        <m u="1"/>
        <s v="Specific system or service" u="1"/>
        <s v="Security Innovation" u="1"/>
        <s v="Administrative overhead" u="1"/>
      </sharedItems>
    </cacheField>
    <cacheField name="Pct Budget" numFmtId="0">
      <sharedItems containsSemiMixedTypes="0" containsString="0" containsNumber="1" minValue="0.01" maxValue="0.47"/>
    </cacheField>
    <cacheField name="Sub" numFmtId="0">
      <sharedItems containsBlank="1" count="19">
        <s v="Identity &amp; Access Management"/>
        <s v="Network security"/>
        <s v="Mobile Security"/>
        <s v="Cloud security"/>
        <s v="Application Security"/>
        <s v="Incident Response"/>
        <s v="Web Application Security"/>
        <s v="Compliance"/>
        <s v="Governance"/>
        <s v="Audit"/>
        <s v="Policy Development"/>
        <s v="Program Management"/>
        <m u="1"/>
        <s v="Legal &amp; Compliance" u="1"/>
        <s v="Organizational change/anchoring " u="1"/>
        <s v="Security Dept. Management" u="1"/>
        <s v="GRC" u="1"/>
        <s v="Security Monitoring / SIEM" u="1"/>
        <s v="Vulnerability Management" u="1"/>
      </sharedItems>
    </cacheField>
    <cacheField name="Tag" numFmtId="0">
      <sharedItems containsBlank="1" count="31">
        <s v="Data Integrity"/>
        <s v="Encryption"/>
        <s v="Remote Access"/>
        <s v="Signing (crypto)"/>
        <s v="Secure Communications"/>
        <s v="Authentication"/>
        <s v="Intrusion Detection"/>
        <s v="Privileged Security"/>
        <s v="Identity Management"/>
        <s v="Onboarding &amp; Termination"/>
        <s v="MDM"/>
        <s v="DLP"/>
        <s v="Trusted Computing"/>
        <s v="SIEM"/>
        <s v="Scanning and Monitoring"/>
        <s v="Anti-Virus &amp; Scanning"/>
        <s v="Process Engineering"/>
        <s v="Legal"/>
        <s v="Certification"/>
        <s v="Privacy"/>
        <s v="SDLC Program"/>
        <s v="Application Development"/>
        <s v="Chance Management"/>
        <s v="Social Engineering Resiliance"/>
        <m/>
        <s v="Applition Development" u="1"/>
        <s v="C" u="1"/>
        <s v="a" u="1"/>
        <s v="abc" u="1"/>
        <s v="B" u="1"/>
        <s v="Disclosure Policy Development" u="1"/>
      </sharedItems>
    </cacheField>
    <cacheField name="Priority" numFmtId="0">
      <sharedItems containsBlank="1" count="5">
        <s v="High"/>
        <s v="Medium"/>
        <s v="Critical"/>
        <s v="Low"/>
        <m u="1"/>
      </sharedItems>
    </cacheField>
    <cacheField name="Department owner " numFmtId="0">
      <sharedItems containsBlank="1" count="9">
        <s v="Information Security"/>
        <s v="IT Operations"/>
        <s v="HR"/>
        <s v="Sales"/>
        <s v="Legal"/>
        <m u="1"/>
        <s v="Marketing" u="1"/>
        <s v="Finance" u="1"/>
        <s v="LOB" u="1"/>
      </sharedItems>
    </cacheField>
    <cacheField name="Direct" numFmtId="164">
      <sharedItems containsSemiMixedTypes="0" containsString="0" containsNumber="1" minValue="0" maxValue="200000"/>
    </cacheField>
    <cacheField name="Indirect" numFmtId="164">
      <sharedItems containsSemiMixedTypes="0" containsString="0" containsNumber="1" minValue="0" maxValue="130000"/>
    </cacheField>
    <cacheField name="Financial Category" numFmtId="0">
      <sharedItems containsBlank="1" count="7">
        <s v="Operations"/>
        <s v="Hardware"/>
        <s v="Software"/>
        <s v="Resources"/>
        <s v="Subscription"/>
        <s v="Training"/>
        <m u="1"/>
      </sharedItems>
    </cacheField>
    <cacheField name="Res Type" numFmtId="0">
      <sharedItems containsBlank="1" count="24">
        <s v="Project Manager"/>
        <s v="Sr Deployment Engineer"/>
        <s v="PKI Architect"/>
        <m/>
        <s v="Project Management"/>
        <s v="Application Security Architect"/>
        <s v="Deployment Engineer"/>
        <s v="Security Architect"/>
        <s v="Sr Director"/>
        <s v="Domain Admin"/>
        <s v="IDM Architect"/>
        <s v="InfoSec Manager"/>
        <s v="IT Operations"/>
        <s v="Network Admin"/>
        <s v="Subject Matter Expert"/>
        <s v="Internal Audit"/>
        <s v="GRC &amp; Policy Developer"/>
        <s v="Internal Pen Test"/>
        <s v="QSA"/>
        <s v="Application Developer"/>
        <s v="DBA" u="1"/>
        <s v="External Aditor" u="1"/>
        <s v="Auditor" u="1"/>
        <s v="Accountant" u="1"/>
      </sharedItems>
    </cacheField>
    <cacheField name="Resource Cost" numFmtId="0">
      <sharedItems containsSemiMixedTypes="0" containsString="0" containsNumber="1" minValue="0" maxValue="200000"/>
    </cacheField>
    <cacheField name="Other Cost" numFmtId="164">
      <sharedItems containsSemiMixedTypes="0" containsString="0" containsNumber="1" minValue="0" maxValue="325000"/>
    </cacheField>
    <cacheField name="Total Cost" numFmtId="164">
      <sharedItems containsSemiMixedTypes="0" containsString="0" containsNumber="1" minValue="136.2179487179487" maxValue="325000"/>
    </cacheField>
    <cacheField name="Utilized" numFmtId="164">
      <sharedItems containsSemiMixedTypes="0" containsString="0" containsNumber="1" minValue="0" maxValue="200000"/>
    </cacheField>
    <cacheField name="Remaining" numFmtId="164">
      <sharedItems containsSemiMixedTypes="0" containsString="0" containsNumber="1" minValue="0" maxValue="292500"/>
    </cacheField>
    <cacheField name="Budget" numFmtId="164">
      <sharedItems containsSemiMixedTypes="0" containsString="0" containsNumber="1" minValue="65000" maxValue="3055000"/>
    </cacheField>
    <cacheField name="CapEx / OpEx" numFmtId="164">
      <sharedItems containsMixedTypes="1" containsNumber="1" minValue="65000" maxValue="3500000" count="13">
        <s v="OpEx"/>
        <s v="CapEx  "/>
        <n v="3500000" u="1"/>
        <n v="500000" u="1"/>
        <n v="260000" u="1"/>
        <n v="3055000" u="1"/>
        <n v="130000" u="1"/>
        <n v="975000" u="1"/>
        <n v="650000" u="1"/>
        <n v="1000000" u="1"/>
        <n v="65000" u="1"/>
        <n v="520000" u="1"/>
        <n v="455000.00000000006" u="1"/>
      </sharedItems>
    </cacheField>
    <cacheField name="Resource Utilized" numFmtId="164">
      <sharedItems containsSemiMixedTypes="0" containsString="0" containsNumber="1" minValue="0" maxValue="200000"/>
    </cacheField>
    <cacheField name="Other Cost Utilized" numFmtId="164">
      <sharedItems containsSemiMixedTypes="0" containsString="0" containsNumber="1" minValue="0" maxValue="83333.333333333343"/>
    </cacheField>
    <cacheField name="Month" numFmtId="17">
      <sharedItems containsSemiMixedTypes="0" containsNonDate="0" containsDate="1" containsString="0" minDate="1899-12-31T00:00:00" maxDate="2016-03-02T00:00:00" count="15">
        <d v="2015-10-01T00:00:00"/>
        <d v="2015-02-01T00:00:00"/>
        <d v="2015-03-01T00:00:00"/>
        <d v="2015-04-01T00:00:00"/>
        <d v="2015-05-01T00:00:00"/>
        <d v="2015-11-01T00:00:00"/>
        <d v="2016-01-01T00:00:00"/>
        <d v="2015-06-01T00:00:00"/>
        <d v="2015-07-01T00:00:00"/>
        <d v="2016-02-01T00:00:00"/>
        <d v="2016-03-01T00:00:00"/>
        <d v="2015-12-01T00:00:00"/>
        <d v="2015-08-01T00:00:00"/>
        <d v="2015-09-01T00:00:00"/>
        <d v="1899-12-31T00:00:00"/>
      </sharedItems>
      <fieldGroup par="23" base="20">
        <rangePr groupBy="months" startDate="1899-12-31T00:00:00" endDate="2016-03-02T00:00:00"/>
        <groupItems count="14">
          <s v="&lt;1/1/1900"/>
          <s v="Jan"/>
          <s v="Feb"/>
          <s v="Mar"/>
          <s v="Apr"/>
          <s v="May"/>
          <s v="Jun"/>
          <s v="Jul"/>
          <s v="Aug"/>
          <s v="Sep"/>
          <s v="Oct"/>
          <s v="Nov"/>
          <s v="Dec"/>
          <s v="&gt;3/2/2016"/>
        </groupItems>
      </fieldGroup>
    </cacheField>
    <cacheField name="Column1" numFmtId="164">
      <sharedItems containsBlank="1" count="28">
        <s v="Oct-15"/>
        <s v="Feb-15"/>
        <s v="Mar-15"/>
        <s v="Apr-15"/>
        <s v="May-15"/>
        <s v="Nov-15"/>
        <s v="Jan-16"/>
        <s v="Jun-15"/>
        <s v="Jul-15"/>
        <s v="Feb-16"/>
        <s v="Mar-16"/>
        <s v="Dec-15"/>
        <s v="Aug-15"/>
        <s v="Sep-15"/>
        <s v="Jan-00"/>
        <m u="1"/>
        <s v="1-2016-February" u="1"/>
        <s v="Jul-16" u="1"/>
        <s v="Jun-16" u="1"/>
        <s v="Jul-05" u="1"/>
        <s v="May-16" u="1"/>
        <s v="1-2016-January" u="1"/>
        <s v="1-2015-November" u="1"/>
        <s v="Unspecified" u="1"/>
        <s v="1-2015-September" u="1"/>
        <s v="1-2015-December" u="1"/>
        <s v="Apr-16" u="1"/>
        <s v="1-2016-March" u="1"/>
      </sharedItems>
    </cacheField>
    <cacheField name="Budget Percentage " numFmtId="0" formula="'Pct Budget'/COUNT('Main Category')" databaseField="0"/>
    <cacheField name="Years" numFmtId="0" databaseField="0">
      <fieldGroup base="20">
        <rangePr groupBy="years" startDate="1899-12-31T00:00:00" endDate="2016-03-02T00:00:00"/>
        <groupItems count="119">
          <s v="&lt;1/1/19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gt;3/2/2016"/>
        </groupItems>
      </fieldGroup>
    </cacheField>
    <cacheField name="Budget 2" numFmtId="0" formula="Budget/'Pct Budget'"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
  <r>
    <x v="0"/>
    <n v="6000"/>
    <n v="1083.3333333333367"/>
    <n v="743.99278846153879"/>
    <n v="382.63923076923089"/>
  </r>
  <r>
    <x v="1"/>
    <n v="275"/>
    <n v="23636.363636363709"/>
    <n v="16232.569930069938"/>
    <n v="8348.4923076923114"/>
  </r>
  <r>
    <x v="2"/>
    <n v="75"/>
    <n v="86666.666666666933"/>
    <n v="59519.423076923107"/>
    <n v="30611.138461538474"/>
  </r>
  <r>
    <x v="3"/>
    <n v="7500"/>
    <n v="866.66666666666924"/>
    <n v="595.19423076923101"/>
    <n v="306.11138461538474"/>
  </r>
</pivotCacheRecords>
</file>

<file path=xl/pivotCache/pivotCacheRecords2.xml><?xml version="1.0" encoding="utf-8"?>
<pivotCacheRecords xmlns="http://schemas.openxmlformats.org/spreadsheetml/2006/main" xmlns:r="http://schemas.openxmlformats.org/officeDocument/2006/relationships" count="284">
  <r>
    <n v="1"/>
    <x v="0"/>
    <n v="0.47"/>
    <x v="0"/>
    <x v="0"/>
    <x v="0"/>
    <x v="0"/>
    <n v="544.8717948717948"/>
    <n v="0"/>
    <x v="0"/>
    <x v="0"/>
    <n v="544.8717948717948"/>
    <n v="0"/>
    <n v="544.8717948717948"/>
    <n v="544.8717948717948"/>
    <n v="0"/>
    <n v="3055000"/>
    <x v="0"/>
    <n v="544.8717948717948"/>
    <n v="0"/>
    <x v="0"/>
    <x v="0"/>
  </r>
  <r>
    <n v="2"/>
    <x v="0"/>
    <n v="0.47"/>
    <x v="0"/>
    <x v="1"/>
    <x v="0"/>
    <x v="0"/>
    <n v="544.8717948717948"/>
    <n v="0"/>
    <x v="0"/>
    <x v="0"/>
    <n v="544.8717948717948"/>
    <n v="0"/>
    <n v="544.8717948717948"/>
    <n v="544.8717948717948"/>
    <n v="0"/>
    <n v="3055000"/>
    <x v="0"/>
    <n v="544.8717948717948"/>
    <n v="0"/>
    <x v="0"/>
    <x v="0"/>
  </r>
  <r>
    <n v="3"/>
    <x v="0"/>
    <n v="0.47"/>
    <x v="0"/>
    <x v="2"/>
    <x v="0"/>
    <x v="0"/>
    <n v="544.8717948717948"/>
    <n v="0"/>
    <x v="0"/>
    <x v="0"/>
    <n v="544.8717948717948"/>
    <n v="0"/>
    <n v="544.8717948717948"/>
    <n v="544.8717948717948"/>
    <n v="0"/>
    <n v="3055000"/>
    <x v="0"/>
    <n v="544.8717948717948"/>
    <n v="0"/>
    <x v="0"/>
    <x v="0"/>
  </r>
  <r>
    <n v="4"/>
    <x v="0"/>
    <n v="0.47"/>
    <x v="0"/>
    <x v="3"/>
    <x v="0"/>
    <x v="0"/>
    <n v="544.8717948717948"/>
    <n v="0"/>
    <x v="0"/>
    <x v="0"/>
    <n v="544.8717948717948"/>
    <n v="0"/>
    <n v="544.8717948717948"/>
    <n v="544.8717948717948"/>
    <n v="0"/>
    <n v="3055000"/>
    <x v="0"/>
    <n v="544.8717948717948"/>
    <n v="0"/>
    <x v="0"/>
    <x v="0"/>
  </r>
  <r>
    <n v="5"/>
    <x v="0"/>
    <n v="0.47"/>
    <x v="0"/>
    <x v="4"/>
    <x v="0"/>
    <x v="0"/>
    <n v="544.8717948717948"/>
    <n v="0"/>
    <x v="0"/>
    <x v="0"/>
    <n v="544.8717948717948"/>
    <n v="0"/>
    <n v="544.8717948717948"/>
    <n v="544.8717948717948"/>
    <n v="0"/>
    <n v="3055000"/>
    <x v="0"/>
    <n v="544.8717948717948"/>
    <n v="0"/>
    <x v="0"/>
    <x v="0"/>
  </r>
  <r>
    <n v="6"/>
    <x v="0"/>
    <n v="0.47"/>
    <x v="0"/>
    <x v="5"/>
    <x v="0"/>
    <x v="0"/>
    <n v="544.8717948717948"/>
    <n v="0"/>
    <x v="0"/>
    <x v="0"/>
    <n v="544.8717948717948"/>
    <n v="0"/>
    <n v="544.8717948717948"/>
    <n v="544.8717948717948"/>
    <n v="0"/>
    <n v="3055000"/>
    <x v="0"/>
    <n v="544.8717948717948"/>
    <n v="0"/>
    <x v="0"/>
    <x v="0"/>
  </r>
  <r>
    <n v="7"/>
    <x v="0"/>
    <n v="0.47"/>
    <x v="0"/>
    <x v="0"/>
    <x v="0"/>
    <x v="0"/>
    <n v="4316.666666666667"/>
    <n v="0"/>
    <x v="0"/>
    <x v="1"/>
    <n v="4316.666666666667"/>
    <n v="0"/>
    <n v="4316.666666666667"/>
    <n v="4316.666666666667"/>
    <n v="0"/>
    <n v="3055000"/>
    <x v="0"/>
    <n v="4316.666666666667"/>
    <n v="0"/>
    <x v="0"/>
    <x v="0"/>
  </r>
  <r>
    <n v="8"/>
    <x v="0"/>
    <n v="0.47"/>
    <x v="0"/>
    <x v="1"/>
    <x v="0"/>
    <x v="0"/>
    <n v="4316.666666666667"/>
    <n v="0"/>
    <x v="0"/>
    <x v="1"/>
    <n v="4316.666666666667"/>
    <n v="0"/>
    <n v="4316.666666666667"/>
    <n v="4316.666666666667"/>
    <n v="0"/>
    <n v="3055000"/>
    <x v="0"/>
    <n v="4316.666666666667"/>
    <n v="0"/>
    <x v="0"/>
    <x v="0"/>
  </r>
  <r>
    <n v="9"/>
    <x v="0"/>
    <n v="0.47"/>
    <x v="0"/>
    <x v="2"/>
    <x v="0"/>
    <x v="0"/>
    <n v="4316.666666666667"/>
    <n v="0"/>
    <x v="0"/>
    <x v="1"/>
    <n v="4316.666666666667"/>
    <n v="0"/>
    <n v="4316.666666666667"/>
    <n v="4316.666666666667"/>
    <n v="0"/>
    <n v="3055000"/>
    <x v="0"/>
    <n v="4316.666666666667"/>
    <n v="0"/>
    <x v="0"/>
    <x v="0"/>
  </r>
  <r>
    <n v="10"/>
    <x v="0"/>
    <n v="0.47"/>
    <x v="0"/>
    <x v="3"/>
    <x v="0"/>
    <x v="0"/>
    <n v="4316.666666666667"/>
    <n v="0"/>
    <x v="0"/>
    <x v="1"/>
    <n v="4316.666666666667"/>
    <n v="0"/>
    <n v="4316.666666666667"/>
    <n v="4316.666666666667"/>
    <n v="0"/>
    <n v="3055000"/>
    <x v="0"/>
    <n v="4316.666666666667"/>
    <n v="0"/>
    <x v="0"/>
    <x v="0"/>
  </r>
  <r>
    <n v="11"/>
    <x v="0"/>
    <n v="0.47"/>
    <x v="0"/>
    <x v="4"/>
    <x v="0"/>
    <x v="0"/>
    <n v="4316.666666666667"/>
    <n v="0"/>
    <x v="0"/>
    <x v="1"/>
    <n v="4316.666666666667"/>
    <n v="0"/>
    <n v="4316.666666666667"/>
    <n v="4316.666666666667"/>
    <n v="0"/>
    <n v="3055000"/>
    <x v="0"/>
    <n v="4316.666666666667"/>
    <n v="0"/>
    <x v="0"/>
    <x v="0"/>
  </r>
  <r>
    <n v="12"/>
    <x v="0"/>
    <n v="0.47"/>
    <x v="0"/>
    <x v="5"/>
    <x v="0"/>
    <x v="0"/>
    <n v="4316.666666666667"/>
    <n v="0"/>
    <x v="0"/>
    <x v="1"/>
    <n v="4316.666666666667"/>
    <n v="0"/>
    <n v="4316.666666666667"/>
    <n v="4316.666666666667"/>
    <n v="0"/>
    <n v="3055000"/>
    <x v="0"/>
    <n v="4316.666666666667"/>
    <n v="0"/>
    <x v="0"/>
    <x v="0"/>
  </r>
  <r>
    <n v="13"/>
    <x v="0"/>
    <n v="0.47"/>
    <x v="0"/>
    <x v="0"/>
    <x v="0"/>
    <x v="0"/>
    <n v="3004.8076923076919"/>
    <n v="0"/>
    <x v="0"/>
    <x v="2"/>
    <n v="3004.8076923076919"/>
    <n v="0"/>
    <n v="3004.8076923076919"/>
    <n v="3004.8076923076919"/>
    <n v="0"/>
    <n v="3055000"/>
    <x v="0"/>
    <n v="3004.8076923076919"/>
    <n v="0"/>
    <x v="0"/>
    <x v="0"/>
  </r>
  <r>
    <n v="14"/>
    <x v="0"/>
    <n v="0.47"/>
    <x v="0"/>
    <x v="1"/>
    <x v="0"/>
    <x v="0"/>
    <n v="3004.8076923076919"/>
    <n v="0"/>
    <x v="0"/>
    <x v="2"/>
    <n v="3004.8076923076919"/>
    <n v="0"/>
    <n v="3004.8076923076919"/>
    <n v="3004.8076923076919"/>
    <n v="0"/>
    <n v="3055000"/>
    <x v="0"/>
    <n v="3004.8076923076919"/>
    <n v="0"/>
    <x v="0"/>
    <x v="0"/>
  </r>
  <r>
    <n v="15"/>
    <x v="0"/>
    <n v="0.47"/>
    <x v="0"/>
    <x v="2"/>
    <x v="0"/>
    <x v="0"/>
    <n v="3004.8076923076919"/>
    <n v="0"/>
    <x v="0"/>
    <x v="2"/>
    <n v="3004.8076923076919"/>
    <n v="0"/>
    <n v="3004.8076923076919"/>
    <n v="3004.8076923076919"/>
    <n v="0"/>
    <n v="3055000"/>
    <x v="0"/>
    <n v="3004.8076923076919"/>
    <n v="0"/>
    <x v="0"/>
    <x v="0"/>
  </r>
  <r>
    <n v="16"/>
    <x v="0"/>
    <n v="0.47"/>
    <x v="0"/>
    <x v="3"/>
    <x v="0"/>
    <x v="0"/>
    <n v="3004.8076923076919"/>
    <n v="0"/>
    <x v="0"/>
    <x v="2"/>
    <n v="3004.8076923076919"/>
    <n v="0"/>
    <n v="3004.8076923076919"/>
    <n v="3004.8076923076919"/>
    <n v="0"/>
    <n v="3055000"/>
    <x v="0"/>
    <n v="3004.8076923076919"/>
    <n v="0"/>
    <x v="0"/>
    <x v="0"/>
  </r>
  <r>
    <n v="17"/>
    <x v="0"/>
    <n v="0.47"/>
    <x v="0"/>
    <x v="4"/>
    <x v="0"/>
    <x v="0"/>
    <n v="3004.8076923076919"/>
    <n v="0"/>
    <x v="0"/>
    <x v="2"/>
    <n v="3004.8076923076919"/>
    <n v="0"/>
    <n v="3004.8076923076919"/>
    <n v="3004.8076923076919"/>
    <n v="0"/>
    <n v="3055000"/>
    <x v="0"/>
    <n v="3004.8076923076919"/>
    <n v="0"/>
    <x v="0"/>
    <x v="0"/>
  </r>
  <r>
    <n v="18"/>
    <x v="0"/>
    <n v="0.47"/>
    <x v="0"/>
    <x v="5"/>
    <x v="0"/>
    <x v="0"/>
    <n v="3004.8076923076919"/>
    <n v="0"/>
    <x v="0"/>
    <x v="2"/>
    <n v="3004.8076923076919"/>
    <n v="0"/>
    <n v="3004.8076923076919"/>
    <n v="3004.8076923076919"/>
    <n v="0"/>
    <n v="3055000"/>
    <x v="0"/>
    <n v="3004.8076923076919"/>
    <n v="0"/>
    <x v="0"/>
    <x v="0"/>
  </r>
  <r>
    <n v="19"/>
    <x v="0"/>
    <n v="0.47"/>
    <x v="0"/>
    <x v="0"/>
    <x v="0"/>
    <x v="0"/>
    <n v="41666.666666666664"/>
    <n v="0"/>
    <x v="1"/>
    <x v="3"/>
    <n v="0"/>
    <n v="41666.666666666664"/>
    <n v="41666.666666666664"/>
    <n v="4166.666666666667"/>
    <n v="37500"/>
    <n v="3055000"/>
    <x v="1"/>
    <n v="0"/>
    <n v="4166.666666666667"/>
    <x v="1"/>
    <x v="1"/>
  </r>
  <r>
    <n v="20"/>
    <x v="0"/>
    <n v="0.47"/>
    <x v="0"/>
    <x v="1"/>
    <x v="0"/>
    <x v="0"/>
    <n v="41666.666666666664"/>
    <n v="0"/>
    <x v="1"/>
    <x v="3"/>
    <n v="0"/>
    <n v="41666.666666666664"/>
    <n v="41666.666666666664"/>
    <n v="4166.666666666667"/>
    <n v="37500"/>
    <n v="3055000"/>
    <x v="1"/>
    <n v="0"/>
    <n v="4166.666666666667"/>
    <x v="1"/>
    <x v="1"/>
  </r>
  <r>
    <n v="21"/>
    <x v="0"/>
    <n v="0.47"/>
    <x v="0"/>
    <x v="2"/>
    <x v="0"/>
    <x v="0"/>
    <n v="41666.666666666664"/>
    <n v="0"/>
    <x v="1"/>
    <x v="3"/>
    <n v="0"/>
    <n v="41666.666666666664"/>
    <n v="41666.666666666664"/>
    <n v="4166.666666666667"/>
    <n v="37500"/>
    <n v="3055000"/>
    <x v="1"/>
    <n v="0"/>
    <n v="4166.666666666667"/>
    <x v="1"/>
    <x v="1"/>
  </r>
  <r>
    <n v="22"/>
    <x v="0"/>
    <n v="0.47"/>
    <x v="0"/>
    <x v="3"/>
    <x v="0"/>
    <x v="0"/>
    <n v="41666.666666666664"/>
    <n v="0"/>
    <x v="1"/>
    <x v="3"/>
    <n v="0"/>
    <n v="41666.666666666664"/>
    <n v="41666.666666666664"/>
    <n v="4166.666666666667"/>
    <n v="37500"/>
    <n v="3055000"/>
    <x v="1"/>
    <n v="0"/>
    <n v="4166.666666666667"/>
    <x v="1"/>
    <x v="1"/>
  </r>
  <r>
    <n v="23"/>
    <x v="0"/>
    <n v="0.47"/>
    <x v="0"/>
    <x v="4"/>
    <x v="0"/>
    <x v="0"/>
    <n v="41666.666666666664"/>
    <n v="0"/>
    <x v="1"/>
    <x v="3"/>
    <n v="0"/>
    <n v="41666.666666666664"/>
    <n v="41666.666666666664"/>
    <n v="4166.666666666667"/>
    <n v="37500"/>
    <n v="3055000"/>
    <x v="1"/>
    <n v="0"/>
    <n v="4166.666666666667"/>
    <x v="1"/>
    <x v="1"/>
  </r>
  <r>
    <n v="24"/>
    <x v="0"/>
    <n v="0.47"/>
    <x v="0"/>
    <x v="5"/>
    <x v="0"/>
    <x v="0"/>
    <n v="41666.666666666664"/>
    <n v="0"/>
    <x v="1"/>
    <x v="3"/>
    <n v="0"/>
    <n v="41666.666666666664"/>
    <n v="41666.666666666664"/>
    <n v="4166.666666666667"/>
    <n v="37500"/>
    <n v="3055000"/>
    <x v="1"/>
    <n v="0"/>
    <n v="4166.666666666667"/>
    <x v="1"/>
    <x v="1"/>
  </r>
  <r>
    <n v="25"/>
    <x v="0"/>
    <n v="0.47"/>
    <x v="0"/>
    <x v="0"/>
    <x v="0"/>
    <x v="0"/>
    <n v="25000"/>
    <n v="0"/>
    <x v="1"/>
    <x v="3"/>
    <n v="0"/>
    <n v="25000"/>
    <n v="25000"/>
    <n v="18750"/>
    <n v="6250"/>
    <n v="3055000"/>
    <x v="1"/>
    <n v="0"/>
    <n v="18750"/>
    <x v="2"/>
    <x v="2"/>
  </r>
  <r>
    <n v="26"/>
    <x v="0"/>
    <n v="0.47"/>
    <x v="0"/>
    <x v="1"/>
    <x v="0"/>
    <x v="0"/>
    <n v="25000"/>
    <n v="0"/>
    <x v="1"/>
    <x v="3"/>
    <n v="0"/>
    <n v="25000"/>
    <n v="25000"/>
    <n v="18750"/>
    <n v="6250"/>
    <n v="3055000"/>
    <x v="1"/>
    <n v="0"/>
    <n v="18750"/>
    <x v="2"/>
    <x v="2"/>
  </r>
  <r>
    <n v="27"/>
    <x v="0"/>
    <n v="0.47"/>
    <x v="0"/>
    <x v="2"/>
    <x v="0"/>
    <x v="0"/>
    <n v="25000"/>
    <n v="0"/>
    <x v="1"/>
    <x v="3"/>
    <n v="0"/>
    <n v="25000"/>
    <n v="25000"/>
    <n v="18750"/>
    <n v="6250"/>
    <n v="3055000"/>
    <x v="1"/>
    <n v="0"/>
    <n v="18750"/>
    <x v="2"/>
    <x v="2"/>
  </r>
  <r>
    <n v="28"/>
    <x v="0"/>
    <n v="0.47"/>
    <x v="0"/>
    <x v="3"/>
    <x v="0"/>
    <x v="0"/>
    <n v="25000"/>
    <n v="0"/>
    <x v="1"/>
    <x v="3"/>
    <n v="0"/>
    <n v="25000"/>
    <n v="25000"/>
    <n v="18750"/>
    <n v="6250"/>
    <n v="3055000"/>
    <x v="1"/>
    <n v="0"/>
    <n v="18750"/>
    <x v="2"/>
    <x v="2"/>
  </r>
  <r>
    <n v="29"/>
    <x v="0"/>
    <n v="0.47"/>
    <x v="0"/>
    <x v="4"/>
    <x v="0"/>
    <x v="0"/>
    <n v="25000"/>
    <n v="0"/>
    <x v="1"/>
    <x v="3"/>
    <n v="0"/>
    <n v="25000"/>
    <n v="25000"/>
    <n v="18750"/>
    <n v="6250"/>
    <n v="3055000"/>
    <x v="1"/>
    <n v="0"/>
    <n v="18750"/>
    <x v="2"/>
    <x v="2"/>
  </r>
  <r>
    <n v="30"/>
    <x v="0"/>
    <n v="0.47"/>
    <x v="0"/>
    <x v="5"/>
    <x v="0"/>
    <x v="0"/>
    <n v="25000"/>
    <n v="0"/>
    <x v="1"/>
    <x v="3"/>
    <n v="0"/>
    <n v="25000"/>
    <n v="25000"/>
    <n v="18750"/>
    <n v="6250"/>
    <n v="3055000"/>
    <x v="1"/>
    <n v="0"/>
    <n v="18750"/>
    <x v="2"/>
    <x v="2"/>
  </r>
  <r>
    <n v="31"/>
    <x v="0"/>
    <n v="0.47"/>
    <x v="0"/>
    <x v="0"/>
    <x v="0"/>
    <x v="0"/>
    <n v="66666.666666666672"/>
    <n v="0"/>
    <x v="2"/>
    <x v="3"/>
    <n v="0"/>
    <n v="66666.666666666672"/>
    <n v="66666.666666666672"/>
    <n v="66666.666666666672"/>
    <n v="0"/>
    <n v="3055000"/>
    <x v="1"/>
    <n v="0"/>
    <n v="66666.666666666672"/>
    <x v="2"/>
    <x v="2"/>
  </r>
  <r>
    <n v="32"/>
    <x v="0"/>
    <n v="0.47"/>
    <x v="0"/>
    <x v="1"/>
    <x v="0"/>
    <x v="0"/>
    <n v="66666.666666666672"/>
    <n v="0"/>
    <x v="2"/>
    <x v="3"/>
    <n v="0"/>
    <n v="66666.666666666672"/>
    <n v="66666.666666666672"/>
    <n v="66666.666666666672"/>
    <n v="0"/>
    <n v="3055000"/>
    <x v="1"/>
    <n v="0"/>
    <n v="66666.666666666672"/>
    <x v="2"/>
    <x v="2"/>
  </r>
  <r>
    <n v="33"/>
    <x v="0"/>
    <n v="0.47"/>
    <x v="0"/>
    <x v="2"/>
    <x v="0"/>
    <x v="0"/>
    <n v="66666.666666666672"/>
    <n v="0"/>
    <x v="2"/>
    <x v="3"/>
    <n v="0"/>
    <n v="66666.666666666672"/>
    <n v="66666.666666666672"/>
    <n v="66666.666666666672"/>
    <n v="0"/>
    <n v="3055000"/>
    <x v="1"/>
    <n v="0"/>
    <n v="66666.666666666672"/>
    <x v="2"/>
    <x v="2"/>
  </r>
  <r>
    <n v="34"/>
    <x v="0"/>
    <n v="0.47"/>
    <x v="0"/>
    <x v="3"/>
    <x v="0"/>
    <x v="0"/>
    <n v="66666.666666666672"/>
    <n v="0"/>
    <x v="2"/>
    <x v="3"/>
    <n v="0"/>
    <n v="66666.666666666672"/>
    <n v="66666.666666666672"/>
    <n v="66666.666666666672"/>
    <n v="0"/>
    <n v="3055000"/>
    <x v="1"/>
    <n v="0"/>
    <n v="66666.666666666672"/>
    <x v="2"/>
    <x v="2"/>
  </r>
  <r>
    <n v="35"/>
    <x v="0"/>
    <n v="0.47"/>
    <x v="0"/>
    <x v="4"/>
    <x v="0"/>
    <x v="0"/>
    <n v="66666.666666666672"/>
    <n v="0"/>
    <x v="2"/>
    <x v="3"/>
    <n v="0"/>
    <n v="66666.666666666672"/>
    <n v="66666.666666666672"/>
    <n v="66666.666666666672"/>
    <n v="0"/>
    <n v="3055000"/>
    <x v="1"/>
    <n v="0"/>
    <n v="66666.666666666672"/>
    <x v="2"/>
    <x v="2"/>
  </r>
  <r>
    <n v="36"/>
    <x v="0"/>
    <n v="0.47"/>
    <x v="0"/>
    <x v="5"/>
    <x v="0"/>
    <x v="0"/>
    <n v="66666.666666666672"/>
    <n v="0"/>
    <x v="2"/>
    <x v="3"/>
    <n v="0"/>
    <n v="66666.666666666672"/>
    <n v="66666.666666666672"/>
    <n v="66666.666666666672"/>
    <n v="0"/>
    <n v="3055000"/>
    <x v="1"/>
    <n v="0"/>
    <n v="66666.666666666672"/>
    <x v="2"/>
    <x v="2"/>
  </r>
  <r>
    <n v="37"/>
    <x v="0"/>
    <n v="0.47"/>
    <x v="0"/>
    <x v="0"/>
    <x v="0"/>
    <x v="0"/>
    <n v="272.4358974358974"/>
    <n v="0"/>
    <x v="0"/>
    <x v="0"/>
    <n v="272.4358974358974"/>
    <n v="0"/>
    <n v="272.4358974358974"/>
    <n v="68.108974358974351"/>
    <n v="204.32692307692304"/>
    <n v="3055000"/>
    <x v="0"/>
    <n v="68.108974358974351"/>
    <n v="0"/>
    <x v="3"/>
    <x v="3"/>
  </r>
  <r>
    <n v="38"/>
    <x v="0"/>
    <n v="0.47"/>
    <x v="0"/>
    <x v="1"/>
    <x v="0"/>
    <x v="0"/>
    <n v="272.4358974358974"/>
    <n v="0"/>
    <x v="0"/>
    <x v="0"/>
    <n v="272.4358974358974"/>
    <n v="0"/>
    <n v="272.4358974358974"/>
    <n v="68.108974358974351"/>
    <n v="204.32692307692304"/>
    <n v="3055000"/>
    <x v="0"/>
    <n v="68.108974358974351"/>
    <n v="0"/>
    <x v="3"/>
    <x v="3"/>
  </r>
  <r>
    <n v="39"/>
    <x v="0"/>
    <n v="0.47"/>
    <x v="0"/>
    <x v="2"/>
    <x v="0"/>
    <x v="0"/>
    <n v="272.4358974358974"/>
    <n v="0"/>
    <x v="0"/>
    <x v="0"/>
    <n v="272.4358974358974"/>
    <n v="0"/>
    <n v="272.4358974358974"/>
    <n v="68.108974358974351"/>
    <n v="204.32692307692304"/>
    <n v="3055000"/>
    <x v="0"/>
    <n v="68.108974358974351"/>
    <n v="0"/>
    <x v="3"/>
    <x v="3"/>
  </r>
  <r>
    <n v="40"/>
    <x v="0"/>
    <n v="0.47"/>
    <x v="0"/>
    <x v="3"/>
    <x v="0"/>
    <x v="0"/>
    <n v="272.4358974358974"/>
    <n v="0"/>
    <x v="0"/>
    <x v="0"/>
    <n v="272.4358974358974"/>
    <n v="0"/>
    <n v="272.4358974358974"/>
    <n v="68.108974358974351"/>
    <n v="204.32692307692304"/>
    <n v="3055000"/>
    <x v="0"/>
    <n v="68.108974358974351"/>
    <n v="0"/>
    <x v="3"/>
    <x v="3"/>
  </r>
  <r>
    <n v="41"/>
    <x v="0"/>
    <n v="0.47"/>
    <x v="0"/>
    <x v="4"/>
    <x v="0"/>
    <x v="0"/>
    <n v="272.4358974358974"/>
    <n v="0"/>
    <x v="0"/>
    <x v="0"/>
    <n v="272.4358974358974"/>
    <n v="0"/>
    <n v="272.4358974358974"/>
    <n v="68.108974358974351"/>
    <n v="204.32692307692304"/>
    <n v="3055000"/>
    <x v="0"/>
    <n v="68.108974358974351"/>
    <n v="0"/>
    <x v="3"/>
    <x v="3"/>
  </r>
  <r>
    <n v="42"/>
    <x v="0"/>
    <n v="0.47"/>
    <x v="0"/>
    <x v="5"/>
    <x v="0"/>
    <x v="0"/>
    <n v="272.4358974358974"/>
    <n v="0"/>
    <x v="0"/>
    <x v="0"/>
    <n v="272.4358974358974"/>
    <n v="0"/>
    <n v="272.4358974358974"/>
    <n v="68.108974358974351"/>
    <n v="204.32692307692304"/>
    <n v="3055000"/>
    <x v="0"/>
    <n v="68.108974358974351"/>
    <n v="0"/>
    <x v="3"/>
    <x v="3"/>
  </r>
  <r>
    <n v="43"/>
    <x v="0"/>
    <n v="0.47"/>
    <x v="0"/>
    <x v="0"/>
    <x v="0"/>
    <x v="0"/>
    <n v="1000"/>
    <n v="0"/>
    <x v="0"/>
    <x v="4"/>
    <n v="1000"/>
    <n v="0"/>
    <n v="1000"/>
    <n v="250"/>
    <n v="750"/>
    <n v="3055000"/>
    <x v="0"/>
    <n v="250"/>
    <n v="0"/>
    <x v="3"/>
    <x v="3"/>
  </r>
  <r>
    <n v="44"/>
    <x v="0"/>
    <n v="0.47"/>
    <x v="0"/>
    <x v="1"/>
    <x v="0"/>
    <x v="0"/>
    <n v="1000"/>
    <n v="0"/>
    <x v="0"/>
    <x v="4"/>
    <n v="1000"/>
    <n v="0"/>
    <n v="1000"/>
    <n v="250"/>
    <n v="750"/>
    <n v="3055000"/>
    <x v="0"/>
    <n v="250"/>
    <n v="0"/>
    <x v="3"/>
    <x v="3"/>
  </r>
  <r>
    <n v="45"/>
    <x v="0"/>
    <n v="0.47"/>
    <x v="0"/>
    <x v="2"/>
    <x v="0"/>
    <x v="0"/>
    <n v="1000"/>
    <n v="0"/>
    <x v="0"/>
    <x v="4"/>
    <n v="1000"/>
    <n v="0"/>
    <n v="1000"/>
    <n v="250"/>
    <n v="750"/>
    <n v="3055000"/>
    <x v="0"/>
    <n v="250"/>
    <n v="0"/>
    <x v="3"/>
    <x v="3"/>
  </r>
  <r>
    <n v="46"/>
    <x v="0"/>
    <n v="0.47"/>
    <x v="0"/>
    <x v="3"/>
    <x v="0"/>
    <x v="0"/>
    <n v="1000"/>
    <n v="0"/>
    <x v="0"/>
    <x v="4"/>
    <n v="1000"/>
    <n v="0"/>
    <n v="1000"/>
    <n v="250"/>
    <n v="750"/>
    <n v="3055000"/>
    <x v="0"/>
    <n v="250"/>
    <n v="0"/>
    <x v="3"/>
    <x v="3"/>
  </r>
  <r>
    <n v="47"/>
    <x v="0"/>
    <n v="0.47"/>
    <x v="0"/>
    <x v="4"/>
    <x v="0"/>
    <x v="0"/>
    <n v="1000"/>
    <n v="0"/>
    <x v="0"/>
    <x v="4"/>
    <n v="1000"/>
    <n v="0"/>
    <n v="1000"/>
    <n v="250"/>
    <n v="750"/>
    <n v="3055000"/>
    <x v="0"/>
    <n v="250"/>
    <n v="0"/>
    <x v="3"/>
    <x v="3"/>
  </r>
  <r>
    <n v="48"/>
    <x v="0"/>
    <n v="0.47"/>
    <x v="0"/>
    <x v="5"/>
    <x v="0"/>
    <x v="0"/>
    <n v="1000"/>
    <n v="0"/>
    <x v="0"/>
    <x v="4"/>
    <n v="1000"/>
    <n v="0"/>
    <n v="1000"/>
    <n v="250"/>
    <n v="750"/>
    <n v="3055000"/>
    <x v="0"/>
    <n v="250"/>
    <n v="0"/>
    <x v="3"/>
    <x v="3"/>
  </r>
  <r>
    <n v="49"/>
    <x v="0"/>
    <n v="0.47"/>
    <x v="0"/>
    <x v="0"/>
    <x v="0"/>
    <x v="0"/>
    <n v="2403.8461538461538"/>
    <n v="0"/>
    <x v="0"/>
    <x v="2"/>
    <n v="2403.8461538461538"/>
    <n v="0"/>
    <n v="2403.8461538461538"/>
    <n v="600.96153846153845"/>
    <n v="1802.8846153846152"/>
    <n v="3055000"/>
    <x v="0"/>
    <n v="600.96153846153845"/>
    <n v="0"/>
    <x v="3"/>
    <x v="3"/>
  </r>
  <r>
    <n v="50"/>
    <x v="0"/>
    <n v="0.47"/>
    <x v="0"/>
    <x v="1"/>
    <x v="0"/>
    <x v="0"/>
    <n v="2403.8461538461538"/>
    <n v="0"/>
    <x v="0"/>
    <x v="2"/>
    <n v="2403.8461538461538"/>
    <n v="0"/>
    <n v="2403.8461538461538"/>
    <n v="600.96153846153845"/>
    <n v="1802.8846153846152"/>
    <n v="3055000"/>
    <x v="0"/>
    <n v="600.96153846153845"/>
    <n v="0"/>
    <x v="3"/>
    <x v="3"/>
  </r>
  <r>
    <n v="51"/>
    <x v="0"/>
    <n v="0.47"/>
    <x v="0"/>
    <x v="2"/>
    <x v="0"/>
    <x v="0"/>
    <n v="2403.8461538461538"/>
    <n v="0"/>
    <x v="0"/>
    <x v="2"/>
    <n v="2403.8461538461538"/>
    <n v="0"/>
    <n v="2403.8461538461538"/>
    <n v="600.96153846153845"/>
    <n v="1802.8846153846152"/>
    <n v="3055000"/>
    <x v="0"/>
    <n v="600.96153846153845"/>
    <n v="0"/>
    <x v="3"/>
    <x v="3"/>
  </r>
  <r>
    <n v="52"/>
    <x v="0"/>
    <n v="0.47"/>
    <x v="0"/>
    <x v="3"/>
    <x v="0"/>
    <x v="0"/>
    <n v="2403.8461538461538"/>
    <n v="0"/>
    <x v="0"/>
    <x v="2"/>
    <n v="2403.8461538461538"/>
    <n v="0"/>
    <n v="2403.8461538461538"/>
    <n v="600.96153846153845"/>
    <n v="1802.8846153846152"/>
    <n v="3055000"/>
    <x v="0"/>
    <n v="600.96153846153845"/>
    <n v="0"/>
    <x v="3"/>
    <x v="3"/>
  </r>
  <r>
    <n v="53"/>
    <x v="0"/>
    <n v="0.47"/>
    <x v="0"/>
    <x v="4"/>
    <x v="0"/>
    <x v="0"/>
    <n v="2403.8461538461538"/>
    <n v="0"/>
    <x v="0"/>
    <x v="2"/>
    <n v="2403.8461538461538"/>
    <n v="0"/>
    <n v="2403.8461538461538"/>
    <n v="600.96153846153845"/>
    <n v="1802.8846153846152"/>
    <n v="3055000"/>
    <x v="0"/>
    <n v="600.96153846153845"/>
    <n v="0"/>
    <x v="3"/>
    <x v="3"/>
  </r>
  <r>
    <n v="54"/>
    <x v="0"/>
    <n v="0.47"/>
    <x v="0"/>
    <x v="5"/>
    <x v="0"/>
    <x v="0"/>
    <n v="2403.8461538461538"/>
    <n v="0"/>
    <x v="0"/>
    <x v="2"/>
    <n v="2403.8461538461538"/>
    <n v="0"/>
    <n v="2403.8461538461538"/>
    <n v="600.96153846153845"/>
    <n v="1802.8846153846152"/>
    <n v="3055000"/>
    <x v="0"/>
    <n v="600.96153846153845"/>
    <n v="0"/>
    <x v="3"/>
    <x v="3"/>
  </r>
  <r>
    <n v="55"/>
    <x v="0"/>
    <n v="0.47"/>
    <x v="0"/>
    <x v="0"/>
    <x v="0"/>
    <x v="0"/>
    <n v="5500"/>
    <n v="0"/>
    <x v="0"/>
    <x v="5"/>
    <n v="5500"/>
    <n v="0"/>
    <n v="5500"/>
    <n v="1375"/>
    <n v="4125"/>
    <n v="3055000"/>
    <x v="0"/>
    <n v="1375"/>
    <n v="0"/>
    <x v="3"/>
    <x v="3"/>
  </r>
  <r>
    <n v="56"/>
    <x v="0"/>
    <n v="0.47"/>
    <x v="0"/>
    <x v="1"/>
    <x v="0"/>
    <x v="0"/>
    <n v="5500"/>
    <n v="0"/>
    <x v="0"/>
    <x v="5"/>
    <n v="5500"/>
    <n v="0"/>
    <n v="5500"/>
    <n v="1375"/>
    <n v="4125"/>
    <n v="3055000"/>
    <x v="0"/>
    <n v="1375"/>
    <n v="0"/>
    <x v="3"/>
    <x v="3"/>
  </r>
  <r>
    <n v="57"/>
    <x v="0"/>
    <n v="0.47"/>
    <x v="0"/>
    <x v="2"/>
    <x v="0"/>
    <x v="0"/>
    <n v="5500"/>
    <n v="0"/>
    <x v="0"/>
    <x v="5"/>
    <n v="5500"/>
    <n v="0"/>
    <n v="5500"/>
    <n v="1375"/>
    <n v="4125"/>
    <n v="3055000"/>
    <x v="0"/>
    <n v="1375"/>
    <n v="0"/>
    <x v="3"/>
    <x v="3"/>
  </r>
  <r>
    <n v="58"/>
    <x v="0"/>
    <n v="0.47"/>
    <x v="0"/>
    <x v="3"/>
    <x v="0"/>
    <x v="0"/>
    <n v="5500"/>
    <n v="0"/>
    <x v="0"/>
    <x v="5"/>
    <n v="5500"/>
    <n v="0"/>
    <n v="5500"/>
    <n v="1375"/>
    <n v="4125"/>
    <n v="3055000"/>
    <x v="0"/>
    <n v="1375"/>
    <n v="0"/>
    <x v="3"/>
    <x v="3"/>
  </r>
  <r>
    <n v="59"/>
    <x v="0"/>
    <n v="0.47"/>
    <x v="0"/>
    <x v="4"/>
    <x v="0"/>
    <x v="0"/>
    <n v="5500"/>
    <n v="0"/>
    <x v="0"/>
    <x v="5"/>
    <n v="5500"/>
    <n v="0"/>
    <n v="5500"/>
    <n v="1375"/>
    <n v="4125"/>
    <n v="3055000"/>
    <x v="0"/>
    <n v="1375"/>
    <n v="0"/>
    <x v="3"/>
    <x v="3"/>
  </r>
  <r>
    <n v="60"/>
    <x v="0"/>
    <n v="0.47"/>
    <x v="0"/>
    <x v="5"/>
    <x v="0"/>
    <x v="0"/>
    <n v="5500"/>
    <n v="0"/>
    <x v="0"/>
    <x v="5"/>
    <n v="5500"/>
    <n v="0"/>
    <n v="5500"/>
    <n v="1375"/>
    <n v="4125"/>
    <n v="3055000"/>
    <x v="0"/>
    <n v="1375"/>
    <n v="0"/>
    <x v="3"/>
    <x v="3"/>
  </r>
  <r>
    <n v="61"/>
    <x v="0"/>
    <n v="0.47"/>
    <x v="0"/>
    <x v="0"/>
    <x v="0"/>
    <x v="0"/>
    <n v="3250"/>
    <n v="0"/>
    <x v="0"/>
    <x v="6"/>
    <n v="3250"/>
    <n v="0"/>
    <n v="3250"/>
    <n v="812.5"/>
    <n v="2437.5"/>
    <n v="3055000"/>
    <x v="0"/>
    <n v="812.5"/>
    <n v="0"/>
    <x v="3"/>
    <x v="3"/>
  </r>
  <r>
    <n v="62"/>
    <x v="0"/>
    <n v="0.47"/>
    <x v="0"/>
    <x v="1"/>
    <x v="0"/>
    <x v="0"/>
    <n v="3250"/>
    <n v="0"/>
    <x v="0"/>
    <x v="6"/>
    <n v="3250"/>
    <n v="0"/>
    <n v="3250"/>
    <n v="812.5"/>
    <n v="2437.5"/>
    <n v="3055000"/>
    <x v="0"/>
    <n v="812.5"/>
    <n v="0"/>
    <x v="3"/>
    <x v="3"/>
  </r>
  <r>
    <n v="63"/>
    <x v="0"/>
    <n v="0.47"/>
    <x v="0"/>
    <x v="2"/>
    <x v="0"/>
    <x v="0"/>
    <n v="3250"/>
    <n v="0"/>
    <x v="0"/>
    <x v="6"/>
    <n v="3250"/>
    <n v="0"/>
    <n v="3250"/>
    <n v="812.5"/>
    <n v="2437.5"/>
    <n v="3055000"/>
    <x v="0"/>
    <n v="812.5"/>
    <n v="0"/>
    <x v="3"/>
    <x v="3"/>
  </r>
  <r>
    <n v="64"/>
    <x v="0"/>
    <n v="0.47"/>
    <x v="0"/>
    <x v="3"/>
    <x v="0"/>
    <x v="0"/>
    <n v="3250"/>
    <n v="0"/>
    <x v="0"/>
    <x v="6"/>
    <n v="3250"/>
    <n v="0"/>
    <n v="3250"/>
    <n v="812.5"/>
    <n v="2437.5"/>
    <n v="3055000"/>
    <x v="0"/>
    <n v="812.5"/>
    <n v="0"/>
    <x v="3"/>
    <x v="3"/>
  </r>
  <r>
    <n v="65"/>
    <x v="0"/>
    <n v="0.47"/>
    <x v="0"/>
    <x v="4"/>
    <x v="0"/>
    <x v="0"/>
    <n v="3250"/>
    <n v="0"/>
    <x v="0"/>
    <x v="6"/>
    <n v="3250"/>
    <n v="0"/>
    <n v="3250"/>
    <n v="812.5"/>
    <n v="2437.5"/>
    <n v="3055000"/>
    <x v="0"/>
    <n v="812.5"/>
    <n v="0"/>
    <x v="3"/>
    <x v="3"/>
  </r>
  <r>
    <n v="66"/>
    <x v="0"/>
    <n v="0.47"/>
    <x v="0"/>
    <x v="5"/>
    <x v="0"/>
    <x v="0"/>
    <n v="3250"/>
    <n v="0"/>
    <x v="0"/>
    <x v="6"/>
    <n v="3250"/>
    <n v="0"/>
    <n v="3250"/>
    <n v="812.5"/>
    <n v="2437.5"/>
    <n v="3055000"/>
    <x v="0"/>
    <n v="812.5"/>
    <n v="0"/>
    <x v="3"/>
    <x v="3"/>
  </r>
  <r>
    <n v="67"/>
    <x v="0"/>
    <n v="0.47"/>
    <x v="0"/>
    <x v="6"/>
    <x v="1"/>
    <x v="0"/>
    <n v="204.32692307692307"/>
    <n v="0"/>
    <x v="3"/>
    <x v="0"/>
    <n v="204.32692307692307"/>
    <n v="0"/>
    <n v="204.32692307692307"/>
    <n v="183.89423076923077"/>
    <n v="20.432692307692303"/>
    <n v="3055000"/>
    <x v="0"/>
    <n v="183.89423076923077"/>
    <n v="0"/>
    <x v="1"/>
    <x v="1"/>
  </r>
  <r>
    <n v="68"/>
    <x v="0"/>
    <n v="0.47"/>
    <x v="0"/>
    <x v="7"/>
    <x v="1"/>
    <x v="0"/>
    <n v="204.32692307692307"/>
    <n v="0"/>
    <x v="3"/>
    <x v="0"/>
    <n v="204.32692307692307"/>
    <n v="0"/>
    <n v="204.32692307692307"/>
    <n v="183.89423076923077"/>
    <n v="20.432692307692303"/>
    <n v="3055000"/>
    <x v="0"/>
    <n v="183.89423076923077"/>
    <n v="0"/>
    <x v="1"/>
    <x v="1"/>
  </r>
  <r>
    <n v="69"/>
    <x v="0"/>
    <n v="0.47"/>
    <x v="0"/>
    <x v="8"/>
    <x v="1"/>
    <x v="0"/>
    <n v="204.32692307692307"/>
    <n v="0"/>
    <x v="3"/>
    <x v="0"/>
    <n v="204.32692307692307"/>
    <n v="0"/>
    <n v="204.32692307692307"/>
    <n v="183.89423076923077"/>
    <n v="20.432692307692303"/>
    <n v="3055000"/>
    <x v="0"/>
    <n v="183.89423076923077"/>
    <n v="0"/>
    <x v="1"/>
    <x v="1"/>
  </r>
  <r>
    <n v="70"/>
    <x v="0"/>
    <n v="0.47"/>
    <x v="0"/>
    <x v="9"/>
    <x v="1"/>
    <x v="0"/>
    <n v="204.32692307692307"/>
    <n v="0"/>
    <x v="3"/>
    <x v="0"/>
    <n v="204.32692307692307"/>
    <n v="0"/>
    <n v="204.32692307692307"/>
    <n v="183.89423076923077"/>
    <n v="20.432692307692303"/>
    <n v="3055000"/>
    <x v="0"/>
    <n v="183.89423076923077"/>
    <n v="0"/>
    <x v="1"/>
    <x v="1"/>
  </r>
  <r>
    <n v="71"/>
    <x v="0"/>
    <n v="0.47"/>
    <x v="0"/>
    <x v="6"/>
    <x v="1"/>
    <x v="0"/>
    <n v="600.96153846153845"/>
    <n v="0"/>
    <x v="3"/>
    <x v="7"/>
    <n v="600.96153846153845"/>
    <n v="0"/>
    <n v="600.96153846153845"/>
    <n v="540.86538461538464"/>
    <n v="60.096153846153832"/>
    <n v="3055000"/>
    <x v="0"/>
    <n v="540.86538461538464"/>
    <n v="0"/>
    <x v="1"/>
    <x v="1"/>
  </r>
  <r>
    <n v="72"/>
    <x v="0"/>
    <n v="0.47"/>
    <x v="0"/>
    <x v="7"/>
    <x v="1"/>
    <x v="0"/>
    <n v="600.96153846153845"/>
    <n v="0"/>
    <x v="3"/>
    <x v="7"/>
    <n v="600.96153846153845"/>
    <n v="0"/>
    <n v="600.96153846153845"/>
    <n v="540.86538461538464"/>
    <n v="60.096153846153832"/>
    <n v="3055000"/>
    <x v="0"/>
    <n v="540.86538461538464"/>
    <n v="0"/>
    <x v="1"/>
    <x v="1"/>
  </r>
  <r>
    <n v="73"/>
    <x v="0"/>
    <n v="0.47"/>
    <x v="0"/>
    <x v="8"/>
    <x v="1"/>
    <x v="0"/>
    <n v="600.96153846153845"/>
    <n v="0"/>
    <x v="3"/>
    <x v="7"/>
    <n v="600.96153846153845"/>
    <n v="0"/>
    <n v="600.96153846153845"/>
    <n v="540.86538461538464"/>
    <n v="60.096153846153832"/>
    <n v="3055000"/>
    <x v="0"/>
    <n v="540.86538461538464"/>
    <n v="0"/>
    <x v="1"/>
    <x v="1"/>
  </r>
  <r>
    <n v="74"/>
    <x v="0"/>
    <n v="0.47"/>
    <x v="0"/>
    <x v="9"/>
    <x v="1"/>
    <x v="0"/>
    <n v="600.96153846153845"/>
    <n v="0"/>
    <x v="3"/>
    <x v="7"/>
    <n v="600.96153846153845"/>
    <n v="0"/>
    <n v="600.96153846153845"/>
    <n v="540.86538461538464"/>
    <n v="60.096153846153832"/>
    <n v="3055000"/>
    <x v="0"/>
    <n v="540.86538461538464"/>
    <n v="0"/>
    <x v="1"/>
    <x v="1"/>
  </r>
  <r>
    <n v="75"/>
    <x v="0"/>
    <n v="0.47"/>
    <x v="0"/>
    <x v="6"/>
    <x v="1"/>
    <x v="0"/>
    <n v="204.32692307692307"/>
    <n v="0"/>
    <x v="3"/>
    <x v="0"/>
    <n v="204.32692307692307"/>
    <n v="0"/>
    <n v="204.32692307692307"/>
    <n v="102.16346153846153"/>
    <n v="102.16346153846153"/>
    <n v="3055000"/>
    <x v="0"/>
    <n v="102.16346153846153"/>
    <n v="0"/>
    <x v="2"/>
    <x v="2"/>
  </r>
  <r>
    <n v="76"/>
    <x v="0"/>
    <n v="0.47"/>
    <x v="0"/>
    <x v="7"/>
    <x v="1"/>
    <x v="0"/>
    <n v="204.32692307692307"/>
    <n v="0"/>
    <x v="3"/>
    <x v="0"/>
    <n v="204.32692307692307"/>
    <n v="0"/>
    <n v="204.32692307692307"/>
    <n v="102.16346153846153"/>
    <n v="102.16346153846153"/>
    <n v="3055000"/>
    <x v="0"/>
    <n v="102.16346153846153"/>
    <n v="0"/>
    <x v="2"/>
    <x v="2"/>
  </r>
  <r>
    <n v="77"/>
    <x v="0"/>
    <n v="0.47"/>
    <x v="0"/>
    <x v="8"/>
    <x v="1"/>
    <x v="0"/>
    <n v="204.32692307692307"/>
    <n v="0"/>
    <x v="3"/>
    <x v="0"/>
    <n v="204.32692307692307"/>
    <n v="0"/>
    <n v="204.32692307692307"/>
    <n v="102.16346153846153"/>
    <n v="102.16346153846153"/>
    <n v="3055000"/>
    <x v="0"/>
    <n v="102.16346153846153"/>
    <n v="0"/>
    <x v="2"/>
    <x v="2"/>
  </r>
  <r>
    <n v="78"/>
    <x v="0"/>
    <n v="0.47"/>
    <x v="0"/>
    <x v="9"/>
    <x v="1"/>
    <x v="0"/>
    <n v="204.32692307692307"/>
    <n v="0"/>
    <x v="3"/>
    <x v="0"/>
    <n v="204.32692307692307"/>
    <n v="0"/>
    <n v="204.32692307692307"/>
    <n v="102.16346153846153"/>
    <n v="102.16346153846153"/>
    <n v="3055000"/>
    <x v="0"/>
    <n v="102.16346153846153"/>
    <n v="0"/>
    <x v="2"/>
    <x v="2"/>
  </r>
  <r>
    <n v="79"/>
    <x v="0"/>
    <n v="0.47"/>
    <x v="0"/>
    <x v="6"/>
    <x v="1"/>
    <x v="0"/>
    <n v="1850"/>
    <n v="0"/>
    <x v="3"/>
    <x v="1"/>
    <n v="1850"/>
    <n v="0"/>
    <n v="1850"/>
    <n v="925"/>
    <n v="925"/>
    <n v="3055000"/>
    <x v="0"/>
    <n v="925"/>
    <n v="0"/>
    <x v="2"/>
    <x v="2"/>
  </r>
  <r>
    <n v="80"/>
    <x v="0"/>
    <n v="0.47"/>
    <x v="0"/>
    <x v="7"/>
    <x v="1"/>
    <x v="0"/>
    <n v="1850"/>
    <n v="0"/>
    <x v="3"/>
    <x v="1"/>
    <n v="1850"/>
    <n v="0"/>
    <n v="1850"/>
    <n v="925"/>
    <n v="925"/>
    <n v="3055000"/>
    <x v="0"/>
    <n v="925"/>
    <n v="0"/>
    <x v="2"/>
    <x v="2"/>
  </r>
  <r>
    <n v="81"/>
    <x v="0"/>
    <n v="0.47"/>
    <x v="0"/>
    <x v="8"/>
    <x v="1"/>
    <x v="0"/>
    <n v="1850"/>
    <n v="0"/>
    <x v="3"/>
    <x v="1"/>
    <n v="1850"/>
    <n v="0"/>
    <n v="1850"/>
    <n v="925"/>
    <n v="925"/>
    <n v="3055000"/>
    <x v="0"/>
    <n v="925"/>
    <n v="0"/>
    <x v="2"/>
    <x v="2"/>
  </r>
  <r>
    <n v="82"/>
    <x v="0"/>
    <n v="0.47"/>
    <x v="0"/>
    <x v="9"/>
    <x v="1"/>
    <x v="0"/>
    <n v="1850"/>
    <n v="0"/>
    <x v="3"/>
    <x v="1"/>
    <n v="1850"/>
    <n v="0"/>
    <n v="1850"/>
    <n v="925"/>
    <n v="925"/>
    <n v="3055000"/>
    <x v="0"/>
    <n v="925"/>
    <n v="0"/>
    <x v="2"/>
    <x v="2"/>
  </r>
  <r>
    <n v="83"/>
    <x v="0"/>
    <n v="0.47"/>
    <x v="0"/>
    <x v="6"/>
    <x v="1"/>
    <x v="0"/>
    <n v="465.74519230769232"/>
    <n v="0"/>
    <x v="3"/>
    <x v="8"/>
    <n v="465.74519230769232"/>
    <n v="0"/>
    <n v="465.74519230769232"/>
    <n v="232.87259615384616"/>
    <n v="232.87259615384616"/>
    <n v="3055000"/>
    <x v="0"/>
    <n v="232.87259615384616"/>
    <n v="0"/>
    <x v="2"/>
    <x v="2"/>
  </r>
  <r>
    <n v="84"/>
    <x v="0"/>
    <n v="0.47"/>
    <x v="0"/>
    <x v="7"/>
    <x v="1"/>
    <x v="0"/>
    <n v="465.74519230769232"/>
    <n v="0"/>
    <x v="3"/>
    <x v="8"/>
    <n v="465.74519230769232"/>
    <n v="0"/>
    <n v="465.74519230769232"/>
    <n v="232.87259615384616"/>
    <n v="232.87259615384616"/>
    <n v="3055000"/>
    <x v="0"/>
    <n v="232.87259615384616"/>
    <n v="0"/>
    <x v="2"/>
    <x v="2"/>
  </r>
  <r>
    <n v="85"/>
    <x v="0"/>
    <n v="0.47"/>
    <x v="0"/>
    <x v="8"/>
    <x v="1"/>
    <x v="0"/>
    <n v="465.74519230769232"/>
    <n v="0"/>
    <x v="3"/>
    <x v="8"/>
    <n v="465.74519230769232"/>
    <n v="0"/>
    <n v="465.74519230769232"/>
    <n v="232.87259615384616"/>
    <n v="232.87259615384616"/>
    <n v="3055000"/>
    <x v="0"/>
    <n v="232.87259615384616"/>
    <n v="0"/>
    <x v="2"/>
    <x v="2"/>
  </r>
  <r>
    <n v="86"/>
    <x v="0"/>
    <n v="0.47"/>
    <x v="0"/>
    <x v="9"/>
    <x v="1"/>
    <x v="0"/>
    <n v="465.74519230769232"/>
    <n v="0"/>
    <x v="3"/>
    <x v="8"/>
    <n v="465.74519230769232"/>
    <n v="0"/>
    <n v="465.74519230769232"/>
    <n v="232.87259615384616"/>
    <n v="232.87259615384616"/>
    <n v="3055000"/>
    <x v="0"/>
    <n v="232.87259615384616"/>
    <n v="0"/>
    <x v="2"/>
    <x v="2"/>
  </r>
  <r>
    <n v="87"/>
    <x v="0"/>
    <n v="0.47"/>
    <x v="0"/>
    <x v="6"/>
    <x v="1"/>
    <x v="1"/>
    <n v="0"/>
    <n v="25000"/>
    <x v="1"/>
    <x v="3"/>
    <n v="0"/>
    <n v="25000"/>
    <n v="25000"/>
    <n v="2500"/>
    <n v="22500"/>
    <n v="3055000"/>
    <x v="1"/>
    <n v="0"/>
    <n v="2500"/>
    <x v="4"/>
    <x v="4"/>
  </r>
  <r>
    <n v="88"/>
    <x v="0"/>
    <n v="0.47"/>
    <x v="0"/>
    <x v="7"/>
    <x v="1"/>
    <x v="1"/>
    <n v="0"/>
    <n v="25000"/>
    <x v="1"/>
    <x v="3"/>
    <n v="0"/>
    <n v="25000"/>
    <n v="25000"/>
    <n v="2500"/>
    <n v="22500"/>
    <n v="3055000"/>
    <x v="1"/>
    <n v="0"/>
    <n v="2500"/>
    <x v="4"/>
    <x v="4"/>
  </r>
  <r>
    <n v="89"/>
    <x v="0"/>
    <n v="0.47"/>
    <x v="0"/>
    <x v="8"/>
    <x v="1"/>
    <x v="1"/>
    <n v="0"/>
    <n v="25000"/>
    <x v="1"/>
    <x v="3"/>
    <n v="0"/>
    <n v="25000"/>
    <n v="25000"/>
    <n v="2500"/>
    <n v="22500"/>
    <n v="3055000"/>
    <x v="1"/>
    <n v="0"/>
    <n v="2500"/>
    <x v="4"/>
    <x v="4"/>
  </r>
  <r>
    <n v="90"/>
    <x v="0"/>
    <n v="0.47"/>
    <x v="0"/>
    <x v="9"/>
    <x v="1"/>
    <x v="1"/>
    <n v="0"/>
    <n v="25000"/>
    <x v="1"/>
    <x v="3"/>
    <n v="0"/>
    <n v="25000"/>
    <n v="25000"/>
    <n v="2500"/>
    <n v="22500"/>
    <n v="3055000"/>
    <x v="1"/>
    <n v="0"/>
    <n v="2500"/>
    <x v="4"/>
    <x v="4"/>
  </r>
  <r>
    <n v="91"/>
    <x v="0"/>
    <n v="0.47"/>
    <x v="0"/>
    <x v="6"/>
    <x v="1"/>
    <x v="2"/>
    <n v="0"/>
    <n v="100000"/>
    <x v="1"/>
    <x v="3"/>
    <n v="0"/>
    <n v="100000"/>
    <n v="100000"/>
    <n v="10000"/>
    <n v="90000"/>
    <n v="3055000"/>
    <x v="1"/>
    <n v="0"/>
    <n v="10000"/>
    <x v="0"/>
    <x v="0"/>
  </r>
  <r>
    <n v="92"/>
    <x v="0"/>
    <n v="0.47"/>
    <x v="0"/>
    <x v="7"/>
    <x v="1"/>
    <x v="2"/>
    <n v="0"/>
    <n v="100000"/>
    <x v="1"/>
    <x v="3"/>
    <n v="0"/>
    <n v="100000"/>
    <n v="100000"/>
    <n v="10000"/>
    <n v="90000"/>
    <n v="3055000"/>
    <x v="1"/>
    <n v="0"/>
    <n v="10000"/>
    <x v="0"/>
    <x v="0"/>
  </r>
  <r>
    <n v="93"/>
    <x v="0"/>
    <n v="0.47"/>
    <x v="0"/>
    <x v="8"/>
    <x v="1"/>
    <x v="2"/>
    <n v="0"/>
    <n v="100000"/>
    <x v="1"/>
    <x v="3"/>
    <n v="0"/>
    <n v="100000"/>
    <n v="100000"/>
    <n v="10000"/>
    <n v="90000"/>
    <n v="3055000"/>
    <x v="1"/>
    <n v="0"/>
    <n v="10000"/>
    <x v="0"/>
    <x v="0"/>
  </r>
  <r>
    <n v="94"/>
    <x v="0"/>
    <n v="0.47"/>
    <x v="0"/>
    <x v="9"/>
    <x v="1"/>
    <x v="2"/>
    <n v="0"/>
    <n v="100000"/>
    <x v="1"/>
    <x v="3"/>
    <n v="0"/>
    <n v="100000"/>
    <n v="100000"/>
    <n v="10000"/>
    <n v="90000"/>
    <n v="3055000"/>
    <x v="1"/>
    <n v="0"/>
    <n v="10000"/>
    <x v="0"/>
    <x v="0"/>
  </r>
  <r>
    <n v="95"/>
    <x v="0"/>
    <n v="0.47"/>
    <x v="0"/>
    <x v="6"/>
    <x v="1"/>
    <x v="1"/>
    <n v="0"/>
    <n v="408.65384615384613"/>
    <x v="3"/>
    <x v="0"/>
    <n v="408.65384615384613"/>
    <n v="0"/>
    <n v="408.65384615384613"/>
    <n v="81.730769230769226"/>
    <n v="326.92307692307691"/>
    <n v="3055000"/>
    <x v="0"/>
    <n v="81.730769230769226"/>
    <n v="0"/>
    <x v="5"/>
    <x v="5"/>
  </r>
  <r>
    <n v="96"/>
    <x v="0"/>
    <n v="0.47"/>
    <x v="0"/>
    <x v="7"/>
    <x v="1"/>
    <x v="1"/>
    <n v="0"/>
    <n v="408.65384615384613"/>
    <x v="3"/>
    <x v="0"/>
    <n v="408.65384615384613"/>
    <n v="0"/>
    <n v="408.65384615384613"/>
    <n v="81.730769230769226"/>
    <n v="326.92307692307691"/>
    <n v="3055000"/>
    <x v="0"/>
    <n v="81.730769230769226"/>
    <n v="0"/>
    <x v="5"/>
    <x v="5"/>
  </r>
  <r>
    <n v="97"/>
    <x v="0"/>
    <n v="0.47"/>
    <x v="0"/>
    <x v="8"/>
    <x v="1"/>
    <x v="1"/>
    <n v="0"/>
    <n v="408.65384615384613"/>
    <x v="3"/>
    <x v="0"/>
    <n v="408.65384615384613"/>
    <n v="0"/>
    <n v="408.65384615384613"/>
    <n v="81.730769230769226"/>
    <n v="326.92307692307691"/>
    <n v="3055000"/>
    <x v="0"/>
    <n v="81.730769230769226"/>
    <n v="0"/>
    <x v="5"/>
    <x v="5"/>
  </r>
  <r>
    <n v="98"/>
    <x v="0"/>
    <n v="0.47"/>
    <x v="0"/>
    <x v="9"/>
    <x v="1"/>
    <x v="1"/>
    <n v="0"/>
    <n v="408.65384615384613"/>
    <x v="3"/>
    <x v="0"/>
    <n v="408.65384615384613"/>
    <n v="0"/>
    <n v="408.65384615384613"/>
    <n v="81.730769230769226"/>
    <n v="326.92307692307691"/>
    <n v="3055000"/>
    <x v="0"/>
    <n v="81.730769230769226"/>
    <n v="0"/>
    <x v="5"/>
    <x v="5"/>
  </r>
  <r>
    <n v="99"/>
    <x v="0"/>
    <n v="0.47"/>
    <x v="0"/>
    <x v="6"/>
    <x v="1"/>
    <x v="1"/>
    <n v="0"/>
    <n v="1500"/>
    <x v="3"/>
    <x v="4"/>
    <n v="1500"/>
    <n v="0"/>
    <n v="1500"/>
    <n v="300"/>
    <n v="1200"/>
    <n v="3055000"/>
    <x v="0"/>
    <n v="300"/>
    <n v="0"/>
    <x v="5"/>
    <x v="5"/>
  </r>
  <r>
    <n v="100"/>
    <x v="0"/>
    <n v="0.47"/>
    <x v="0"/>
    <x v="7"/>
    <x v="1"/>
    <x v="1"/>
    <n v="0"/>
    <n v="1500"/>
    <x v="3"/>
    <x v="4"/>
    <n v="1500"/>
    <n v="0"/>
    <n v="1500"/>
    <n v="300"/>
    <n v="1200"/>
    <n v="3055000"/>
    <x v="0"/>
    <n v="300"/>
    <n v="0"/>
    <x v="5"/>
    <x v="5"/>
  </r>
  <r>
    <n v="101"/>
    <x v="0"/>
    <n v="0.47"/>
    <x v="0"/>
    <x v="8"/>
    <x v="1"/>
    <x v="1"/>
    <n v="0"/>
    <n v="1500"/>
    <x v="3"/>
    <x v="4"/>
    <n v="1500"/>
    <n v="0"/>
    <n v="1500"/>
    <n v="300"/>
    <n v="1200"/>
    <n v="3055000"/>
    <x v="0"/>
    <n v="300"/>
    <n v="0"/>
    <x v="5"/>
    <x v="5"/>
  </r>
  <r>
    <n v="102"/>
    <x v="0"/>
    <n v="0.47"/>
    <x v="0"/>
    <x v="9"/>
    <x v="1"/>
    <x v="1"/>
    <n v="0"/>
    <n v="1500"/>
    <x v="3"/>
    <x v="4"/>
    <n v="1500"/>
    <n v="0"/>
    <n v="1500"/>
    <n v="300"/>
    <n v="1200"/>
    <n v="3055000"/>
    <x v="0"/>
    <n v="300"/>
    <n v="0"/>
    <x v="5"/>
    <x v="5"/>
  </r>
  <r>
    <n v="103"/>
    <x v="0"/>
    <n v="0.47"/>
    <x v="0"/>
    <x v="6"/>
    <x v="1"/>
    <x v="1"/>
    <n v="0"/>
    <n v="1802.8846153846152"/>
    <x v="3"/>
    <x v="9"/>
    <n v="1802.8846153846152"/>
    <n v="0"/>
    <n v="1802.8846153846152"/>
    <n v="360.57692307692309"/>
    <n v="1442.3076923076924"/>
    <n v="3055000"/>
    <x v="0"/>
    <n v="360.57692307692309"/>
    <n v="0"/>
    <x v="5"/>
    <x v="5"/>
  </r>
  <r>
    <n v="104"/>
    <x v="0"/>
    <n v="0.47"/>
    <x v="0"/>
    <x v="7"/>
    <x v="1"/>
    <x v="1"/>
    <n v="0"/>
    <n v="1802.8846153846152"/>
    <x v="3"/>
    <x v="9"/>
    <n v="1802.8846153846152"/>
    <n v="0"/>
    <n v="1802.8846153846152"/>
    <n v="360.57692307692309"/>
    <n v="1442.3076923076924"/>
    <n v="3055000"/>
    <x v="0"/>
    <n v="360.57692307692309"/>
    <n v="0"/>
    <x v="5"/>
    <x v="5"/>
  </r>
  <r>
    <n v="105"/>
    <x v="0"/>
    <n v="0.47"/>
    <x v="0"/>
    <x v="8"/>
    <x v="1"/>
    <x v="1"/>
    <n v="0"/>
    <n v="1802.8846153846152"/>
    <x v="3"/>
    <x v="9"/>
    <n v="1802.8846153846152"/>
    <n v="0"/>
    <n v="1802.8846153846152"/>
    <n v="360.57692307692309"/>
    <n v="1442.3076923076924"/>
    <n v="3055000"/>
    <x v="0"/>
    <n v="360.57692307692309"/>
    <n v="0"/>
    <x v="5"/>
    <x v="5"/>
  </r>
  <r>
    <n v="106"/>
    <x v="0"/>
    <n v="0.47"/>
    <x v="0"/>
    <x v="9"/>
    <x v="1"/>
    <x v="1"/>
    <n v="0"/>
    <n v="1802.8846153846152"/>
    <x v="3"/>
    <x v="9"/>
    <n v="1802.8846153846152"/>
    <n v="0"/>
    <n v="1802.8846153846152"/>
    <n v="360.57692307692309"/>
    <n v="1442.3076923076924"/>
    <n v="3055000"/>
    <x v="0"/>
    <n v="360.57692307692309"/>
    <n v="0"/>
    <x v="5"/>
    <x v="5"/>
  </r>
  <r>
    <n v="107"/>
    <x v="0"/>
    <n v="0.47"/>
    <x v="0"/>
    <x v="6"/>
    <x v="1"/>
    <x v="1"/>
    <n v="0"/>
    <n v="8250"/>
    <x v="3"/>
    <x v="5"/>
    <n v="8250"/>
    <n v="0"/>
    <n v="8250"/>
    <n v="1650"/>
    <n v="6600"/>
    <n v="3055000"/>
    <x v="0"/>
    <n v="1650"/>
    <n v="0"/>
    <x v="5"/>
    <x v="5"/>
  </r>
  <r>
    <n v="108"/>
    <x v="0"/>
    <n v="0.47"/>
    <x v="0"/>
    <x v="7"/>
    <x v="1"/>
    <x v="1"/>
    <n v="0"/>
    <n v="8250"/>
    <x v="3"/>
    <x v="5"/>
    <n v="8250"/>
    <n v="0"/>
    <n v="8250"/>
    <n v="1650"/>
    <n v="6600"/>
    <n v="3055000"/>
    <x v="0"/>
    <n v="1650"/>
    <n v="0"/>
    <x v="5"/>
    <x v="5"/>
  </r>
  <r>
    <n v="109"/>
    <x v="0"/>
    <n v="0.47"/>
    <x v="0"/>
    <x v="8"/>
    <x v="1"/>
    <x v="1"/>
    <n v="0"/>
    <n v="8250"/>
    <x v="3"/>
    <x v="5"/>
    <n v="8250"/>
    <n v="0"/>
    <n v="8250"/>
    <n v="1650"/>
    <n v="6600"/>
    <n v="3055000"/>
    <x v="0"/>
    <n v="1650"/>
    <n v="0"/>
    <x v="5"/>
    <x v="5"/>
  </r>
  <r>
    <n v="110"/>
    <x v="0"/>
    <n v="0.47"/>
    <x v="0"/>
    <x v="9"/>
    <x v="1"/>
    <x v="1"/>
    <n v="0"/>
    <n v="8250"/>
    <x v="3"/>
    <x v="5"/>
    <n v="8250"/>
    <n v="0"/>
    <n v="8250"/>
    <n v="1650"/>
    <n v="6600"/>
    <n v="3055000"/>
    <x v="0"/>
    <n v="1650"/>
    <n v="0"/>
    <x v="5"/>
    <x v="5"/>
  </r>
  <r>
    <n v="111"/>
    <x v="0"/>
    <n v="0.47"/>
    <x v="0"/>
    <x v="6"/>
    <x v="1"/>
    <x v="1"/>
    <n v="0"/>
    <n v="4507.2115384615381"/>
    <x v="3"/>
    <x v="10"/>
    <n v="4507.2115384615381"/>
    <n v="0"/>
    <n v="4507.2115384615381"/>
    <n v="901.44230769230762"/>
    <n v="3605.7692307692305"/>
    <n v="3055000"/>
    <x v="0"/>
    <n v="901.44230769230762"/>
    <n v="0"/>
    <x v="5"/>
    <x v="5"/>
  </r>
  <r>
    <n v="112"/>
    <x v="0"/>
    <n v="0.47"/>
    <x v="0"/>
    <x v="7"/>
    <x v="1"/>
    <x v="1"/>
    <n v="0"/>
    <n v="4507.2115384615381"/>
    <x v="3"/>
    <x v="10"/>
    <n v="4507.2115384615381"/>
    <n v="0"/>
    <n v="4507.2115384615381"/>
    <n v="901.44230769230762"/>
    <n v="3605.7692307692305"/>
    <n v="3055000"/>
    <x v="0"/>
    <n v="901.44230769230762"/>
    <n v="0"/>
    <x v="5"/>
    <x v="5"/>
  </r>
  <r>
    <n v="113"/>
    <x v="0"/>
    <n v="0.47"/>
    <x v="0"/>
    <x v="8"/>
    <x v="1"/>
    <x v="1"/>
    <n v="0"/>
    <n v="4507.2115384615381"/>
    <x v="3"/>
    <x v="10"/>
    <n v="4507.2115384615381"/>
    <n v="0"/>
    <n v="4507.2115384615381"/>
    <n v="901.44230769230762"/>
    <n v="3605.7692307692305"/>
    <n v="3055000"/>
    <x v="0"/>
    <n v="901.44230769230762"/>
    <n v="0"/>
    <x v="5"/>
    <x v="5"/>
  </r>
  <r>
    <n v="114"/>
    <x v="0"/>
    <n v="0.47"/>
    <x v="0"/>
    <x v="9"/>
    <x v="1"/>
    <x v="1"/>
    <n v="0"/>
    <n v="4507.2115384615381"/>
    <x v="3"/>
    <x v="10"/>
    <n v="4507.2115384615381"/>
    <n v="0"/>
    <n v="4507.2115384615381"/>
    <n v="901.44230769230762"/>
    <n v="3605.7692307692305"/>
    <n v="3055000"/>
    <x v="0"/>
    <n v="901.44230769230762"/>
    <n v="0"/>
    <x v="5"/>
    <x v="5"/>
  </r>
  <r>
    <n v="115"/>
    <x v="0"/>
    <n v="0.47"/>
    <x v="1"/>
    <x v="5"/>
    <x v="2"/>
    <x v="0"/>
    <n v="272.4358974358974"/>
    <n v="0"/>
    <x v="3"/>
    <x v="0"/>
    <n v="272.4358974358974"/>
    <n v="0"/>
    <n v="272.4358974358974"/>
    <n v="272.4358974358974"/>
    <n v="0"/>
    <n v="3055000"/>
    <x v="0"/>
    <n v="272.4358974358974"/>
    <n v="0"/>
    <x v="6"/>
    <x v="6"/>
  </r>
  <r>
    <n v="116"/>
    <x v="0"/>
    <n v="0.47"/>
    <x v="1"/>
    <x v="6"/>
    <x v="2"/>
    <x v="0"/>
    <n v="272.4358974358974"/>
    <n v="0"/>
    <x v="3"/>
    <x v="0"/>
    <n v="272.4358974358974"/>
    <n v="0"/>
    <n v="272.4358974358974"/>
    <n v="272.4358974358974"/>
    <n v="0"/>
    <n v="3055000"/>
    <x v="0"/>
    <n v="272.4358974358974"/>
    <n v="0"/>
    <x v="6"/>
    <x v="6"/>
  </r>
  <r>
    <n v="117"/>
    <x v="0"/>
    <n v="0.47"/>
    <x v="1"/>
    <x v="2"/>
    <x v="2"/>
    <x v="0"/>
    <n v="272.4358974358974"/>
    <n v="0"/>
    <x v="3"/>
    <x v="0"/>
    <n v="272.4358974358974"/>
    <n v="0"/>
    <n v="272.4358974358974"/>
    <n v="272.4358974358974"/>
    <n v="0"/>
    <n v="3055000"/>
    <x v="0"/>
    <n v="272.4358974358974"/>
    <n v="0"/>
    <x v="6"/>
    <x v="6"/>
  </r>
  <r>
    <n v="118"/>
    <x v="0"/>
    <n v="0.47"/>
    <x v="1"/>
    <x v="5"/>
    <x v="2"/>
    <x v="0"/>
    <n v="2466.6666666666665"/>
    <n v="0"/>
    <x v="3"/>
    <x v="1"/>
    <n v="2466.6666666666665"/>
    <n v="0"/>
    <n v="2466.6666666666665"/>
    <n v="2466.6666666666665"/>
    <n v="0"/>
    <n v="3055000"/>
    <x v="0"/>
    <n v="2466.6666666666665"/>
    <n v="0"/>
    <x v="6"/>
    <x v="6"/>
  </r>
  <r>
    <n v="119"/>
    <x v="0"/>
    <n v="0.47"/>
    <x v="1"/>
    <x v="6"/>
    <x v="2"/>
    <x v="0"/>
    <n v="2466.6666666666665"/>
    <n v="0"/>
    <x v="3"/>
    <x v="1"/>
    <n v="2466.6666666666665"/>
    <n v="0"/>
    <n v="2466.6666666666665"/>
    <n v="2466.6666666666665"/>
    <n v="0"/>
    <n v="3055000"/>
    <x v="0"/>
    <n v="2466.6666666666665"/>
    <n v="0"/>
    <x v="6"/>
    <x v="6"/>
  </r>
  <r>
    <n v="120"/>
    <x v="0"/>
    <n v="0.47"/>
    <x v="1"/>
    <x v="2"/>
    <x v="2"/>
    <x v="0"/>
    <n v="2466.6666666666665"/>
    <n v="0"/>
    <x v="3"/>
    <x v="1"/>
    <n v="2466.6666666666665"/>
    <n v="0"/>
    <n v="2466.6666666666665"/>
    <n v="2466.6666666666665"/>
    <n v="0"/>
    <n v="3055000"/>
    <x v="0"/>
    <n v="2466.6666666666665"/>
    <n v="0"/>
    <x v="6"/>
    <x v="6"/>
  </r>
  <r>
    <n v="121"/>
    <x v="0"/>
    <n v="0.47"/>
    <x v="1"/>
    <x v="5"/>
    <x v="2"/>
    <x v="0"/>
    <n v="136.2179487179487"/>
    <n v="0"/>
    <x v="3"/>
    <x v="0"/>
    <n v="136.2179487179487"/>
    <n v="0"/>
    <n v="136.2179487179487"/>
    <n v="136.2179487179487"/>
    <n v="0"/>
    <n v="3055000"/>
    <x v="0"/>
    <n v="136.2179487179487"/>
    <n v="0"/>
    <x v="7"/>
    <x v="7"/>
  </r>
  <r>
    <n v="122"/>
    <x v="0"/>
    <n v="0.47"/>
    <x v="1"/>
    <x v="6"/>
    <x v="2"/>
    <x v="0"/>
    <n v="136.2179487179487"/>
    <n v="0"/>
    <x v="3"/>
    <x v="0"/>
    <n v="136.2179487179487"/>
    <n v="0"/>
    <n v="136.2179487179487"/>
    <n v="136.2179487179487"/>
    <n v="0"/>
    <n v="3055000"/>
    <x v="0"/>
    <n v="136.2179487179487"/>
    <n v="0"/>
    <x v="7"/>
    <x v="7"/>
  </r>
  <r>
    <n v="123"/>
    <x v="0"/>
    <n v="0.47"/>
    <x v="1"/>
    <x v="2"/>
    <x v="2"/>
    <x v="0"/>
    <n v="136.2179487179487"/>
    <n v="0"/>
    <x v="3"/>
    <x v="0"/>
    <n v="136.2179487179487"/>
    <n v="0"/>
    <n v="136.2179487179487"/>
    <n v="136.2179487179487"/>
    <n v="0"/>
    <n v="3055000"/>
    <x v="0"/>
    <n v="136.2179487179487"/>
    <n v="0"/>
    <x v="7"/>
    <x v="7"/>
  </r>
  <r>
    <n v="124"/>
    <x v="0"/>
    <n v="0.47"/>
    <x v="1"/>
    <x v="5"/>
    <x v="2"/>
    <x v="0"/>
    <n v="400.64102564102564"/>
    <n v="0"/>
    <x v="3"/>
    <x v="7"/>
    <n v="400.64102564102564"/>
    <n v="0"/>
    <n v="400.64102564102564"/>
    <n v="400.64102564102564"/>
    <n v="0"/>
    <n v="3055000"/>
    <x v="0"/>
    <n v="400.64102564102564"/>
    <n v="0"/>
    <x v="7"/>
    <x v="7"/>
  </r>
  <r>
    <n v="125"/>
    <x v="0"/>
    <n v="0.47"/>
    <x v="1"/>
    <x v="6"/>
    <x v="2"/>
    <x v="0"/>
    <n v="400.64102564102564"/>
    <n v="0"/>
    <x v="3"/>
    <x v="7"/>
    <n v="400.64102564102564"/>
    <n v="0"/>
    <n v="400.64102564102564"/>
    <n v="400.64102564102564"/>
    <n v="0"/>
    <n v="3055000"/>
    <x v="0"/>
    <n v="400.64102564102564"/>
    <n v="0"/>
    <x v="7"/>
    <x v="7"/>
  </r>
  <r>
    <n v="126"/>
    <x v="0"/>
    <n v="0.47"/>
    <x v="1"/>
    <x v="2"/>
    <x v="2"/>
    <x v="0"/>
    <n v="400.64102564102564"/>
    <n v="0"/>
    <x v="3"/>
    <x v="7"/>
    <n v="400.64102564102564"/>
    <n v="0"/>
    <n v="400.64102564102564"/>
    <n v="400.64102564102564"/>
    <n v="0"/>
    <n v="3055000"/>
    <x v="0"/>
    <n v="400.64102564102564"/>
    <n v="0"/>
    <x v="7"/>
    <x v="7"/>
  </r>
  <r>
    <n v="127"/>
    <x v="0"/>
    <n v="0.47"/>
    <x v="1"/>
    <x v="5"/>
    <x v="2"/>
    <x v="0"/>
    <n v="33401.442307692305"/>
    <n v="0"/>
    <x v="1"/>
    <x v="0"/>
    <n v="68.108974358974351"/>
    <n v="33333.333333333336"/>
    <n v="33401.442307692312"/>
    <n v="33401.442307692305"/>
    <n v="0"/>
    <n v="3055000"/>
    <x v="1"/>
    <n v="68.108974358974336"/>
    <n v="33333.333333333328"/>
    <x v="8"/>
    <x v="8"/>
  </r>
  <r>
    <n v="128"/>
    <x v="0"/>
    <n v="0.47"/>
    <x v="1"/>
    <x v="6"/>
    <x v="2"/>
    <x v="0"/>
    <n v="33401.442307692305"/>
    <n v="0"/>
    <x v="1"/>
    <x v="0"/>
    <n v="68.108974358974351"/>
    <n v="33333.333333333336"/>
    <n v="33401.442307692312"/>
    <n v="33401.442307692305"/>
    <n v="0"/>
    <n v="3055000"/>
    <x v="1"/>
    <n v="68.108974358974336"/>
    <n v="33333.333333333328"/>
    <x v="8"/>
    <x v="8"/>
  </r>
  <r>
    <n v="129"/>
    <x v="0"/>
    <n v="0.47"/>
    <x v="1"/>
    <x v="2"/>
    <x v="2"/>
    <x v="0"/>
    <n v="33401.442307692305"/>
    <n v="0"/>
    <x v="1"/>
    <x v="0"/>
    <n v="68.108974358974351"/>
    <n v="33333.333333333336"/>
    <n v="33401.442307692312"/>
    <n v="33401.442307692305"/>
    <n v="0"/>
    <n v="3055000"/>
    <x v="1"/>
    <n v="68.108974358974336"/>
    <n v="33333.333333333328"/>
    <x v="8"/>
    <x v="8"/>
  </r>
  <r>
    <n v="130"/>
    <x v="0"/>
    <n v="0.47"/>
    <x v="1"/>
    <x v="5"/>
    <x v="2"/>
    <x v="0"/>
    <n v="83401.442307692312"/>
    <n v="0"/>
    <x v="2"/>
    <x v="0"/>
    <n v="68.108974358974351"/>
    <n v="83333.333333333328"/>
    <n v="83401.442307692298"/>
    <n v="83401.442307692312"/>
    <n v="0"/>
    <n v="3055000"/>
    <x v="1"/>
    <n v="68.108974358974365"/>
    <n v="83333.333333333343"/>
    <x v="9"/>
    <x v="9"/>
  </r>
  <r>
    <n v="131"/>
    <x v="0"/>
    <n v="0.47"/>
    <x v="1"/>
    <x v="6"/>
    <x v="2"/>
    <x v="0"/>
    <n v="83401.442307692312"/>
    <n v="0"/>
    <x v="2"/>
    <x v="0"/>
    <n v="68.108974358974351"/>
    <n v="83333.333333333328"/>
    <n v="83401.442307692298"/>
    <n v="83401.442307692312"/>
    <n v="0"/>
    <n v="3055000"/>
    <x v="1"/>
    <n v="68.108974358974365"/>
    <n v="83333.333333333343"/>
    <x v="9"/>
    <x v="9"/>
  </r>
  <r>
    <n v="132"/>
    <x v="0"/>
    <n v="0.47"/>
    <x v="1"/>
    <x v="2"/>
    <x v="2"/>
    <x v="0"/>
    <n v="83401.442307692312"/>
    <n v="0"/>
    <x v="2"/>
    <x v="0"/>
    <n v="68.108974358974351"/>
    <n v="83333.333333333328"/>
    <n v="83401.442307692298"/>
    <n v="83401.442307692312"/>
    <n v="0"/>
    <n v="3055000"/>
    <x v="1"/>
    <n v="68.108974358974365"/>
    <n v="83333.333333333343"/>
    <x v="9"/>
    <x v="9"/>
  </r>
  <r>
    <n v="133"/>
    <x v="0"/>
    <n v="0.47"/>
    <x v="1"/>
    <x v="5"/>
    <x v="2"/>
    <x v="0"/>
    <n v="272.4358974358974"/>
    <n v="0"/>
    <x v="3"/>
    <x v="0"/>
    <n v="272.4358974358974"/>
    <n v="0"/>
    <n v="272.4358974358974"/>
    <n v="272.4358974358974"/>
    <n v="0"/>
    <n v="3055000"/>
    <x v="0"/>
    <n v="272.4358974358974"/>
    <n v="0"/>
    <x v="10"/>
    <x v="10"/>
  </r>
  <r>
    <n v="134"/>
    <x v="0"/>
    <n v="0.47"/>
    <x v="1"/>
    <x v="6"/>
    <x v="2"/>
    <x v="0"/>
    <n v="272.4358974358974"/>
    <n v="0"/>
    <x v="3"/>
    <x v="0"/>
    <n v="272.4358974358974"/>
    <n v="0"/>
    <n v="272.4358974358974"/>
    <n v="272.4358974358974"/>
    <n v="0"/>
    <n v="3055000"/>
    <x v="0"/>
    <n v="272.4358974358974"/>
    <n v="0"/>
    <x v="10"/>
    <x v="10"/>
  </r>
  <r>
    <n v="135"/>
    <x v="0"/>
    <n v="0.47"/>
    <x v="1"/>
    <x v="2"/>
    <x v="2"/>
    <x v="0"/>
    <n v="272.4358974358974"/>
    <n v="0"/>
    <x v="3"/>
    <x v="0"/>
    <n v="272.4358974358974"/>
    <n v="0"/>
    <n v="272.4358974358974"/>
    <n v="272.4358974358974"/>
    <n v="0"/>
    <n v="3055000"/>
    <x v="0"/>
    <n v="272.4358974358974"/>
    <n v="0"/>
    <x v="10"/>
    <x v="10"/>
  </r>
  <r>
    <n v="136"/>
    <x v="0"/>
    <n v="0.47"/>
    <x v="1"/>
    <x v="5"/>
    <x v="2"/>
    <x v="0"/>
    <n v="600.96153846153845"/>
    <n v="0"/>
    <x v="3"/>
    <x v="7"/>
    <n v="600.96153846153845"/>
    <n v="0"/>
    <n v="600.96153846153845"/>
    <n v="600.96153846153845"/>
    <n v="0"/>
    <n v="3055000"/>
    <x v="0"/>
    <n v="600.96153846153845"/>
    <n v="0"/>
    <x v="10"/>
    <x v="10"/>
  </r>
  <r>
    <n v="137"/>
    <x v="0"/>
    <n v="0.47"/>
    <x v="1"/>
    <x v="6"/>
    <x v="2"/>
    <x v="0"/>
    <n v="600.96153846153845"/>
    <n v="0"/>
    <x v="3"/>
    <x v="7"/>
    <n v="600.96153846153845"/>
    <n v="0"/>
    <n v="600.96153846153845"/>
    <n v="600.96153846153845"/>
    <n v="0"/>
    <n v="3055000"/>
    <x v="0"/>
    <n v="600.96153846153845"/>
    <n v="0"/>
    <x v="10"/>
    <x v="10"/>
  </r>
  <r>
    <n v="138"/>
    <x v="0"/>
    <n v="0.47"/>
    <x v="1"/>
    <x v="2"/>
    <x v="2"/>
    <x v="0"/>
    <n v="600.96153846153845"/>
    <n v="0"/>
    <x v="3"/>
    <x v="7"/>
    <n v="600.96153846153845"/>
    <n v="0"/>
    <n v="600.96153846153845"/>
    <n v="600.96153846153845"/>
    <n v="0"/>
    <n v="3055000"/>
    <x v="0"/>
    <n v="600.96153846153845"/>
    <n v="0"/>
    <x v="10"/>
    <x v="10"/>
  </r>
  <r>
    <n v="139"/>
    <x v="0"/>
    <n v="0.47"/>
    <x v="1"/>
    <x v="5"/>
    <x v="2"/>
    <x v="0"/>
    <n v="7400"/>
    <n v="0"/>
    <x v="3"/>
    <x v="1"/>
    <n v="7400"/>
    <n v="0"/>
    <n v="7400"/>
    <n v="7400"/>
    <n v="0"/>
    <n v="3055000"/>
    <x v="0"/>
    <n v="7400"/>
    <n v="0"/>
    <x v="10"/>
    <x v="10"/>
  </r>
  <r>
    <n v="140"/>
    <x v="0"/>
    <n v="0.47"/>
    <x v="1"/>
    <x v="6"/>
    <x v="2"/>
    <x v="0"/>
    <n v="7400"/>
    <n v="0"/>
    <x v="3"/>
    <x v="1"/>
    <n v="7400"/>
    <n v="0"/>
    <n v="7400"/>
    <n v="7400"/>
    <n v="0"/>
    <n v="3055000"/>
    <x v="0"/>
    <n v="7400"/>
    <n v="0"/>
    <x v="10"/>
    <x v="10"/>
  </r>
  <r>
    <n v="141"/>
    <x v="0"/>
    <n v="0.47"/>
    <x v="1"/>
    <x v="2"/>
    <x v="2"/>
    <x v="0"/>
    <n v="7400"/>
    <n v="0"/>
    <x v="3"/>
    <x v="1"/>
    <n v="7400"/>
    <n v="0"/>
    <n v="7400"/>
    <n v="7400"/>
    <n v="0"/>
    <n v="3055000"/>
    <x v="0"/>
    <n v="7400"/>
    <n v="0"/>
    <x v="10"/>
    <x v="10"/>
  </r>
  <r>
    <n v="142"/>
    <x v="0"/>
    <n v="0.47"/>
    <x v="2"/>
    <x v="10"/>
    <x v="0"/>
    <x v="0"/>
    <n v="408.65384615384613"/>
    <n v="0"/>
    <x v="3"/>
    <x v="0"/>
    <n v="408.65384615384613"/>
    <n v="0"/>
    <n v="408.65384615384613"/>
    <n v="408.65384615384613"/>
    <n v="0"/>
    <n v="3055000"/>
    <x v="0"/>
    <n v="408.65384615384613"/>
    <n v="0"/>
    <x v="3"/>
    <x v="3"/>
  </r>
  <r>
    <n v="143"/>
    <x v="0"/>
    <n v="0.47"/>
    <x v="2"/>
    <x v="11"/>
    <x v="0"/>
    <x v="0"/>
    <n v="408.65384615384613"/>
    <n v="0"/>
    <x v="3"/>
    <x v="0"/>
    <n v="408.65384615384613"/>
    <n v="0"/>
    <n v="408.65384615384613"/>
    <n v="408.65384615384613"/>
    <n v="0"/>
    <n v="3055000"/>
    <x v="0"/>
    <n v="408.65384615384613"/>
    <n v="0"/>
    <x v="3"/>
    <x v="3"/>
  </r>
  <r>
    <n v="144"/>
    <x v="0"/>
    <n v="0.47"/>
    <x v="2"/>
    <x v="10"/>
    <x v="0"/>
    <x v="0"/>
    <n v="901.44230769230774"/>
    <n v="0"/>
    <x v="3"/>
    <x v="7"/>
    <n v="901.44230769230774"/>
    <n v="0"/>
    <n v="901.44230769230774"/>
    <n v="901.44230769230774"/>
    <n v="0"/>
    <n v="3055000"/>
    <x v="0"/>
    <n v="901.44230769230774"/>
    <n v="0"/>
    <x v="3"/>
    <x v="3"/>
  </r>
  <r>
    <n v="145"/>
    <x v="0"/>
    <n v="0.47"/>
    <x v="2"/>
    <x v="11"/>
    <x v="0"/>
    <x v="0"/>
    <n v="901.44230769230774"/>
    <n v="0"/>
    <x v="3"/>
    <x v="7"/>
    <n v="901.44230769230774"/>
    <n v="0"/>
    <n v="901.44230769230774"/>
    <n v="901.44230769230774"/>
    <n v="0"/>
    <n v="3055000"/>
    <x v="0"/>
    <n v="901.44230769230774"/>
    <n v="0"/>
    <x v="3"/>
    <x v="3"/>
  </r>
  <r>
    <n v="146"/>
    <x v="0"/>
    <n v="0.47"/>
    <x v="2"/>
    <x v="10"/>
    <x v="0"/>
    <x v="1"/>
    <n v="204.32692307692307"/>
    <n v="204.32692307692307"/>
    <x v="3"/>
    <x v="0"/>
    <n v="408.65384615384613"/>
    <n v="0"/>
    <n v="408.65384615384613"/>
    <n v="306.49038461538458"/>
    <n v="102.16346153846153"/>
    <n v="3055000"/>
    <x v="0"/>
    <n v="306.49038461538458"/>
    <n v="0"/>
    <x v="4"/>
    <x v="4"/>
  </r>
  <r>
    <n v="147"/>
    <x v="0"/>
    <n v="0.47"/>
    <x v="2"/>
    <x v="11"/>
    <x v="0"/>
    <x v="1"/>
    <n v="204.32692307692307"/>
    <n v="204.32692307692307"/>
    <x v="3"/>
    <x v="0"/>
    <n v="408.65384615384613"/>
    <n v="0"/>
    <n v="408.65384615384613"/>
    <n v="306.49038461538458"/>
    <n v="102.16346153846153"/>
    <n v="3055000"/>
    <x v="0"/>
    <n v="306.49038461538458"/>
    <n v="0"/>
    <x v="4"/>
    <x v="4"/>
  </r>
  <r>
    <n v="148"/>
    <x v="0"/>
    <n v="0.47"/>
    <x v="2"/>
    <x v="10"/>
    <x v="0"/>
    <x v="1"/>
    <n v="1850"/>
    <n v="1850"/>
    <x v="3"/>
    <x v="1"/>
    <n v="3700"/>
    <n v="0"/>
    <n v="3700"/>
    <n v="2775"/>
    <n v="925"/>
    <n v="3055000"/>
    <x v="0"/>
    <n v="2775"/>
    <n v="0"/>
    <x v="4"/>
    <x v="4"/>
  </r>
  <r>
    <n v="149"/>
    <x v="0"/>
    <n v="0.47"/>
    <x v="2"/>
    <x v="11"/>
    <x v="0"/>
    <x v="1"/>
    <n v="1850"/>
    <n v="1850"/>
    <x v="3"/>
    <x v="1"/>
    <n v="3700"/>
    <n v="0"/>
    <n v="3700"/>
    <n v="2775"/>
    <n v="925"/>
    <n v="3055000"/>
    <x v="0"/>
    <n v="2775"/>
    <n v="0"/>
    <x v="4"/>
    <x v="4"/>
  </r>
  <r>
    <n v="150"/>
    <x v="0"/>
    <n v="0.47"/>
    <x v="2"/>
    <x v="10"/>
    <x v="0"/>
    <x v="1"/>
    <n v="70000"/>
    <n v="30000.000000000004"/>
    <x v="1"/>
    <x v="3"/>
    <n v="0"/>
    <n v="100000"/>
    <n v="100000"/>
    <n v="10000"/>
    <n v="90000"/>
    <n v="3055000"/>
    <x v="1"/>
    <n v="0"/>
    <n v="10000"/>
    <x v="3"/>
    <x v="3"/>
  </r>
  <r>
    <n v="151"/>
    <x v="0"/>
    <n v="0.47"/>
    <x v="2"/>
    <x v="11"/>
    <x v="0"/>
    <x v="1"/>
    <n v="70000"/>
    <n v="30000.000000000004"/>
    <x v="1"/>
    <x v="3"/>
    <n v="0"/>
    <n v="100000"/>
    <n v="100000"/>
    <n v="10000"/>
    <n v="90000"/>
    <n v="3055000"/>
    <x v="1"/>
    <n v="0"/>
    <n v="10000"/>
    <x v="3"/>
    <x v="3"/>
  </r>
  <r>
    <n v="152"/>
    <x v="0"/>
    <n v="0.47"/>
    <x v="2"/>
    <x v="10"/>
    <x v="0"/>
    <x v="1"/>
    <n v="195000"/>
    <n v="130000"/>
    <x v="2"/>
    <x v="3"/>
    <n v="0"/>
    <n v="325000"/>
    <n v="325000"/>
    <n v="32500"/>
    <n v="292500"/>
    <n v="3055000"/>
    <x v="1"/>
    <n v="0"/>
    <n v="32500"/>
    <x v="11"/>
    <x v="11"/>
  </r>
  <r>
    <n v="153"/>
    <x v="0"/>
    <n v="0.47"/>
    <x v="2"/>
    <x v="11"/>
    <x v="0"/>
    <x v="1"/>
    <n v="195000"/>
    <n v="130000"/>
    <x v="2"/>
    <x v="3"/>
    <n v="0"/>
    <n v="325000"/>
    <n v="325000"/>
    <n v="32500"/>
    <n v="292500"/>
    <n v="3055000"/>
    <x v="1"/>
    <n v="0"/>
    <n v="32500"/>
    <x v="11"/>
    <x v="11"/>
  </r>
  <r>
    <n v="154"/>
    <x v="0"/>
    <n v="0.47"/>
    <x v="2"/>
    <x v="10"/>
    <x v="0"/>
    <x v="1"/>
    <n v="163.46153846153845"/>
    <n v="653.84615384615381"/>
    <x v="3"/>
    <x v="0"/>
    <n v="817.30769230769226"/>
    <n v="0"/>
    <n v="817.30769230769226"/>
    <n v="40.865384615384613"/>
    <n v="776.44230769230762"/>
    <n v="3055000"/>
    <x v="0"/>
    <n v="40.865384615384613"/>
    <n v="0"/>
    <x v="10"/>
    <x v="10"/>
  </r>
  <r>
    <n v="155"/>
    <x v="0"/>
    <n v="0.47"/>
    <x v="2"/>
    <x v="11"/>
    <x v="0"/>
    <x v="1"/>
    <n v="163.46153846153845"/>
    <n v="653.84615384615381"/>
    <x v="3"/>
    <x v="0"/>
    <n v="817.30769230769226"/>
    <n v="0"/>
    <n v="817.30769230769226"/>
    <n v="40.865384615384613"/>
    <n v="776.44230769230762"/>
    <n v="3055000"/>
    <x v="0"/>
    <n v="40.865384615384613"/>
    <n v="0"/>
    <x v="10"/>
    <x v="10"/>
  </r>
  <r>
    <n v="156"/>
    <x v="0"/>
    <n v="0.47"/>
    <x v="2"/>
    <x v="10"/>
    <x v="0"/>
    <x v="1"/>
    <n v="1200"/>
    <n v="4800"/>
    <x v="3"/>
    <x v="4"/>
    <n v="6000"/>
    <n v="0"/>
    <n v="6000"/>
    <n v="300"/>
    <n v="5700"/>
    <n v="3055000"/>
    <x v="0"/>
    <n v="300"/>
    <n v="0"/>
    <x v="10"/>
    <x v="10"/>
  </r>
  <r>
    <n v="157"/>
    <x v="0"/>
    <n v="0.47"/>
    <x v="2"/>
    <x v="11"/>
    <x v="0"/>
    <x v="1"/>
    <n v="1200"/>
    <n v="4800"/>
    <x v="3"/>
    <x v="4"/>
    <n v="6000"/>
    <n v="0"/>
    <n v="6000"/>
    <n v="300"/>
    <n v="5700"/>
    <n v="3055000"/>
    <x v="0"/>
    <n v="300"/>
    <n v="0"/>
    <x v="10"/>
    <x v="10"/>
  </r>
  <r>
    <n v="158"/>
    <x v="0"/>
    <n v="0.47"/>
    <x v="2"/>
    <x v="10"/>
    <x v="0"/>
    <x v="1"/>
    <n v="721.15384615384619"/>
    <n v="2884.6153846153848"/>
    <x v="3"/>
    <x v="9"/>
    <n v="3605.7692307692305"/>
    <n v="0"/>
    <n v="3605.7692307692305"/>
    <n v="180.28846153846155"/>
    <n v="3425.4807692307686"/>
    <n v="3055000"/>
    <x v="0"/>
    <n v="180.28846153846155"/>
    <n v="0"/>
    <x v="10"/>
    <x v="10"/>
  </r>
  <r>
    <n v="159"/>
    <x v="0"/>
    <n v="0.47"/>
    <x v="2"/>
    <x v="11"/>
    <x v="0"/>
    <x v="1"/>
    <n v="721.15384615384619"/>
    <n v="2884.6153846153848"/>
    <x v="3"/>
    <x v="9"/>
    <n v="3605.7692307692305"/>
    <n v="0"/>
    <n v="3605.7692307692305"/>
    <n v="180.28846153846155"/>
    <n v="3425.4807692307686"/>
    <n v="3055000"/>
    <x v="0"/>
    <n v="180.28846153846155"/>
    <n v="0"/>
    <x v="10"/>
    <x v="10"/>
  </r>
  <r>
    <n v="160"/>
    <x v="0"/>
    <n v="0.47"/>
    <x v="2"/>
    <x v="10"/>
    <x v="0"/>
    <x v="1"/>
    <n v="3300"/>
    <n v="13200"/>
    <x v="3"/>
    <x v="5"/>
    <n v="16500"/>
    <n v="0"/>
    <n v="16500"/>
    <n v="825"/>
    <n v="15675"/>
    <n v="3055000"/>
    <x v="0"/>
    <n v="825"/>
    <n v="0"/>
    <x v="10"/>
    <x v="10"/>
  </r>
  <r>
    <n v="161"/>
    <x v="0"/>
    <n v="0.47"/>
    <x v="2"/>
    <x v="11"/>
    <x v="0"/>
    <x v="1"/>
    <n v="3300"/>
    <n v="13200"/>
    <x v="3"/>
    <x v="5"/>
    <n v="16500"/>
    <n v="0"/>
    <n v="16500"/>
    <n v="825"/>
    <n v="15675"/>
    <n v="3055000"/>
    <x v="0"/>
    <n v="825"/>
    <n v="0"/>
    <x v="10"/>
    <x v="10"/>
  </r>
  <r>
    <n v="162"/>
    <x v="0"/>
    <n v="0.47"/>
    <x v="2"/>
    <x v="10"/>
    <x v="0"/>
    <x v="1"/>
    <n v="600.96153846153845"/>
    <n v="2403.8461538461538"/>
    <x v="3"/>
    <x v="10"/>
    <n v="3004.8076923076924"/>
    <n v="0"/>
    <n v="3004.8076923076924"/>
    <n v="150.24038461538461"/>
    <n v="2854.5673076923076"/>
    <n v="3055000"/>
    <x v="0"/>
    <n v="150.24038461538461"/>
    <n v="0"/>
    <x v="10"/>
    <x v="10"/>
  </r>
  <r>
    <n v="163"/>
    <x v="0"/>
    <n v="0.47"/>
    <x v="2"/>
    <x v="11"/>
    <x v="0"/>
    <x v="1"/>
    <n v="600.96153846153845"/>
    <n v="2403.8461538461538"/>
    <x v="3"/>
    <x v="10"/>
    <n v="3004.8076923076924"/>
    <n v="0"/>
    <n v="3004.8076923076924"/>
    <n v="150.24038461538461"/>
    <n v="2854.5673076923076"/>
    <n v="3055000"/>
    <x v="0"/>
    <n v="150.24038461538461"/>
    <n v="0"/>
    <x v="10"/>
    <x v="10"/>
  </r>
  <r>
    <n v="164"/>
    <x v="1"/>
    <n v="0.15"/>
    <x v="3"/>
    <x v="8"/>
    <x v="1"/>
    <x v="3"/>
    <n v="2403.8461538461538"/>
    <n v="600.96153846153834"/>
    <x v="0"/>
    <x v="11"/>
    <n v="3004.8076923076924"/>
    <n v="0"/>
    <n v="3004.8076923076924"/>
    <n v="3004.8076923076924"/>
    <n v="3004.8076923076924"/>
    <n v="975000"/>
    <x v="0"/>
    <n v="3004.8076923076924"/>
    <n v="0"/>
    <x v="1"/>
    <x v="1"/>
  </r>
  <r>
    <n v="165"/>
    <x v="1"/>
    <n v="0.15"/>
    <x v="3"/>
    <x v="11"/>
    <x v="1"/>
    <x v="3"/>
    <n v="2403.8461538461538"/>
    <n v="600.96153846153834"/>
    <x v="0"/>
    <x v="11"/>
    <n v="3004.8076923076924"/>
    <n v="0"/>
    <n v="3004.8076923076924"/>
    <n v="3004.8076923076924"/>
    <n v="3004.8076923076924"/>
    <n v="975000"/>
    <x v="0"/>
    <n v="3004.8076923076924"/>
    <n v="0"/>
    <x v="1"/>
    <x v="1"/>
  </r>
  <r>
    <n v="166"/>
    <x v="1"/>
    <n v="0.15"/>
    <x v="3"/>
    <x v="8"/>
    <x v="1"/>
    <x v="3"/>
    <n v="40000"/>
    <n v="9999.9999999999982"/>
    <x v="0"/>
    <x v="12"/>
    <n v="50000"/>
    <n v="0"/>
    <n v="50000"/>
    <n v="50000"/>
    <n v="50000"/>
    <n v="975000"/>
    <x v="0"/>
    <n v="50000"/>
    <n v="0"/>
    <x v="1"/>
    <x v="1"/>
  </r>
  <r>
    <n v="167"/>
    <x v="1"/>
    <n v="0.15"/>
    <x v="3"/>
    <x v="11"/>
    <x v="1"/>
    <x v="3"/>
    <n v="40000"/>
    <n v="9999.9999999999982"/>
    <x v="0"/>
    <x v="12"/>
    <n v="50000"/>
    <n v="0"/>
    <n v="50000"/>
    <n v="50000"/>
    <n v="50000"/>
    <n v="975000"/>
    <x v="0"/>
    <n v="50000"/>
    <n v="0"/>
    <x v="1"/>
    <x v="1"/>
  </r>
  <r>
    <n v="168"/>
    <x v="1"/>
    <n v="0.15"/>
    <x v="1"/>
    <x v="0"/>
    <x v="0"/>
    <x v="0"/>
    <n v="18028.846153846152"/>
    <n v="0"/>
    <x v="0"/>
    <x v="11"/>
    <n v="18028.846153846152"/>
    <n v="0"/>
    <n v="18028.846153846152"/>
    <n v="18028.846153846152"/>
    <n v="18028.846153846152"/>
    <n v="975000"/>
    <x v="0"/>
    <n v="18028.846153846152"/>
    <n v="0"/>
    <x v="1"/>
    <x v="1"/>
  </r>
  <r>
    <n v="169"/>
    <x v="1"/>
    <n v="0.15"/>
    <x v="1"/>
    <x v="0"/>
    <x v="0"/>
    <x v="0"/>
    <n v="200000"/>
    <n v="0"/>
    <x v="0"/>
    <x v="12"/>
    <n v="200000"/>
    <n v="0"/>
    <n v="200000"/>
    <n v="200000"/>
    <n v="200000"/>
    <n v="975000"/>
    <x v="0"/>
    <n v="200000"/>
    <n v="0"/>
    <x v="1"/>
    <x v="1"/>
  </r>
  <r>
    <n v="170"/>
    <x v="1"/>
    <n v="0.15"/>
    <x v="0"/>
    <x v="6"/>
    <x v="3"/>
    <x v="0"/>
    <n v="6009.6153846153848"/>
    <n v="0"/>
    <x v="0"/>
    <x v="11"/>
    <n v="6009.6153846153848"/>
    <n v="0"/>
    <n v="6009.6153846153848"/>
    <n v="5408.6538461538466"/>
    <n v="6009.6153846153848"/>
    <n v="975000"/>
    <x v="0"/>
    <n v="5408.6538461538466"/>
    <n v="0"/>
    <x v="3"/>
    <x v="3"/>
  </r>
  <r>
    <n v="171"/>
    <x v="1"/>
    <n v="0.15"/>
    <x v="0"/>
    <x v="6"/>
    <x v="3"/>
    <x v="0"/>
    <n v="100000"/>
    <n v="0"/>
    <x v="0"/>
    <x v="12"/>
    <n v="100000"/>
    <n v="0"/>
    <n v="100000"/>
    <n v="90000"/>
    <n v="100000"/>
    <n v="975000"/>
    <x v="0"/>
    <n v="90000"/>
    <n v="0"/>
    <x v="3"/>
    <x v="3"/>
  </r>
  <r>
    <n v="172"/>
    <x v="1"/>
    <n v="0.15"/>
    <x v="4"/>
    <x v="1"/>
    <x v="0"/>
    <x v="0"/>
    <n v="3004.8076923076924"/>
    <n v="0"/>
    <x v="0"/>
    <x v="11"/>
    <n v="3004.8076923076924"/>
    <n v="0"/>
    <n v="3004.8076923076924"/>
    <n v="1802.8846153846155"/>
    <n v="3004.8076923076924"/>
    <n v="975000"/>
    <x v="0"/>
    <n v="1802.8846153846155"/>
    <n v="0"/>
    <x v="8"/>
    <x v="8"/>
  </r>
  <r>
    <n v="173"/>
    <x v="1"/>
    <n v="0.15"/>
    <x v="4"/>
    <x v="12"/>
    <x v="0"/>
    <x v="0"/>
    <n v="3004.8076923076924"/>
    <n v="0"/>
    <x v="0"/>
    <x v="11"/>
    <n v="3004.8076923076924"/>
    <n v="0"/>
    <n v="3004.8076923076924"/>
    <n v="1802.8846153846155"/>
    <n v="3004.8076923076924"/>
    <n v="975000"/>
    <x v="0"/>
    <n v="1802.8846153846155"/>
    <n v="0"/>
    <x v="8"/>
    <x v="8"/>
  </r>
  <r>
    <n v="174"/>
    <x v="1"/>
    <n v="0.15"/>
    <x v="4"/>
    <x v="1"/>
    <x v="0"/>
    <x v="0"/>
    <n v="150000"/>
    <n v="0"/>
    <x v="0"/>
    <x v="12"/>
    <n v="150000"/>
    <n v="0"/>
    <n v="150000"/>
    <n v="90000"/>
    <n v="150000"/>
    <n v="975000"/>
    <x v="0"/>
    <n v="90000"/>
    <n v="0"/>
    <x v="8"/>
    <x v="8"/>
  </r>
  <r>
    <n v="175"/>
    <x v="1"/>
    <n v="0.15"/>
    <x v="4"/>
    <x v="12"/>
    <x v="0"/>
    <x v="0"/>
    <n v="150000"/>
    <n v="0"/>
    <x v="0"/>
    <x v="12"/>
    <n v="150000"/>
    <n v="0"/>
    <n v="150000"/>
    <n v="90000"/>
    <n v="150000"/>
    <n v="975000"/>
    <x v="0"/>
    <n v="90000"/>
    <n v="0"/>
    <x v="8"/>
    <x v="8"/>
  </r>
  <r>
    <n v="176"/>
    <x v="2"/>
    <n v="0.1"/>
    <x v="1"/>
    <x v="13"/>
    <x v="1"/>
    <x v="0"/>
    <n v="272.4358974358974"/>
    <n v="0"/>
    <x v="3"/>
    <x v="0"/>
    <n v="272.4358974358974"/>
    <n v="0"/>
    <n v="272.4358974358974"/>
    <n v="68.108974358974351"/>
    <n v="204.32692307692304"/>
    <n v="650000"/>
    <x v="0"/>
    <n v="68.108974358974351"/>
    <n v="0"/>
    <x v="4"/>
    <x v="4"/>
  </r>
  <r>
    <n v="177"/>
    <x v="2"/>
    <n v="0.1"/>
    <x v="1"/>
    <x v="14"/>
    <x v="1"/>
    <x v="0"/>
    <n v="272.4358974358974"/>
    <n v="0"/>
    <x v="3"/>
    <x v="0"/>
    <n v="272.4358974358974"/>
    <n v="0"/>
    <n v="272.4358974358974"/>
    <n v="68.108974358974351"/>
    <n v="204.32692307692304"/>
    <n v="650000"/>
    <x v="0"/>
    <n v="68.108974358974351"/>
    <n v="0"/>
    <x v="4"/>
    <x v="4"/>
  </r>
  <r>
    <n v="178"/>
    <x v="2"/>
    <n v="0.1"/>
    <x v="1"/>
    <x v="6"/>
    <x v="1"/>
    <x v="0"/>
    <n v="272.4358974358974"/>
    <n v="0"/>
    <x v="3"/>
    <x v="0"/>
    <n v="272.4358974358974"/>
    <n v="0"/>
    <n v="272.4358974358974"/>
    <n v="68.108974358974351"/>
    <n v="204.32692307692304"/>
    <n v="650000"/>
    <x v="0"/>
    <n v="68.108974358974351"/>
    <n v="0"/>
    <x v="4"/>
    <x v="4"/>
  </r>
  <r>
    <n v="179"/>
    <x v="2"/>
    <n v="0.1"/>
    <x v="1"/>
    <x v="13"/>
    <x v="1"/>
    <x v="0"/>
    <n v="2466.6666666666665"/>
    <n v="0"/>
    <x v="3"/>
    <x v="1"/>
    <n v="2466.6666666666665"/>
    <n v="0"/>
    <n v="2466.6666666666665"/>
    <n v="616.66666666666663"/>
    <n v="1850"/>
    <n v="650000"/>
    <x v="0"/>
    <n v="616.66666666666663"/>
    <n v="0"/>
    <x v="4"/>
    <x v="4"/>
  </r>
  <r>
    <n v="180"/>
    <x v="2"/>
    <n v="0.1"/>
    <x v="1"/>
    <x v="14"/>
    <x v="1"/>
    <x v="0"/>
    <n v="2466.6666666666665"/>
    <n v="0"/>
    <x v="3"/>
    <x v="1"/>
    <n v="2466.6666666666665"/>
    <n v="0"/>
    <n v="2466.6666666666665"/>
    <n v="616.66666666666663"/>
    <n v="1850"/>
    <n v="650000"/>
    <x v="0"/>
    <n v="616.66666666666663"/>
    <n v="0"/>
    <x v="4"/>
    <x v="4"/>
  </r>
  <r>
    <n v="181"/>
    <x v="2"/>
    <n v="0.1"/>
    <x v="1"/>
    <x v="6"/>
    <x v="1"/>
    <x v="0"/>
    <n v="2466.6666666666665"/>
    <n v="0"/>
    <x v="3"/>
    <x v="1"/>
    <n v="2466.6666666666665"/>
    <n v="0"/>
    <n v="2466.6666666666665"/>
    <n v="616.66666666666663"/>
    <n v="1850"/>
    <n v="650000"/>
    <x v="0"/>
    <n v="616.66666666666663"/>
    <n v="0"/>
    <x v="4"/>
    <x v="4"/>
  </r>
  <r>
    <n v="182"/>
    <x v="2"/>
    <n v="0.1"/>
    <x v="1"/>
    <x v="13"/>
    <x v="1"/>
    <x v="0"/>
    <n v="41666.666666666664"/>
    <n v="0"/>
    <x v="4"/>
    <x v="3"/>
    <n v="0"/>
    <n v="41666.666666666664"/>
    <n v="41666.666666666664"/>
    <n v="20833.333333333332"/>
    <n v="20833.333333333332"/>
    <n v="650000"/>
    <x v="0"/>
    <n v="0"/>
    <n v="20833.333333333332"/>
    <x v="4"/>
    <x v="4"/>
  </r>
  <r>
    <n v="183"/>
    <x v="2"/>
    <n v="0.1"/>
    <x v="1"/>
    <x v="14"/>
    <x v="1"/>
    <x v="0"/>
    <n v="41666.666666666664"/>
    <n v="0"/>
    <x v="4"/>
    <x v="3"/>
    <n v="0"/>
    <n v="41666.666666666664"/>
    <n v="41666.666666666664"/>
    <n v="20833.333333333332"/>
    <n v="20833.333333333332"/>
    <n v="650000"/>
    <x v="0"/>
    <n v="0"/>
    <n v="20833.333333333332"/>
    <x v="4"/>
    <x v="4"/>
  </r>
  <r>
    <n v="184"/>
    <x v="2"/>
    <n v="0.1"/>
    <x v="1"/>
    <x v="6"/>
    <x v="1"/>
    <x v="0"/>
    <n v="41666.666666666664"/>
    <n v="0"/>
    <x v="4"/>
    <x v="3"/>
    <n v="0"/>
    <n v="41666.666666666664"/>
    <n v="41666.666666666664"/>
    <n v="20833.333333333332"/>
    <n v="20833.333333333332"/>
    <n v="650000"/>
    <x v="0"/>
    <n v="0"/>
    <n v="20833.333333333332"/>
    <x v="4"/>
    <x v="4"/>
  </r>
  <r>
    <n v="185"/>
    <x v="2"/>
    <n v="0.1"/>
    <x v="1"/>
    <x v="13"/>
    <x v="1"/>
    <x v="0"/>
    <n v="544.8717948717948"/>
    <n v="0"/>
    <x v="3"/>
    <x v="0"/>
    <n v="544.8717948717948"/>
    <n v="0"/>
    <n v="544.8717948717948"/>
    <n v="272.4358974358974"/>
    <n v="272.4358974358974"/>
    <n v="650000"/>
    <x v="0"/>
    <n v="272.4358974358974"/>
    <n v="0"/>
    <x v="8"/>
    <x v="8"/>
  </r>
  <r>
    <n v="186"/>
    <x v="2"/>
    <n v="0.1"/>
    <x v="1"/>
    <x v="14"/>
    <x v="1"/>
    <x v="0"/>
    <n v="544.8717948717948"/>
    <n v="0"/>
    <x v="3"/>
    <x v="0"/>
    <n v="544.8717948717948"/>
    <n v="0"/>
    <n v="544.8717948717948"/>
    <n v="272.4358974358974"/>
    <n v="272.4358974358974"/>
    <n v="650000"/>
    <x v="0"/>
    <n v="272.4358974358974"/>
    <n v="0"/>
    <x v="8"/>
    <x v="8"/>
  </r>
  <r>
    <n v="187"/>
    <x v="2"/>
    <n v="0.1"/>
    <x v="1"/>
    <x v="6"/>
    <x v="1"/>
    <x v="0"/>
    <n v="544.8717948717948"/>
    <n v="0"/>
    <x v="3"/>
    <x v="0"/>
    <n v="544.8717948717948"/>
    <n v="0"/>
    <n v="544.8717948717948"/>
    <n v="272.4358974358974"/>
    <n v="272.4358974358974"/>
    <n v="650000"/>
    <x v="0"/>
    <n v="272.4358974358974"/>
    <n v="0"/>
    <x v="8"/>
    <x v="8"/>
  </r>
  <r>
    <n v="188"/>
    <x v="2"/>
    <n v="0.1"/>
    <x v="1"/>
    <x v="13"/>
    <x v="1"/>
    <x v="0"/>
    <n v="801.28205128205127"/>
    <n v="0"/>
    <x v="3"/>
    <x v="7"/>
    <n v="801.28205128205127"/>
    <n v="0"/>
    <n v="801.28205128205127"/>
    <n v="400.64102564102564"/>
    <n v="400.64102564102564"/>
    <n v="650000"/>
    <x v="0"/>
    <n v="400.64102564102564"/>
    <n v="0"/>
    <x v="8"/>
    <x v="8"/>
  </r>
  <r>
    <n v="189"/>
    <x v="2"/>
    <n v="0.1"/>
    <x v="1"/>
    <x v="14"/>
    <x v="1"/>
    <x v="0"/>
    <n v="801.28205128205127"/>
    <n v="0"/>
    <x v="3"/>
    <x v="7"/>
    <n v="801.28205128205127"/>
    <n v="0"/>
    <n v="801.28205128205127"/>
    <n v="400.64102564102564"/>
    <n v="400.64102564102564"/>
    <n v="650000"/>
    <x v="0"/>
    <n v="400.64102564102564"/>
    <n v="0"/>
    <x v="8"/>
    <x v="8"/>
  </r>
  <r>
    <n v="190"/>
    <x v="2"/>
    <n v="0.1"/>
    <x v="1"/>
    <x v="6"/>
    <x v="1"/>
    <x v="0"/>
    <n v="801.28205128205127"/>
    <n v="0"/>
    <x v="3"/>
    <x v="7"/>
    <n v="801.28205128205127"/>
    <n v="0"/>
    <n v="801.28205128205127"/>
    <n v="400.64102564102564"/>
    <n v="400.64102564102564"/>
    <n v="650000"/>
    <x v="0"/>
    <n v="400.64102564102564"/>
    <n v="0"/>
    <x v="8"/>
    <x v="8"/>
  </r>
  <r>
    <n v="191"/>
    <x v="2"/>
    <n v="0.1"/>
    <x v="1"/>
    <x v="13"/>
    <x v="1"/>
    <x v="1"/>
    <n v="217.94871794871793"/>
    <n v="54.487179487179468"/>
    <x v="3"/>
    <x v="0"/>
    <n v="272.4358974358974"/>
    <n v="0"/>
    <n v="272.4358974358974"/>
    <n v="27.243589743589741"/>
    <n v="245.19230769230768"/>
    <n v="650000"/>
    <x v="0"/>
    <n v="27.243589743589741"/>
    <n v="0"/>
    <x v="12"/>
    <x v="12"/>
  </r>
  <r>
    <n v="192"/>
    <x v="2"/>
    <n v="0.1"/>
    <x v="1"/>
    <x v="14"/>
    <x v="1"/>
    <x v="1"/>
    <n v="217.94871794871793"/>
    <n v="54.487179487179468"/>
    <x v="3"/>
    <x v="0"/>
    <n v="272.4358974358974"/>
    <n v="0"/>
    <n v="272.4358974358974"/>
    <n v="27.243589743589741"/>
    <n v="245.19230769230768"/>
    <n v="650000"/>
    <x v="0"/>
    <n v="27.243589743589741"/>
    <n v="0"/>
    <x v="12"/>
    <x v="12"/>
  </r>
  <r>
    <n v="193"/>
    <x v="2"/>
    <n v="0.1"/>
    <x v="1"/>
    <x v="6"/>
    <x v="1"/>
    <x v="1"/>
    <n v="217.94871794871793"/>
    <n v="54.487179487179468"/>
    <x v="3"/>
    <x v="0"/>
    <n v="272.4358974358974"/>
    <n v="0"/>
    <n v="272.4358974358974"/>
    <n v="27.243589743589741"/>
    <n v="245.19230769230768"/>
    <n v="650000"/>
    <x v="0"/>
    <n v="27.243589743589741"/>
    <n v="0"/>
    <x v="12"/>
    <x v="12"/>
  </r>
  <r>
    <n v="194"/>
    <x v="2"/>
    <n v="0.1"/>
    <x v="1"/>
    <x v="13"/>
    <x v="1"/>
    <x v="1"/>
    <n v="480.76923076923077"/>
    <n v="120.19230769230766"/>
    <x v="3"/>
    <x v="7"/>
    <n v="600.96153846153845"/>
    <n v="0"/>
    <n v="600.96153846153845"/>
    <n v="60.096153846153847"/>
    <n v="540.86538461538464"/>
    <n v="650000"/>
    <x v="0"/>
    <n v="60.096153846153847"/>
    <n v="0"/>
    <x v="12"/>
    <x v="12"/>
  </r>
  <r>
    <n v="195"/>
    <x v="2"/>
    <n v="0.1"/>
    <x v="1"/>
    <x v="14"/>
    <x v="1"/>
    <x v="1"/>
    <n v="480.76923076923077"/>
    <n v="120.19230769230766"/>
    <x v="3"/>
    <x v="7"/>
    <n v="600.96153846153845"/>
    <n v="0"/>
    <n v="600.96153846153845"/>
    <n v="60.096153846153847"/>
    <n v="540.86538461538464"/>
    <n v="650000"/>
    <x v="0"/>
    <n v="60.096153846153847"/>
    <n v="0"/>
    <x v="12"/>
    <x v="12"/>
  </r>
  <r>
    <n v="196"/>
    <x v="2"/>
    <n v="0.1"/>
    <x v="1"/>
    <x v="6"/>
    <x v="1"/>
    <x v="1"/>
    <n v="480.76923076923077"/>
    <n v="120.19230769230766"/>
    <x v="3"/>
    <x v="7"/>
    <n v="600.96153846153845"/>
    <n v="0"/>
    <n v="600.96153846153845"/>
    <n v="60.096153846153847"/>
    <n v="540.86538461538464"/>
    <n v="650000"/>
    <x v="0"/>
    <n v="60.096153846153847"/>
    <n v="0"/>
    <x v="12"/>
    <x v="12"/>
  </r>
  <r>
    <n v="197"/>
    <x v="2"/>
    <n v="0.1"/>
    <x v="1"/>
    <x v="13"/>
    <x v="1"/>
    <x v="1"/>
    <n v="5920"/>
    <n v="1479.9999999999998"/>
    <x v="3"/>
    <x v="1"/>
    <n v="7400"/>
    <n v="0"/>
    <n v="7400"/>
    <n v="740"/>
    <n v="6660"/>
    <n v="650000"/>
    <x v="0"/>
    <n v="740"/>
    <n v="0"/>
    <x v="12"/>
    <x v="12"/>
  </r>
  <r>
    <n v="198"/>
    <x v="2"/>
    <n v="0.1"/>
    <x v="1"/>
    <x v="14"/>
    <x v="1"/>
    <x v="1"/>
    <n v="5920"/>
    <n v="1479.9999999999998"/>
    <x v="3"/>
    <x v="1"/>
    <n v="7400"/>
    <n v="0"/>
    <n v="7400"/>
    <n v="740"/>
    <n v="6660"/>
    <n v="650000"/>
    <x v="0"/>
    <n v="740"/>
    <n v="0"/>
    <x v="12"/>
    <x v="12"/>
  </r>
  <r>
    <n v="199"/>
    <x v="2"/>
    <n v="0.1"/>
    <x v="1"/>
    <x v="6"/>
    <x v="1"/>
    <x v="1"/>
    <n v="5920"/>
    <n v="1479.9999999999998"/>
    <x v="3"/>
    <x v="1"/>
    <n v="7400"/>
    <n v="0"/>
    <n v="7400"/>
    <n v="740"/>
    <n v="6660"/>
    <n v="650000"/>
    <x v="0"/>
    <n v="740"/>
    <n v="0"/>
    <x v="12"/>
    <x v="12"/>
  </r>
  <r>
    <n v="200"/>
    <x v="2"/>
    <n v="0.1"/>
    <x v="1"/>
    <x v="15"/>
    <x v="2"/>
    <x v="0"/>
    <n v="10016.025641025641"/>
    <n v="0"/>
    <x v="0"/>
    <x v="11"/>
    <n v="10016.025641025641"/>
    <n v="0"/>
    <n v="10016.025641025641"/>
    <n v="6510.416666666667"/>
    <n v="10016.025641025641"/>
    <n v="650000"/>
    <x v="0"/>
    <n v="6510.416666666667"/>
    <n v="0"/>
    <x v="2"/>
    <x v="2"/>
  </r>
  <r>
    <n v="201"/>
    <x v="2"/>
    <n v="0.1"/>
    <x v="1"/>
    <x v="13"/>
    <x v="2"/>
    <x v="0"/>
    <n v="10016.025641025641"/>
    <n v="0"/>
    <x v="0"/>
    <x v="11"/>
    <n v="10016.025641025641"/>
    <n v="0"/>
    <n v="10016.025641025641"/>
    <n v="6510.416666666667"/>
    <n v="10016.025641025641"/>
    <n v="650000"/>
    <x v="0"/>
    <n v="6510.416666666667"/>
    <n v="0"/>
    <x v="2"/>
    <x v="2"/>
  </r>
  <r>
    <n v="202"/>
    <x v="2"/>
    <n v="0.1"/>
    <x v="1"/>
    <x v="6"/>
    <x v="2"/>
    <x v="0"/>
    <n v="10016.025641025641"/>
    <n v="0"/>
    <x v="0"/>
    <x v="11"/>
    <n v="10016.025641025641"/>
    <n v="0"/>
    <n v="10016.025641025641"/>
    <n v="6510.416666666667"/>
    <n v="10016.025641025641"/>
    <n v="650000"/>
    <x v="0"/>
    <n v="6510.416666666667"/>
    <n v="0"/>
    <x v="2"/>
    <x v="2"/>
  </r>
  <r>
    <n v="203"/>
    <x v="2"/>
    <n v="0.1"/>
    <x v="1"/>
    <x v="15"/>
    <x v="2"/>
    <x v="0"/>
    <n v="28333.333333333332"/>
    <n v="0"/>
    <x v="0"/>
    <x v="13"/>
    <n v="28333.333333333332"/>
    <n v="0"/>
    <n v="28333.333333333332"/>
    <n v="18416.666666666668"/>
    <n v="28333.333333333332"/>
    <n v="650000"/>
    <x v="0"/>
    <n v="18416.666666666668"/>
    <n v="0"/>
    <x v="2"/>
    <x v="2"/>
  </r>
  <r>
    <n v="204"/>
    <x v="2"/>
    <n v="0.1"/>
    <x v="1"/>
    <x v="13"/>
    <x v="2"/>
    <x v="0"/>
    <n v="28333.333333333332"/>
    <n v="0"/>
    <x v="0"/>
    <x v="13"/>
    <n v="28333.333333333332"/>
    <n v="0"/>
    <n v="28333.333333333332"/>
    <n v="18416.666666666668"/>
    <n v="28333.333333333332"/>
    <n v="650000"/>
    <x v="0"/>
    <n v="18416.666666666668"/>
    <n v="0"/>
    <x v="2"/>
    <x v="2"/>
  </r>
  <r>
    <n v="205"/>
    <x v="2"/>
    <n v="0.1"/>
    <x v="1"/>
    <x v="6"/>
    <x v="2"/>
    <x v="0"/>
    <n v="28333.333333333332"/>
    <n v="0"/>
    <x v="0"/>
    <x v="13"/>
    <n v="28333.333333333332"/>
    <n v="0"/>
    <n v="28333.333333333332"/>
    <n v="18416.666666666668"/>
    <n v="28333.333333333332"/>
    <n v="650000"/>
    <x v="0"/>
    <n v="18416.666666666668"/>
    <n v="0"/>
    <x v="2"/>
    <x v="2"/>
  </r>
  <r>
    <n v="206"/>
    <x v="2"/>
    <n v="0.1"/>
    <x v="1"/>
    <x v="15"/>
    <x v="2"/>
    <x v="0"/>
    <n v="1602.5641025641025"/>
    <n v="0"/>
    <x v="0"/>
    <x v="12"/>
    <n v="1602.5641025641025"/>
    <n v="0"/>
    <n v="1602.5641025641025"/>
    <n v="1041.6666666666667"/>
    <n v="1602.5641025641025"/>
    <n v="650000"/>
    <x v="0"/>
    <n v="1041.6666666666667"/>
    <n v="0"/>
    <x v="2"/>
    <x v="2"/>
  </r>
  <r>
    <n v="207"/>
    <x v="2"/>
    <n v="0.1"/>
    <x v="1"/>
    <x v="13"/>
    <x v="2"/>
    <x v="0"/>
    <n v="1602.5641025641025"/>
    <n v="0"/>
    <x v="0"/>
    <x v="12"/>
    <n v="1602.5641025641025"/>
    <n v="0"/>
    <n v="1602.5641025641025"/>
    <n v="1041.6666666666667"/>
    <n v="1602.5641025641025"/>
    <n v="650000"/>
    <x v="0"/>
    <n v="1041.6666666666667"/>
    <n v="0"/>
    <x v="2"/>
    <x v="2"/>
  </r>
  <r>
    <n v="208"/>
    <x v="2"/>
    <n v="0.1"/>
    <x v="1"/>
    <x v="6"/>
    <x v="2"/>
    <x v="0"/>
    <n v="1602.5641025641025"/>
    <n v="0"/>
    <x v="0"/>
    <x v="12"/>
    <n v="1602.5641025641025"/>
    <n v="0"/>
    <n v="1602.5641025641025"/>
    <n v="1041.6666666666667"/>
    <n v="1602.5641025641025"/>
    <n v="650000"/>
    <x v="0"/>
    <n v="1041.6666666666667"/>
    <n v="0"/>
    <x v="2"/>
    <x v="2"/>
  </r>
  <r>
    <n v="209"/>
    <x v="3"/>
    <n v="0.04"/>
    <x v="5"/>
    <x v="6"/>
    <x v="2"/>
    <x v="0"/>
    <n v="6009.6153846153848"/>
    <n v="0"/>
    <x v="3"/>
    <x v="11"/>
    <n v="6009.6153846153848"/>
    <n v="0"/>
    <n v="6009.6153846153848"/>
    <n v="3004.8076923076924"/>
    <n v="6009.6153846153848"/>
    <n v="260000"/>
    <x v="0"/>
    <n v="3004.8076923076924"/>
    <n v="0"/>
    <x v="8"/>
    <x v="8"/>
  </r>
  <r>
    <n v="210"/>
    <x v="3"/>
    <n v="0.04"/>
    <x v="5"/>
    <x v="6"/>
    <x v="2"/>
    <x v="0"/>
    <n v="24038.461538461539"/>
    <n v="0"/>
    <x v="3"/>
    <x v="12"/>
    <n v="24038.461538461539"/>
    <n v="0"/>
    <n v="24038.461538461539"/>
    <n v="12019.23076923077"/>
    <n v="24038.461538461539"/>
    <n v="260000"/>
    <x v="0"/>
    <n v="12019.23076923077"/>
    <n v="0"/>
    <x v="8"/>
    <x v="8"/>
  </r>
  <r>
    <n v="211"/>
    <x v="3"/>
    <n v="0.04"/>
    <x v="5"/>
    <x v="16"/>
    <x v="1"/>
    <x v="0"/>
    <n v="75000"/>
    <n v="0"/>
    <x v="3"/>
    <x v="14"/>
    <n v="75000"/>
    <n v="0"/>
    <n v="75000"/>
    <n v="60000"/>
    <n v="75000"/>
    <n v="260000"/>
    <x v="0"/>
    <n v="60000"/>
    <n v="0"/>
    <x v="8"/>
    <x v="8"/>
  </r>
  <r>
    <n v="212"/>
    <x v="3"/>
    <n v="0.04"/>
    <x v="5"/>
    <x v="16"/>
    <x v="1"/>
    <x v="0"/>
    <n v="2019.2307692307693"/>
    <n v="0"/>
    <x v="3"/>
    <x v="15"/>
    <n v="2019.2307692307693"/>
    <n v="0"/>
    <n v="2019.2307692307693"/>
    <n v="1615.3846153846155"/>
    <n v="2019.2307692307693"/>
    <n v="260000"/>
    <x v="0"/>
    <n v="1615.3846153846155"/>
    <n v="0"/>
    <x v="8"/>
    <x v="8"/>
  </r>
  <r>
    <n v="213"/>
    <x v="3"/>
    <n v="0.04"/>
    <x v="5"/>
    <x v="16"/>
    <x v="1"/>
    <x v="0"/>
    <n v="4807.6923076923076"/>
    <n v="0"/>
    <x v="3"/>
    <x v="11"/>
    <n v="4807.6923076923076"/>
    <n v="0"/>
    <n v="4807.6923076923076"/>
    <n v="3846.1538461538462"/>
    <n v="4807.6923076923076"/>
    <n v="260000"/>
    <x v="0"/>
    <n v="3846.1538461538462"/>
    <n v="0"/>
    <x v="8"/>
    <x v="8"/>
  </r>
  <r>
    <n v="214"/>
    <x v="3"/>
    <n v="0.04"/>
    <x v="5"/>
    <x v="16"/>
    <x v="1"/>
    <x v="0"/>
    <n v="6009.6153846153848"/>
    <n v="0"/>
    <x v="3"/>
    <x v="16"/>
    <n v="6009.6153846153848"/>
    <n v="0"/>
    <n v="6009.6153846153848"/>
    <n v="4807.6923076923076"/>
    <n v="6009.6153846153848"/>
    <n v="260000"/>
    <x v="0"/>
    <n v="4807.6923076923076"/>
    <n v="0"/>
    <x v="8"/>
    <x v="8"/>
  </r>
  <r>
    <n v="215"/>
    <x v="4"/>
    <n v="0.04"/>
    <x v="6"/>
    <x v="7"/>
    <x v="2"/>
    <x v="0"/>
    <n v="11634.615384615385"/>
    <n v="0"/>
    <x v="4"/>
    <x v="11"/>
    <n v="801.28205128205127"/>
    <n v="10833.333333333334"/>
    <n v="11634.615384615385"/>
    <n v="11634.615384615385"/>
    <n v="11634.615384615385"/>
    <n v="260000"/>
    <x v="0"/>
    <n v="801.28205128205127"/>
    <n v="10833.333333333334"/>
    <x v="12"/>
    <x v="12"/>
  </r>
  <r>
    <n v="216"/>
    <x v="4"/>
    <n v="0.04"/>
    <x v="6"/>
    <x v="17"/>
    <x v="2"/>
    <x v="0"/>
    <n v="11634.615384615385"/>
    <n v="0"/>
    <x v="4"/>
    <x v="11"/>
    <n v="801.28205128205127"/>
    <n v="10833.333333333334"/>
    <n v="11634.615384615385"/>
    <n v="11634.615384615385"/>
    <n v="11634.615384615385"/>
    <n v="260000"/>
    <x v="0"/>
    <n v="801.28205128205127"/>
    <n v="10833.333333333334"/>
    <x v="12"/>
    <x v="12"/>
  </r>
  <r>
    <n v="217"/>
    <x v="4"/>
    <n v="0.04"/>
    <x v="6"/>
    <x v="6"/>
    <x v="2"/>
    <x v="0"/>
    <n v="11634.615384615385"/>
    <n v="0"/>
    <x v="4"/>
    <x v="11"/>
    <n v="801.28205128205127"/>
    <n v="10833.333333333334"/>
    <n v="11634.615384615385"/>
    <n v="11634.615384615385"/>
    <n v="11634.615384615385"/>
    <n v="260000"/>
    <x v="0"/>
    <n v="801.28205128205127"/>
    <n v="10833.333333333334"/>
    <x v="12"/>
    <x v="12"/>
  </r>
  <r>
    <n v="218"/>
    <x v="4"/>
    <n v="0.04"/>
    <x v="6"/>
    <x v="7"/>
    <x v="2"/>
    <x v="0"/>
    <n v="16602.564102564105"/>
    <n v="0"/>
    <x v="4"/>
    <x v="17"/>
    <n v="5769.2307692307695"/>
    <n v="10833.333333333334"/>
    <n v="16602.564102564102"/>
    <n v="16602.564102564105"/>
    <n v="16602.564102564105"/>
    <n v="260000"/>
    <x v="0"/>
    <n v="5769.2307692307704"/>
    <n v="10833.333333333336"/>
    <x v="12"/>
    <x v="12"/>
  </r>
  <r>
    <n v="219"/>
    <x v="4"/>
    <n v="0.04"/>
    <x v="6"/>
    <x v="17"/>
    <x v="2"/>
    <x v="0"/>
    <n v="16602.564102564105"/>
    <n v="0"/>
    <x v="4"/>
    <x v="17"/>
    <n v="5769.2307692307695"/>
    <n v="10833.333333333334"/>
    <n v="16602.564102564102"/>
    <n v="16602.564102564105"/>
    <n v="16602.564102564105"/>
    <n v="260000"/>
    <x v="0"/>
    <n v="5769.2307692307704"/>
    <n v="10833.333333333336"/>
    <x v="12"/>
    <x v="12"/>
  </r>
  <r>
    <n v="220"/>
    <x v="4"/>
    <n v="0.04"/>
    <x v="6"/>
    <x v="6"/>
    <x v="2"/>
    <x v="0"/>
    <n v="16602.564102564105"/>
    <n v="0"/>
    <x v="4"/>
    <x v="17"/>
    <n v="5769.2307692307695"/>
    <n v="10833.333333333334"/>
    <n v="16602.564102564102"/>
    <n v="16602.564102564105"/>
    <n v="16602.564102564105"/>
    <n v="260000"/>
    <x v="0"/>
    <n v="5769.2307692307704"/>
    <n v="10833.333333333336"/>
    <x v="12"/>
    <x v="12"/>
  </r>
  <r>
    <n v="221"/>
    <x v="4"/>
    <n v="0.04"/>
    <x v="1"/>
    <x v="7"/>
    <x v="0"/>
    <x v="0"/>
    <n v="801.28205128205127"/>
    <n v="0"/>
    <x v="3"/>
    <x v="11"/>
    <n v="801.28205128205127"/>
    <n v="0"/>
    <n v="801.28205128205127"/>
    <n v="0"/>
    <n v="801.28205128205127"/>
    <n v="260000"/>
    <x v="0"/>
    <n v="0"/>
    <n v="0"/>
    <x v="12"/>
    <x v="12"/>
  </r>
  <r>
    <n v="222"/>
    <x v="4"/>
    <n v="0.04"/>
    <x v="1"/>
    <x v="17"/>
    <x v="0"/>
    <x v="0"/>
    <n v="801.28205128205127"/>
    <n v="0"/>
    <x v="3"/>
    <x v="11"/>
    <n v="801.28205128205127"/>
    <n v="0"/>
    <n v="801.28205128205127"/>
    <n v="0"/>
    <n v="801.28205128205127"/>
    <n v="260000"/>
    <x v="0"/>
    <n v="0"/>
    <n v="0"/>
    <x v="12"/>
    <x v="12"/>
  </r>
  <r>
    <n v="223"/>
    <x v="4"/>
    <n v="0.04"/>
    <x v="1"/>
    <x v="6"/>
    <x v="0"/>
    <x v="0"/>
    <n v="801.28205128205127"/>
    <n v="0"/>
    <x v="3"/>
    <x v="11"/>
    <n v="801.28205128205127"/>
    <n v="0"/>
    <n v="801.28205128205127"/>
    <n v="0"/>
    <n v="801.28205128205127"/>
    <n v="260000"/>
    <x v="0"/>
    <n v="0"/>
    <n v="0"/>
    <x v="12"/>
    <x v="12"/>
  </r>
  <r>
    <n v="224"/>
    <x v="4"/>
    <n v="0.04"/>
    <x v="1"/>
    <x v="7"/>
    <x v="0"/>
    <x v="0"/>
    <n v="6490.3846153846143"/>
    <n v="0"/>
    <x v="3"/>
    <x v="17"/>
    <n v="6490.3846153846143"/>
    <n v="0"/>
    <n v="6490.3846153846143"/>
    <n v="0"/>
    <n v="6490.3846153846143"/>
    <n v="260000"/>
    <x v="0"/>
    <n v="0"/>
    <n v="0"/>
    <x v="12"/>
    <x v="12"/>
  </r>
  <r>
    <n v="225"/>
    <x v="4"/>
    <n v="0.04"/>
    <x v="1"/>
    <x v="17"/>
    <x v="0"/>
    <x v="0"/>
    <n v="6490.3846153846143"/>
    <n v="0"/>
    <x v="3"/>
    <x v="17"/>
    <n v="6490.3846153846143"/>
    <n v="0"/>
    <n v="6490.3846153846143"/>
    <n v="0"/>
    <n v="6490.3846153846143"/>
    <n v="260000"/>
    <x v="0"/>
    <n v="0"/>
    <n v="0"/>
    <x v="12"/>
    <x v="12"/>
  </r>
  <r>
    <n v="226"/>
    <x v="4"/>
    <n v="0.04"/>
    <x v="1"/>
    <x v="6"/>
    <x v="0"/>
    <x v="0"/>
    <n v="6490.3846153846143"/>
    <n v="0"/>
    <x v="3"/>
    <x v="17"/>
    <n v="6490.3846153846143"/>
    <n v="0"/>
    <n v="6490.3846153846143"/>
    <n v="0"/>
    <n v="6490.3846153846143"/>
    <n v="260000"/>
    <x v="0"/>
    <n v="0"/>
    <n v="0"/>
    <x v="12"/>
    <x v="12"/>
  </r>
  <r>
    <n v="227"/>
    <x v="4"/>
    <n v="0.04"/>
    <x v="4"/>
    <x v="7"/>
    <x v="1"/>
    <x v="0"/>
    <n v="801.28205128205127"/>
    <n v="0"/>
    <x v="3"/>
    <x v="11"/>
    <n v="801.28205128205127"/>
    <n v="0"/>
    <n v="801.28205128205127"/>
    <n v="0"/>
    <n v="801.28205128205127"/>
    <n v="260000"/>
    <x v="0"/>
    <n v="0"/>
    <n v="0"/>
    <x v="12"/>
    <x v="12"/>
  </r>
  <r>
    <n v="228"/>
    <x v="4"/>
    <n v="0.04"/>
    <x v="4"/>
    <x v="17"/>
    <x v="1"/>
    <x v="0"/>
    <n v="801.28205128205127"/>
    <n v="0"/>
    <x v="3"/>
    <x v="11"/>
    <n v="801.28205128205127"/>
    <n v="0"/>
    <n v="801.28205128205127"/>
    <n v="0"/>
    <n v="801.28205128205127"/>
    <n v="260000"/>
    <x v="0"/>
    <n v="0"/>
    <n v="0"/>
    <x v="12"/>
    <x v="12"/>
  </r>
  <r>
    <n v="229"/>
    <x v="4"/>
    <n v="0.04"/>
    <x v="4"/>
    <x v="6"/>
    <x v="1"/>
    <x v="0"/>
    <n v="801.28205128205127"/>
    <n v="0"/>
    <x v="3"/>
    <x v="11"/>
    <n v="801.28205128205127"/>
    <n v="0"/>
    <n v="801.28205128205127"/>
    <n v="0"/>
    <n v="801.28205128205127"/>
    <n v="260000"/>
    <x v="0"/>
    <n v="0"/>
    <n v="0"/>
    <x v="12"/>
    <x v="12"/>
  </r>
  <r>
    <n v="230"/>
    <x v="4"/>
    <n v="0.04"/>
    <x v="4"/>
    <x v="7"/>
    <x v="1"/>
    <x v="0"/>
    <n v="5769.2307692307695"/>
    <n v="0"/>
    <x v="3"/>
    <x v="17"/>
    <n v="5769.2307692307695"/>
    <n v="0"/>
    <n v="5769.2307692307695"/>
    <n v="0"/>
    <n v="5769.2307692307695"/>
    <n v="260000"/>
    <x v="0"/>
    <n v="0"/>
    <n v="0"/>
    <x v="12"/>
    <x v="12"/>
  </r>
  <r>
    <n v="231"/>
    <x v="4"/>
    <n v="0.04"/>
    <x v="4"/>
    <x v="17"/>
    <x v="1"/>
    <x v="0"/>
    <n v="5769.2307692307695"/>
    <n v="0"/>
    <x v="3"/>
    <x v="17"/>
    <n v="5769.2307692307695"/>
    <n v="0"/>
    <n v="5769.2307692307695"/>
    <n v="0"/>
    <n v="5769.2307692307695"/>
    <n v="260000"/>
    <x v="0"/>
    <n v="0"/>
    <n v="0"/>
    <x v="12"/>
    <x v="12"/>
  </r>
  <r>
    <n v="232"/>
    <x v="4"/>
    <n v="0.04"/>
    <x v="4"/>
    <x v="6"/>
    <x v="1"/>
    <x v="0"/>
    <n v="5769.2307692307695"/>
    <n v="0"/>
    <x v="3"/>
    <x v="17"/>
    <n v="5769.2307692307695"/>
    <n v="0"/>
    <n v="5769.2307692307695"/>
    <n v="0"/>
    <n v="5769.2307692307695"/>
    <n v="260000"/>
    <x v="0"/>
    <n v="0"/>
    <n v="0"/>
    <x v="12"/>
    <x v="12"/>
  </r>
  <r>
    <n v="233"/>
    <x v="4"/>
    <n v="0.04"/>
    <x v="4"/>
    <x v="7"/>
    <x v="1"/>
    <x v="0"/>
    <n v="673.07692307692309"/>
    <n v="0"/>
    <x v="3"/>
    <x v="15"/>
    <n v="673.07692307692309"/>
    <n v="0"/>
    <n v="673.07692307692309"/>
    <n v="0"/>
    <n v="673.07692307692309"/>
    <n v="260000"/>
    <x v="0"/>
    <n v="0"/>
    <n v="0"/>
    <x v="12"/>
    <x v="12"/>
  </r>
  <r>
    <n v="234"/>
    <x v="4"/>
    <n v="0.04"/>
    <x v="4"/>
    <x v="17"/>
    <x v="1"/>
    <x v="0"/>
    <n v="673.07692307692309"/>
    <n v="0"/>
    <x v="3"/>
    <x v="15"/>
    <n v="673.07692307692309"/>
    <n v="0"/>
    <n v="673.07692307692309"/>
    <n v="0"/>
    <n v="673.07692307692309"/>
    <n v="260000"/>
    <x v="0"/>
    <n v="0"/>
    <n v="0"/>
    <x v="12"/>
    <x v="12"/>
  </r>
  <r>
    <n v="235"/>
    <x v="4"/>
    <n v="0.04"/>
    <x v="4"/>
    <x v="6"/>
    <x v="1"/>
    <x v="0"/>
    <n v="673.07692307692309"/>
    <n v="0"/>
    <x v="3"/>
    <x v="15"/>
    <n v="673.07692307692309"/>
    <n v="0"/>
    <n v="673.07692307692309"/>
    <n v="0"/>
    <n v="673.07692307692309"/>
    <n v="260000"/>
    <x v="0"/>
    <n v="0"/>
    <n v="0"/>
    <x v="12"/>
    <x v="12"/>
  </r>
  <r>
    <n v="236"/>
    <x v="5"/>
    <n v="7.0000000000000007E-2"/>
    <x v="7"/>
    <x v="17"/>
    <x v="2"/>
    <x v="4"/>
    <n v="612.98076923076917"/>
    <n v="204.32692307692307"/>
    <x v="3"/>
    <x v="0"/>
    <n v="817.30769230769226"/>
    <n v="0"/>
    <n v="817.30769230769226"/>
    <n v="817.30769230769226"/>
    <n v="817.30769230769226"/>
    <n v="455000.00000000006"/>
    <x v="0"/>
    <n v="817.30769230769226"/>
    <n v="0"/>
    <x v="13"/>
    <x v="13"/>
  </r>
  <r>
    <n v="237"/>
    <x v="5"/>
    <n v="7.0000000000000007E-2"/>
    <x v="7"/>
    <x v="18"/>
    <x v="2"/>
    <x v="4"/>
    <n v="612.98076923076917"/>
    <n v="204.32692307692307"/>
    <x v="3"/>
    <x v="0"/>
    <n v="817.30769230769226"/>
    <n v="0"/>
    <n v="817.30769230769226"/>
    <n v="817.30769230769226"/>
    <n v="817.30769230769226"/>
    <n v="455000.00000000006"/>
    <x v="0"/>
    <n v="817.30769230769226"/>
    <n v="0"/>
    <x v="13"/>
    <x v="13"/>
  </r>
  <r>
    <n v="238"/>
    <x v="5"/>
    <n v="7.0000000000000007E-2"/>
    <x v="7"/>
    <x v="17"/>
    <x v="2"/>
    <x v="4"/>
    <n v="12375"/>
    <n v="4125"/>
    <x v="3"/>
    <x v="18"/>
    <n v="16500"/>
    <n v="0"/>
    <n v="16500"/>
    <n v="16500"/>
    <n v="16500"/>
    <n v="455000.00000000006"/>
    <x v="0"/>
    <n v="16500"/>
    <n v="0"/>
    <x v="13"/>
    <x v="13"/>
  </r>
  <r>
    <n v="239"/>
    <x v="5"/>
    <n v="7.0000000000000007E-2"/>
    <x v="7"/>
    <x v="18"/>
    <x v="2"/>
    <x v="4"/>
    <n v="12375"/>
    <n v="4125"/>
    <x v="3"/>
    <x v="18"/>
    <n v="16500"/>
    <n v="0"/>
    <n v="16500"/>
    <n v="16500"/>
    <n v="16500"/>
    <n v="455000.00000000006"/>
    <x v="0"/>
    <n v="16500"/>
    <n v="0"/>
    <x v="13"/>
    <x v="13"/>
  </r>
  <r>
    <n v="240"/>
    <x v="5"/>
    <n v="7.0000000000000007E-2"/>
    <x v="7"/>
    <x v="17"/>
    <x v="2"/>
    <x v="4"/>
    <n v="757.21153846153845"/>
    <n v="252.40384615384616"/>
    <x v="3"/>
    <x v="15"/>
    <n v="1009.6153846153846"/>
    <n v="0"/>
    <n v="1009.6153846153846"/>
    <n v="1009.6153846153846"/>
    <n v="1009.6153846153846"/>
    <n v="455000.00000000006"/>
    <x v="0"/>
    <n v="1009.6153846153846"/>
    <n v="0"/>
    <x v="13"/>
    <x v="13"/>
  </r>
  <r>
    <n v="241"/>
    <x v="5"/>
    <n v="7.0000000000000007E-2"/>
    <x v="7"/>
    <x v="18"/>
    <x v="2"/>
    <x v="4"/>
    <n v="757.21153846153845"/>
    <n v="252.40384615384616"/>
    <x v="3"/>
    <x v="15"/>
    <n v="1009.6153846153846"/>
    <n v="0"/>
    <n v="1009.6153846153846"/>
    <n v="1009.6153846153846"/>
    <n v="1009.6153846153846"/>
    <n v="455000.00000000006"/>
    <x v="0"/>
    <n v="1009.6153846153846"/>
    <n v="0"/>
    <x v="13"/>
    <x v="13"/>
  </r>
  <r>
    <n v="242"/>
    <x v="5"/>
    <n v="7.0000000000000007E-2"/>
    <x v="7"/>
    <x v="17"/>
    <x v="2"/>
    <x v="4"/>
    <n v="450.72115384615381"/>
    <n v="150.24038461538461"/>
    <x v="3"/>
    <x v="11"/>
    <n v="600.96153846153845"/>
    <n v="0"/>
    <n v="600.96153846153845"/>
    <n v="600.96153846153845"/>
    <n v="600.96153846153845"/>
    <n v="455000.00000000006"/>
    <x v="0"/>
    <n v="600.96153846153845"/>
    <n v="0"/>
    <x v="13"/>
    <x v="13"/>
  </r>
  <r>
    <n v="243"/>
    <x v="5"/>
    <n v="7.0000000000000007E-2"/>
    <x v="7"/>
    <x v="18"/>
    <x v="2"/>
    <x v="4"/>
    <n v="450.72115384615381"/>
    <n v="150.24038461538461"/>
    <x v="3"/>
    <x v="11"/>
    <n v="600.96153846153845"/>
    <n v="0"/>
    <n v="600.96153846153845"/>
    <n v="600.96153846153845"/>
    <n v="600.96153846153845"/>
    <n v="455000.00000000006"/>
    <x v="0"/>
    <n v="600.96153846153845"/>
    <n v="0"/>
    <x v="13"/>
    <x v="13"/>
  </r>
  <r>
    <n v="244"/>
    <x v="5"/>
    <n v="7.0000000000000007E-2"/>
    <x v="8"/>
    <x v="16"/>
    <x v="3"/>
    <x v="0"/>
    <n v="1201.9230769230769"/>
    <n v="0"/>
    <x v="3"/>
    <x v="11"/>
    <n v="1201.9230769230769"/>
    <n v="0"/>
    <n v="1201.9230769230769"/>
    <n v="120.19230769230769"/>
    <n v="1201.9230769230769"/>
    <n v="455000.00000000006"/>
    <x v="0"/>
    <n v="120.19230769230769"/>
    <n v="0"/>
    <x v="0"/>
    <x v="0"/>
  </r>
  <r>
    <n v="245"/>
    <x v="5"/>
    <n v="7.0000000000000007E-2"/>
    <x v="8"/>
    <x v="19"/>
    <x v="3"/>
    <x v="0"/>
    <n v="1201.9230769230769"/>
    <n v="0"/>
    <x v="3"/>
    <x v="11"/>
    <n v="1201.9230769230769"/>
    <n v="0"/>
    <n v="1201.9230769230769"/>
    <n v="120.19230769230769"/>
    <n v="1201.9230769230769"/>
    <n v="455000.00000000006"/>
    <x v="0"/>
    <n v="120.19230769230769"/>
    <n v="0"/>
    <x v="0"/>
    <x v="0"/>
  </r>
  <r>
    <n v="246"/>
    <x v="5"/>
    <n v="7.0000000000000007E-2"/>
    <x v="8"/>
    <x v="16"/>
    <x v="3"/>
    <x v="0"/>
    <n v="6009.6153846153848"/>
    <n v="0"/>
    <x v="3"/>
    <x v="16"/>
    <n v="6009.6153846153848"/>
    <n v="0"/>
    <n v="6009.6153846153848"/>
    <n v="600.96153846153845"/>
    <n v="6009.6153846153848"/>
    <n v="455000.00000000006"/>
    <x v="0"/>
    <n v="600.96153846153845"/>
    <n v="0"/>
    <x v="0"/>
    <x v="0"/>
  </r>
  <r>
    <n v="247"/>
    <x v="5"/>
    <n v="7.0000000000000007E-2"/>
    <x v="8"/>
    <x v="19"/>
    <x v="3"/>
    <x v="0"/>
    <n v="6009.6153846153848"/>
    <n v="0"/>
    <x v="3"/>
    <x v="16"/>
    <n v="6009.6153846153848"/>
    <n v="0"/>
    <n v="6009.6153846153848"/>
    <n v="600.96153846153845"/>
    <n v="6009.6153846153848"/>
    <n v="455000.00000000006"/>
    <x v="0"/>
    <n v="600.96153846153845"/>
    <n v="0"/>
    <x v="0"/>
    <x v="0"/>
  </r>
  <r>
    <n v="248"/>
    <x v="5"/>
    <n v="7.0000000000000007E-2"/>
    <x v="9"/>
    <x v="18"/>
    <x v="1"/>
    <x v="0"/>
    <n v="8413.461538461539"/>
    <n v="0"/>
    <x v="3"/>
    <x v="15"/>
    <n v="8413.461538461539"/>
    <n v="0"/>
    <n v="8413.461538461539"/>
    <n v="4206.7307692307695"/>
    <n v="8413.461538461539"/>
    <n v="455000.00000000006"/>
    <x v="0"/>
    <n v="4206.7307692307695"/>
    <n v="0"/>
    <x v="5"/>
    <x v="5"/>
  </r>
  <r>
    <n v="249"/>
    <x v="5"/>
    <n v="7.0000000000000007E-2"/>
    <x v="9"/>
    <x v="19"/>
    <x v="1"/>
    <x v="0"/>
    <n v="8413.461538461539"/>
    <n v="0"/>
    <x v="3"/>
    <x v="15"/>
    <n v="8413.461538461539"/>
    <n v="0"/>
    <n v="8413.461538461539"/>
    <n v="4206.7307692307695"/>
    <n v="8413.461538461539"/>
    <n v="455000.00000000006"/>
    <x v="0"/>
    <n v="4206.7307692307695"/>
    <n v="0"/>
    <x v="5"/>
    <x v="5"/>
  </r>
  <r>
    <n v="250"/>
    <x v="5"/>
    <n v="7.0000000000000007E-2"/>
    <x v="9"/>
    <x v="9"/>
    <x v="1"/>
    <x v="0"/>
    <n v="8413.461538461539"/>
    <n v="0"/>
    <x v="3"/>
    <x v="15"/>
    <n v="8413.461538461539"/>
    <n v="0"/>
    <n v="8413.461538461539"/>
    <n v="4206.7307692307695"/>
    <n v="8413.461538461539"/>
    <n v="455000.00000000006"/>
    <x v="0"/>
    <n v="4206.7307692307695"/>
    <n v="0"/>
    <x v="5"/>
    <x v="5"/>
  </r>
  <r>
    <n v="251"/>
    <x v="5"/>
    <n v="7.0000000000000007E-2"/>
    <x v="10"/>
    <x v="19"/>
    <x v="0"/>
    <x v="4"/>
    <n v="4507.2115384615381"/>
    <n v="4507.2115384615381"/>
    <x v="3"/>
    <x v="16"/>
    <n v="9014.4230769230762"/>
    <n v="0"/>
    <n v="9014.4230769230762"/>
    <n v="0"/>
    <n v="9014.4230769230762"/>
    <n v="455000.00000000006"/>
    <x v="0"/>
    <n v="0"/>
    <n v="0"/>
    <x v="14"/>
    <x v="14"/>
  </r>
  <r>
    <n v="252"/>
    <x v="5"/>
    <n v="7.0000000000000007E-2"/>
    <x v="10"/>
    <x v="17"/>
    <x v="0"/>
    <x v="4"/>
    <n v="4507.2115384615381"/>
    <n v="4507.2115384615381"/>
    <x v="3"/>
    <x v="16"/>
    <n v="9014.4230769230762"/>
    <n v="0"/>
    <n v="9014.4230769230762"/>
    <n v="0"/>
    <n v="9014.4230769230762"/>
    <n v="455000.00000000006"/>
    <x v="0"/>
    <n v="0"/>
    <n v="0"/>
    <x v="14"/>
    <x v="14"/>
  </r>
  <r>
    <n v="253"/>
    <x v="6"/>
    <n v="0.02"/>
    <x v="6"/>
    <x v="6"/>
    <x v="0"/>
    <x v="0"/>
    <n v="42500"/>
    <n v="0"/>
    <x v="3"/>
    <x v="13"/>
    <n v="42500"/>
    <n v="0"/>
    <n v="42500"/>
    <n v="42500"/>
    <n v="42500"/>
    <n v="130000"/>
    <x v="0"/>
    <n v="42500"/>
    <n v="0"/>
    <x v="11"/>
    <x v="11"/>
  </r>
  <r>
    <n v="254"/>
    <x v="6"/>
    <n v="0.02"/>
    <x v="6"/>
    <x v="20"/>
    <x v="0"/>
    <x v="0"/>
    <n v="42500"/>
    <n v="0"/>
    <x v="3"/>
    <x v="13"/>
    <n v="42500"/>
    <n v="0"/>
    <n v="42500"/>
    <n v="42500"/>
    <n v="42500"/>
    <n v="130000"/>
    <x v="0"/>
    <n v="42500"/>
    <n v="0"/>
    <x v="11"/>
    <x v="11"/>
  </r>
  <r>
    <n v="255"/>
    <x v="6"/>
    <n v="0.02"/>
    <x v="6"/>
    <x v="6"/>
    <x v="0"/>
    <x v="0"/>
    <n v="19230.76923076923"/>
    <n v="0"/>
    <x v="3"/>
    <x v="12"/>
    <n v="19230.76923076923"/>
    <n v="0"/>
    <n v="19230.76923076923"/>
    <n v="19230.76923076923"/>
    <n v="19230.76923076923"/>
    <n v="130000"/>
    <x v="0"/>
    <n v="19230.76923076923"/>
    <n v="0"/>
    <x v="11"/>
    <x v="11"/>
  </r>
  <r>
    <n v="256"/>
    <x v="6"/>
    <n v="0.02"/>
    <x v="6"/>
    <x v="20"/>
    <x v="0"/>
    <x v="0"/>
    <n v="19230.76923076923"/>
    <n v="0"/>
    <x v="3"/>
    <x v="12"/>
    <n v="19230.76923076923"/>
    <n v="0"/>
    <n v="19230.76923076923"/>
    <n v="19230.76923076923"/>
    <n v="19230.76923076923"/>
    <n v="130000"/>
    <x v="0"/>
    <n v="19230.76923076923"/>
    <n v="0"/>
    <x v="11"/>
    <x v="11"/>
  </r>
  <r>
    <n v="257"/>
    <x v="6"/>
    <n v="0.02"/>
    <x v="4"/>
    <x v="12"/>
    <x v="1"/>
    <x v="0"/>
    <n v="300.48076923076923"/>
    <n v="0"/>
    <x v="3"/>
    <x v="11"/>
    <n v="300.48076923076923"/>
    <n v="0"/>
    <n v="300.48076923076923"/>
    <n v="300.48076923076923"/>
    <n v="300.48076923076923"/>
    <n v="130000"/>
    <x v="0"/>
    <n v="300.48076923076923"/>
    <n v="0"/>
    <x v="5"/>
    <x v="5"/>
  </r>
  <r>
    <n v="258"/>
    <x v="6"/>
    <n v="0.02"/>
    <x v="4"/>
    <x v="20"/>
    <x v="1"/>
    <x v="0"/>
    <n v="300.48076923076923"/>
    <n v="0"/>
    <x v="3"/>
    <x v="11"/>
    <n v="300.48076923076923"/>
    <n v="0"/>
    <n v="300.48076923076923"/>
    <n v="300.48076923076923"/>
    <n v="300.48076923076923"/>
    <n v="130000"/>
    <x v="0"/>
    <n v="300.48076923076923"/>
    <n v="0"/>
    <x v="5"/>
    <x v="5"/>
  </r>
  <r>
    <n v="259"/>
    <x v="6"/>
    <n v="0.02"/>
    <x v="4"/>
    <x v="21"/>
    <x v="1"/>
    <x v="0"/>
    <n v="300.48076923076923"/>
    <n v="0"/>
    <x v="3"/>
    <x v="11"/>
    <n v="300.48076923076923"/>
    <n v="0"/>
    <n v="300.48076923076923"/>
    <n v="300.48076923076923"/>
    <n v="300.48076923076923"/>
    <n v="130000"/>
    <x v="0"/>
    <n v="300.48076923076923"/>
    <n v="0"/>
    <x v="5"/>
    <x v="5"/>
  </r>
  <r>
    <n v="260"/>
    <x v="6"/>
    <n v="0.02"/>
    <x v="4"/>
    <x v="22"/>
    <x v="1"/>
    <x v="0"/>
    <n v="300.48076923076923"/>
    <n v="0"/>
    <x v="3"/>
    <x v="11"/>
    <n v="300.48076923076923"/>
    <n v="0"/>
    <n v="300.48076923076923"/>
    <n v="300.48076923076923"/>
    <n v="300.48076923076923"/>
    <n v="130000"/>
    <x v="0"/>
    <n v="300.48076923076923"/>
    <n v="0"/>
    <x v="5"/>
    <x v="5"/>
  </r>
  <r>
    <n v="261"/>
    <x v="6"/>
    <n v="0.02"/>
    <x v="4"/>
    <x v="12"/>
    <x v="1"/>
    <x v="0"/>
    <n v="600.96153846153845"/>
    <n v="0"/>
    <x v="3"/>
    <x v="16"/>
    <n v="600.96153846153845"/>
    <n v="0"/>
    <n v="600.96153846153845"/>
    <n v="600.96153846153845"/>
    <n v="600.96153846153845"/>
    <n v="130000"/>
    <x v="0"/>
    <n v="600.96153846153845"/>
    <n v="0"/>
    <x v="5"/>
    <x v="5"/>
  </r>
  <r>
    <n v="262"/>
    <x v="6"/>
    <n v="0.02"/>
    <x v="4"/>
    <x v="20"/>
    <x v="1"/>
    <x v="0"/>
    <n v="600.96153846153845"/>
    <n v="0"/>
    <x v="3"/>
    <x v="16"/>
    <n v="600.96153846153845"/>
    <n v="0"/>
    <n v="600.96153846153845"/>
    <n v="600.96153846153845"/>
    <n v="600.96153846153845"/>
    <n v="130000"/>
    <x v="0"/>
    <n v="600.96153846153845"/>
    <n v="0"/>
    <x v="5"/>
    <x v="5"/>
  </r>
  <r>
    <n v="263"/>
    <x v="6"/>
    <n v="0.02"/>
    <x v="4"/>
    <x v="21"/>
    <x v="1"/>
    <x v="0"/>
    <n v="600.96153846153845"/>
    <n v="0"/>
    <x v="3"/>
    <x v="16"/>
    <n v="600.96153846153845"/>
    <n v="0"/>
    <n v="600.96153846153845"/>
    <n v="600.96153846153845"/>
    <n v="600.96153846153845"/>
    <n v="130000"/>
    <x v="0"/>
    <n v="600.96153846153845"/>
    <n v="0"/>
    <x v="5"/>
    <x v="5"/>
  </r>
  <r>
    <n v="264"/>
    <x v="6"/>
    <n v="0.02"/>
    <x v="4"/>
    <x v="22"/>
    <x v="1"/>
    <x v="0"/>
    <n v="600.96153846153845"/>
    <n v="0"/>
    <x v="3"/>
    <x v="16"/>
    <n v="600.96153846153845"/>
    <n v="0"/>
    <n v="600.96153846153845"/>
    <n v="600.96153846153845"/>
    <n v="600.96153846153845"/>
    <n v="130000"/>
    <x v="0"/>
    <n v="600.96153846153845"/>
    <n v="0"/>
    <x v="5"/>
    <x v="5"/>
  </r>
  <r>
    <n v="265"/>
    <x v="6"/>
    <n v="0.02"/>
    <x v="4"/>
    <x v="12"/>
    <x v="1"/>
    <x v="0"/>
    <n v="7500"/>
    <n v="0"/>
    <x v="3"/>
    <x v="14"/>
    <n v="7500"/>
    <n v="0"/>
    <n v="7500"/>
    <n v="7500"/>
    <n v="7500"/>
    <n v="130000"/>
    <x v="0"/>
    <n v="7500"/>
    <n v="0"/>
    <x v="5"/>
    <x v="5"/>
  </r>
  <r>
    <n v="266"/>
    <x v="6"/>
    <n v="0.02"/>
    <x v="4"/>
    <x v="20"/>
    <x v="1"/>
    <x v="0"/>
    <n v="7500"/>
    <n v="0"/>
    <x v="3"/>
    <x v="14"/>
    <n v="7500"/>
    <n v="0"/>
    <n v="7500"/>
    <n v="7500"/>
    <n v="7500"/>
    <n v="130000"/>
    <x v="0"/>
    <n v="7500"/>
    <n v="0"/>
    <x v="5"/>
    <x v="5"/>
  </r>
  <r>
    <n v="267"/>
    <x v="6"/>
    <n v="0.02"/>
    <x v="4"/>
    <x v="21"/>
    <x v="1"/>
    <x v="0"/>
    <n v="7500"/>
    <n v="0"/>
    <x v="3"/>
    <x v="14"/>
    <n v="7500"/>
    <n v="0"/>
    <n v="7500"/>
    <n v="7500"/>
    <n v="7500"/>
    <n v="130000"/>
    <x v="0"/>
    <n v="7500"/>
    <n v="0"/>
    <x v="5"/>
    <x v="5"/>
  </r>
  <r>
    <n v="268"/>
    <x v="6"/>
    <n v="0.02"/>
    <x v="4"/>
    <x v="22"/>
    <x v="1"/>
    <x v="0"/>
    <n v="7500"/>
    <n v="0"/>
    <x v="3"/>
    <x v="14"/>
    <n v="7500"/>
    <n v="0"/>
    <n v="7500"/>
    <n v="7500"/>
    <n v="7500"/>
    <n v="130000"/>
    <x v="0"/>
    <n v="7500"/>
    <n v="0"/>
    <x v="5"/>
    <x v="5"/>
  </r>
  <r>
    <n v="269"/>
    <x v="6"/>
    <n v="0.02"/>
    <x v="4"/>
    <x v="21"/>
    <x v="1"/>
    <x v="0"/>
    <n v="1201.9230769230769"/>
    <n v="0"/>
    <x v="5"/>
    <x v="11"/>
    <n v="1201.9230769230769"/>
    <n v="0"/>
    <n v="1201.9230769230769"/>
    <n v="1201.9230769230769"/>
    <n v="1201.9230769230769"/>
    <n v="130000"/>
    <x v="0"/>
    <n v="1201.9230769230769"/>
    <n v="0"/>
    <x v="5"/>
    <x v="5"/>
  </r>
  <r>
    <n v="270"/>
    <x v="6"/>
    <n v="0.02"/>
    <x v="4"/>
    <x v="21"/>
    <x v="1"/>
    <x v="0"/>
    <n v="20000"/>
    <n v="0"/>
    <x v="5"/>
    <x v="14"/>
    <n v="20000"/>
    <n v="0"/>
    <n v="20000"/>
    <n v="20000"/>
    <n v="20000"/>
    <n v="130000"/>
    <x v="0"/>
    <n v="20000"/>
    <n v="0"/>
    <x v="5"/>
    <x v="5"/>
  </r>
  <r>
    <n v="271"/>
    <x v="7"/>
    <n v="0.01"/>
    <x v="11"/>
    <x v="23"/>
    <x v="1"/>
    <x v="2"/>
    <n v="817.30769230769226"/>
    <n v="817.30769230769226"/>
    <x v="5"/>
    <x v="0"/>
    <n v="1634.6153846153845"/>
    <n v="0"/>
    <n v="1634.6153846153845"/>
    <n v="817.30769230769226"/>
    <n v="1634.6153846153845"/>
    <n v="65000"/>
    <x v="0"/>
    <n v="817.30769230769226"/>
    <n v="0"/>
    <x v="0"/>
    <x v="0"/>
  </r>
  <r>
    <n v="272"/>
    <x v="7"/>
    <n v="0.01"/>
    <x v="11"/>
    <x v="0"/>
    <x v="1"/>
    <x v="2"/>
    <n v="817.30769230769226"/>
    <n v="817.30769230769226"/>
    <x v="5"/>
    <x v="0"/>
    <n v="1634.6153846153845"/>
    <n v="0"/>
    <n v="1634.6153846153845"/>
    <n v="817.30769230769226"/>
    <n v="1634.6153846153845"/>
    <n v="65000"/>
    <x v="0"/>
    <n v="817.30769230769226"/>
    <n v="0"/>
    <x v="0"/>
    <x v="0"/>
  </r>
  <r>
    <n v="273"/>
    <x v="7"/>
    <n v="0.01"/>
    <x v="11"/>
    <x v="23"/>
    <x v="1"/>
    <x v="2"/>
    <n v="480.76923076923083"/>
    <n v="480.76923076923083"/>
    <x v="5"/>
    <x v="12"/>
    <n v="961.53846153846166"/>
    <n v="0"/>
    <n v="961.53846153846166"/>
    <n v="480.76923076923083"/>
    <n v="961.53846153846166"/>
    <n v="65000"/>
    <x v="0"/>
    <n v="480.76923076923083"/>
    <n v="0"/>
    <x v="0"/>
    <x v="0"/>
  </r>
  <r>
    <n v="274"/>
    <x v="7"/>
    <n v="0.01"/>
    <x v="11"/>
    <x v="0"/>
    <x v="1"/>
    <x v="2"/>
    <n v="480.76923076923083"/>
    <n v="480.76923076923083"/>
    <x v="5"/>
    <x v="12"/>
    <n v="961.53846153846166"/>
    <n v="0"/>
    <n v="961.53846153846166"/>
    <n v="480.76923076923083"/>
    <n v="961.53846153846166"/>
    <n v="65000"/>
    <x v="0"/>
    <n v="480.76923076923083"/>
    <n v="0"/>
    <x v="0"/>
    <x v="0"/>
  </r>
  <r>
    <n v="275"/>
    <x v="7"/>
    <n v="0.01"/>
    <x v="11"/>
    <x v="23"/>
    <x v="1"/>
    <x v="2"/>
    <n v="5000"/>
    <n v="5000"/>
    <x v="5"/>
    <x v="14"/>
    <n v="10000"/>
    <n v="0"/>
    <n v="10000"/>
    <n v="5000"/>
    <n v="10000"/>
    <n v="65000"/>
    <x v="0"/>
    <n v="5000"/>
    <n v="0"/>
    <x v="0"/>
    <x v="0"/>
  </r>
  <r>
    <n v="276"/>
    <x v="7"/>
    <n v="0.01"/>
    <x v="11"/>
    <x v="0"/>
    <x v="1"/>
    <x v="2"/>
    <n v="5000"/>
    <n v="5000"/>
    <x v="5"/>
    <x v="14"/>
    <n v="10000"/>
    <n v="0"/>
    <n v="10000"/>
    <n v="5000"/>
    <n v="10000"/>
    <n v="65000"/>
    <x v="0"/>
    <n v="5000"/>
    <n v="0"/>
    <x v="0"/>
    <x v="0"/>
  </r>
  <r>
    <n v="277"/>
    <x v="7"/>
    <n v="0.01"/>
    <x v="8"/>
    <x v="23"/>
    <x v="1"/>
    <x v="2"/>
    <n v="7550"/>
    <n v="7550"/>
    <x v="4"/>
    <x v="6"/>
    <n v="2600"/>
    <n v="12500"/>
    <n v="15100"/>
    <n v="15100"/>
    <n v="15100"/>
    <n v="65000"/>
    <x v="0"/>
    <n v="2600"/>
    <n v="12500"/>
    <x v="0"/>
    <x v="0"/>
  </r>
  <r>
    <n v="278"/>
    <x v="7"/>
    <n v="0.01"/>
    <x v="8"/>
    <x v="0"/>
    <x v="1"/>
    <x v="2"/>
    <n v="7550"/>
    <n v="7550"/>
    <x v="4"/>
    <x v="6"/>
    <n v="2600"/>
    <n v="12500"/>
    <n v="15100"/>
    <n v="15100"/>
    <n v="15100"/>
    <n v="65000"/>
    <x v="0"/>
    <n v="2600"/>
    <n v="12500"/>
    <x v="0"/>
    <x v="0"/>
  </r>
  <r>
    <n v="279"/>
    <x v="8"/>
    <n v="0.08"/>
    <x v="4"/>
    <x v="24"/>
    <x v="1"/>
    <x v="2"/>
    <n v="87211.538461538468"/>
    <n v="21802.88461538461"/>
    <x v="5"/>
    <x v="19"/>
    <n v="9014.4230769230762"/>
    <n v="100000"/>
    <n v="109014.42307692308"/>
    <n v="54507.211538461539"/>
    <n v="109014.42307692308"/>
    <n v="520000"/>
    <x v="0"/>
    <n v="4507.2115384615381"/>
    <n v="50000"/>
    <x v="8"/>
    <x v="8"/>
  </r>
  <r>
    <n v="280"/>
    <x v="8"/>
    <n v="0.08"/>
    <x v="4"/>
    <x v="24"/>
    <x v="1"/>
    <x v="2"/>
    <n v="63461.538461538468"/>
    <n v="15865.384615384612"/>
    <x v="5"/>
    <x v="7"/>
    <n v="16826.923076923078"/>
    <n v="62500"/>
    <n v="79326.923076923078"/>
    <n v="59495.192307692312"/>
    <n v="79326.923076923078"/>
    <n v="520000"/>
    <x v="0"/>
    <n v="12620.192307692309"/>
    <n v="46875"/>
    <x v="7"/>
    <x v="7"/>
  </r>
  <r>
    <n v="281"/>
    <x v="8"/>
    <n v="0.08"/>
    <x v="4"/>
    <x v="24"/>
    <x v="1"/>
    <x v="2"/>
    <n v="35769.230769230773"/>
    <n v="8942.3076923076896"/>
    <x v="5"/>
    <x v="7"/>
    <n v="7211.5384615384619"/>
    <n v="37500"/>
    <n v="44711.538461538461"/>
    <n v="11177.884615384615"/>
    <n v="44711.538461538461"/>
    <n v="520000"/>
    <x v="0"/>
    <n v="1802.8846153846155"/>
    <n v="9375"/>
    <x v="3"/>
    <x v="3"/>
  </r>
  <r>
    <n v="282"/>
    <x v="8"/>
    <n v="0.08"/>
    <x v="4"/>
    <x v="24"/>
    <x v="1"/>
    <x v="2"/>
    <n v="34326.923076923078"/>
    <n v="8581.7307692307677"/>
    <x v="5"/>
    <x v="11"/>
    <n v="5408.6538461538466"/>
    <n v="37500"/>
    <n v="42908.653846153844"/>
    <n v="10727.163461538461"/>
    <n v="42908.653846153844"/>
    <n v="520000"/>
    <x v="0"/>
    <n v="1352.1634615384617"/>
    <n v="9375"/>
    <x v="3"/>
    <x v="3"/>
  </r>
  <r>
    <n v="283"/>
    <x v="8"/>
    <n v="0.08"/>
    <x v="4"/>
    <x v="24"/>
    <x v="1"/>
    <x v="2"/>
    <n v="59615.384615384617"/>
    <n v="14903.846153846151"/>
    <x v="5"/>
    <x v="19"/>
    <n v="12019.23076923077"/>
    <n v="62500"/>
    <n v="74519.230769230766"/>
    <n v="48437.5"/>
    <n v="74519.230769230766"/>
    <n v="520000"/>
    <x v="0"/>
    <n v="7812.5"/>
    <n v="40625"/>
    <x v="12"/>
    <x v="12"/>
  </r>
  <r>
    <n v="284"/>
    <x v="8"/>
    <n v="0.08"/>
    <x v="4"/>
    <x v="24"/>
    <x v="1"/>
    <x v="2"/>
    <n v="59615.384615384617"/>
    <n v="14903.846153846151"/>
    <x v="5"/>
    <x v="7"/>
    <n v="12019.23076923077"/>
    <n v="62500"/>
    <n v="74519.230769230766"/>
    <n v="48437.5"/>
    <n v="74519.230769230766"/>
    <n v="520000"/>
    <x v="0"/>
    <n v="7812.5"/>
    <n v="40625"/>
    <x v="12"/>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4" cacheId="1" dataOnRows="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9">
  <location ref="BY1:BZ3" firstHeaderRow="1"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dataField="1" showAll="0" defaultSubtotal="0"/>
    <pivotField dataField="1" showAll="0" defaultSubtotal="0"/>
    <pivotField showAll="0" defaultSubtotal="0"/>
    <pivotField numFmtId="164" showAll="0"/>
    <pivotField numFmtId="164" showAll="0"/>
    <pivotField numFmtId="164" showAll="0"/>
    <pivotField showAll="0">
      <items count="14">
        <item m="1" x="10"/>
        <item m="1" x="6"/>
        <item m="1" x="4"/>
        <item m="1" x="12"/>
        <item m="1" x="3"/>
        <item m="1" x="11"/>
        <item m="1" x="8"/>
        <item m="1" x="7"/>
        <item m="1" x="9"/>
        <item m="1" x="5"/>
        <item m="1" x="2"/>
        <item x="1"/>
        <item x="0"/>
        <item t="default"/>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2"/>
  </rowFields>
  <rowItems count="2">
    <i>
      <x/>
    </i>
    <i i="1">
      <x v="1"/>
    </i>
  </rowItems>
  <colItems count="1">
    <i/>
  </colItems>
  <dataFields count="2">
    <dataField name="Total Resource Projected " fld="11" baseField="0" baseItem="13496344"/>
    <dataField name="Total Other Projected " fld="12" baseField="0" baseItem="13496344"/>
  </dataFields>
  <formats count="1">
    <format dxfId="16">
      <pivotArea outline="0" collapsedLevelsAreSubtotals="1" fieldPosition="0"/>
    </format>
  </formats>
  <chartFormats count="2">
    <chartFormat chart="7"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tSub"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6">
  <location ref="AE1:AG13"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axis="axisRow" showAll="0">
      <items count="20">
        <item m="1" x="16"/>
        <item x="5"/>
        <item m="1" x="13"/>
        <item m="1" x="14"/>
        <item m="1" x="15"/>
        <item m="1" x="17"/>
        <item m="1" x="18"/>
        <item m="1" x="12"/>
        <item x="1"/>
        <item x="0"/>
        <item x="2"/>
        <item x="3"/>
        <item x="4"/>
        <item x="6"/>
        <item x="7"/>
        <item x="8"/>
        <item x="9"/>
        <item x="10"/>
        <item x="11"/>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showAll="0"/>
    <pivotField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dataField="1" numFmtId="164" showAll="0" defaultSubtotal="0"/>
    <pivotField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3"/>
  </rowFields>
  <rowItems count="12">
    <i>
      <x v="1"/>
    </i>
    <i>
      <x v="8"/>
    </i>
    <i>
      <x v="9"/>
    </i>
    <i>
      <x v="10"/>
    </i>
    <i>
      <x v="11"/>
    </i>
    <i>
      <x v="12"/>
    </i>
    <i>
      <x v="13"/>
    </i>
    <i>
      <x v="14"/>
    </i>
    <i>
      <x v="15"/>
    </i>
    <i>
      <x v="16"/>
    </i>
    <i>
      <x v="18"/>
    </i>
    <i t="grand">
      <x/>
    </i>
  </rowItems>
  <colFields count="1">
    <field x="-2"/>
  </colFields>
  <colItems count="2">
    <i>
      <x/>
    </i>
    <i i="1">
      <x v="1"/>
    </i>
  </colItems>
  <dataFields count="2">
    <dataField name="Projected" fld="13" baseField="3" baseItem="9" numFmtId="164"/>
    <dataField name="Utilized " fld="14" baseField="3" baseItem="5" numFmtId="164"/>
  </dataFields>
  <chartFormats count="2">
    <chartFormat chart="2" format="6"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vtMain"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5">
  <location ref="BD1:BG11" firstHeaderRow="0" firstDataRow="1" firstDataCol="1"/>
  <pivotFields count="25">
    <pivotField showAll="0"/>
    <pivotField axis="axisRow" showAll="0">
      <items count="14">
        <item m="1" x="12"/>
        <item x="0"/>
        <item m="1" x="10"/>
        <item m="1" x="9"/>
        <item x="1"/>
        <item x="2"/>
        <item x="5"/>
        <item x="8"/>
        <item m="1" x="11"/>
        <item x="3"/>
        <item x="4"/>
        <item x="6"/>
        <item x="7"/>
        <item t="default"/>
      </items>
    </pivotField>
    <pivotField name="Budget Percentage" numFmtId="167"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dataField="1" numFmtId="164" showAll="0" defaultSubtotal="0"/>
    <pivotField numFmtId="164" showAll="0"/>
    <pivotField dataField="1"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1"/>
  </rowFields>
  <rowItems count="10">
    <i>
      <x v="1"/>
    </i>
    <i>
      <x v="4"/>
    </i>
    <i>
      <x v="5"/>
    </i>
    <i>
      <x v="6"/>
    </i>
    <i>
      <x v="7"/>
    </i>
    <i>
      <x v="9"/>
    </i>
    <i>
      <x v="10"/>
    </i>
    <i>
      <x v="11"/>
    </i>
    <i>
      <x v="12"/>
    </i>
    <i t="grand">
      <x/>
    </i>
  </rowItems>
  <colFields count="1">
    <field x="-2"/>
  </colFields>
  <colItems count="3">
    <i>
      <x/>
    </i>
    <i i="1">
      <x v="1"/>
    </i>
    <i i="2">
      <x v="2"/>
    </i>
  </colItems>
  <dataFields count="3">
    <dataField name="Budget " fld="16" subtotal="max" baseField="0" baseItem="5041736" numFmtId="164"/>
    <dataField name="Projected " fld="13" baseField="1" baseItem="9" numFmtId="164"/>
    <dataField name="Utilized " fld="14" baseField="0" baseItem="5041736" numFmtId="164"/>
  </dataFields>
  <chartFormats count="3">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2"/>
          </reference>
        </references>
      </pivotArea>
    </chartFormat>
    <chartFormat chart="4" format="1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6">
  <location ref="BP1:BQ4" firstHeaderRow="1"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numFmtId="164" showAll="0"/>
    <pivotField numFmtId="164" showAll="0"/>
    <pivotField numFmtId="164" showAll="0"/>
    <pivotField axis="axisRow" showAll="0">
      <items count="14">
        <item m="1" x="3"/>
        <item m="1" x="9"/>
        <item m="1" x="2"/>
        <item m="1" x="5"/>
        <item m="1" x="7"/>
        <item m="1" x="8"/>
        <item m="1" x="4"/>
        <item m="1" x="12"/>
        <item m="1" x="6"/>
        <item m="1" x="10"/>
        <item m="1" x="11"/>
        <item x="0"/>
        <item x="1"/>
        <item t="default"/>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17"/>
  </rowFields>
  <rowItems count="3">
    <i>
      <x v="11"/>
    </i>
    <i>
      <x v="12"/>
    </i>
    <i t="grand">
      <x/>
    </i>
  </rowItems>
  <colItems count="1">
    <i/>
  </colItems>
  <dataFields count="1">
    <dataField name="Sum of Total Cost" fld="13" baseField="0" baseItem="0"/>
  </dataFields>
  <chartFormats count="1">
    <chartFormat chart="5"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vtProfile" cacheId="0"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3">
  <location ref="CO4:CQ9" firstHeaderRow="0" firstDataRow="1" firstDataCol="1"/>
  <pivotFields count="5">
    <pivotField axis="axisRow" showAll="0">
      <items count="14">
        <item m="1" x="10"/>
        <item m="1" x="9"/>
        <item m="1" x="4"/>
        <item m="1" x="7"/>
        <item m="1" x="8"/>
        <item m="1" x="12"/>
        <item m="1" x="5"/>
        <item m="1" x="6"/>
        <item m="1" x="11"/>
        <item x="0"/>
        <item x="1"/>
        <item x="2"/>
        <item x="3"/>
        <item t="default"/>
      </items>
    </pivotField>
    <pivotField showAll="0"/>
    <pivotField numFmtId="169" showAll="0"/>
    <pivotField dataField="1" numFmtId="169" showAll="0"/>
    <pivotField dataField="1" numFmtId="169" showAll="0"/>
  </pivotFields>
  <rowFields count="1">
    <field x="0"/>
  </rowFields>
  <rowItems count="5">
    <i>
      <x v="9"/>
    </i>
    <i>
      <x v="10"/>
    </i>
    <i>
      <x v="11"/>
    </i>
    <i>
      <x v="12"/>
    </i>
    <i t="grand">
      <x/>
    </i>
  </rowItems>
  <colFields count="1">
    <field x="-2"/>
  </colFields>
  <colItems count="2">
    <i>
      <x/>
    </i>
    <i i="1">
      <x v="1"/>
    </i>
  </colItems>
  <dataFields count="2">
    <dataField name="Projected per Unit " fld="3" baseField="0" baseItem="0"/>
    <dataField name="Utilized per Unit " fld="4" baseField="0" baseItem="0"/>
  </dataFields>
  <formats count="2">
    <format dxfId="18">
      <pivotArea collapsedLevelsAreSubtotals="1" fieldPosition="0">
        <references count="1">
          <reference field="0" count="0"/>
        </references>
      </pivotArea>
    </format>
    <format dxfId="17">
      <pivotArea grandRow="1" outline="0" collapsedLevelsAreSubtotals="1" fieldPosition="0"/>
    </format>
  </formats>
  <chartFormats count="2">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6">
  <location ref="DC1:DE13"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pivotField numFmtId="164" showAll="0"/>
    <pivotField dataField="1" numFmtId="164" showAll="0"/>
    <pivotField dataField="1" numFmtId="164" showAll="0"/>
    <pivotField numFmtId="164" showAll="0"/>
    <pivotField numFmtId="164" showAll="0"/>
    <pivotField showAll="0">
      <items count="14">
        <item m="1" x="10"/>
        <item m="1" x="6"/>
        <item m="1" x="4"/>
        <item m="1" x="12"/>
        <item m="1" x="3"/>
        <item m="1" x="11"/>
        <item m="1" x="8"/>
        <item m="1" x="7"/>
        <item m="1" x="9"/>
        <item m="1" x="5"/>
        <item m="1" x="2"/>
        <item x="1"/>
        <item x="0"/>
        <item t="default"/>
      </items>
    </pivotField>
    <pivotField numFmtId="164" showAll="0"/>
    <pivotField numFmtId="164" showAll="0"/>
    <pivotField axis="axisRow" showAll="0">
      <items count="15">
        <item x="0"/>
        <item x="1"/>
        <item x="2"/>
        <item x="3"/>
        <item x="4"/>
        <item x="5"/>
        <item x="6"/>
        <item x="7"/>
        <item x="8"/>
        <item x="9"/>
        <item x="10"/>
        <item x="11"/>
        <item x="12"/>
        <item x="13"/>
        <item t="default"/>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axis="axisRow"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2">
    <field x="23"/>
    <field x="20"/>
  </rowFields>
  <rowItems count="12">
    <i>
      <x v="115"/>
    </i>
    <i r="1">
      <x v="2"/>
    </i>
    <i r="1">
      <x v="3"/>
    </i>
    <i r="1">
      <x v="4"/>
    </i>
    <i r="1">
      <x v="6"/>
    </i>
    <i r="1">
      <x v="7"/>
    </i>
    <i r="1">
      <x v="8"/>
    </i>
    <i r="1">
      <x v="9"/>
    </i>
    <i r="1">
      <x v="10"/>
    </i>
    <i r="1">
      <x v="11"/>
    </i>
    <i r="1">
      <x v="12"/>
    </i>
    <i t="grand">
      <x/>
    </i>
  </rowItems>
  <colFields count="1">
    <field x="-2"/>
  </colFields>
  <colItems count="2">
    <i>
      <x/>
    </i>
    <i i="1">
      <x v="1"/>
    </i>
  </colItems>
  <dataFields count="2">
    <dataField name="Projected " fld="13" baseField="0" baseItem="7926360" numFmtId="164"/>
    <dataField name="Utilized " fld="14" baseField="0" baseItem="7926360" numFmtId="164"/>
  </dataFields>
  <chartFormats count="2">
    <chartFormat chart="5" format="8" series="1">
      <pivotArea type="data" outline="0" fieldPosition="0">
        <references count="1">
          <reference field="4294967294" count="1" selected="0">
            <x v="1"/>
          </reference>
        </references>
      </pivotArea>
    </chartFormat>
    <chartFormat chart="5"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location ref="CT1:CV2" firstHeaderRow="0" firstDataRow="1" firstDataCol="0"/>
  <pivotFields count="25">
    <pivotField showAll="0"/>
    <pivotField showAll="0"/>
    <pivotField showAll="0"/>
    <pivotField showAll="0"/>
    <pivotField showAll="0"/>
    <pivotField showAll="0"/>
    <pivotField showAll="0"/>
    <pivotField numFmtId="164" showAll="0"/>
    <pivotField numFmtId="164" showAll="0"/>
    <pivotField showAll="0"/>
    <pivotField showAll="0"/>
    <pivotField showAll="0"/>
    <pivotField numFmtId="164" showAll="0"/>
    <pivotField dataField="1" numFmtId="164" showAll="0"/>
    <pivotField dataField="1" numFmtId="164" showAll="0"/>
    <pivotField numFmtId="164" showAll="0"/>
    <pivotField numFmtId="164" showAll="0"/>
    <pivotField showAll="0"/>
    <pivotField numFmtId="164" showAll="0"/>
    <pivotField numFmtId="164" showAll="0"/>
    <pivotField numFmtId="17" showAll="0"/>
    <pivotField showAll="0">
      <items count="29">
        <item h="1" m="1" x="25"/>
        <item h="1" m="1" x="22"/>
        <item h="1" m="1" x="24"/>
        <item h="1" m="1" x="16"/>
        <item h="1" m="1" x="21"/>
        <item h="1" m="1" x="27"/>
        <item x="3"/>
        <item h="1" m="1" x="26"/>
        <item x="12"/>
        <item x="11"/>
        <item x="1"/>
        <item h="1" x="9"/>
        <item h="1" x="14"/>
        <item h="1" x="6"/>
        <item h="1" m="1" x="19"/>
        <item x="8"/>
        <item h="1" m="1" x="17"/>
        <item x="7"/>
        <item h="1" m="1" x="18"/>
        <item x="2"/>
        <item h="1" x="10"/>
        <item x="4"/>
        <item h="1" m="1" x="20"/>
        <item x="5"/>
        <item x="0"/>
        <item x="13"/>
        <item h="1" m="1" x="23"/>
        <item h="1" m="1" x="15"/>
        <item t="default"/>
      </items>
    </pivotField>
    <pivotField dragToRow="0" dragToCol="0" dragToPage="0" showAll="0" defaultSubtotal="0"/>
    <pivotField showAll="0" defaultSubtotal="0"/>
    <pivotField dataField="1" dragToRow="0" dragToCol="0" dragToPage="0" showAll="0" defaultSubtotal="0"/>
  </pivotFields>
  <rowItems count="1">
    <i/>
  </rowItems>
  <colFields count="1">
    <field x="-2"/>
  </colFields>
  <colItems count="3">
    <i>
      <x/>
    </i>
    <i i="1">
      <x v="1"/>
    </i>
    <i i="2">
      <x v="2"/>
    </i>
  </colItems>
  <dataFields count="3">
    <dataField name="Budget " fld="24" baseField="0" baseItem="2" numFmtId="164"/>
    <dataField name="Projected " fld="13" baseField="0" baseItem="1" numFmtId="164"/>
    <dataField name="Utilized " fld="14" baseField="0"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vtMonth"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3">
  <location ref="CD1:CF13"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pivotField numFmtId="164" showAll="0"/>
    <pivotField dataField="1" numFmtId="164" showAll="0"/>
    <pivotField dataField="1" numFmtId="164" showAll="0"/>
    <pivotField numFmtId="164" showAll="0"/>
    <pivotField numFmtId="164" showAll="0"/>
    <pivotField showAll="0">
      <items count="14">
        <item m="1" x="10"/>
        <item m="1" x="6"/>
        <item m="1" x="4"/>
        <item m="1" x="12"/>
        <item m="1" x="3"/>
        <item m="1" x="11"/>
        <item m="1" x="8"/>
        <item m="1" x="7"/>
        <item m="1" x="9"/>
        <item m="1" x="5"/>
        <item m="1" x="2"/>
        <item x="1"/>
        <item x="0"/>
        <item t="default"/>
      </items>
    </pivotField>
    <pivotField numFmtId="164" showAll="0"/>
    <pivotField numFmtId="164" showAll="0"/>
    <pivotField axis="axisRow" showAll="0">
      <items count="15">
        <item x="0"/>
        <item x="1"/>
        <item x="2"/>
        <item x="3"/>
        <item x="4"/>
        <item x="5"/>
        <item x="6"/>
        <item x="7"/>
        <item x="8"/>
        <item x="9"/>
        <item x="10"/>
        <item x="11"/>
        <item x="12"/>
        <item x="13"/>
        <item t="default"/>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axis="axisRow"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2">
    <field x="23"/>
    <field x="20"/>
  </rowFields>
  <rowItems count="12">
    <i>
      <x v="115"/>
    </i>
    <i r="1">
      <x v="2"/>
    </i>
    <i r="1">
      <x v="3"/>
    </i>
    <i r="1">
      <x v="4"/>
    </i>
    <i r="1">
      <x v="6"/>
    </i>
    <i r="1">
      <x v="7"/>
    </i>
    <i r="1">
      <x v="8"/>
    </i>
    <i r="1">
      <x v="9"/>
    </i>
    <i r="1">
      <x v="10"/>
    </i>
    <i r="1">
      <x v="11"/>
    </i>
    <i r="1">
      <x v="12"/>
    </i>
    <i t="grand">
      <x/>
    </i>
  </rowItems>
  <colFields count="1">
    <field x="-2"/>
  </colFields>
  <colItems count="2">
    <i>
      <x/>
    </i>
    <i i="1">
      <x v="1"/>
    </i>
  </colItems>
  <dataFields count="2">
    <dataField name="Projected  " fld="13" baseField="20" baseItem="14" numFmtId="164"/>
    <dataField name="Utilized " fld="14" baseField="20" baseItem="3" numFmtId="164"/>
  </dataFields>
  <formats count="1">
    <format dxfId="19">
      <pivotArea dataOnly="0" labelOnly="1" fieldPosition="0">
        <references count="1">
          <reference field="2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vtDepartment"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5">
  <location ref="AO1:AQ7"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axis="axisRow" showAll="0">
      <items count="10">
        <item x="2"/>
        <item m="1" x="7"/>
        <item x="1"/>
        <item m="1" x="8"/>
        <item m="1" x="6"/>
        <item x="3"/>
        <item m="1" x="5"/>
        <item x="0"/>
        <item x="4"/>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dataField="1" numFmtId="164" showAll="0" defaultSubtotal="0"/>
    <pivotField numFmtId="164"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6"/>
  </rowFields>
  <rowItems count="6">
    <i>
      <x/>
    </i>
    <i>
      <x v="2"/>
    </i>
    <i>
      <x v="5"/>
    </i>
    <i>
      <x v="7"/>
    </i>
    <i>
      <x v="8"/>
    </i>
    <i t="grand">
      <x/>
    </i>
  </rowItems>
  <colFields count="1">
    <field x="-2"/>
  </colFields>
  <colItems count="2">
    <i>
      <x/>
    </i>
    <i i="1">
      <x v="1"/>
    </i>
  </colItems>
  <dataFields count="2">
    <dataField name="Projected " fld="13" baseField="6" baseItem="2" numFmtId="164"/>
    <dataField name="Utilized " fld="14" baseField="6" baseItem="5" numFmtId="164"/>
  </dataFields>
  <chartFormats count="2">
    <chartFormat chart="4" format="6"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vtRes"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6">
  <location ref="AY1:BA22"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axis="axisRow" showAll="0">
      <items count="25">
        <item m="1" x="23"/>
        <item x="3"/>
        <item x="11"/>
        <item m="1" x="22"/>
        <item m="1" x="21"/>
        <item m="1" x="20"/>
        <item x="15"/>
        <item x="18"/>
        <item x="7"/>
        <item x="12"/>
        <item x="0"/>
        <item x="1"/>
        <item x="13"/>
        <item x="2"/>
        <item x="4"/>
        <item x="5"/>
        <item x="6"/>
        <item x="8"/>
        <item x="9"/>
        <item x="10"/>
        <item x="14"/>
        <item x="16"/>
        <item x="17"/>
        <item x="19"/>
        <item t="default"/>
      </items>
    </pivotField>
    <pivotField dataField="1" showAll="0" defaultSubtotal="0"/>
    <pivotField showAll="0" defaultSubtotal="0"/>
    <pivotField showAll="0" defaultSubtotal="0"/>
    <pivotField numFmtId="164" showAll="0" defaultSubtotal="0"/>
    <pivotField numFmtId="164"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dataField="1"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10"/>
  </rowFields>
  <rowItems count="21">
    <i>
      <x v="1"/>
    </i>
    <i>
      <x v="2"/>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Resource Projected " fld="11" baseField="10" baseItem="14" numFmtId="164"/>
    <dataField name="Resource Projected Utilized " fld="18" baseField="10" baseItem="1" numFmtId="164"/>
  </dataFields>
  <chartFormats count="2">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vtSpent"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4">
  <location ref="AT1:AV6"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axis="axisRow" showAll="0">
      <items count="6">
        <item m="1" x="4"/>
        <item x="1"/>
        <item x="2"/>
        <item x="3"/>
        <item x="0"/>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dataField="1" numFmtId="164" showAll="0" defaultSubtotal="0"/>
    <pivotField numFmtId="164"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5"/>
  </rowFields>
  <rowItems count="5">
    <i>
      <x v="1"/>
    </i>
    <i>
      <x v="2"/>
    </i>
    <i>
      <x v="3"/>
    </i>
    <i>
      <x v="4"/>
    </i>
    <i t="grand">
      <x/>
    </i>
  </rowItems>
  <colFields count="1">
    <field x="-2"/>
  </colFields>
  <colItems count="2">
    <i>
      <x/>
    </i>
    <i i="1">
      <x v="1"/>
    </i>
  </colItems>
  <dataFields count="2">
    <dataField name="Projected " fld="13" baseField="5" baseItem="2" numFmtId="164"/>
    <dataField name="Utilized " fld="14" baseField="0" baseItem="5041736" numFmtId="164"/>
  </dataFields>
  <chartFormats count="2">
    <chartFormat chart="3" format="6" series="1">
      <pivotArea type="data" outline="0" fieldPosition="0">
        <references count="1">
          <reference field="4294967294" count="1" selected="0">
            <x v="1"/>
          </reference>
        </references>
      </pivotArea>
    </chartFormat>
    <chartFormat chart="3"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9">
  <location ref="BU1:BV2" firstHeaderRow="0" firstDataRow="1" firstDataCol="0"/>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dataField="1" showAll="0" defaultSubtotal="0"/>
    <pivotField showAll="0" defaultSubtotal="0"/>
    <pivotField numFmtId="164" showAll="0" defaultSubtotal="0"/>
    <pivotField numFmtId="164"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dataField="1"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Items count="1">
    <i/>
  </rowItems>
  <colFields count="1">
    <field x="-2"/>
  </colFields>
  <colItems count="2">
    <i>
      <x/>
    </i>
    <i i="1">
      <x v="1"/>
    </i>
  </colItems>
  <dataFields count="2">
    <dataField name="Other Projected " fld="12" baseField="0" baseItem="1" numFmtId="164"/>
    <dataField name="Other Projected Utilized " fld="19" baseField="0" baseItem="1" numFmtId="164"/>
  </dataFields>
  <chartFormats count="2">
    <chartFormat chart="8" format="5"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vtFinancial"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3">
  <location ref="AJ1:AL8"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axis="axisRow" showAll="0">
      <items count="8">
        <item x="4"/>
        <item m="1" x="6"/>
        <item x="2"/>
        <item x="1"/>
        <item x="3"/>
        <item x="0"/>
        <item x="5"/>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dataField="1" numFmtId="164" showAll="0" defaultSubtotal="0"/>
    <pivotField numFmtId="164"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9"/>
  </rowFields>
  <rowItems count="7">
    <i>
      <x/>
    </i>
    <i>
      <x v="2"/>
    </i>
    <i>
      <x v="3"/>
    </i>
    <i>
      <x v="4"/>
    </i>
    <i>
      <x v="5"/>
    </i>
    <i>
      <x v="6"/>
    </i>
    <i t="grand">
      <x/>
    </i>
  </rowItems>
  <colFields count="1">
    <field x="-2"/>
  </colFields>
  <colItems count="2">
    <i>
      <x/>
    </i>
    <i i="1">
      <x v="1"/>
    </i>
  </colItems>
  <dataFields count="2">
    <dataField name="Projected" fld="13" baseField="9" baseItem="2" numFmtId="164"/>
    <dataField name="Utilized " fld="14" baseField="0" baseItem="5041736" numFmtId="164"/>
  </dataFields>
  <chartFormats count="2">
    <chartFormat chart="2" format="6"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5">
  <location ref="BK1:BM4"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numFmtId="164" showAll="0"/>
    <pivotField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dataField="1" numFmtId="164" showAll="0"/>
    <pivotField numFmtId="164" showAll="0"/>
    <pivotField numFmtId="164" showAll="0"/>
    <pivotField axis="axisRow" numFmtId="164" showAll="0" defaultSubtotal="0">
      <items count="13">
        <item m="1" x="3"/>
        <item m="1" x="9"/>
        <item m="1" x="2"/>
        <item m="1" x="5"/>
        <item m="1" x="7"/>
        <item m="1" x="8"/>
        <item m="1" x="4"/>
        <item m="1" x="12"/>
        <item m="1" x="6"/>
        <item m="1" x="10"/>
        <item m="1" x="11"/>
        <item x="0"/>
        <item x="1"/>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17"/>
  </rowFields>
  <rowItems count="3">
    <i>
      <x v="11"/>
    </i>
    <i>
      <x v="12"/>
    </i>
    <i t="grand">
      <x/>
    </i>
  </rowItems>
  <colFields count="1">
    <field x="-2"/>
  </colFields>
  <colItems count="2">
    <i>
      <x/>
    </i>
    <i i="1">
      <x v="1"/>
    </i>
  </colItems>
  <dataFields count="2">
    <dataField name="Projected " fld="13" baseField="17" baseItem="11" numFmtId="168"/>
    <dataField name="Utilized " fld="14" baseField="15" baseItem="0" numFmtId="164"/>
  </dataFields>
  <chartFormats count="2">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vtDirect" cacheId="1" dataOnRows="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3">
  <location ref="AA1:AB3" firstHeaderRow="1"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showAll="0">
      <items count="32">
        <item m="1" x="27"/>
        <item m="1" x="28"/>
        <item x="15"/>
        <item x="21"/>
        <item m="1" x="25"/>
        <item x="5"/>
        <item m="1" x="29"/>
        <item m="1" x="26"/>
        <item x="18"/>
        <item x="22"/>
        <item x="0"/>
        <item m="1" x="30"/>
        <item x="11"/>
        <item x="1"/>
        <item x="8"/>
        <item x="6"/>
        <item x="17"/>
        <item x="10"/>
        <item x="9"/>
        <item x="19"/>
        <item x="7"/>
        <item x="16"/>
        <item x="2"/>
        <item x="14"/>
        <item x="20"/>
        <item x="4"/>
        <item x="13"/>
        <item x="3"/>
        <item x="23"/>
        <item x="12"/>
        <item x="24"/>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dataField="1" numFmtId="164" showAll="0"/>
    <pivotField dataField="1" numFmtId="164"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showAll="0" defaultSubtotal="0"/>
    <pivotField numFmtId="164" showAll="0" defaultSubtotal="0"/>
    <pivotField numFmtId="164"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2"/>
  </rowFields>
  <rowItems count="2">
    <i>
      <x/>
    </i>
    <i i="1">
      <x v="1"/>
    </i>
  </rowItems>
  <colItems count="1">
    <i/>
  </colItems>
  <dataFields count="2">
    <dataField name="Direct " fld="7" baseField="0" baseItem="7729912" numFmtId="166"/>
    <dataField name="Indirect " fld="8" baseField="0" baseItem="7729912"/>
  </dataFields>
  <formats count="3">
    <format dxfId="22">
      <pivotArea outline="0" collapsedLevelsAreSubtotals="1" fieldPosition="0"/>
    </format>
    <format dxfId="21">
      <pivotArea outline="0" fieldPosition="0">
        <references count="1">
          <reference field="4294967294" count="1">
            <x v="0"/>
          </reference>
        </references>
      </pivotArea>
    </format>
    <format dxfId="20">
      <pivotArea collapsedLevelsAreSubtotals="1"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vtTags"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7">
  <location ref="Z9:AB35" firstHeaderRow="0" firstDataRow="1" firstDataCol="1"/>
  <pivotFields count="25">
    <pivotField showAll="0"/>
    <pivotField showAll="0">
      <items count="14">
        <item m="1" x="12"/>
        <item x="2"/>
        <item x="7"/>
        <item x="5"/>
        <item x="3"/>
        <item x="8"/>
        <item x="6"/>
        <item x="4"/>
        <item x="0"/>
        <item m="1" x="11"/>
        <item x="1"/>
        <item m="1" x="10"/>
        <item m="1" x="9"/>
        <item t="default"/>
      </items>
    </pivotField>
    <pivotField showAll="0"/>
    <pivotField showAll="0">
      <items count="20">
        <item x="4"/>
        <item x="9"/>
        <item x="3"/>
        <item x="7"/>
        <item x="8"/>
        <item m="1" x="16"/>
        <item x="0"/>
        <item x="5"/>
        <item m="1" x="13"/>
        <item x="2"/>
        <item x="1"/>
        <item m="1" x="14"/>
        <item x="10"/>
        <item x="11"/>
        <item m="1" x="15"/>
        <item m="1" x="17"/>
        <item m="1" x="18"/>
        <item x="6"/>
        <item m="1" x="12"/>
        <item t="default"/>
      </items>
    </pivotField>
    <pivotField axis="axisRow" showAll="0">
      <items count="32">
        <item m="1" x="27"/>
        <item m="1" x="29"/>
        <item m="1" x="26"/>
        <item x="24"/>
        <item x="21"/>
        <item x="0"/>
        <item x="6"/>
        <item m="1" x="30"/>
        <item x="5"/>
        <item x="18"/>
        <item m="1" x="25"/>
        <item m="1" x="28"/>
        <item x="15"/>
        <item x="13"/>
        <item x="1"/>
        <item x="2"/>
        <item x="3"/>
        <item x="4"/>
        <item x="7"/>
        <item x="8"/>
        <item x="9"/>
        <item x="10"/>
        <item x="11"/>
        <item x="12"/>
        <item x="14"/>
        <item x="16"/>
        <item x="17"/>
        <item x="19"/>
        <item x="20"/>
        <item x="22"/>
        <item x="23"/>
        <item t="default"/>
      </items>
    </pivotField>
    <pivotField showAll="0">
      <items count="6">
        <item x="2"/>
        <item x="0"/>
        <item x="3"/>
        <item x="1"/>
        <item m="1" x="4"/>
        <item t="default"/>
      </items>
    </pivotField>
    <pivotField showAll="0">
      <items count="10">
        <item m="1" x="7"/>
        <item x="2"/>
        <item x="0"/>
        <item x="1"/>
        <item x="4"/>
        <item m="1" x="8"/>
        <item m="1" x="6"/>
        <item x="3"/>
        <item m="1" x="5"/>
        <item t="default"/>
      </items>
    </pivotField>
    <pivotField showAll="0"/>
    <pivotField showAll="0"/>
    <pivotField showAll="0">
      <items count="8">
        <item x="1"/>
        <item x="0"/>
        <item x="3"/>
        <item x="2"/>
        <item x="4"/>
        <item x="5"/>
        <item m="1" x="6"/>
        <item t="default"/>
      </items>
    </pivotField>
    <pivotField showAll="0">
      <items count="25">
        <item m="1" x="23"/>
        <item x="19"/>
        <item x="5"/>
        <item m="1" x="22"/>
        <item m="1" x="20"/>
        <item x="6"/>
        <item x="9"/>
        <item m="1" x="21"/>
        <item x="16"/>
        <item x="10"/>
        <item x="11"/>
        <item x="15"/>
        <item x="17"/>
        <item x="12"/>
        <item x="13"/>
        <item x="2"/>
        <item x="4"/>
        <item x="0"/>
        <item x="18"/>
        <item x="7"/>
        <item x="1"/>
        <item x="8"/>
        <item x="14"/>
        <item x="3"/>
        <item t="default"/>
      </items>
    </pivotField>
    <pivotField showAll="0" defaultSubtotal="0"/>
    <pivotField showAll="0" defaultSubtotal="0"/>
    <pivotField dataField="1" showAll="0" defaultSubtotal="0"/>
    <pivotField dataField="1" numFmtId="164" showAll="0" defaultSubtotal="0"/>
    <pivotField showAll="0"/>
    <pivotField numFmtId="164" showAll="0" defaultSubtotal="0"/>
    <pivotField numFmtId="164" showAll="0" defaultSubtotal="0">
      <items count="13">
        <item m="1" x="10"/>
        <item m="1" x="6"/>
        <item m="1" x="4"/>
        <item m="1" x="12"/>
        <item m="1" x="3"/>
        <item m="1" x="11"/>
        <item m="1" x="8"/>
        <item m="1" x="7"/>
        <item m="1" x="9"/>
        <item m="1" x="5"/>
        <item m="1" x="2"/>
        <item x="1"/>
        <item x="0"/>
      </items>
    </pivotField>
    <pivotField numFmtId="164" showAll="0" defaultSubtotal="0"/>
    <pivotField numFmtId="164" showAll="0" defaultSubtotal="0"/>
    <pivotField showAll="0" defaultSubtotal="0">
      <items count="14">
        <item x="0"/>
        <item x="1"/>
        <item x="2"/>
        <item x="3"/>
        <item x="4"/>
        <item x="5"/>
        <item x="6"/>
        <item x="7"/>
        <item x="8"/>
        <item x="9"/>
        <item x="10"/>
        <item x="11"/>
        <item x="12"/>
        <item x="13"/>
      </items>
    </pivotField>
    <pivotField showAll="0" defaultSubtotal="0">
      <items count="28">
        <item h="1" m="1" x="25"/>
        <item h="1" m="1" x="22"/>
        <item h="1" m="1" x="24"/>
        <item h="1" m="1" x="16"/>
        <item h="1" m="1" x="21"/>
        <item h="1" m="1" x="27"/>
        <item x="3"/>
        <item h="1" m="1" x="26"/>
        <item x="12"/>
        <item x="11"/>
        <item x="1"/>
        <item h="1" x="9"/>
        <item h="1" x="14"/>
        <item h="1" x="6"/>
        <item h="1" m="1" x="19"/>
        <item x="8"/>
        <item h="1" m="1" x="17"/>
        <item x="7"/>
        <item h="1" m="1" x="18"/>
        <item x="2"/>
        <item h="1" x="10"/>
        <item h="1" x="4"/>
        <item h="1" m="1" x="20"/>
        <item x="5"/>
        <item x="0"/>
        <item x="13"/>
        <item h="1" m="1" x="23"/>
        <item h="1" m="1" x="15"/>
      </items>
    </pivotField>
    <pivotField dragToRow="0" dragToCol="0" dragToPage="0" showAll="0" defaultSubtotal="0"/>
    <pivotField showAll="0" defaultSubtotal="0">
      <items count="11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0"/>
        <item x="118"/>
      </items>
    </pivotField>
    <pivotField dragToRow="0" dragToCol="0" dragToPage="0" showAll="0" defaultSubtotal="0"/>
  </pivotFields>
  <rowFields count="1">
    <field x="4"/>
  </rowFields>
  <rowItems count="26">
    <i>
      <x v="3"/>
    </i>
    <i>
      <x v="4"/>
    </i>
    <i>
      <x v="5"/>
    </i>
    <i>
      <x v="6"/>
    </i>
    <i>
      <x v="8"/>
    </i>
    <i>
      <x v="9"/>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Projected" fld="13" baseField="4" baseItem="8" numFmtId="164"/>
    <dataField name="Utilized " fld="14" baseField="4" baseItem="0" numFmtId="164"/>
  </dataFields>
  <chartFormats count="2">
    <chartFormat chart="6" format="12" series="1">
      <pivotArea type="data" outline="0" fieldPosition="0">
        <references count="1">
          <reference field="4294967294" count="1" selected="0">
            <x v="1"/>
          </reference>
        </references>
      </pivotArea>
    </chartFormat>
    <chartFormat chart="6"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ain_Category" sourceName="Main Category">
  <pivotTables>
    <pivotTable tabId="8" name="pvtDepartment"/>
    <pivotTable tabId="8" name="pvtDirect"/>
    <pivotTable tabId="8" name="pvtFinancial"/>
    <pivotTable tabId="8" name="pvtMain"/>
    <pivotTable tabId="8" name="pvtRes"/>
    <pivotTable tabId="8" name="pvtSpent"/>
    <pivotTable tabId="8" name="pvtSub"/>
    <pivotTable tabId="8" name="PvtTags"/>
    <pivotTable tabId="8" name="PivotTable1"/>
    <pivotTable tabId="8" name="PivotTable2"/>
    <pivotTable tabId="8" name="PivotTable3"/>
    <pivotTable tabId="8" name="PivotTable4"/>
    <pivotTable tabId="8" name="pvtMonth"/>
    <pivotTable tabId="8" name="PivotTable5"/>
  </pivotTables>
  <data>
    <tabular pivotCacheId="1" showMissing="0" crossFilter="showItemsWithNoData">
      <items count="13">
        <i x="2" s="1"/>
        <i x="7" s="1"/>
        <i x="5" s="1"/>
        <i x="3" s="1"/>
        <i x="8" s="1"/>
        <i x="6" s="1"/>
        <i x="4" s="1"/>
        <i x="0" s="1"/>
        <i x="1" s="1"/>
        <i x="12" s="1" nd="1"/>
        <i x="11" s="1" nd="1"/>
        <i x="10" s="1" nd="1"/>
        <i x="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ub" sourceName="Sub">
  <pivotTables>
    <pivotTable tabId="8" name="pvtDepartment"/>
    <pivotTable tabId="8" name="pvtDirect"/>
    <pivotTable tabId="8" name="pvtFinancial"/>
    <pivotTable tabId="8" name="pvtRes"/>
    <pivotTable tabId="8" name="pvtSpent"/>
    <pivotTable tabId="8" name="pvtSub"/>
    <pivotTable tabId="8" name="PvtTags"/>
    <pivotTable tabId="8" name="pvtMain"/>
    <pivotTable tabId="8" name="PivotTable1"/>
    <pivotTable tabId="8" name="PivotTable2"/>
    <pivotTable tabId="8" name="PivotTable3"/>
    <pivotTable tabId="8" name="PivotTable4"/>
    <pivotTable tabId="8" name="pvtMonth"/>
    <pivotTable tabId="8" name="PivotTable5"/>
  </pivotTables>
  <data>
    <tabular pivotCacheId="1" showMissing="0" crossFilter="showItemsWithNoData">
      <items count="19">
        <i x="4" s="1"/>
        <i x="9" s="1"/>
        <i x="3" s="1"/>
        <i x="7" s="1"/>
        <i x="8" s="1"/>
        <i x="0" s="1"/>
        <i x="5" s="1"/>
        <i x="2" s="1"/>
        <i x="1" s="1"/>
        <i x="10" s="1" nd="1"/>
        <i x="11" s="1"/>
        <i x="6" s="1"/>
        <i x="16" s="1" nd="1"/>
        <i x="13" s="1" nd="1"/>
        <i x="14" s="1" nd="1"/>
        <i x="15" s="1" nd="1"/>
        <i x="17" s="1" nd="1"/>
        <i x="18" s="1" nd="1"/>
        <i x="1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ag" sourceName="Tag">
  <pivotTables>
    <pivotTable tabId="8" name="pvtDepartment"/>
    <pivotTable tabId="8" name="pvtDirect"/>
    <pivotTable tabId="8" name="pvtFinancial"/>
    <pivotTable tabId="8" name="pvtRes"/>
    <pivotTable tabId="8" name="pvtSpent"/>
    <pivotTable tabId="8" name="pvtSub"/>
    <pivotTable tabId="8" name="PvtTags"/>
    <pivotTable tabId="8" name="pvtMain"/>
    <pivotTable tabId="8" name="PivotTable1"/>
    <pivotTable tabId="8" name="PivotTable2"/>
    <pivotTable tabId="8" name="PivotTable3"/>
    <pivotTable tabId="8" name="PivotTable4"/>
    <pivotTable tabId="8" name="pvtMonth"/>
    <pivotTable tabId="8" name="PivotTable5"/>
  </pivotTables>
  <data>
    <tabular pivotCacheId="1" showMissing="0" crossFilter="showItemsWithNoData">
      <items count="31">
        <i x="15" s="1"/>
        <i x="21" s="1"/>
        <i x="5" s="1"/>
        <i x="18" s="1"/>
        <i x="22" s="1"/>
        <i x="0" s="1"/>
        <i x="11" s="1"/>
        <i x="1" s="1"/>
        <i x="8" s="1"/>
        <i x="6" s="1"/>
        <i x="17" s="1"/>
        <i x="10" s="1"/>
        <i x="9" s="1"/>
        <i x="19" s="1"/>
        <i x="7" s="1"/>
        <i x="16" s="1"/>
        <i x="2" s="1"/>
        <i x="14" s="1"/>
        <i x="20" s="1"/>
        <i x="4" s="1"/>
        <i x="13" s="1"/>
        <i x="3" s="1"/>
        <i x="23" s="1"/>
        <i x="12" s="1"/>
        <i x="24" s="1"/>
        <i x="27" s="1" nd="1"/>
        <i x="28" s="1" nd="1"/>
        <i x="25" s="1" nd="1"/>
        <i x="29" s="1" nd="1"/>
        <i x="26" s="1" nd="1"/>
        <i x="3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iority" sourceName="Priority">
  <pivotTables>
    <pivotTable tabId="8" name="pvtDepartment"/>
    <pivotTable tabId="8" name="pvtDirect"/>
    <pivotTable tabId="8" name="pvtFinancial"/>
    <pivotTable tabId="8" name="pvtRes"/>
    <pivotTable tabId="8" name="pvtSpent"/>
    <pivotTable tabId="8" name="pvtSub"/>
    <pivotTable tabId="8" name="PvtTags"/>
    <pivotTable tabId="8" name="pvtMain"/>
    <pivotTable tabId="8" name="PivotTable1"/>
    <pivotTable tabId="8" name="PivotTable2"/>
    <pivotTable tabId="8" name="PivotTable3"/>
    <pivotTable tabId="8" name="PivotTable4"/>
    <pivotTable tabId="8" name="pvtMonth"/>
    <pivotTable tabId="8" name="PivotTable5"/>
  </pivotTables>
  <data>
    <tabular pivotCacheId="1" showMissing="0" crossFilter="showItemsWithNoData">
      <items count="5">
        <i x="2" s="1"/>
        <i x="0" s="1"/>
        <i x="3" s="1"/>
        <i x="1" s="1"/>
        <i x="4"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epartment_owner" sourceName="Department owner ">
  <pivotTables>
    <pivotTable tabId="8" name="pvtDepartment"/>
    <pivotTable tabId="8" name="pvtDirect"/>
    <pivotTable tabId="8" name="pvtFinancial"/>
    <pivotTable tabId="8" name="pvtRes"/>
    <pivotTable tabId="8" name="pvtSpent"/>
    <pivotTable tabId="8" name="pvtSub"/>
    <pivotTable tabId="8" name="PvtTags"/>
    <pivotTable tabId="8" name="pvtMain"/>
    <pivotTable tabId="8" name="PivotTable1"/>
    <pivotTable tabId="8" name="PivotTable2"/>
    <pivotTable tabId="8" name="PivotTable3"/>
    <pivotTable tabId="8" name="PivotTable4"/>
    <pivotTable tabId="8" name="pvtMonth"/>
    <pivotTable tabId="8" name="PivotTable5"/>
  </pivotTables>
  <data>
    <tabular pivotCacheId="1" showMissing="0" crossFilter="showItemsWithNoData">
      <items count="9">
        <i x="2" s="1"/>
        <i x="0" s="1"/>
        <i x="1" s="1"/>
        <i x="4" s="1"/>
        <i x="3" s="1"/>
        <i x="7" s="1" nd="1"/>
        <i x="8" s="1" nd="1"/>
        <i x="6" s="1" nd="1"/>
        <i x="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inancial_Category" sourceName="Financial Category">
  <pivotTables>
    <pivotTable tabId="8" name="pvtDepartment"/>
    <pivotTable tabId="8" name="pvtDirect"/>
    <pivotTable tabId="8" name="pvtFinancial"/>
    <pivotTable tabId="8" name="pvtRes"/>
    <pivotTable tabId="8" name="pvtSpent"/>
    <pivotTable tabId="8" name="pvtSub"/>
    <pivotTable tabId="8" name="PvtTags"/>
    <pivotTable tabId="8" name="pvtMain"/>
    <pivotTable tabId="8" name="PivotTable1"/>
    <pivotTable tabId="8" name="PivotTable2"/>
    <pivotTable tabId="8" name="PivotTable3"/>
    <pivotTable tabId="8" name="PivotTable4"/>
    <pivotTable tabId="8" name="pvtMonth"/>
    <pivotTable tabId="8" name="PivotTable5"/>
  </pivotTables>
  <data>
    <tabular pivotCacheId="1" showMissing="0" crossFilter="showItemsWithNoData">
      <items count="7">
        <i x="1" s="1"/>
        <i x="0" s="1"/>
        <i x="3" s="1"/>
        <i x="2" s="1"/>
        <i x="4" s="1"/>
        <i x="5" s="1"/>
        <i x="6"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Res_Type" sourceName="Res Type">
  <pivotTables>
    <pivotTable tabId="8" name="pvtDepartment"/>
    <pivotTable tabId="8" name="pvtDirect"/>
    <pivotTable tabId="8" name="pvtFinancial"/>
    <pivotTable tabId="8" name="pvtRes"/>
    <pivotTable tabId="8" name="pvtSpent"/>
    <pivotTable tabId="8" name="pvtSub"/>
    <pivotTable tabId="8" name="PvtTags"/>
    <pivotTable tabId="8" name="pvtMain"/>
    <pivotTable tabId="8" name="PivotTable1"/>
    <pivotTable tabId="8" name="PivotTable2"/>
    <pivotTable tabId="8" name="PivotTable3"/>
    <pivotTable tabId="8" name="PivotTable4"/>
    <pivotTable tabId="8" name="pvtMonth"/>
    <pivotTable tabId="8" name="PivotTable5"/>
  </pivotTables>
  <data>
    <tabular pivotCacheId="1" showMissing="0" crossFilter="showItemsWithNoData">
      <items count="24">
        <i x="19" s="1"/>
        <i x="5" s="1"/>
        <i x="6" s="1"/>
        <i x="9" s="1"/>
        <i x="16" s="1"/>
        <i x="10" s="1"/>
        <i x="11" s="1"/>
        <i x="15" s="1"/>
        <i x="17" s="1"/>
        <i x="12" s="1"/>
        <i x="13" s="1"/>
        <i x="2" s="1"/>
        <i x="4" s="1"/>
        <i x="0" s="1"/>
        <i x="18" s="1"/>
        <i x="7" s="1"/>
        <i x="1" s="1"/>
        <i x="8" s="1"/>
        <i x="14" s="1"/>
        <i x="3" s="1"/>
        <i x="23" s="1" nd="1"/>
        <i x="22" s="1" nd="1"/>
        <i x="20" s="1" nd="1"/>
        <i x="2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CapEx___OpEx" sourceName="CapEx / OpEx">
  <pivotTables>
    <pivotTable tabId="8" name="PivotTable1"/>
    <pivotTable tabId="8" name="PivotTable2"/>
    <pivotTable tabId="8" name="pvtDepartment"/>
    <pivotTable tabId="8" name="pvtDirect"/>
    <pivotTable tabId="8" name="pvtFinancial"/>
    <pivotTable tabId="8" name="pvtMain"/>
    <pivotTable tabId="8" name="pvtRes"/>
    <pivotTable tabId="8" name="pvtSpent"/>
    <pivotTable tabId="8" name="pvtSub"/>
    <pivotTable tabId="8" name="PvtTags"/>
    <pivotTable tabId="8" name="PivotTable3"/>
    <pivotTable tabId="8" name="PivotTable4"/>
    <pivotTable tabId="8" name="pvtMonth"/>
    <pivotTable tabId="8" name="PivotTable5"/>
  </pivotTables>
  <data>
    <tabular pivotCacheId="1" showMissing="0" crossFilter="showItemsWithNoData">
      <items count="13">
        <i x="1" s="1"/>
        <i x="0" s="1"/>
        <i x="10" s="1" nd="1"/>
        <i x="6" s="1" nd="1"/>
        <i x="4" s="1" nd="1"/>
        <i x="12" s="1" nd="1"/>
        <i x="3" s="1" nd="1"/>
        <i x="11" s="1" nd="1"/>
        <i x="8" s="1" nd="1"/>
        <i x="7" s="1" nd="1"/>
        <i x="9" s="1" nd="1"/>
        <i x="5" s="1" nd="1"/>
        <i x="2"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file" sourceName="Profile">
  <pivotTables>
    <pivotTable tabId="8" name="pvtProfile"/>
  </pivotTables>
  <data>
    <tabular pivotCacheId="2" showMissing="0" crossFilter="showItemsWithNoData">
      <items count="13">
        <i x="2" s="1"/>
        <i x="1" s="1"/>
        <i x="0" s="1"/>
        <i x="3" s="1"/>
        <i x="10" s="1" nd="1"/>
        <i x="9" s="1" nd="1"/>
        <i x="4" s="1" nd="1"/>
        <i x="7" s="1" nd="1"/>
        <i x="11" s="1" nd="1"/>
        <i x="5" s="1" nd="1"/>
        <i x="6" s="1" nd="1"/>
        <i x="12" s="1" nd="1"/>
        <i x="8"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Column1" sourceName="Column1">
  <pivotTables>
    <pivotTable tabId="8" name="PivotTable5"/>
    <pivotTable tabId="8" name="PivotTable1"/>
    <pivotTable tabId="8" name="PivotTable2"/>
    <pivotTable tabId="8" name="PivotTable3"/>
    <pivotTable tabId="8" name="PivotTable4"/>
    <pivotTable tabId="8" name="pvtDepartment"/>
    <pivotTable tabId="8" name="pvtDirect"/>
    <pivotTable tabId="8" name="pvtFinancial"/>
    <pivotTable tabId="8" name="pvtMain"/>
    <pivotTable tabId="8" name="pvtMonth"/>
    <pivotTable tabId="8" name="pvtRes"/>
    <pivotTable tabId="8" name="pvtSpent"/>
    <pivotTable tabId="8" name="pvtSub"/>
    <pivotTable tabId="8" name="PvtTags"/>
  </pivotTables>
  <data>
    <tabular pivotCacheId="1" showMissing="0" crossFilter="showItemsWithNoData">
      <items count="28">
        <i x="3" s="1"/>
        <i x="12" s="1"/>
        <i x="11" s="1"/>
        <i x="1" s="1"/>
        <i x="9"/>
        <i x="14"/>
        <i x="6"/>
        <i x="8" s="1"/>
        <i x="7" s="1"/>
        <i x="2" s="1"/>
        <i x="10"/>
        <i x="4"/>
        <i x="5" s="1"/>
        <i x="0" s="1"/>
        <i x="13" s="1"/>
        <i x="25" nd="1"/>
        <i x="22" nd="1"/>
        <i x="24" nd="1"/>
        <i x="16" nd="1"/>
        <i x="21" nd="1"/>
        <i x="27" nd="1"/>
        <i x="26" nd="1"/>
        <i x="19" nd="1"/>
        <i x="17" nd="1"/>
        <i x="18" nd="1"/>
        <i x="20" nd="1"/>
        <i x="23" nd="1"/>
        <i x="15"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Column11" sourceName="Column1">
  <pivotTables>
    <pivotTable tabId="8" name="PivotTable7"/>
  </pivotTables>
  <data>
    <tabular pivotCacheId="1" showMissing="0" crossFilter="showItemsWithNoData">
      <items count="28">
        <i x="3" s="1"/>
        <i x="12" s="1"/>
        <i x="11" s="1"/>
        <i x="1" s="1"/>
        <i x="9"/>
        <i x="14"/>
        <i x="6"/>
        <i x="8" s="1"/>
        <i x="7" s="1"/>
        <i x="2" s="1"/>
        <i x="10"/>
        <i x="4" s="1"/>
        <i x="5" s="1"/>
        <i x="0" s="1"/>
        <i x="13" s="1"/>
        <i x="25" nd="1"/>
        <i x="22" nd="1"/>
        <i x="24" nd="1"/>
        <i x="16" nd="1"/>
        <i x="21" nd="1"/>
        <i x="27" nd="1"/>
        <i x="26" nd="1"/>
        <i x="19" nd="1"/>
        <i x="17" nd="1"/>
        <i x="18" nd="1"/>
        <i x="20" nd="1"/>
        <i x="23" nd="1"/>
        <i x="1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ain Category 1" cache="Slicer_Main_Category" caption="Main Category" rowHeight="241300"/>
  <slicer name="Sub 1" cache="Slicer_Sub" caption="Sub" rowHeight="241300"/>
  <slicer name="Tag 1" cache="Slicer_Tag" caption="Tag" rowHeight="241300"/>
  <slicer name="Priority 1" cache="Slicer_Priority" caption="Priority" rowHeight="241300"/>
  <slicer name="Department owner  1" cache="Slicer_Department_owner" caption="Department owner " rowHeight="241300"/>
  <slicer name="Financial Category 1" cache="Slicer_Financial_Category" caption="Financial Category" rowHeight="241300"/>
  <slicer name="Res Type 1" cache="Slicer_Res_Type" caption="Res Type" rowHeight="241300"/>
  <slicer name="CapEx / OpEx" cache="Slicer_CapEx___OpEx" caption="CapEx / OpEx"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file" cache="Slicer_Profile" caption="Profil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Column1" cache="Slicer_Column1" caption="Column1" rowHeight="241300"/>
  <slicer name="Column1 1" cache="Slicer_Column11" caption="Column1" rowHeight="241300"/>
</slicers>
</file>

<file path=xl/tables/table1.xml><?xml version="1.0" encoding="utf-8"?>
<table xmlns="http://schemas.openxmlformats.org/spreadsheetml/2006/main" id="1" name="tblMainCat" displayName="tblMainCat" ref="A1:A12" totalsRowShown="0" headerRowDxfId="60" dataDxfId="59">
  <autoFilter ref="A1:A12"/>
  <tableColumns count="1">
    <tableColumn id="1" name="Main" dataDxfId="58"/>
  </tableColumns>
  <tableStyleInfo name="TableStyleMedium2" showFirstColumn="0" showLastColumn="0" showRowStripes="1" showColumnStripes="0"/>
</table>
</file>

<file path=xl/tables/table2.xml><?xml version="1.0" encoding="utf-8"?>
<table xmlns="http://schemas.openxmlformats.org/spreadsheetml/2006/main" id="2" name="tblSubCat" displayName="tblSubCat" ref="C1:C17" totalsRowShown="0" headerRowDxfId="57" dataDxfId="56">
  <autoFilter ref="C1:C17"/>
  <tableColumns count="1">
    <tableColumn id="1" name="Sub-Category" dataDxfId="55"/>
  </tableColumns>
  <tableStyleInfo name="TableStyleMedium2" showFirstColumn="0" showLastColumn="0" showRowStripes="1" showColumnStripes="0"/>
</table>
</file>

<file path=xl/tables/table3.xml><?xml version="1.0" encoding="utf-8"?>
<table xmlns="http://schemas.openxmlformats.org/spreadsheetml/2006/main" id="3" name="tblPriority" displayName="tblPriority" ref="E1:E5" totalsRowShown="0" headerRowDxfId="54" dataDxfId="53">
  <autoFilter ref="E1:E5"/>
  <tableColumns count="1">
    <tableColumn id="1" name="Priority" dataDxfId="52"/>
  </tableColumns>
  <tableStyleInfo name="TableStyleMedium2" showFirstColumn="0" showLastColumn="0" showRowStripes="1" showColumnStripes="0"/>
</table>
</file>

<file path=xl/tables/table4.xml><?xml version="1.0" encoding="utf-8"?>
<table xmlns="http://schemas.openxmlformats.org/spreadsheetml/2006/main" id="4" name="tblFinancialCat" displayName="tblFinancialCat" ref="G1:H10" totalsRowShown="0" headerRowDxfId="51" dataDxfId="50">
  <autoFilter ref="G1:H10"/>
  <tableColumns count="2">
    <tableColumn id="1" name="Financial Category" dataDxfId="49"/>
    <tableColumn id="2" name="CapEx / OpEx Assign" dataDxfId="48"/>
  </tableColumns>
  <tableStyleInfo name="TableStyleMedium9" showFirstColumn="0" showLastColumn="0" showRowStripes="1" showColumnStripes="0"/>
</table>
</file>

<file path=xl/tables/table5.xml><?xml version="1.0" encoding="utf-8"?>
<table xmlns="http://schemas.openxmlformats.org/spreadsheetml/2006/main" id="6" name="tblDirect" displayName="tblDirect" ref="J1:J4" totalsRowShown="0" headerRowDxfId="47" dataDxfId="46">
  <autoFilter ref="J1:J4"/>
  <tableColumns count="1">
    <tableColumn id="1" name="Direct" dataDxfId="45"/>
  </tableColumns>
  <tableStyleInfo name="TableStyleMedium2" showFirstColumn="0" showLastColumn="0" showRowStripes="1" showColumnStripes="0"/>
</table>
</file>

<file path=xl/tables/table6.xml><?xml version="1.0" encoding="utf-8"?>
<table xmlns="http://schemas.openxmlformats.org/spreadsheetml/2006/main" id="7" name="tblDepartment" displayName="tblDepartment" ref="L1:L10" totalsRowShown="0" headerRowDxfId="44" dataDxfId="43">
  <autoFilter ref="L1:L10"/>
  <tableColumns count="1">
    <tableColumn id="1" name="Department Owner" dataDxfId="42"/>
  </tableColumns>
  <tableStyleInfo name="TableStyleMedium2" showFirstColumn="0" showLastColumn="0" showRowStripes="1" showColumnStripes="0"/>
</table>
</file>

<file path=xl/tables/table7.xml><?xml version="1.0" encoding="utf-8"?>
<table xmlns="http://schemas.openxmlformats.org/spreadsheetml/2006/main" id="8" name="TblTags" displayName="TblTags" ref="N1:N30" totalsRowShown="0" headerRowDxfId="41" dataDxfId="40">
  <autoFilter ref="N1:N30"/>
  <tableColumns count="1">
    <tableColumn id="1" name="Tags" dataDxfId="39"/>
  </tableColumns>
  <tableStyleInfo name="TableStyleMedium2" showFirstColumn="0" showLastColumn="0" showRowStripes="1" showColumnStripes="0"/>
</table>
</file>

<file path=xl/tables/table8.xml><?xml version="1.0" encoding="utf-8"?>
<table xmlns="http://schemas.openxmlformats.org/spreadsheetml/2006/main" id="5" name="tblMonths" displayName="tblMonths" ref="T1:T13" totalsRowShown="0" headerRowDxfId="38" dataDxfId="37">
  <tableColumns count="1">
    <tableColumn id="1" name="Months" dataDxfId="36"/>
  </tableColumns>
  <tableStyleInfo name="TableStyleMedium2" showFirstColumn="0" showLastColumn="0" showRowStripes="1" showColumnStripes="0"/>
</table>
</file>

<file path=xl/tables/table9.xml><?xml version="1.0" encoding="utf-8"?>
<table xmlns="http://schemas.openxmlformats.org/spreadsheetml/2006/main" id="12" name="tblYears" displayName="tblYears" ref="V1:V4" totalsRowShown="0" headerRowDxfId="35" dataDxfId="33" headerRowBorderDxfId="34" tableBorderDxfId="32" totalsRowBorderDxfId="31">
  <autoFilter ref="V1:V4"/>
  <tableColumns count="1">
    <tableColumn id="1" name="Year" dataDxfId="30"/>
  </tableColumns>
  <tableStyleInfo name="TableStyleMedium2" showFirstColumn="0" showLastColumn="0" showRowStripes="1" showColumnStripes="0"/>
</table>
</file>

<file path=xl/tables/table10.xml><?xml version="1.0" encoding="utf-8"?>
<table xmlns="http://schemas.openxmlformats.org/spreadsheetml/2006/main" id="9" name="tblProfile" displayName="tblProfile" ref="B1:C5" totalsRowShown="0" headerRowDxfId="29" dataDxfId="27" headerRowBorderDxfId="28" tableBorderDxfId="26">
  <autoFilter ref="B1:C5"/>
  <tableColumns count="2">
    <tableColumn id="1" name="MEASUREMENT" dataDxfId="25"/>
    <tableColumn id="2" name="VALUE" dataDxfId="24"/>
  </tableColumns>
  <tableStyleInfo name="TableStyleMedium2" showFirstColumn="0" showLastColumn="0" showRowStripes="1" showColumnStripes="0"/>
</table>
</file>

<file path=xl/tables/table11.xml><?xml version="1.0" encoding="utf-8"?>
<table xmlns="http://schemas.openxmlformats.org/spreadsheetml/2006/main" id="10" name="DataTable" displayName="DataTable" ref="A1:V285" totalsRowShown="0" headerRowDxfId="15">
  <autoFilter ref="A1:V285"/>
  <tableColumns count="22">
    <tableColumn id="9" name="Id"/>
    <tableColumn id="1" name="Main Category"/>
    <tableColumn id="13" name="Pct Budget"/>
    <tableColumn id="2" name="Sub"/>
    <tableColumn id="3" name="Tag"/>
    <tableColumn id="4" name="Priority"/>
    <tableColumn id="5" name="Department owner "/>
    <tableColumn id="6" name="Direct" dataDxfId="14"/>
    <tableColumn id="15" name="Indirect" dataDxfId="13"/>
    <tableColumn id="8" name="Financial Category"/>
    <tableColumn id="10" name="Res Type"/>
    <tableColumn id="17" name="Resource Cost"/>
    <tableColumn id="11" name="Other Cost" dataDxfId="12"/>
    <tableColumn id="18" name="Total Cost" dataDxfId="11">
      <calculatedColumnFormula>DataTable[[#This Row],[Resource Cost]]+DataTable[[#This Row],[Other Cost]]</calculatedColumnFormula>
    </tableColumn>
    <tableColumn id="12" name="Utilized" dataDxfId="10"/>
    <tableColumn id="14" name="Remaining" dataDxfId="9"/>
    <tableColumn id="7" name="Budget" dataDxfId="8">
      <calculatedColumnFormula>DataTable[[#This Row],[Pct Budget]]*totalBudget</calculatedColumnFormula>
    </tableColumn>
    <tableColumn id="16" name="CapEx / OpEx" dataDxfId="7">
      <calculatedColumnFormula>IFERROR(VLOOKUP(DataTable[[#This Row],[Financial Category]],tblFinancialCat[],2,FALSE),"")</calculatedColumnFormula>
    </tableColumn>
    <tableColumn id="19" name="Resource Utilized" dataDxfId="6">
      <calculatedColumnFormula>IFERROR(DataTable[[#This Row],[Utilized]]/DataTable[[#This Row],[Total Cost]]*DataTable[[#This Row],[Resource Cost]],0)</calculatedColumnFormula>
    </tableColumn>
    <tableColumn id="20" name="Other Cost Utilized" dataDxfId="5">
      <calculatedColumnFormula>IFERROR(DataTable[[#This Row],[Utilized]]/DataTable[[#This Row],[Total Cost]]*DataTable[[#This Row],[Other Cost]],0)</calculatedColumnFormula>
    </tableColumn>
    <tableColumn id="21" name="Month" dataDxfId="4"/>
    <tableColumn id="22" name="Column1" dataDxfId="3">
      <calculatedColumnFormula>TEXT(DataTable[[#This Row],[Month]],"MMM-YY")</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1" name="tblProfileCal" displayName="tblProfileCal" ref="CI4:CM8" totalsRowShown="0">
  <tableColumns count="5">
    <tableColumn id="1" name="Profile"/>
    <tableColumn id="2" name="Value"/>
    <tableColumn id="3" name="Budget per Unit" dataDxfId="2">
      <calculatedColumnFormula>tBudget/tblProfileCal[[#This Row],[Value]]</calculatedColumnFormula>
    </tableColumn>
    <tableColumn id="4" name="Projected per Unit" dataDxfId="1">
      <calculatedColumnFormula>tCost/tblProfileCal[[#This Row],[Value]]</calculatedColumnFormula>
    </tableColumn>
    <tableColumn id="5" name="Utilized per Unit" dataDxfId="0">
      <calculatedColumnFormula>tUtilized/tblProfileCal[[#This Row],[Value]]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ontortema">
  <a:themeElements>
    <a:clrScheme name="Custom 3">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375623"/>
      </a:hlink>
      <a:folHlink>
        <a:srgbClr val="375623"/>
      </a:folHlink>
    </a:clrScheme>
    <a:fontScheme name="Kontor">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table" Target="../tables/table1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microsoft.com/office/2007/relationships/slicer" Target="../slicers/slicer3.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table" Target="../tables/table12.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tint="0.14999847407452621"/>
    <pageSetUpPr autoPageBreaks="0"/>
  </sheetPr>
  <dimension ref="A8:E88"/>
  <sheetViews>
    <sheetView showGridLines="0" tabSelected="1" zoomScaleNormal="100" workbookViewId="0">
      <pane ySplit="6" topLeftCell="A7" activePane="bottomLeft" state="frozen"/>
      <selection pane="bottomLeft" activeCell="B10" sqref="B10"/>
    </sheetView>
  </sheetViews>
  <sheetFormatPr defaultColWidth="8.7109375" defaultRowHeight="15" x14ac:dyDescent="0.25"/>
  <cols>
    <col min="1" max="1" width="6.42578125" style="2" customWidth="1"/>
    <col min="2" max="2" width="9.140625" style="2" customWidth="1"/>
    <col min="3" max="3" width="11.28515625" style="2" customWidth="1"/>
    <col min="4" max="4" width="23" style="2" customWidth="1"/>
    <col min="5" max="5" width="150.28515625" style="2" customWidth="1"/>
    <col min="6" max="16384" width="8.7109375" style="2"/>
  </cols>
  <sheetData>
    <row r="8" spans="1:5" ht="21" x14ac:dyDescent="0.35">
      <c r="A8" s="245">
        <v>1</v>
      </c>
      <c r="B8" s="246" t="s">
        <v>358</v>
      </c>
      <c r="C8" s="246"/>
      <c r="D8" s="247"/>
      <c r="E8" s="248"/>
    </row>
    <row r="9" spans="1:5" ht="18.75" x14ac:dyDescent="0.3">
      <c r="A9" s="249"/>
      <c r="B9" s="250"/>
      <c r="C9" s="251"/>
      <c r="D9" s="247"/>
      <c r="E9" s="248"/>
    </row>
    <row r="10" spans="1:5" ht="21" x14ac:dyDescent="0.25">
      <c r="A10" s="249"/>
      <c r="B10" s="250"/>
      <c r="C10" s="280" t="s">
        <v>327</v>
      </c>
      <c r="D10" s="247"/>
      <c r="E10" s="248"/>
    </row>
    <row r="11" spans="1:5" ht="60" x14ac:dyDescent="0.3">
      <c r="A11" s="249"/>
      <c r="B11" s="250"/>
      <c r="C11" s="251"/>
      <c r="D11" s="252" t="s">
        <v>336</v>
      </c>
      <c r="E11" s="253" t="s">
        <v>509</v>
      </c>
    </row>
    <row r="12" spans="1:5" ht="30" customHeight="1" x14ac:dyDescent="0.3">
      <c r="A12" s="249"/>
      <c r="B12" s="250"/>
      <c r="C12" s="251"/>
      <c r="D12" s="254" t="s">
        <v>359</v>
      </c>
      <c r="E12" s="255" t="s">
        <v>331</v>
      </c>
    </row>
    <row r="13" spans="1:5" ht="30" customHeight="1" x14ac:dyDescent="0.3">
      <c r="A13" s="249"/>
      <c r="B13" s="250"/>
      <c r="C13" s="251"/>
      <c r="D13" s="283" t="s">
        <v>330</v>
      </c>
      <c r="E13" s="255" t="s">
        <v>337</v>
      </c>
    </row>
    <row r="14" spans="1:5" ht="18.75" x14ac:dyDescent="0.3">
      <c r="A14" s="249"/>
      <c r="B14" s="250"/>
      <c r="C14" s="251"/>
      <c r="D14" s="256" t="s">
        <v>334</v>
      </c>
      <c r="E14" s="255" t="s">
        <v>338</v>
      </c>
    </row>
    <row r="15" spans="1:5" ht="30" x14ac:dyDescent="0.3">
      <c r="A15" s="249"/>
      <c r="B15" s="250"/>
      <c r="C15" s="251"/>
      <c r="D15" s="257" t="s">
        <v>333</v>
      </c>
      <c r="E15" s="255" t="s">
        <v>510</v>
      </c>
    </row>
    <row r="16" spans="1:5" ht="30" x14ac:dyDescent="0.3">
      <c r="A16" s="249"/>
      <c r="B16" s="250"/>
      <c r="C16" s="251"/>
      <c r="D16" s="258" t="s">
        <v>335</v>
      </c>
      <c r="E16" s="255" t="s">
        <v>339</v>
      </c>
    </row>
    <row r="17" spans="1:5" ht="30" x14ac:dyDescent="0.3">
      <c r="A17" s="249"/>
      <c r="B17" s="250"/>
      <c r="C17" s="251"/>
      <c r="D17" s="259" t="s">
        <v>329</v>
      </c>
      <c r="E17" s="255" t="s">
        <v>403</v>
      </c>
    </row>
    <row r="18" spans="1:5" ht="30" x14ac:dyDescent="0.3">
      <c r="A18" s="249"/>
      <c r="B18" s="250"/>
      <c r="C18" s="251"/>
      <c r="D18" s="260" t="s">
        <v>328</v>
      </c>
      <c r="E18" s="255" t="s">
        <v>332</v>
      </c>
    </row>
    <row r="19" spans="1:5" ht="18.75" x14ac:dyDescent="0.3">
      <c r="A19" s="249"/>
      <c r="B19" s="250"/>
      <c r="C19" s="251"/>
      <c r="D19" s="261"/>
      <c r="E19" s="262"/>
    </row>
    <row r="20" spans="1:5" ht="18.75" x14ac:dyDescent="0.3">
      <c r="A20" s="249"/>
      <c r="B20" s="250"/>
      <c r="C20" s="251"/>
      <c r="D20" s="263"/>
      <c r="E20" s="262"/>
    </row>
    <row r="21" spans="1:5" ht="21" x14ac:dyDescent="0.35">
      <c r="A21" s="245">
        <v>2</v>
      </c>
      <c r="B21" s="246" t="s">
        <v>360</v>
      </c>
      <c r="C21" s="251"/>
      <c r="D21" s="264"/>
      <c r="E21" s="265"/>
    </row>
    <row r="22" spans="1:5" ht="18.75" x14ac:dyDescent="0.3">
      <c r="A22" s="249"/>
      <c r="B22" s="250"/>
      <c r="C22" s="251"/>
      <c r="D22" s="266" t="s">
        <v>340</v>
      </c>
      <c r="E22" s="253" t="s">
        <v>343</v>
      </c>
    </row>
    <row r="23" spans="1:5" ht="30" x14ac:dyDescent="0.3">
      <c r="A23" s="249"/>
      <c r="B23" s="250"/>
      <c r="C23" s="251"/>
      <c r="D23" s="267" t="s">
        <v>341</v>
      </c>
      <c r="E23" s="253" t="s">
        <v>342</v>
      </c>
    </row>
    <row r="24" spans="1:5" ht="18.75" x14ac:dyDescent="0.3">
      <c r="A24" s="249"/>
      <c r="B24" s="250"/>
      <c r="C24" s="251"/>
      <c r="D24" s="267" t="s">
        <v>344</v>
      </c>
      <c r="E24" s="253" t="s">
        <v>345</v>
      </c>
    </row>
    <row r="25" spans="1:5" ht="30" x14ac:dyDescent="0.3">
      <c r="A25" s="249"/>
      <c r="B25" s="250"/>
      <c r="C25" s="251"/>
      <c r="D25" s="267" t="s">
        <v>47</v>
      </c>
      <c r="E25" s="253" t="s">
        <v>347</v>
      </c>
    </row>
    <row r="26" spans="1:5" ht="30" x14ac:dyDescent="0.25">
      <c r="A26" s="249"/>
      <c r="B26" s="268"/>
      <c r="C26" s="269"/>
      <c r="D26" s="267" t="s">
        <v>75</v>
      </c>
      <c r="E26" s="253" t="s">
        <v>348</v>
      </c>
    </row>
    <row r="27" spans="1:5" ht="18.75" x14ac:dyDescent="0.3">
      <c r="A27" s="249"/>
      <c r="B27" s="250"/>
      <c r="C27" s="251"/>
      <c r="D27" s="267" t="s">
        <v>92</v>
      </c>
      <c r="E27" s="253" t="s">
        <v>404</v>
      </c>
    </row>
    <row r="28" spans="1:5" ht="30" x14ac:dyDescent="0.3">
      <c r="A28" s="249"/>
      <c r="B28" s="250"/>
      <c r="C28" s="251"/>
      <c r="D28" s="267" t="s">
        <v>346</v>
      </c>
      <c r="E28" s="253" t="s">
        <v>349</v>
      </c>
    </row>
    <row r="29" spans="1:5" ht="18.75" x14ac:dyDescent="0.3">
      <c r="A29" s="249"/>
      <c r="B29" s="250"/>
      <c r="C29" s="251"/>
      <c r="D29" s="267" t="s">
        <v>482</v>
      </c>
      <c r="E29" s="253" t="s">
        <v>483</v>
      </c>
    </row>
    <row r="30" spans="1:5" ht="18.75" x14ac:dyDescent="0.3">
      <c r="A30" s="249"/>
      <c r="B30" s="250"/>
      <c r="C30" s="251"/>
      <c r="D30" s="267" t="s">
        <v>350</v>
      </c>
      <c r="E30" s="253" t="s">
        <v>501</v>
      </c>
    </row>
    <row r="31" spans="1:5" ht="18.75" x14ac:dyDescent="0.3">
      <c r="A31" s="249"/>
      <c r="B31" s="250"/>
      <c r="C31" s="270"/>
      <c r="D31" s="271"/>
      <c r="E31" s="265"/>
    </row>
    <row r="32" spans="1:5" ht="21" x14ac:dyDescent="0.35">
      <c r="A32" s="245">
        <v>3</v>
      </c>
      <c r="B32" s="246" t="s">
        <v>351</v>
      </c>
      <c r="C32" s="251"/>
      <c r="D32" s="271"/>
      <c r="E32" s="265"/>
    </row>
    <row r="33" spans="1:5" ht="45" x14ac:dyDescent="0.3">
      <c r="A33" s="249"/>
      <c r="B33" s="250"/>
      <c r="C33" s="251"/>
      <c r="D33" s="282" t="s">
        <v>361</v>
      </c>
      <c r="E33" s="253" t="s">
        <v>405</v>
      </c>
    </row>
    <row r="34" spans="1:5" ht="30" x14ac:dyDescent="0.3">
      <c r="A34" s="249"/>
      <c r="B34" s="250"/>
      <c r="C34" s="251"/>
      <c r="D34" s="282" t="s">
        <v>352</v>
      </c>
      <c r="E34" s="253" t="s">
        <v>406</v>
      </c>
    </row>
    <row r="35" spans="1:5" ht="30" x14ac:dyDescent="0.3">
      <c r="A35" s="249"/>
      <c r="B35" s="250"/>
      <c r="C35" s="251"/>
      <c r="D35" s="282" t="s">
        <v>353</v>
      </c>
      <c r="E35" s="253" t="s">
        <v>354</v>
      </c>
    </row>
    <row r="36" spans="1:5" ht="18.75" x14ac:dyDescent="0.3">
      <c r="A36" s="249"/>
      <c r="B36" s="250"/>
      <c r="C36" s="251"/>
      <c r="D36" s="282" t="s">
        <v>355</v>
      </c>
      <c r="E36" s="253" t="s">
        <v>357</v>
      </c>
    </row>
    <row r="37" spans="1:5" ht="60" x14ac:dyDescent="0.3">
      <c r="A37" s="249"/>
      <c r="B37" s="250"/>
      <c r="C37" s="251"/>
      <c r="D37" s="282" t="s">
        <v>356</v>
      </c>
      <c r="E37" s="253" t="s">
        <v>407</v>
      </c>
    </row>
    <row r="38" spans="1:5" ht="45" x14ac:dyDescent="0.3">
      <c r="A38" s="249"/>
      <c r="B38" s="250"/>
      <c r="C38" s="251"/>
      <c r="D38" s="282" t="s">
        <v>497</v>
      </c>
      <c r="E38" s="253" t="s">
        <v>498</v>
      </c>
    </row>
    <row r="39" spans="1:5" ht="18.75" x14ac:dyDescent="0.3">
      <c r="A39" s="249"/>
      <c r="B39" s="250"/>
      <c r="C39" s="251"/>
      <c r="D39" s="271"/>
      <c r="E39" s="265"/>
    </row>
    <row r="40" spans="1:5" ht="21" x14ac:dyDescent="0.35">
      <c r="A40" s="245">
        <v>4</v>
      </c>
      <c r="B40" s="246" t="s">
        <v>212</v>
      </c>
      <c r="C40" s="251"/>
      <c r="D40" s="271"/>
      <c r="E40" s="265"/>
    </row>
    <row r="41" spans="1:5" ht="18.75" x14ac:dyDescent="0.3">
      <c r="A41" s="249"/>
      <c r="B41" s="250"/>
      <c r="C41" s="251"/>
      <c r="D41" s="272" t="s">
        <v>340</v>
      </c>
      <c r="E41" s="255" t="s">
        <v>484</v>
      </c>
    </row>
    <row r="42" spans="1:5" ht="30" x14ac:dyDescent="0.3">
      <c r="A42" s="249"/>
      <c r="B42" s="250"/>
      <c r="C42" s="251"/>
      <c r="D42" s="272" t="s">
        <v>486</v>
      </c>
      <c r="E42" s="255" t="s">
        <v>499</v>
      </c>
    </row>
    <row r="43" spans="1:5" ht="18.75" x14ac:dyDescent="0.3">
      <c r="A43" s="249"/>
      <c r="B43" s="250"/>
      <c r="C43" s="251"/>
      <c r="D43" s="272" t="s">
        <v>488</v>
      </c>
      <c r="E43" s="255" t="s">
        <v>489</v>
      </c>
    </row>
    <row r="44" spans="1:5" ht="60" x14ac:dyDescent="0.3">
      <c r="A44" s="249"/>
      <c r="B44" s="250"/>
      <c r="C44" s="251"/>
      <c r="D44" s="272" t="s">
        <v>362</v>
      </c>
      <c r="E44" s="255" t="s">
        <v>408</v>
      </c>
    </row>
    <row r="45" spans="1:5" ht="45" x14ac:dyDescent="0.3">
      <c r="A45" s="249"/>
      <c r="B45" s="250"/>
      <c r="C45" s="251"/>
      <c r="D45" s="272" t="s">
        <v>373</v>
      </c>
      <c r="E45" s="255" t="s">
        <v>409</v>
      </c>
    </row>
    <row r="46" spans="1:5" ht="75" x14ac:dyDescent="0.3">
      <c r="A46" s="249"/>
      <c r="B46" s="250"/>
      <c r="C46" s="251"/>
      <c r="D46" s="272" t="s">
        <v>363</v>
      </c>
      <c r="E46" s="255" t="s">
        <v>364</v>
      </c>
    </row>
    <row r="47" spans="1:5" ht="18.75" x14ac:dyDescent="0.3">
      <c r="A47" s="249"/>
      <c r="B47" s="250"/>
      <c r="C47" s="251"/>
      <c r="D47" s="272" t="s">
        <v>365</v>
      </c>
      <c r="E47" s="255" t="s">
        <v>410</v>
      </c>
    </row>
    <row r="48" spans="1:5" ht="18.75" x14ac:dyDescent="0.3">
      <c r="A48" s="249"/>
      <c r="B48" s="250"/>
      <c r="C48" s="251"/>
      <c r="D48" s="272" t="s">
        <v>8</v>
      </c>
      <c r="E48" s="255" t="s">
        <v>366</v>
      </c>
    </row>
    <row r="49" spans="1:5" ht="18.75" x14ac:dyDescent="0.3">
      <c r="A49" s="249"/>
      <c r="B49" s="250"/>
      <c r="C49" s="251"/>
      <c r="D49" s="272" t="s">
        <v>22</v>
      </c>
      <c r="E49" s="255" t="s">
        <v>367</v>
      </c>
    </row>
    <row r="50" spans="1:5" ht="105" x14ac:dyDescent="0.3">
      <c r="A50" s="249"/>
      <c r="B50" s="250"/>
      <c r="C50" s="251"/>
      <c r="D50" s="272" t="s">
        <v>411</v>
      </c>
      <c r="E50" s="255" t="s">
        <v>412</v>
      </c>
    </row>
    <row r="51" spans="1:5" ht="30" x14ac:dyDescent="0.3">
      <c r="A51" s="249"/>
      <c r="B51" s="250"/>
      <c r="C51" s="251"/>
      <c r="D51" s="272" t="s">
        <v>23</v>
      </c>
      <c r="E51" s="255" t="s">
        <v>413</v>
      </c>
    </row>
    <row r="52" spans="1:5" ht="75" x14ac:dyDescent="0.3">
      <c r="A52" s="249"/>
      <c r="B52" s="250"/>
      <c r="C52" s="251"/>
      <c r="D52" s="272" t="s">
        <v>368</v>
      </c>
      <c r="E52" s="255" t="s">
        <v>370</v>
      </c>
    </row>
    <row r="53" spans="1:5" ht="18.75" x14ac:dyDescent="0.3">
      <c r="A53" s="249"/>
      <c r="B53" s="250"/>
      <c r="C53" s="251"/>
      <c r="D53" s="272" t="s">
        <v>369</v>
      </c>
      <c r="E53" s="255" t="s">
        <v>371</v>
      </c>
    </row>
    <row r="54" spans="1:5" ht="18.75" x14ac:dyDescent="0.3">
      <c r="A54" s="249"/>
      <c r="B54" s="250"/>
      <c r="C54" s="251"/>
      <c r="D54" s="272" t="s">
        <v>71</v>
      </c>
      <c r="E54" s="255" t="s">
        <v>372</v>
      </c>
    </row>
    <row r="55" spans="1:5" ht="18.75" x14ac:dyDescent="0.3">
      <c r="A55" s="249"/>
      <c r="B55" s="250"/>
      <c r="C55" s="251"/>
      <c r="D55" s="271"/>
      <c r="E55" s="265"/>
    </row>
    <row r="56" spans="1:5" ht="21" x14ac:dyDescent="0.35">
      <c r="A56" s="245">
        <v>5</v>
      </c>
      <c r="B56" s="246" t="s">
        <v>374</v>
      </c>
      <c r="C56" s="251"/>
      <c r="D56" s="271"/>
      <c r="E56" s="265"/>
    </row>
    <row r="57" spans="1:5" ht="60" x14ac:dyDescent="0.3">
      <c r="A57" s="249"/>
      <c r="B57" s="250"/>
      <c r="C57" s="270"/>
      <c r="D57" s="273" t="s">
        <v>503</v>
      </c>
      <c r="E57" s="255" t="s">
        <v>504</v>
      </c>
    </row>
    <row r="58" spans="1:5" ht="30" x14ac:dyDescent="0.3">
      <c r="A58" s="249"/>
      <c r="B58" s="250"/>
      <c r="C58" s="270"/>
      <c r="D58" s="273" t="s">
        <v>500</v>
      </c>
      <c r="E58" s="255" t="s">
        <v>502</v>
      </c>
    </row>
    <row r="59" spans="1:5" ht="30" x14ac:dyDescent="0.3">
      <c r="A59" s="249"/>
      <c r="B59" s="250"/>
      <c r="C59" s="270"/>
      <c r="D59" s="273" t="s">
        <v>375</v>
      </c>
      <c r="E59" s="255" t="s">
        <v>376</v>
      </c>
    </row>
    <row r="60" spans="1:5" ht="18.75" x14ac:dyDescent="0.3">
      <c r="A60" s="249"/>
      <c r="B60" s="250"/>
      <c r="C60" s="251"/>
      <c r="D60" s="271"/>
      <c r="E60" s="265"/>
    </row>
    <row r="61" spans="1:5" ht="21" x14ac:dyDescent="0.35">
      <c r="A61" s="245">
        <v>6</v>
      </c>
      <c r="B61" s="246" t="s">
        <v>172</v>
      </c>
      <c r="C61" s="251"/>
      <c r="D61" s="271"/>
      <c r="E61" s="265"/>
    </row>
    <row r="62" spans="1:5" ht="18.75" x14ac:dyDescent="0.3">
      <c r="A62" s="249"/>
      <c r="B62" s="250"/>
      <c r="C62" s="251"/>
      <c r="D62" s="274" t="s">
        <v>377</v>
      </c>
      <c r="E62" s="255" t="s">
        <v>380</v>
      </c>
    </row>
    <row r="63" spans="1:5" ht="18.75" x14ac:dyDescent="0.3">
      <c r="A63" s="249"/>
      <c r="B63" s="250"/>
      <c r="C63" s="251"/>
      <c r="D63" s="274" t="s">
        <v>378</v>
      </c>
      <c r="E63" s="255" t="s">
        <v>381</v>
      </c>
    </row>
    <row r="64" spans="1:5" ht="60" x14ac:dyDescent="0.3">
      <c r="A64" s="249"/>
      <c r="B64" s="250"/>
      <c r="C64" s="251"/>
      <c r="D64" s="274" t="s">
        <v>379</v>
      </c>
      <c r="E64" s="255" t="s">
        <v>505</v>
      </c>
    </row>
    <row r="65" spans="1:5" ht="18.75" x14ac:dyDescent="0.3">
      <c r="A65" s="249"/>
      <c r="B65" s="250"/>
      <c r="C65" s="251"/>
      <c r="D65" s="274" t="s">
        <v>385</v>
      </c>
      <c r="E65" s="255" t="s">
        <v>386</v>
      </c>
    </row>
    <row r="66" spans="1:5" ht="18.75" x14ac:dyDescent="0.3">
      <c r="A66" s="249"/>
      <c r="B66" s="250"/>
      <c r="C66" s="251"/>
      <c r="D66" s="274" t="s">
        <v>383</v>
      </c>
      <c r="E66" s="255" t="s">
        <v>384</v>
      </c>
    </row>
    <row r="67" spans="1:5" ht="30" x14ac:dyDescent="0.3">
      <c r="A67" s="249"/>
      <c r="B67" s="250"/>
      <c r="C67" s="251"/>
      <c r="D67" s="274" t="s">
        <v>382</v>
      </c>
      <c r="E67" s="255" t="s">
        <v>506</v>
      </c>
    </row>
    <row r="68" spans="1:5" ht="30" x14ac:dyDescent="0.3">
      <c r="A68" s="249"/>
      <c r="B68" s="250"/>
      <c r="C68" s="251"/>
      <c r="D68" s="274" t="s">
        <v>387</v>
      </c>
      <c r="E68" s="255" t="s">
        <v>389</v>
      </c>
    </row>
    <row r="69" spans="1:5" ht="18.75" x14ac:dyDescent="0.3">
      <c r="A69" s="249"/>
      <c r="B69" s="250"/>
      <c r="C69" s="251"/>
      <c r="D69" s="274" t="s">
        <v>388</v>
      </c>
      <c r="E69" s="255" t="s">
        <v>390</v>
      </c>
    </row>
    <row r="70" spans="1:5" ht="18.75" x14ac:dyDescent="0.3">
      <c r="A70" s="249"/>
      <c r="B70" s="250"/>
      <c r="C70" s="251"/>
      <c r="D70" s="271"/>
      <c r="E70" s="265"/>
    </row>
    <row r="71" spans="1:5" ht="21" x14ac:dyDescent="0.35">
      <c r="A71" s="245">
        <v>7</v>
      </c>
      <c r="B71" s="246" t="s">
        <v>391</v>
      </c>
      <c r="C71" s="251"/>
      <c r="D71" s="271"/>
      <c r="E71" s="265"/>
    </row>
    <row r="72" spans="1:5" ht="30" x14ac:dyDescent="0.3">
      <c r="A72" s="249"/>
      <c r="B72" s="250"/>
      <c r="C72" s="251"/>
      <c r="D72" s="275" t="s">
        <v>377</v>
      </c>
      <c r="E72" s="255" t="s">
        <v>507</v>
      </c>
    </row>
    <row r="73" spans="1:5" ht="30" x14ac:dyDescent="0.3">
      <c r="A73" s="249"/>
      <c r="B73" s="250"/>
      <c r="C73" s="251"/>
      <c r="D73" s="275" t="s">
        <v>394</v>
      </c>
      <c r="E73" s="255" t="s">
        <v>395</v>
      </c>
    </row>
    <row r="74" spans="1:5" ht="18.75" x14ac:dyDescent="0.3">
      <c r="A74" s="249"/>
      <c r="B74" s="250"/>
      <c r="C74" s="251"/>
      <c r="D74" s="275" t="s">
        <v>396</v>
      </c>
      <c r="E74" s="255" t="s">
        <v>398</v>
      </c>
    </row>
    <row r="75" spans="1:5" ht="30" x14ac:dyDescent="0.3">
      <c r="A75" s="249"/>
      <c r="B75" s="250"/>
      <c r="C75" s="251"/>
      <c r="D75" s="275" t="s">
        <v>397</v>
      </c>
      <c r="E75" s="255" t="s">
        <v>414</v>
      </c>
    </row>
    <row r="76" spans="1:5" ht="30" x14ac:dyDescent="0.3">
      <c r="A76" s="249"/>
      <c r="B76" s="250"/>
      <c r="C76" s="251"/>
      <c r="D76" s="275" t="s">
        <v>399</v>
      </c>
      <c r="E76" s="255" t="s">
        <v>508</v>
      </c>
    </row>
    <row r="77" spans="1:5" ht="18.75" x14ac:dyDescent="0.3">
      <c r="A77" s="249"/>
      <c r="B77" s="250"/>
      <c r="C77" s="251"/>
      <c r="D77" s="271"/>
      <c r="E77" s="265"/>
    </row>
    <row r="78" spans="1:5" ht="21" x14ac:dyDescent="0.3">
      <c r="A78" s="276">
        <v>8</v>
      </c>
      <c r="B78" s="277" t="s">
        <v>392</v>
      </c>
      <c r="C78" s="251"/>
      <c r="D78" s="271"/>
      <c r="E78" s="265"/>
    </row>
    <row r="79" spans="1:5" ht="18.75" x14ac:dyDescent="0.3">
      <c r="A79" s="249"/>
      <c r="B79" s="250"/>
      <c r="C79" s="251"/>
      <c r="D79" s="275" t="s">
        <v>377</v>
      </c>
      <c r="E79" s="255" t="s">
        <v>490</v>
      </c>
    </row>
    <row r="80" spans="1:5" ht="18.75" x14ac:dyDescent="0.3">
      <c r="A80" s="249"/>
      <c r="B80" s="250"/>
      <c r="C80" s="251"/>
      <c r="D80" s="275" t="s">
        <v>401</v>
      </c>
      <c r="E80" s="255" t="s">
        <v>491</v>
      </c>
    </row>
    <row r="83" spans="1:5" ht="21" x14ac:dyDescent="0.3">
      <c r="A83" s="276">
        <v>9</v>
      </c>
      <c r="B83" s="277" t="s">
        <v>393</v>
      </c>
      <c r="C83" s="251"/>
      <c r="D83" s="271"/>
      <c r="E83" s="265"/>
    </row>
    <row r="84" spans="1:5" ht="18.75" x14ac:dyDescent="0.3">
      <c r="A84" s="249"/>
      <c r="B84" s="250"/>
      <c r="C84" s="251"/>
      <c r="D84" s="278" t="s">
        <v>377</v>
      </c>
      <c r="E84" s="255" t="s">
        <v>402</v>
      </c>
    </row>
    <row r="86" spans="1:5" ht="21" x14ac:dyDescent="0.3">
      <c r="A86" s="276">
        <v>10</v>
      </c>
      <c r="B86" s="277" t="s">
        <v>492</v>
      </c>
      <c r="C86" s="251"/>
      <c r="D86" s="271"/>
      <c r="E86" s="265"/>
    </row>
    <row r="87" spans="1:5" ht="18.75" x14ac:dyDescent="0.3">
      <c r="A87" s="249"/>
      <c r="B87" s="250"/>
      <c r="C87" s="251"/>
      <c r="D87" s="278" t="s">
        <v>493</v>
      </c>
      <c r="E87" s="255" t="s">
        <v>494</v>
      </c>
    </row>
    <row r="88" spans="1:5" ht="60" x14ac:dyDescent="0.25">
      <c r="D88" s="279" t="s">
        <v>496</v>
      </c>
      <c r="E88" s="255" t="s">
        <v>495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
    <tabColor rgb="FFFF0000"/>
  </sheetPr>
  <dimension ref="B1:CP48"/>
  <sheetViews>
    <sheetView showGridLines="0" showRowColHeaders="0" topLeftCell="B1" zoomScale="90" zoomScaleNormal="90" workbookViewId="0">
      <pane ySplit="10" topLeftCell="A11" activePane="bottomLeft" state="frozen"/>
      <selection activeCell="C3" sqref="C3"/>
      <selection pane="bottomLeft" activeCell="V22" sqref="V22"/>
    </sheetView>
  </sheetViews>
  <sheetFormatPr defaultColWidth="8.7109375" defaultRowHeight="15" x14ac:dyDescent="0.25"/>
  <cols>
    <col min="1" max="1" width="1.140625" customWidth="1"/>
    <col min="2" max="2" width="14.42578125" customWidth="1"/>
    <col min="3" max="3" width="19" customWidth="1"/>
    <col min="4" max="4" width="107.140625" customWidth="1"/>
    <col min="23" max="23" width="48.85546875" customWidth="1"/>
    <col min="24" max="24" width="47.42578125" customWidth="1"/>
    <col min="68" max="69" width="31.85546875" customWidth="1"/>
    <col min="70" max="70" width="33.5703125" customWidth="1"/>
    <col min="71" max="71" width="16.5703125" customWidth="1"/>
    <col min="72" max="72" width="14.28515625" customWidth="1"/>
    <col min="73" max="73" width="18.85546875" customWidth="1"/>
    <col min="74" max="75" width="11" customWidth="1"/>
    <col min="76" max="76" width="17.42578125" bestFit="1" customWidth="1"/>
    <col min="77" max="77" width="15.140625" customWidth="1"/>
    <col min="78" max="78" width="10" customWidth="1"/>
    <col min="79" max="79" width="16.85546875" customWidth="1"/>
    <col min="80" max="80" width="13.7109375" bestFit="1" customWidth="1"/>
    <col min="94" max="94" width="13.140625" bestFit="1" customWidth="1"/>
  </cols>
  <sheetData>
    <row r="1" spans="2:94" ht="26.25" customHeight="1" x14ac:dyDescent="0.25"/>
    <row r="2" spans="2:94" ht="18.75" customHeight="1" x14ac:dyDescent="0.25">
      <c r="B2" s="284" t="s">
        <v>471</v>
      </c>
      <c r="C2" s="284"/>
      <c r="CP2" s="35"/>
    </row>
    <row r="3" spans="2:94" ht="16.5" customHeight="1" x14ac:dyDescent="0.25">
      <c r="B3" s="220" t="s">
        <v>467</v>
      </c>
      <c r="C3" s="228">
        <v>2015</v>
      </c>
      <c r="CP3" s="35"/>
    </row>
    <row r="4" spans="2:94" ht="16.5" customHeight="1" x14ac:dyDescent="0.25">
      <c r="B4" s="221" t="s">
        <v>468</v>
      </c>
      <c r="C4" s="227" t="s">
        <v>419</v>
      </c>
      <c r="CP4" s="35"/>
    </row>
    <row r="5" spans="2:94" ht="7.5" customHeight="1" x14ac:dyDescent="0.25">
      <c r="B5" s="218"/>
      <c r="C5" s="218"/>
      <c r="CP5" s="35"/>
    </row>
    <row r="6" spans="2:94" ht="16.5" customHeight="1" x14ac:dyDescent="0.25">
      <c r="B6" s="220" t="s">
        <v>469</v>
      </c>
      <c r="C6" s="228">
        <v>2015</v>
      </c>
      <c r="CP6" s="35"/>
    </row>
    <row r="7" spans="2:94" ht="16.5" customHeight="1" x14ac:dyDescent="0.25">
      <c r="B7" s="221" t="s">
        <v>470</v>
      </c>
      <c r="C7" s="227" t="s">
        <v>430</v>
      </c>
      <c r="CP7" s="35"/>
    </row>
    <row r="8" spans="2:94" ht="16.5" customHeight="1" x14ac:dyDescent="0.25">
      <c r="CP8" s="35"/>
    </row>
    <row r="9" spans="2:94" ht="16.5" customHeight="1" x14ac:dyDescent="0.25">
      <c r="B9" s="285"/>
      <c r="C9" s="285"/>
      <c r="CP9" s="35"/>
    </row>
    <row r="10" spans="2:94" ht="21.75" customHeight="1" x14ac:dyDescent="0.25">
      <c r="CP10" s="35"/>
    </row>
    <row r="11" spans="2:94" ht="16.5" customHeight="1" x14ac:dyDescent="0.25">
      <c r="C11" s="1"/>
      <c r="D11" s="1"/>
      <c r="CP11" s="35"/>
    </row>
    <row r="12" spans="2:94" x14ac:dyDescent="0.25">
      <c r="D12" s="1"/>
      <c r="CP12" s="35"/>
    </row>
    <row r="13" spans="2:94" x14ac:dyDescent="0.25">
      <c r="C13" s="1"/>
      <c r="D13" s="1"/>
      <c r="CP13" s="35"/>
    </row>
    <row r="14" spans="2:94" x14ac:dyDescent="0.25">
      <c r="C14" s="1"/>
      <c r="D14" s="1"/>
      <c r="CP14" s="35"/>
    </row>
    <row r="15" spans="2:94" x14ac:dyDescent="0.25">
      <c r="C15" s="1"/>
      <c r="D15" s="1"/>
      <c r="CP15" s="35"/>
    </row>
    <row r="16" spans="2:94" x14ac:dyDescent="0.25">
      <c r="C16" s="1"/>
      <c r="D16" s="1"/>
      <c r="CP16" s="35"/>
    </row>
    <row r="17" spans="3:94" x14ac:dyDescent="0.25">
      <c r="C17" s="1"/>
      <c r="D17" s="1"/>
      <c r="CP17" s="35"/>
    </row>
    <row r="18" spans="3:94" x14ac:dyDescent="0.25">
      <c r="C18" s="1"/>
      <c r="D18" s="1"/>
      <c r="CP18" s="35"/>
    </row>
    <row r="19" spans="3:94" x14ac:dyDescent="0.25">
      <c r="C19" s="1"/>
      <c r="D19" s="1"/>
      <c r="CP19" s="35"/>
    </row>
    <row r="20" spans="3:94" x14ac:dyDescent="0.25">
      <c r="C20" s="1"/>
      <c r="D20" s="1"/>
      <c r="CP20" s="35"/>
    </row>
    <row r="21" spans="3:94" x14ac:dyDescent="0.25">
      <c r="C21" s="1"/>
      <c r="D21" s="1"/>
      <c r="CP21" s="35"/>
    </row>
    <row r="22" spans="3:94" x14ac:dyDescent="0.25">
      <c r="C22" s="1"/>
      <c r="D22" s="1"/>
      <c r="CP22" s="35"/>
    </row>
    <row r="23" spans="3:94" x14ac:dyDescent="0.25">
      <c r="C23" s="1"/>
      <c r="D23" s="1"/>
      <c r="CP23" s="35"/>
    </row>
    <row r="24" spans="3:94" x14ac:dyDescent="0.25">
      <c r="C24" s="1"/>
      <c r="D24" s="1"/>
      <c r="CP24" s="35"/>
    </row>
    <row r="25" spans="3:94" x14ac:dyDescent="0.25">
      <c r="CP25" s="35"/>
    </row>
    <row r="26" spans="3:94" x14ac:dyDescent="0.25">
      <c r="CP26" s="35"/>
    </row>
    <row r="27" spans="3:94" x14ac:dyDescent="0.25">
      <c r="CP27" s="35"/>
    </row>
    <row r="28" spans="3:94" x14ac:dyDescent="0.25">
      <c r="CP28" s="35"/>
    </row>
    <row r="29" spans="3:94" x14ac:dyDescent="0.25">
      <c r="CP29" s="35"/>
    </row>
    <row r="30" spans="3:94" x14ac:dyDescent="0.25">
      <c r="CP30" s="35"/>
    </row>
    <row r="31" spans="3:94" x14ac:dyDescent="0.25">
      <c r="CP31" s="35"/>
    </row>
    <row r="32" spans="3:94" x14ac:dyDescent="0.25">
      <c r="CP32" s="35"/>
    </row>
    <row r="33" spans="94:94" x14ac:dyDescent="0.25">
      <c r="CP33" s="35"/>
    </row>
    <row r="34" spans="94:94" x14ac:dyDescent="0.25">
      <c r="CP34" s="35"/>
    </row>
    <row r="35" spans="94:94" x14ac:dyDescent="0.25">
      <c r="CP35" s="35"/>
    </row>
    <row r="36" spans="94:94" x14ac:dyDescent="0.25">
      <c r="CP36" s="35"/>
    </row>
    <row r="37" spans="94:94" x14ac:dyDescent="0.25">
      <c r="CP37" s="35"/>
    </row>
    <row r="38" spans="94:94" x14ac:dyDescent="0.25">
      <c r="CP38" s="35"/>
    </row>
    <row r="39" spans="94:94" x14ac:dyDescent="0.25">
      <c r="CP39" s="35"/>
    </row>
    <row r="40" spans="94:94" x14ac:dyDescent="0.25">
      <c r="CP40" s="35"/>
    </row>
    <row r="41" spans="94:94" x14ac:dyDescent="0.25">
      <c r="CP41" s="35"/>
    </row>
    <row r="42" spans="94:94" x14ac:dyDescent="0.25">
      <c r="CP42" s="35"/>
    </row>
    <row r="43" spans="94:94" x14ac:dyDescent="0.25">
      <c r="CP43" s="35"/>
    </row>
    <row r="44" spans="94:94" x14ac:dyDescent="0.25">
      <c r="CP44" s="35"/>
    </row>
    <row r="45" spans="94:94" x14ac:dyDescent="0.25">
      <c r="CP45" s="35"/>
    </row>
    <row r="46" spans="94:94" x14ac:dyDescent="0.25">
      <c r="CP46" s="35"/>
    </row>
    <row r="47" spans="94:94" x14ac:dyDescent="0.25">
      <c r="CP47" s="35"/>
    </row>
    <row r="48" spans="94:94" x14ac:dyDescent="0.25">
      <c r="CP48" s="35"/>
    </row>
  </sheetData>
  <sheetProtection algorithmName="SHA-512" hashValue="OUqvdSr+2aLjQ7MhKzAdL1S5+NUC9q6Vvn+wLMpYSTe98SwL8f29AhwCevc4xmhQFJLCsAxPX3D7vre92E3w3g==" saltValue="X2flRqgGF9ULnQ+Mnb6Wrg==" spinCount="100000" sheet="1" objects="1" scenarios="1" insertRows="0" deleteRows="0"/>
  <mergeCells count="2">
    <mergeCell ref="B2:C2"/>
    <mergeCell ref="B9:C9"/>
  </mergeCells>
  <dataValidations count="2">
    <dataValidation type="list" allowBlank="1" showInputMessage="1" showErrorMessage="1" sqref="C3 C6">
      <formula1>INDIRECT("tblYears")</formula1>
    </dataValidation>
    <dataValidation type="list" allowBlank="1" showInputMessage="1" showErrorMessage="1" sqref="C4 C7">
      <formula1>INDIRECT("tblMonths")</formula1>
    </dataValidation>
  </dataValidation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ofileReport">
    <tabColor rgb="FFFF0000"/>
  </sheetPr>
  <dimension ref="B1:C10"/>
  <sheetViews>
    <sheetView showGridLines="0" showRowColHeaders="0" zoomScale="90" zoomScaleNormal="90" workbookViewId="0">
      <pane ySplit="10" topLeftCell="A14" activePane="bottomLeft" state="frozen"/>
      <selection activeCell="D40" sqref="D40"/>
      <selection pane="bottomLeft" activeCell="C7" sqref="C7"/>
    </sheetView>
  </sheetViews>
  <sheetFormatPr defaultRowHeight="15" x14ac:dyDescent="0.25"/>
  <cols>
    <col min="1" max="1" width="1.85546875" customWidth="1"/>
    <col min="2" max="2" width="14.42578125" customWidth="1"/>
    <col min="3" max="3" width="19" customWidth="1"/>
  </cols>
  <sheetData>
    <row r="1" spans="2:3" ht="27" customHeight="1" x14ac:dyDescent="0.25">
      <c r="B1" s="223"/>
      <c r="C1" s="223"/>
    </row>
    <row r="2" spans="2:3" ht="17.25" customHeight="1" x14ac:dyDescent="0.25">
      <c r="B2" s="286" t="s">
        <v>471</v>
      </c>
      <c r="C2" s="286"/>
    </row>
    <row r="3" spans="2:3" x14ac:dyDescent="0.25">
      <c r="B3" s="224" t="s">
        <v>467</v>
      </c>
      <c r="C3" s="229">
        <v>2015</v>
      </c>
    </row>
    <row r="4" spans="2:3" x14ac:dyDescent="0.25">
      <c r="B4" s="225" t="s">
        <v>468</v>
      </c>
      <c r="C4" s="230" t="s">
        <v>419</v>
      </c>
    </row>
    <row r="5" spans="2:3" x14ac:dyDescent="0.25">
      <c r="B5" s="226"/>
      <c r="C5" s="226"/>
    </row>
    <row r="6" spans="2:3" x14ac:dyDescent="0.25">
      <c r="B6" s="224" t="s">
        <v>469</v>
      </c>
      <c r="C6" s="229">
        <v>2015</v>
      </c>
    </row>
    <row r="7" spans="2:3" x14ac:dyDescent="0.25">
      <c r="B7" s="225" t="s">
        <v>470</v>
      </c>
      <c r="C7" s="230" t="s">
        <v>430</v>
      </c>
    </row>
    <row r="8" spans="2:3" x14ac:dyDescent="0.25">
      <c r="B8" s="223"/>
      <c r="C8" s="223"/>
    </row>
    <row r="9" spans="2:3" x14ac:dyDescent="0.25">
      <c r="B9" s="285"/>
      <c r="C9" s="285"/>
    </row>
    <row r="10" spans="2:3" ht="8.25" customHeight="1" x14ac:dyDescent="0.25"/>
  </sheetData>
  <sheetProtection algorithmName="SHA-512" hashValue="iVbRlxsS3s++SL9cXG2sylpWcwaFhNTlmVHN7xJsooCd7fdrZOJyqoMeRZ2fgdcB6afBoPrR/vS24fF7f7hk3Q==" saltValue="YG//5xpEmWneaMMFuTk0kg==" spinCount="100000" sheet="1" objects="1" scenarios="1" insertRows="0" deleteRows="0"/>
  <mergeCells count="2">
    <mergeCell ref="B2:C2"/>
    <mergeCell ref="B9:C9"/>
  </mergeCells>
  <dataValidations count="2">
    <dataValidation type="list" allowBlank="1" showInputMessage="1" showErrorMessage="1" sqref="C4 C7">
      <formula1>INDIRECT("tblMonths")</formula1>
    </dataValidation>
    <dataValidation type="list" allowBlank="1" showInputMessage="1" showErrorMessage="1" sqref="C3 C6">
      <formula1>INDIRECT("tblYears")</formula1>
    </dataValidation>
  </dataValidation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ntry">
    <tabColor rgb="FF00B050"/>
  </sheetPr>
  <dimension ref="A1:AI6999"/>
  <sheetViews>
    <sheetView showGridLines="0" showRowColHeaders="0" zoomScaleNormal="100" zoomScalePageLayoutView="120" workbookViewId="0">
      <pane xSplit="4" ySplit="6" topLeftCell="E7" activePane="bottomRight" state="frozen"/>
      <selection activeCell="D40" sqref="D40"/>
      <selection pane="topRight" activeCell="D40" sqref="D40"/>
      <selection pane="bottomLeft" activeCell="D40" sqref="D40"/>
      <selection pane="bottomRight" activeCell="D22" sqref="D22"/>
    </sheetView>
  </sheetViews>
  <sheetFormatPr defaultColWidth="8.7109375" defaultRowHeight="15" x14ac:dyDescent="0.25"/>
  <cols>
    <col min="1" max="1" width="19.85546875" style="2" customWidth="1"/>
    <col min="2" max="2" width="26.7109375" style="2" customWidth="1"/>
    <col min="3" max="3" width="32.42578125" style="139" customWidth="1"/>
    <col min="4" max="4" width="32.42578125" style="149" customWidth="1"/>
    <col min="5" max="5" width="80" style="139" bestFit="1" customWidth="1"/>
    <col min="6" max="6" width="10" style="139" bestFit="1" customWidth="1"/>
    <col min="7" max="7" width="25.140625" style="139" customWidth="1"/>
    <col min="8" max="8" width="31.42578125" style="139" customWidth="1"/>
    <col min="9" max="9" width="13.7109375" style="137" customWidth="1"/>
    <col min="10" max="10" width="34.42578125" style="139" bestFit="1" customWidth="1"/>
    <col min="11" max="11" width="24.85546875" style="139" customWidth="1"/>
    <col min="12" max="12" width="22.140625" style="175" bestFit="1" customWidth="1"/>
    <col min="13" max="13" width="17.42578125" style="183" bestFit="1" customWidth="1"/>
    <col min="14" max="14" width="17" style="175" bestFit="1" customWidth="1"/>
    <col min="15" max="15" width="12.28515625" style="138" customWidth="1"/>
    <col min="16" max="16" width="12.28515625" style="211" customWidth="1"/>
    <col min="17" max="17" width="12.28515625" style="167" customWidth="1"/>
    <col min="18" max="18" width="56.7109375" style="139" customWidth="1"/>
    <col min="19" max="21" width="8.7109375" style="2"/>
    <col min="22" max="22" width="10.42578125" style="2" customWidth="1"/>
    <col min="23" max="23" width="8.7109375" style="2"/>
    <col min="24" max="24" width="0" style="2" hidden="1" customWidth="1"/>
    <col min="25" max="27" width="8.7109375" style="2"/>
    <col min="28" max="29" width="8.7109375" style="2" customWidth="1"/>
    <col min="30" max="30" width="8.7109375" style="2" hidden="1" customWidth="1"/>
    <col min="31" max="31" width="20.42578125" style="39" hidden="1" customWidth="1"/>
    <col min="32" max="33" width="8.7109375" style="2" hidden="1" customWidth="1"/>
    <col min="34" max="34" width="8.7109375" style="2" customWidth="1"/>
    <col min="35" max="16384" width="8.7109375" style="2"/>
  </cols>
  <sheetData>
    <row r="1" spans="1:35" ht="20.100000000000001" customHeight="1" thickTop="1" thickBot="1" x14ac:dyDescent="0.3">
      <c r="A1" s="80" t="s">
        <v>432</v>
      </c>
      <c r="B1" s="78">
        <v>6500000</v>
      </c>
      <c r="C1" s="75"/>
      <c r="D1" s="76"/>
      <c r="E1" s="7"/>
      <c r="F1" s="7"/>
      <c r="G1" s="75"/>
      <c r="H1" s="76">
        <f>SUMPRODUCT(N8:N9996,O8:O9996)</f>
        <v>2582070</v>
      </c>
      <c r="I1" s="77"/>
      <c r="J1" s="2"/>
      <c r="K1" s="2"/>
      <c r="L1" s="169"/>
      <c r="M1" s="176"/>
      <c r="N1" s="169"/>
      <c r="O1" s="26"/>
      <c r="P1" s="26"/>
      <c r="Q1" s="157"/>
      <c r="R1" s="7"/>
      <c r="AG1" s="2" t="b">
        <f>IF(SUMIF(A7:A1048576,"&lt;=1")=1,TRUE,FALSE)</f>
        <v>1</v>
      </c>
    </row>
    <row r="2" spans="1:35" ht="20.100000000000001" customHeight="1" thickTop="1" thickBot="1" x14ac:dyDescent="0.3">
      <c r="A2" s="80" t="s">
        <v>485</v>
      </c>
      <c r="B2" s="79">
        <f>totalBudget-SUM(N8:N9996)</f>
        <v>1674916.8269230779</v>
      </c>
      <c r="C2" s="75"/>
      <c r="D2" s="76"/>
      <c r="E2" s="7"/>
      <c r="F2" s="7"/>
      <c r="G2" s="75"/>
      <c r="H2" s="76"/>
      <c r="I2" s="77"/>
      <c r="J2" s="2"/>
      <c r="K2" s="2"/>
      <c r="L2" s="169"/>
      <c r="M2" s="176"/>
      <c r="N2" s="169"/>
      <c r="O2" s="26"/>
      <c r="P2" s="26"/>
      <c r="Q2" s="157"/>
      <c r="R2" s="7"/>
    </row>
    <row r="3" spans="1:35" ht="20.100000000000001" customHeight="1" thickTop="1" thickBot="1" x14ac:dyDescent="0.3">
      <c r="A3" s="80" t="s">
        <v>433</v>
      </c>
      <c r="B3" s="200">
        <f xml:space="preserve"> SUMIF(A7:A1048576,"&lt;=1")</f>
        <v>1.0000000000000002</v>
      </c>
      <c r="C3" s="75"/>
      <c r="D3" s="76"/>
      <c r="E3" s="7"/>
      <c r="F3" s="7"/>
      <c r="G3" s="75"/>
      <c r="H3" s="76"/>
      <c r="I3" s="28"/>
      <c r="J3" s="2"/>
      <c r="K3" s="2"/>
      <c r="L3" s="169"/>
      <c r="M3" s="176"/>
      <c r="N3" s="169"/>
      <c r="O3" s="26"/>
      <c r="P3" s="26"/>
      <c r="Q3" s="157"/>
      <c r="R3" s="7"/>
    </row>
    <row r="4" spans="1:35" ht="20.100000000000001" customHeight="1" thickTop="1" thickBot="1" x14ac:dyDescent="0.3">
      <c r="A4" s="93" t="s">
        <v>487</v>
      </c>
      <c r="B4" s="94">
        <f>SUMPRODUCT(N8:N9996,O8:O9996)</f>
        <v>2582070</v>
      </c>
      <c r="C4" s="75"/>
      <c r="D4" s="76"/>
      <c r="E4" s="7"/>
      <c r="F4" s="7"/>
      <c r="G4" s="75"/>
      <c r="H4" s="76"/>
      <c r="I4" s="28"/>
      <c r="J4" s="2"/>
      <c r="K4" s="2"/>
      <c r="L4" s="169"/>
      <c r="M4" s="176"/>
      <c r="N4" s="169"/>
      <c r="O4" s="26"/>
      <c r="P4" s="26"/>
      <c r="Q4" s="157"/>
      <c r="R4" s="7"/>
    </row>
    <row r="5" spans="1:35" ht="16.5" thickTop="1" thickBot="1" x14ac:dyDescent="0.3">
      <c r="A5" s="95" t="s">
        <v>74</v>
      </c>
      <c r="B5" s="95" t="s">
        <v>87</v>
      </c>
      <c r="C5" s="95" t="s">
        <v>86</v>
      </c>
      <c r="D5" s="95" t="s">
        <v>85</v>
      </c>
      <c r="E5" s="95"/>
      <c r="F5" s="95" t="s">
        <v>84</v>
      </c>
      <c r="G5" s="95" t="s">
        <v>80</v>
      </c>
      <c r="H5" s="95" t="s">
        <v>81</v>
      </c>
      <c r="I5" s="96" t="s">
        <v>82</v>
      </c>
      <c r="J5" s="95" t="s">
        <v>83</v>
      </c>
      <c r="K5" s="95" t="s">
        <v>79</v>
      </c>
      <c r="L5" s="170" t="s">
        <v>472</v>
      </c>
      <c r="M5" s="170" t="s">
        <v>444</v>
      </c>
      <c r="N5" s="170" t="s">
        <v>445</v>
      </c>
      <c r="O5" s="96" t="s">
        <v>91</v>
      </c>
      <c r="P5" s="96" t="s">
        <v>454</v>
      </c>
      <c r="Q5" s="158" t="s">
        <v>417</v>
      </c>
      <c r="R5" s="97" t="s">
        <v>88</v>
      </c>
      <c r="S5" s="3"/>
      <c r="T5" s="3"/>
      <c r="U5" s="3"/>
      <c r="V5" s="3"/>
      <c r="W5" s="3"/>
      <c r="X5" s="3"/>
      <c r="Y5" s="3"/>
      <c r="Z5" s="3"/>
      <c r="AA5" s="3"/>
      <c r="AB5" s="3"/>
      <c r="AC5" s="3"/>
      <c r="AD5" s="3"/>
      <c r="AE5" s="40"/>
      <c r="AF5" s="3"/>
      <c r="AG5" s="3"/>
      <c r="AH5" s="3"/>
      <c r="AI5" s="3"/>
    </row>
    <row r="6" spans="1:35" ht="15" hidden="1" customHeight="1" thickTop="1" x14ac:dyDescent="0.25">
      <c r="A6" s="287" t="str">
        <f>CONCATENATE("Budget Percentage - ", TEXT(SUMIF(A7:A1048576,"&lt;=1"),"0%"))</f>
        <v>Budget Percentage - 100%</v>
      </c>
      <c r="B6" s="287"/>
      <c r="C6" s="4"/>
      <c r="D6" s="141"/>
      <c r="E6" s="4"/>
      <c r="F6" s="4"/>
      <c r="G6" s="4"/>
      <c r="H6" s="4"/>
      <c r="I6" s="27"/>
      <c r="J6" s="4"/>
      <c r="K6" s="4"/>
      <c r="L6" s="171"/>
      <c r="M6" s="171"/>
      <c r="N6" s="171"/>
      <c r="O6" s="27"/>
      <c r="P6" s="27"/>
      <c r="Q6" s="159"/>
      <c r="R6" s="68"/>
      <c r="S6" s="3"/>
      <c r="T6" s="3"/>
      <c r="U6" s="3"/>
      <c r="V6" s="3"/>
      <c r="W6" s="3"/>
      <c r="X6" s="3"/>
      <c r="Y6" s="3"/>
      <c r="Z6" s="3"/>
      <c r="AA6" s="3"/>
      <c r="AB6" s="3"/>
      <c r="AC6" s="3"/>
      <c r="AD6" s="3"/>
      <c r="AE6" s="40"/>
      <c r="AF6" s="3"/>
      <c r="AG6" s="3"/>
      <c r="AH6" s="3"/>
      <c r="AI6" s="3"/>
    </row>
    <row r="7" spans="1:35" ht="15.75" thickTop="1" x14ac:dyDescent="0.25">
      <c r="A7" s="81">
        <v>0.47</v>
      </c>
      <c r="B7" s="82" t="s">
        <v>16</v>
      </c>
      <c r="C7" s="83"/>
      <c r="D7" s="142"/>
      <c r="E7" s="25"/>
      <c r="F7" s="25"/>
      <c r="G7" s="25"/>
      <c r="H7" s="25"/>
      <c r="I7" s="28"/>
      <c r="J7" s="25"/>
      <c r="K7" s="25"/>
      <c r="L7" s="169"/>
      <c r="M7" s="169"/>
      <c r="N7" s="169"/>
      <c r="O7" s="28"/>
      <c r="P7" s="205"/>
      <c r="Q7" s="160"/>
      <c r="R7" s="7"/>
      <c r="AE7" s="39" t="str">
        <f>IF(D7="","",IFERROR(VLOOKUP(D7,Projects!$A$2:$A$20000,1,FALSE),""))</f>
        <v/>
      </c>
      <c r="AF7" s="2" t="str">
        <f>IF(D7="","",IFERROR(MATCH(D7,Projects!$A:$A,0),""))</f>
        <v/>
      </c>
    </row>
    <row r="8" spans="1:35" x14ac:dyDescent="0.25">
      <c r="A8" s="131">
        <f>A7*totalBudget</f>
        <v>3055000</v>
      </c>
      <c r="B8" s="25"/>
      <c r="C8" s="84" t="s">
        <v>176</v>
      </c>
      <c r="D8" s="231" t="s">
        <v>213</v>
      </c>
      <c r="E8" s="84" t="s">
        <v>262</v>
      </c>
      <c r="F8" s="84" t="s">
        <v>64</v>
      </c>
      <c r="G8" s="85"/>
      <c r="H8" s="85"/>
      <c r="I8" s="86"/>
      <c r="J8" s="85"/>
      <c r="K8" s="85"/>
      <c r="L8" s="172">
        <f>VLOOKUP(D8,Projects!$A:$L,9,FALSE)</f>
        <v>121755.76923076923</v>
      </c>
      <c r="M8" s="172">
        <f>VLOOKUP(D8,Projects!$A:$L,10,FALSE)</f>
        <v>800000</v>
      </c>
      <c r="N8" s="172">
        <f>M8+L8</f>
        <v>921755.76923076925</v>
      </c>
      <c r="O8" s="222">
        <f>VLOOKUP(D8,Projects!$A:$L,12,FALSE)</f>
        <v>0.65455245319864064</v>
      </c>
      <c r="P8" s="206"/>
      <c r="Q8" s="161"/>
      <c r="R8" s="87"/>
      <c r="X8" s="2">
        <f>N8*O8</f>
        <v>603337.50000000012</v>
      </c>
      <c r="AE8" s="39" t="str">
        <f>IF(D8="","",IFERROR(VLOOKUP(D8,Projects!$A$2:$A$20000,1,FALSE),""))</f>
        <v>Smart Card Project</v>
      </c>
      <c r="AF8" s="2">
        <f>IF(D8="","",IFERROR(MATCH(D8,Projects!$A:$A,0),""))</f>
        <v>8</v>
      </c>
    </row>
    <row r="9" spans="1:35" x14ac:dyDescent="0.25">
      <c r="B9" s="24"/>
      <c r="C9" s="88" t="s">
        <v>176</v>
      </c>
      <c r="D9" s="140" t="s">
        <v>234</v>
      </c>
      <c r="E9" s="84" t="s">
        <v>261</v>
      </c>
      <c r="F9" s="84" t="s">
        <v>63</v>
      </c>
      <c r="G9" s="85"/>
      <c r="H9" s="85"/>
      <c r="I9" s="86"/>
      <c r="J9" s="89"/>
      <c r="K9" s="85"/>
      <c r="L9" s="172">
        <f>VLOOKUP(D9,Projects!$A:$L,9,FALSE)</f>
        <v>79176.442307692312</v>
      </c>
      <c r="M9" s="172">
        <f>VLOOKUP(D9,Projects!$A:$L,10,FALSE)</f>
        <v>500000</v>
      </c>
      <c r="N9" s="172">
        <f>M9+L9</f>
        <v>579176.44230769225</v>
      </c>
      <c r="O9" s="86">
        <f>VLOOKUP(D9,Projects!$A:$L,12,FALSE)</f>
        <v>0.12278500556576107</v>
      </c>
      <c r="P9" s="206"/>
      <c r="Q9" s="161"/>
      <c r="R9" s="87"/>
      <c r="X9" s="2">
        <f t="shared" ref="X9:X72" si="0">N9*O9</f>
        <v>71114.182692307688</v>
      </c>
      <c r="AE9" s="39" t="str">
        <f>IF(D9="","",IFERROR(VLOOKUP(D9,Projects!$A$2:$A$20000,1,FALSE),""))</f>
        <v>Role Based Acess (RBAC)</v>
      </c>
      <c r="AF9" s="2">
        <f>IF(D9="","",IFERROR(MATCH(D9,Projects!$A:$A,0),""))</f>
        <v>20</v>
      </c>
    </row>
    <row r="10" spans="1:35" x14ac:dyDescent="0.25">
      <c r="B10" s="24"/>
      <c r="C10" s="84" t="s">
        <v>18</v>
      </c>
      <c r="D10" s="140" t="s">
        <v>36</v>
      </c>
      <c r="E10" s="84" t="s">
        <v>263</v>
      </c>
      <c r="F10" s="84" t="s">
        <v>65</v>
      </c>
      <c r="G10" s="85"/>
      <c r="H10" s="85"/>
      <c r="I10" s="90"/>
      <c r="J10" s="91"/>
      <c r="K10" s="91"/>
      <c r="L10" s="177">
        <f>VLOOKUP(D10,Projects!$A:$L,9,FALSE)</f>
        <v>35056.730769230773</v>
      </c>
      <c r="M10" s="177">
        <f>VLOOKUP(D10,Projects!$A:$L,10,FALSE)</f>
        <v>350000</v>
      </c>
      <c r="N10" s="172">
        <f>M10+L10</f>
        <v>385056.73076923075</v>
      </c>
      <c r="O10" s="86">
        <f>VLOOKUP(D10,Projects!$A:$L,12,FALSE)</f>
        <v>1</v>
      </c>
      <c r="P10" s="206"/>
      <c r="Q10" s="161"/>
      <c r="R10" s="87"/>
      <c r="X10" s="2">
        <f t="shared" si="0"/>
        <v>385056.73076923075</v>
      </c>
      <c r="AE10" s="39" t="str">
        <f>IF(D10="","",IFERROR(VLOOKUP(D10,Projects!$A$2:$A$20000,1,FALSE),""))</f>
        <v>Firewall Project</v>
      </c>
      <c r="AF10" s="2">
        <f>IF(D10="","",IFERROR(MATCH(D10,Projects!$A:$A,0),""))</f>
        <v>2</v>
      </c>
    </row>
    <row r="11" spans="1:35" x14ac:dyDescent="0.25">
      <c r="B11" s="24"/>
      <c r="C11" s="84" t="s">
        <v>194</v>
      </c>
      <c r="D11" s="231" t="s">
        <v>245</v>
      </c>
      <c r="E11" s="84" t="s">
        <v>416</v>
      </c>
      <c r="F11" s="84" t="s">
        <v>64</v>
      </c>
      <c r="G11" s="85"/>
      <c r="H11" s="85"/>
      <c r="I11" s="86"/>
      <c r="J11" s="85"/>
      <c r="K11" s="85"/>
      <c r="L11" s="172">
        <f>VLOOKUP(D11,Projects!$A:$L,9,FALSE)</f>
        <v>70693.26923076922</v>
      </c>
      <c r="M11" s="172">
        <f>VLOOKUP(D11,Projects!$A:$L,10,FALSE)</f>
        <v>850000</v>
      </c>
      <c r="N11" s="172">
        <f>M11+L11</f>
        <v>920693.26923076925</v>
      </c>
      <c r="O11" s="86">
        <f>VLOOKUP(D11,Projects!$A:$L,12,FALSE)</f>
        <v>0.10511205498365049</v>
      </c>
      <c r="P11" s="206"/>
      <c r="Q11" s="161"/>
      <c r="R11" s="87"/>
      <c r="X11" s="2">
        <f t="shared" si="0"/>
        <v>96775.961538461546</v>
      </c>
      <c r="AE11" s="39" t="str">
        <f>IF(D11="","",IFERROR(VLOOKUP(D11,Projects!$A$2:$A$20000,1,FALSE),""))</f>
        <v>Mobile Device Management (MDM)</v>
      </c>
      <c r="AF11" s="2">
        <f>IF(D11="","",IFERROR(MATCH(D11,Projects!$A:$A,0),""))</f>
        <v>26</v>
      </c>
    </row>
    <row r="12" spans="1:35" x14ac:dyDescent="0.25">
      <c r="B12" s="24"/>
      <c r="C12" s="84"/>
      <c r="D12" s="140"/>
      <c r="E12" s="84"/>
      <c r="F12" s="84"/>
      <c r="G12" s="84"/>
      <c r="H12" s="84"/>
      <c r="I12" s="86"/>
      <c r="J12" s="84"/>
      <c r="K12" s="84"/>
      <c r="L12" s="172"/>
      <c r="M12" s="178"/>
      <c r="N12" s="172"/>
      <c r="O12" s="92"/>
      <c r="P12" s="207">
        <v>2015</v>
      </c>
      <c r="Q12" s="162" t="s">
        <v>421</v>
      </c>
      <c r="R12" s="87"/>
      <c r="X12" s="2">
        <f t="shared" si="0"/>
        <v>0</v>
      </c>
      <c r="AE12" s="39" t="str">
        <f>IF(D12="","",IFERROR(VLOOKUP(D12,Projects!$A$2:$A$20000,1,FALSE),""))</f>
        <v/>
      </c>
      <c r="AF12" s="2" t="str">
        <f>IF(D12="","",IFERROR(MATCH(D12,Projects!$A:$A,0),""))</f>
        <v/>
      </c>
    </row>
    <row r="13" spans="1:35" x14ac:dyDescent="0.25">
      <c r="B13" s="29"/>
      <c r="C13" s="84"/>
      <c r="D13" s="143"/>
      <c r="E13" s="84"/>
      <c r="F13" s="84"/>
      <c r="G13" s="84"/>
      <c r="H13" s="84"/>
      <c r="I13" s="86"/>
      <c r="J13" s="84"/>
      <c r="K13" s="84"/>
      <c r="L13" s="179"/>
      <c r="M13" s="180"/>
      <c r="N13" s="172"/>
      <c r="O13" s="92"/>
      <c r="P13" s="207">
        <v>2015</v>
      </c>
      <c r="Q13" s="162" t="s">
        <v>419</v>
      </c>
      <c r="R13" s="87"/>
      <c r="X13" s="2">
        <f t="shared" si="0"/>
        <v>0</v>
      </c>
      <c r="AE13" s="39" t="str">
        <f>IF(D13="","",IFERROR(VLOOKUP(D13,Projects!$A$2:$A$20000,1,FALSE),""))</f>
        <v/>
      </c>
      <c r="AF13" s="2" t="str">
        <f>IF(D13="","",IFERROR(MATCH(D13,Projects!$A:$A,0),""))</f>
        <v/>
      </c>
    </row>
    <row r="14" spans="1:35" x14ac:dyDescent="0.25">
      <c r="A14" s="6">
        <v>0.15</v>
      </c>
      <c r="B14" s="24" t="s">
        <v>1</v>
      </c>
      <c r="C14" s="25"/>
      <c r="D14" s="144"/>
      <c r="E14" s="25"/>
      <c r="F14" s="25"/>
      <c r="G14" s="25"/>
      <c r="H14" s="25"/>
      <c r="I14" s="28"/>
      <c r="J14" s="25"/>
      <c r="K14" s="25"/>
      <c r="L14" s="169"/>
      <c r="M14" s="169"/>
      <c r="N14" s="169"/>
      <c r="O14" s="28"/>
      <c r="P14" s="205"/>
      <c r="Q14" s="163"/>
      <c r="R14" s="2"/>
      <c r="X14" s="2">
        <f t="shared" si="0"/>
        <v>0</v>
      </c>
      <c r="AE14" s="39" t="str">
        <f>IF(D14="","",IFERROR(VLOOKUP(D14,Projects!$A$2:$A$20000,1,FALSE),""))</f>
        <v/>
      </c>
      <c r="AF14" s="2" t="str">
        <f>IF(D14="","",IFERROR(MATCH(D14,Projects!$A:$A,0),""))</f>
        <v/>
      </c>
    </row>
    <row r="15" spans="1:35" x14ac:dyDescent="0.25">
      <c r="A15" s="41">
        <f>A14*totalBudget</f>
        <v>975000</v>
      </c>
      <c r="B15" s="25"/>
      <c r="C15" s="98" t="s">
        <v>19</v>
      </c>
      <c r="D15" s="145" t="s">
        <v>312</v>
      </c>
      <c r="E15" s="98" t="s">
        <v>313</v>
      </c>
      <c r="F15" s="98" t="s">
        <v>63</v>
      </c>
      <c r="G15" s="98" t="s">
        <v>42</v>
      </c>
      <c r="H15" s="98" t="s">
        <v>5</v>
      </c>
      <c r="I15" s="99">
        <v>0.8</v>
      </c>
      <c r="J15" s="98" t="s">
        <v>31</v>
      </c>
      <c r="K15" s="98" t="s">
        <v>315</v>
      </c>
      <c r="L15" s="173">
        <v>106009.61538461539</v>
      </c>
      <c r="M15" s="181"/>
      <c r="N15" s="173">
        <f>M15+L15</f>
        <v>106009.61538461539</v>
      </c>
      <c r="O15" s="99">
        <v>1</v>
      </c>
      <c r="P15" s="208">
        <v>2015</v>
      </c>
      <c r="Q15" s="164" t="s">
        <v>420</v>
      </c>
      <c r="R15" s="87"/>
      <c r="X15" s="2">
        <f t="shared" si="0"/>
        <v>106009.61538461539</v>
      </c>
      <c r="AE15" s="39" t="str">
        <f>IF(D15="","",IFERROR(VLOOKUP(D15,Projects!$A$2:$A$20000,1,FALSE),""))</f>
        <v/>
      </c>
      <c r="AF15" s="2" t="str">
        <f>IF(D15="","",IFERROR(MATCH(D15,Projects!$A:$A,0),""))</f>
        <v/>
      </c>
    </row>
    <row r="16" spans="1:35" x14ac:dyDescent="0.25">
      <c r="B16" s="24"/>
      <c r="C16" s="98" t="s">
        <v>18</v>
      </c>
      <c r="D16" s="145" t="s">
        <v>311</v>
      </c>
      <c r="E16" s="98" t="s">
        <v>209</v>
      </c>
      <c r="F16" s="98" t="s">
        <v>64</v>
      </c>
      <c r="G16" s="98" t="s">
        <v>222</v>
      </c>
      <c r="H16" s="98" t="s">
        <v>3</v>
      </c>
      <c r="I16" s="100">
        <v>1</v>
      </c>
      <c r="J16" s="98" t="s">
        <v>31</v>
      </c>
      <c r="K16" s="98" t="s">
        <v>316</v>
      </c>
      <c r="L16" s="173">
        <v>218028.84615384616</v>
      </c>
      <c r="M16" s="181"/>
      <c r="N16" s="173">
        <f>M16+L16</f>
        <v>218028.84615384616</v>
      </c>
      <c r="O16" s="99">
        <v>1</v>
      </c>
      <c r="P16" s="208">
        <v>2015</v>
      </c>
      <c r="Q16" s="164" t="s">
        <v>420</v>
      </c>
      <c r="R16" s="87"/>
      <c r="X16" s="2">
        <f t="shared" si="0"/>
        <v>218028.84615384616</v>
      </c>
      <c r="AE16" s="39" t="str">
        <f>IF(D16="","",IFERROR(VLOOKUP(D16,Projects!$A$2:$A$20000,1,FALSE),""))</f>
        <v/>
      </c>
      <c r="AF16" s="2" t="str">
        <f>IF(D16="","",IFERROR(MATCH(D16,Projects!$A:$A,0),""))</f>
        <v/>
      </c>
    </row>
    <row r="17" spans="1:32" x14ac:dyDescent="0.25">
      <c r="B17" s="24"/>
      <c r="C17" s="98" t="s">
        <v>176</v>
      </c>
      <c r="D17" s="145" t="s">
        <v>310</v>
      </c>
      <c r="E17" s="98" t="s">
        <v>178</v>
      </c>
      <c r="F17" s="98" t="s">
        <v>62</v>
      </c>
      <c r="G17" s="98" t="s">
        <v>222</v>
      </c>
      <c r="H17" s="98" t="s">
        <v>3</v>
      </c>
      <c r="I17" s="100">
        <v>1</v>
      </c>
      <c r="J17" s="98" t="s">
        <v>31</v>
      </c>
      <c r="K17" s="98" t="s">
        <v>315</v>
      </c>
      <c r="L17" s="173">
        <v>106009.61538461539</v>
      </c>
      <c r="M17" s="181"/>
      <c r="N17" s="173">
        <f>M17+L17</f>
        <v>106009.61538461539</v>
      </c>
      <c r="O17" s="99">
        <v>0.9</v>
      </c>
      <c r="P17" s="208">
        <v>2015</v>
      </c>
      <c r="Q17" s="164" t="s">
        <v>422</v>
      </c>
      <c r="R17" s="87"/>
      <c r="X17" s="2">
        <f t="shared" si="0"/>
        <v>95408.653846153858</v>
      </c>
      <c r="AE17" s="39" t="str">
        <f>IF(D17="","",IFERROR(VLOOKUP(D17,Projects!$A$2:$A$20000,1,FALSE),""))</f>
        <v/>
      </c>
      <c r="AF17" s="2" t="str">
        <f>IF(D17="","",IFERROR(MATCH(D17,Projects!$A:$A,0),""))</f>
        <v/>
      </c>
    </row>
    <row r="18" spans="1:32" x14ac:dyDescent="0.25">
      <c r="B18" s="24"/>
      <c r="C18" s="98" t="s">
        <v>181</v>
      </c>
      <c r="D18" s="145" t="s">
        <v>309</v>
      </c>
      <c r="E18" s="98" t="s">
        <v>314</v>
      </c>
      <c r="F18" s="98" t="s">
        <v>64</v>
      </c>
      <c r="G18" s="98" t="s">
        <v>222</v>
      </c>
      <c r="H18" s="98" t="s">
        <v>3</v>
      </c>
      <c r="I18" s="100">
        <v>1</v>
      </c>
      <c r="J18" s="98" t="s">
        <v>31</v>
      </c>
      <c r="K18" s="98" t="s">
        <v>317</v>
      </c>
      <c r="L18" s="173">
        <v>306009.61538461538</v>
      </c>
      <c r="M18" s="181"/>
      <c r="N18" s="173">
        <f>M18+L18</f>
        <v>306009.61538461538</v>
      </c>
      <c r="O18" s="99">
        <v>0.6</v>
      </c>
      <c r="P18" s="208">
        <v>2015</v>
      </c>
      <c r="Q18" s="164" t="s">
        <v>425</v>
      </c>
      <c r="R18" s="87"/>
      <c r="X18" s="2">
        <f t="shared" si="0"/>
        <v>183605.76923076922</v>
      </c>
      <c r="AE18" s="39" t="str">
        <f>IF(D18="","",IFERROR(VLOOKUP(D18,Projects!$A$2:$A$20000,1,FALSE),""))</f>
        <v/>
      </c>
      <c r="AF18" s="2" t="str">
        <f>IF(D18="","",IFERROR(MATCH(D18,Projects!$A:$A,0),""))</f>
        <v/>
      </c>
    </row>
    <row r="19" spans="1:32" x14ac:dyDescent="0.25">
      <c r="A19" s="6">
        <v>0.02</v>
      </c>
      <c r="B19" s="24" t="s">
        <v>20</v>
      </c>
      <c r="C19" s="25"/>
      <c r="D19" s="144"/>
      <c r="E19" s="25"/>
      <c r="F19" s="25"/>
      <c r="G19" s="25"/>
      <c r="H19" s="25"/>
      <c r="I19" s="28"/>
      <c r="J19" s="25"/>
      <c r="K19" s="25"/>
      <c r="L19" s="169"/>
      <c r="M19" s="169"/>
      <c r="N19" s="169"/>
      <c r="O19" s="28"/>
      <c r="P19" s="205"/>
      <c r="Q19" s="163"/>
      <c r="R19" s="2"/>
      <c r="X19" s="2">
        <f t="shared" si="0"/>
        <v>0</v>
      </c>
      <c r="AE19" s="39" t="str">
        <f>IF(D19="","",IFERROR(VLOOKUP(D19,Projects!$A$2:$A$20000,1,FALSE),""))</f>
        <v/>
      </c>
      <c r="AF19" s="2" t="str">
        <f>IF(D19="","",IFERROR(MATCH(D19,Projects!$A:$A,0),""))</f>
        <v/>
      </c>
    </row>
    <row r="20" spans="1:32" x14ac:dyDescent="0.25">
      <c r="A20" s="41">
        <f>A19*totalBudget</f>
        <v>130000</v>
      </c>
      <c r="B20" s="25"/>
      <c r="C20" s="98"/>
      <c r="D20" s="281" t="s">
        <v>434</v>
      </c>
      <c r="E20" s="98"/>
      <c r="F20" s="98"/>
      <c r="G20" s="101"/>
      <c r="H20" s="101"/>
      <c r="I20" s="100"/>
      <c r="J20" s="101"/>
      <c r="K20" s="101"/>
      <c r="L20" s="173">
        <f>VLOOKUP(D20,Projects!$A:$L,9,FALSE)</f>
        <v>0</v>
      </c>
      <c r="M20" s="173">
        <f>VLOOKUP(D20,Projects!$A:$L,10,FALSE)</f>
        <v>0</v>
      </c>
      <c r="N20" s="173">
        <f>M20+L20</f>
        <v>0</v>
      </c>
      <c r="O20" s="100">
        <f>VLOOKUP(D20,Projects!$A:$L,12,FALSE)</f>
        <v>0</v>
      </c>
      <c r="P20" s="209"/>
      <c r="Q20" s="165"/>
      <c r="R20" s="87"/>
      <c r="X20" s="2">
        <f t="shared" si="0"/>
        <v>0</v>
      </c>
      <c r="AE20" s="39" t="str">
        <f>IF(D20="","",IFERROR(VLOOKUP(D20,Projects!$A$2:$A$20000,1,FALSE),""))</f>
        <v>TEST</v>
      </c>
      <c r="AF20" s="2">
        <f>IF(D20="","",IFERROR(MATCH(D20,Projects!$A:$A,0),""))</f>
        <v>32</v>
      </c>
    </row>
    <row r="21" spans="1:32" x14ac:dyDescent="0.25">
      <c r="B21" s="24"/>
      <c r="C21" s="98"/>
      <c r="D21" s="145"/>
      <c r="E21" s="98"/>
      <c r="F21" s="98"/>
      <c r="G21" s="98"/>
      <c r="H21" s="98"/>
      <c r="I21" s="100"/>
      <c r="J21" s="98"/>
      <c r="K21" s="98"/>
      <c r="L21" s="173"/>
      <c r="M21" s="181"/>
      <c r="N21" s="173"/>
      <c r="O21" s="99"/>
      <c r="P21" s="208"/>
      <c r="Q21" s="164"/>
      <c r="R21" s="87"/>
      <c r="X21" s="2">
        <f t="shared" si="0"/>
        <v>0</v>
      </c>
      <c r="AE21" s="39" t="str">
        <f>IF(D21="","",IFERROR(VLOOKUP(D21,Projects!$A$2:$A$20000,1,FALSE),""))</f>
        <v/>
      </c>
      <c r="AF21" s="2" t="str">
        <f>IF(D21="","",IFERROR(MATCH(D21,Projects!$A:$A,0),""))</f>
        <v/>
      </c>
    </row>
    <row r="22" spans="1:32" x14ac:dyDescent="0.25">
      <c r="B22" s="24"/>
      <c r="C22" s="98"/>
      <c r="D22" s="145"/>
      <c r="E22" s="98"/>
      <c r="F22" s="98"/>
      <c r="G22" s="98"/>
      <c r="H22" s="98"/>
      <c r="I22" s="100"/>
      <c r="J22" s="98"/>
      <c r="K22" s="98"/>
      <c r="L22" s="173"/>
      <c r="M22" s="181"/>
      <c r="N22" s="173"/>
      <c r="O22" s="99"/>
      <c r="P22" s="208"/>
      <c r="Q22" s="164"/>
      <c r="R22" s="87"/>
      <c r="X22" s="2">
        <f t="shared" si="0"/>
        <v>0</v>
      </c>
      <c r="AE22" s="39" t="str">
        <f>IF(D22="","",IFERROR(VLOOKUP(D22,Projects!$A$2:$A$20000,1,FALSE),""))</f>
        <v/>
      </c>
      <c r="AF22" s="2" t="str">
        <f>IF(D22="","",IFERROR(MATCH(D22,Projects!$A:$A,0),""))</f>
        <v/>
      </c>
    </row>
    <row r="23" spans="1:32" x14ac:dyDescent="0.25">
      <c r="B23" s="24"/>
      <c r="C23" s="98"/>
      <c r="D23" s="145"/>
      <c r="E23" s="98"/>
      <c r="F23" s="98"/>
      <c r="G23" s="98"/>
      <c r="H23" s="98"/>
      <c r="I23" s="100"/>
      <c r="J23" s="98"/>
      <c r="K23" s="98"/>
      <c r="L23" s="173"/>
      <c r="M23" s="181"/>
      <c r="N23" s="173"/>
      <c r="O23" s="99"/>
      <c r="P23" s="208"/>
      <c r="Q23" s="164"/>
      <c r="R23" s="87"/>
      <c r="X23" s="2">
        <f t="shared" si="0"/>
        <v>0</v>
      </c>
      <c r="AE23" s="39" t="str">
        <f>IF(D23="","",IFERROR(VLOOKUP(D23,Projects!$A$2:$A$20000,1,FALSE),""))</f>
        <v/>
      </c>
      <c r="AF23" s="2" t="str">
        <f>IF(D23="","",IFERROR(MATCH(D23,Projects!$A:$A,0),""))</f>
        <v/>
      </c>
    </row>
    <row r="24" spans="1:32" x14ac:dyDescent="0.25">
      <c r="A24" s="6">
        <v>0.1</v>
      </c>
      <c r="B24" s="24" t="s">
        <v>28</v>
      </c>
      <c r="C24" s="25"/>
      <c r="D24" s="144"/>
      <c r="E24" s="25"/>
      <c r="F24" s="25"/>
      <c r="G24" s="25"/>
      <c r="H24" s="25"/>
      <c r="I24" s="28"/>
      <c r="J24" s="25"/>
      <c r="K24" s="25"/>
      <c r="L24" s="169"/>
      <c r="M24" s="169"/>
      <c r="N24" s="169"/>
      <c r="O24" s="28"/>
      <c r="P24" s="205"/>
      <c r="Q24" s="163"/>
      <c r="R24" s="2"/>
      <c r="X24" s="2">
        <f t="shared" si="0"/>
        <v>0</v>
      </c>
      <c r="AE24" s="39" t="str">
        <f>IF(D24="","",IFERROR(VLOOKUP(D24,Projects!$A$2:$A$20000,1,FALSE),""))</f>
        <v/>
      </c>
      <c r="AF24" s="2" t="str">
        <f>IF(D24="","",IFERROR(MATCH(D24,Projects!$A:$A,0),""))</f>
        <v/>
      </c>
    </row>
    <row r="25" spans="1:32" x14ac:dyDescent="0.25">
      <c r="A25" s="41">
        <f>A24*totalBudget</f>
        <v>650000</v>
      </c>
      <c r="B25" s="25"/>
      <c r="C25" s="98" t="s">
        <v>18</v>
      </c>
      <c r="D25" s="146" t="s">
        <v>228</v>
      </c>
      <c r="E25" s="98" t="s">
        <v>264</v>
      </c>
      <c r="F25" s="98" t="s">
        <v>63</v>
      </c>
      <c r="G25" s="101"/>
      <c r="H25" s="101"/>
      <c r="I25" s="100"/>
      <c r="J25" s="101"/>
      <c r="K25" s="101"/>
      <c r="L25" s="173">
        <f>VLOOKUP(D25,Projects!$A:$L,9,FALSE)</f>
        <v>37075.961538461539</v>
      </c>
      <c r="M25" s="173">
        <f>VLOOKUP(D25,Projects!$A:$L,10,FALSE)</f>
        <v>125000</v>
      </c>
      <c r="N25" s="173">
        <f>M25+L25</f>
        <v>162075.96153846153</v>
      </c>
      <c r="O25" s="100">
        <f>VLOOKUP(D25,Projects!$A:$L,12,FALSE)</f>
        <v>0.4260692101875308</v>
      </c>
      <c r="P25" s="209"/>
      <c r="Q25" s="165"/>
      <c r="R25" s="87"/>
      <c r="X25" s="2">
        <f t="shared" si="0"/>
        <v>69055.576923076922</v>
      </c>
      <c r="AE25" s="39" t="str">
        <f>IF(D25="","",IFERROR(VLOOKUP(D25,Projects!$A$2:$A$20000,1,FALSE),""))</f>
        <v>East Westy Traffic Analysis</v>
      </c>
      <c r="AF25" s="2">
        <f>IF(D25="","",IFERROR(MATCH(D25,Projects!$A:$A,0),""))</f>
        <v>14</v>
      </c>
    </row>
    <row r="26" spans="1:32" x14ac:dyDescent="0.25">
      <c r="B26" s="24"/>
      <c r="C26" s="98" t="s">
        <v>18</v>
      </c>
      <c r="D26" s="145" t="s">
        <v>227</v>
      </c>
      <c r="E26" s="98" t="s">
        <v>226</v>
      </c>
      <c r="F26" s="98" t="s">
        <v>65</v>
      </c>
      <c r="G26" s="98" t="s">
        <v>222</v>
      </c>
      <c r="H26" s="98" t="s">
        <v>3</v>
      </c>
      <c r="I26" s="100">
        <v>1</v>
      </c>
      <c r="J26" s="98" t="s">
        <v>31</v>
      </c>
      <c r="K26" s="98" t="s">
        <v>282</v>
      </c>
      <c r="L26" s="173">
        <v>119855.76923076923</v>
      </c>
      <c r="M26" s="181"/>
      <c r="N26" s="173">
        <f>M26+L26</f>
        <v>119855.76923076923</v>
      </c>
      <c r="O26" s="99">
        <v>0.65</v>
      </c>
      <c r="P26" s="208">
        <v>2015</v>
      </c>
      <c r="Q26" s="164" t="s">
        <v>421</v>
      </c>
      <c r="R26" s="87"/>
      <c r="X26" s="2">
        <f t="shared" si="0"/>
        <v>77906.25</v>
      </c>
      <c r="AE26" s="39" t="str">
        <f>IF(D26="","",IFERROR(VLOOKUP(D26,Projects!$A$2:$A$20000,1,FALSE),""))</f>
        <v/>
      </c>
      <c r="AF26" s="2" t="str">
        <f>IF(D26="","",IFERROR(MATCH(D26,Projects!$A:$A,0),""))</f>
        <v/>
      </c>
    </row>
    <row r="27" spans="1:32" x14ac:dyDescent="0.25">
      <c r="B27" s="24"/>
      <c r="C27" s="98"/>
      <c r="D27" s="145"/>
      <c r="E27" s="98"/>
      <c r="F27" s="98"/>
      <c r="G27" s="98"/>
      <c r="H27" s="98"/>
      <c r="I27" s="100"/>
      <c r="J27" s="98"/>
      <c r="K27" s="98"/>
      <c r="L27" s="173"/>
      <c r="M27" s="181"/>
      <c r="N27" s="173"/>
      <c r="O27" s="99"/>
      <c r="P27" s="208"/>
      <c r="Q27" s="164"/>
      <c r="R27" s="87"/>
      <c r="X27" s="2">
        <f t="shared" si="0"/>
        <v>0</v>
      </c>
      <c r="AE27" s="39" t="str">
        <f>IF(D27="","",IFERROR(VLOOKUP(D27,Projects!$A$2:$A$20000,1,FALSE),""))</f>
        <v/>
      </c>
      <c r="AF27" s="2" t="str">
        <f>IF(D27="","",IFERROR(MATCH(D27,Projects!$A:$A,0),""))</f>
        <v/>
      </c>
    </row>
    <row r="28" spans="1:32" x14ac:dyDescent="0.25">
      <c r="B28" s="24"/>
      <c r="C28" s="98"/>
      <c r="D28" s="145"/>
      <c r="E28" s="98"/>
      <c r="F28" s="98"/>
      <c r="G28" s="98"/>
      <c r="H28" s="98"/>
      <c r="I28" s="100"/>
      <c r="J28" s="98"/>
      <c r="K28" s="98"/>
      <c r="L28" s="173"/>
      <c r="M28" s="181"/>
      <c r="N28" s="173"/>
      <c r="O28" s="99"/>
      <c r="P28" s="208"/>
      <c r="Q28" s="164"/>
      <c r="R28" s="87"/>
      <c r="X28" s="2">
        <f t="shared" si="0"/>
        <v>0</v>
      </c>
      <c r="AE28" s="39" t="str">
        <f>IF(D28="","",IFERROR(VLOOKUP(D28,Projects!$A$2:$A$20000,1,FALSE),""))</f>
        <v/>
      </c>
      <c r="AF28" s="2" t="str">
        <f>IF(D28="","",IFERROR(MATCH(D28,Projects!$A:$A,0),""))</f>
        <v/>
      </c>
    </row>
    <row r="29" spans="1:32" x14ac:dyDescent="0.25">
      <c r="A29" s="6">
        <v>0.04</v>
      </c>
      <c r="B29" s="24" t="s">
        <v>30</v>
      </c>
      <c r="C29" s="25"/>
      <c r="D29" s="144"/>
      <c r="E29" s="25"/>
      <c r="F29" s="25"/>
      <c r="G29" s="25"/>
      <c r="H29" s="25"/>
      <c r="I29" s="28"/>
      <c r="J29" s="25"/>
      <c r="K29" s="25"/>
      <c r="L29" s="169"/>
      <c r="M29" s="169"/>
      <c r="N29" s="169"/>
      <c r="O29" s="28"/>
      <c r="P29" s="205"/>
      <c r="Q29" s="163"/>
      <c r="R29" s="2"/>
      <c r="X29" s="2">
        <f t="shared" si="0"/>
        <v>0</v>
      </c>
      <c r="AE29" s="39" t="str">
        <f>IF(D29="","",IFERROR(VLOOKUP(D29,Projects!$A$2:$A$20000,1,FALSE),""))</f>
        <v/>
      </c>
      <c r="AF29" s="2" t="str">
        <f>IF(D29="","",IFERROR(MATCH(D29,Projects!$A:$A,0),""))</f>
        <v/>
      </c>
    </row>
    <row r="30" spans="1:32" x14ac:dyDescent="0.25">
      <c r="A30" s="41">
        <f>A29*totalBudget</f>
        <v>260000</v>
      </c>
      <c r="B30" s="25"/>
      <c r="C30" s="98" t="s">
        <v>186</v>
      </c>
      <c r="D30" s="145" t="s">
        <v>306</v>
      </c>
      <c r="E30" s="98" t="s">
        <v>178</v>
      </c>
      <c r="F30" s="98" t="s">
        <v>65</v>
      </c>
      <c r="G30" s="98" t="s">
        <v>222</v>
      </c>
      <c r="H30" s="98" t="s">
        <v>3</v>
      </c>
      <c r="I30" s="100">
        <v>1</v>
      </c>
      <c r="J30" s="98" t="s">
        <v>172</v>
      </c>
      <c r="K30" s="98" t="s">
        <v>283</v>
      </c>
      <c r="L30" s="173">
        <v>30048.076923076922</v>
      </c>
      <c r="M30" s="181"/>
      <c r="N30" s="173">
        <f>M30+L30</f>
        <v>30048.076923076922</v>
      </c>
      <c r="O30" s="99">
        <v>0.5</v>
      </c>
      <c r="P30" s="208">
        <v>2015</v>
      </c>
      <c r="Q30" s="164" t="s">
        <v>425</v>
      </c>
      <c r="R30" s="87"/>
      <c r="X30" s="2">
        <f t="shared" si="0"/>
        <v>15024.038461538461</v>
      </c>
      <c r="AE30" s="39" t="str">
        <f>IF(D30="","",IFERROR(VLOOKUP(D30,Projects!$A$2:$A$20000,1,FALSE),""))</f>
        <v/>
      </c>
      <c r="AF30" s="2" t="str">
        <f>IF(D30="","",IFERROR(MATCH(D30,Projects!$A:$A,0),""))</f>
        <v/>
      </c>
    </row>
    <row r="31" spans="1:32" x14ac:dyDescent="0.25">
      <c r="A31" s="6"/>
      <c r="B31" s="24"/>
      <c r="C31" s="98" t="s">
        <v>186</v>
      </c>
      <c r="D31" s="145" t="s">
        <v>307</v>
      </c>
      <c r="E31" s="98" t="s">
        <v>207</v>
      </c>
      <c r="F31" s="98" t="s">
        <v>63</v>
      </c>
      <c r="G31" s="98" t="s">
        <v>222</v>
      </c>
      <c r="H31" s="98" t="s">
        <v>3</v>
      </c>
      <c r="I31" s="100">
        <v>1</v>
      </c>
      <c r="J31" s="98" t="s">
        <v>172</v>
      </c>
      <c r="K31" s="98" t="s">
        <v>308</v>
      </c>
      <c r="L31" s="173">
        <v>87836.538461538468</v>
      </c>
      <c r="M31" s="181"/>
      <c r="N31" s="173">
        <f>M31+L31</f>
        <v>87836.538461538468</v>
      </c>
      <c r="O31" s="99">
        <v>0.8</v>
      </c>
      <c r="P31" s="208">
        <v>2015</v>
      </c>
      <c r="Q31" s="164" t="s">
        <v>425</v>
      </c>
      <c r="R31" s="87"/>
      <c r="U31" s="5"/>
      <c r="X31" s="2">
        <f t="shared" si="0"/>
        <v>70269.23076923078</v>
      </c>
      <c r="AE31" s="39" t="str">
        <f>IF(D31="","",IFERROR(VLOOKUP(D31,Projects!$A$2:$A$20000,1,FALSE),""))</f>
        <v/>
      </c>
      <c r="AF31" s="2" t="str">
        <f>IF(D31="","",IFERROR(MATCH(D31,Projects!$A:$A,0),""))</f>
        <v/>
      </c>
    </row>
    <row r="32" spans="1:32" x14ac:dyDescent="0.25">
      <c r="A32" s="42"/>
      <c r="B32" s="24"/>
      <c r="C32" s="98"/>
      <c r="D32" s="145"/>
      <c r="E32" s="98"/>
      <c r="F32" s="98"/>
      <c r="G32" s="98"/>
      <c r="H32" s="98"/>
      <c r="I32" s="100"/>
      <c r="J32" s="98"/>
      <c r="K32" s="98"/>
      <c r="L32" s="173"/>
      <c r="M32" s="181"/>
      <c r="N32" s="173"/>
      <c r="O32" s="99"/>
      <c r="P32" s="208"/>
      <c r="Q32" s="164"/>
      <c r="R32" s="87"/>
      <c r="U32" s="5"/>
      <c r="X32" s="2">
        <f t="shared" si="0"/>
        <v>0</v>
      </c>
      <c r="AE32" s="39" t="str">
        <f>IF(D32="","",IFERROR(VLOOKUP(D32,Projects!$A$2:$A$20000,1,FALSE),""))</f>
        <v/>
      </c>
      <c r="AF32" s="2" t="str">
        <f>IF(D32="","",IFERROR(MATCH(D32,Projects!$A:$A,0),""))</f>
        <v/>
      </c>
    </row>
    <row r="33" spans="1:32" x14ac:dyDescent="0.25">
      <c r="A33" s="42"/>
      <c r="B33" s="24"/>
      <c r="C33" s="98"/>
      <c r="D33" s="145"/>
      <c r="E33" s="98"/>
      <c r="F33" s="98"/>
      <c r="G33" s="98"/>
      <c r="H33" s="98"/>
      <c r="I33" s="100"/>
      <c r="J33" s="98"/>
      <c r="K33" s="98"/>
      <c r="L33" s="173"/>
      <c r="M33" s="181"/>
      <c r="N33" s="173"/>
      <c r="O33" s="99"/>
      <c r="P33" s="208"/>
      <c r="Q33" s="164"/>
      <c r="R33" s="87"/>
      <c r="U33" s="5"/>
      <c r="X33" s="2">
        <f t="shared" si="0"/>
        <v>0</v>
      </c>
      <c r="AE33" s="39" t="str">
        <f>IF(D33="","",IFERROR(VLOOKUP(D33,Projects!$A$2:$A$20000,1,FALSE),""))</f>
        <v/>
      </c>
      <c r="AF33" s="2" t="str">
        <f>IF(D33="","",IFERROR(MATCH(D33,Projects!$A:$A,0),""))</f>
        <v/>
      </c>
    </row>
    <row r="34" spans="1:32" x14ac:dyDescent="0.25">
      <c r="A34" s="6">
        <v>0.04</v>
      </c>
      <c r="B34" s="24" t="s">
        <v>27</v>
      </c>
      <c r="C34" s="25"/>
      <c r="D34" s="144"/>
      <c r="E34" s="25"/>
      <c r="F34" s="25"/>
      <c r="G34" s="25"/>
      <c r="H34" s="25"/>
      <c r="I34" s="28"/>
      <c r="J34" s="25"/>
      <c r="K34" s="25"/>
      <c r="L34" s="169"/>
      <c r="M34" s="169"/>
      <c r="N34" s="169"/>
      <c r="O34" s="28"/>
      <c r="P34" s="205"/>
      <c r="Q34" s="163"/>
      <c r="R34" s="2"/>
      <c r="U34" s="5"/>
      <c r="X34" s="2">
        <f t="shared" si="0"/>
        <v>0</v>
      </c>
      <c r="AE34" s="39" t="str">
        <f>IF(D34="","",IFERROR(VLOOKUP(D34,Projects!$A$2:$A$20000,1,FALSE),""))</f>
        <v/>
      </c>
      <c r="AF34" s="2" t="str">
        <f>IF(D34="","",IFERROR(MATCH(D34,Projects!$A:$A,0),""))</f>
        <v/>
      </c>
    </row>
    <row r="35" spans="1:32" x14ac:dyDescent="0.25">
      <c r="A35" s="41">
        <f>A34*totalBudget</f>
        <v>260000</v>
      </c>
      <c r="B35" s="25"/>
      <c r="C35" s="98" t="s">
        <v>203</v>
      </c>
      <c r="D35" s="145" t="s">
        <v>286</v>
      </c>
      <c r="E35" s="98" t="s">
        <v>267</v>
      </c>
      <c r="F35" s="98" t="s">
        <v>65</v>
      </c>
      <c r="G35" s="98" t="s">
        <v>222</v>
      </c>
      <c r="H35" s="98" t="s">
        <v>3</v>
      </c>
      <c r="I35" s="100">
        <v>1</v>
      </c>
      <c r="J35" s="98" t="s">
        <v>11</v>
      </c>
      <c r="K35" s="98" t="s">
        <v>284</v>
      </c>
      <c r="L35" s="173">
        <v>19711.538461538461</v>
      </c>
      <c r="M35" s="181">
        <v>65000</v>
      </c>
      <c r="N35" s="173">
        <f>M35+L35</f>
        <v>84711.538461538468</v>
      </c>
      <c r="O35" s="99">
        <v>1</v>
      </c>
      <c r="P35" s="208">
        <v>2015</v>
      </c>
      <c r="Q35" s="164" t="s">
        <v>426</v>
      </c>
      <c r="R35" s="87"/>
      <c r="X35" s="2">
        <f t="shared" si="0"/>
        <v>84711.538461538468</v>
      </c>
      <c r="AE35" s="39" t="str">
        <f>IF(D35="","",IFERROR(VLOOKUP(D35,Projects!$A$2:$A$20000,1,FALSE),""))</f>
        <v/>
      </c>
      <c r="AF35" s="2" t="str">
        <f>IF(D35="","",IFERROR(MATCH(D35,Projects!$A:$A,0),""))</f>
        <v/>
      </c>
    </row>
    <row r="36" spans="1:32" x14ac:dyDescent="0.25">
      <c r="B36" s="24"/>
      <c r="C36" s="98" t="s">
        <v>18</v>
      </c>
      <c r="D36" s="145" t="s">
        <v>266</v>
      </c>
      <c r="E36" s="98" t="s">
        <v>267</v>
      </c>
      <c r="F36" s="98" t="s">
        <v>64</v>
      </c>
      <c r="G36" s="98" t="s">
        <v>222</v>
      </c>
      <c r="H36" s="98" t="s">
        <v>3</v>
      </c>
      <c r="I36" s="100">
        <v>1</v>
      </c>
      <c r="J36" s="98" t="s">
        <v>172</v>
      </c>
      <c r="K36" s="98" t="s">
        <v>285</v>
      </c>
      <c r="L36" s="173">
        <v>21874.999999999996</v>
      </c>
      <c r="M36" s="181"/>
      <c r="N36" s="173">
        <f>M36+L36</f>
        <v>21874.999999999996</v>
      </c>
      <c r="O36" s="99"/>
      <c r="P36" s="208">
        <v>2015</v>
      </c>
      <c r="Q36" s="164" t="s">
        <v>426</v>
      </c>
      <c r="R36" s="87"/>
      <c r="X36" s="2">
        <f t="shared" si="0"/>
        <v>0</v>
      </c>
      <c r="AE36" s="39" t="str">
        <f>IF(D36="","",IFERROR(VLOOKUP(D36,Projects!$A$2:$A$20000,1,FALSE),""))</f>
        <v/>
      </c>
      <c r="AF36" s="2" t="str">
        <f>IF(D36="","",IFERROR(MATCH(D36,Projects!$A:$A,0),""))</f>
        <v/>
      </c>
    </row>
    <row r="37" spans="1:32" x14ac:dyDescent="0.25">
      <c r="B37" s="24"/>
      <c r="C37" s="98" t="s">
        <v>181</v>
      </c>
      <c r="D37" s="145" t="s">
        <v>265</v>
      </c>
      <c r="E37" s="98" t="s">
        <v>267</v>
      </c>
      <c r="F37" s="98" t="s">
        <v>63</v>
      </c>
      <c r="G37" s="98" t="s">
        <v>222</v>
      </c>
      <c r="H37" s="98" t="s">
        <v>3</v>
      </c>
      <c r="I37" s="100">
        <v>1</v>
      </c>
      <c r="J37" s="98" t="s">
        <v>172</v>
      </c>
      <c r="K37" s="98" t="s">
        <v>287</v>
      </c>
      <c r="L37" s="173">
        <v>21730.76923076923</v>
      </c>
      <c r="M37" s="181"/>
      <c r="N37" s="173">
        <f>M37+L37</f>
        <v>21730.76923076923</v>
      </c>
      <c r="O37" s="99"/>
      <c r="P37" s="208">
        <v>2015</v>
      </c>
      <c r="Q37" s="164" t="s">
        <v>426</v>
      </c>
      <c r="R37" s="87"/>
      <c r="X37" s="2">
        <f t="shared" si="0"/>
        <v>0</v>
      </c>
      <c r="AE37" s="39" t="str">
        <f>IF(D37="","",IFERROR(VLOOKUP(D37,Projects!$A$2:$A$20000,1,FALSE),""))</f>
        <v/>
      </c>
      <c r="AF37" s="2" t="str">
        <f>IF(D37="","",IFERROR(MATCH(D37,Projects!$A:$A,0),""))</f>
        <v/>
      </c>
    </row>
    <row r="38" spans="1:32" x14ac:dyDescent="0.25">
      <c r="B38" s="24"/>
      <c r="C38" s="98"/>
      <c r="D38" s="145"/>
      <c r="E38" s="98"/>
      <c r="F38" s="98"/>
      <c r="G38" s="98"/>
      <c r="H38" s="98"/>
      <c r="I38" s="100"/>
      <c r="J38" s="98"/>
      <c r="K38" s="98"/>
      <c r="L38" s="173"/>
      <c r="M38" s="181"/>
      <c r="N38" s="173"/>
      <c r="O38" s="99"/>
      <c r="P38" s="208"/>
      <c r="Q38" s="164"/>
      <c r="R38" s="87"/>
      <c r="X38" s="2">
        <f t="shared" si="0"/>
        <v>0</v>
      </c>
      <c r="AE38" s="39" t="str">
        <f>IF(D38="","",IFERROR(VLOOKUP(D38,Projects!$A$2:$A$20000,1,FALSE),""))</f>
        <v/>
      </c>
      <c r="AF38" s="2" t="str">
        <f>IF(D38="","",IFERROR(MATCH(D38,Projects!$A:$A,0),""))</f>
        <v/>
      </c>
    </row>
    <row r="39" spans="1:32" x14ac:dyDescent="0.25">
      <c r="A39" s="6">
        <v>7.0000000000000007E-2</v>
      </c>
      <c r="B39" s="24" t="s">
        <v>0</v>
      </c>
      <c r="C39" s="25"/>
      <c r="D39" s="144"/>
      <c r="E39" s="25"/>
      <c r="F39" s="25"/>
      <c r="G39" s="25"/>
      <c r="H39" s="25"/>
      <c r="I39" s="28"/>
      <c r="J39" s="25"/>
      <c r="K39" s="25"/>
      <c r="L39" s="169"/>
      <c r="M39" s="169"/>
      <c r="N39" s="169"/>
      <c r="O39" s="28"/>
      <c r="P39" s="205"/>
      <c r="Q39" s="163"/>
      <c r="R39" s="2"/>
      <c r="X39" s="2">
        <f t="shared" si="0"/>
        <v>0</v>
      </c>
      <c r="AE39" s="39" t="str">
        <f>IF(D39="","",IFERROR(VLOOKUP(D39,Projects!$A$2:$A$20000,1,FALSE),""))</f>
        <v/>
      </c>
      <c r="AF39" s="2" t="str">
        <f>IF(D39="","",IFERROR(MATCH(D39,Projects!$A:$A,0),""))</f>
        <v/>
      </c>
    </row>
    <row r="40" spans="1:32" x14ac:dyDescent="0.25">
      <c r="A40" s="41">
        <f>A39*totalBudget</f>
        <v>455000.00000000006</v>
      </c>
      <c r="B40" s="25"/>
      <c r="C40" s="98" t="s">
        <v>188</v>
      </c>
      <c r="D40" s="145" t="s">
        <v>269</v>
      </c>
      <c r="E40" s="98" t="s">
        <v>276</v>
      </c>
      <c r="F40" s="98" t="s">
        <v>65</v>
      </c>
      <c r="G40" s="98" t="s">
        <v>179</v>
      </c>
      <c r="H40" s="98" t="s">
        <v>5</v>
      </c>
      <c r="I40" s="99">
        <v>0.75</v>
      </c>
      <c r="J40" s="98" t="s">
        <v>172</v>
      </c>
      <c r="K40" s="98" t="s">
        <v>272</v>
      </c>
      <c r="L40" s="173">
        <v>37855.769230769227</v>
      </c>
      <c r="M40" s="181"/>
      <c r="N40" s="173">
        <f>M40+L40</f>
        <v>37855.769230769227</v>
      </c>
      <c r="O40" s="99">
        <v>1</v>
      </c>
      <c r="P40" s="208">
        <v>2015</v>
      </c>
      <c r="Q40" s="164" t="s">
        <v>427</v>
      </c>
      <c r="R40" s="87"/>
      <c r="X40" s="2">
        <f t="shared" si="0"/>
        <v>37855.769230769227</v>
      </c>
      <c r="AE40" s="39" t="str">
        <f>IF(D40="","",IFERROR(VLOOKUP(D40,Projects!$A$2:$A$20000,1,FALSE),""))</f>
        <v/>
      </c>
      <c r="AF40" s="2" t="str">
        <f>IF(D40="","",IFERROR(MATCH(D40,Projects!$A:$A,0),""))</f>
        <v/>
      </c>
    </row>
    <row r="41" spans="1:32" x14ac:dyDescent="0.25">
      <c r="A41" s="42"/>
      <c r="B41" s="24"/>
      <c r="C41" s="98" t="s">
        <v>189</v>
      </c>
      <c r="D41" s="145" t="s">
        <v>271</v>
      </c>
      <c r="E41" s="98" t="s">
        <v>277</v>
      </c>
      <c r="F41" s="98" t="s">
        <v>62</v>
      </c>
      <c r="G41" s="98" t="s">
        <v>222</v>
      </c>
      <c r="H41" s="98" t="s">
        <v>3</v>
      </c>
      <c r="I41" s="100">
        <v>1</v>
      </c>
      <c r="J41" s="98" t="s">
        <v>172</v>
      </c>
      <c r="K41" s="98" t="s">
        <v>273</v>
      </c>
      <c r="L41" s="173">
        <v>14423.076923076924</v>
      </c>
      <c r="M41" s="181"/>
      <c r="N41" s="173">
        <f>M41+L41</f>
        <v>14423.076923076924</v>
      </c>
      <c r="O41" s="99">
        <v>0.1</v>
      </c>
      <c r="P41" s="208">
        <v>2015</v>
      </c>
      <c r="Q41" s="164" t="s">
        <v>428</v>
      </c>
      <c r="R41" s="87"/>
      <c r="X41" s="2">
        <f t="shared" si="0"/>
        <v>1442.3076923076924</v>
      </c>
      <c r="AE41" s="39" t="str">
        <f>IF(D41="","",IFERROR(VLOOKUP(D41,Projects!$A$2:$A$20000,1,FALSE),""))</f>
        <v/>
      </c>
      <c r="AF41" s="2" t="str">
        <f>IF(D41="","",IFERROR(MATCH(D41,Projects!$A:$A,0),""))</f>
        <v/>
      </c>
    </row>
    <row r="42" spans="1:32" x14ac:dyDescent="0.25">
      <c r="B42" s="24"/>
      <c r="C42" s="98" t="s">
        <v>120</v>
      </c>
      <c r="D42" s="145" t="s">
        <v>270</v>
      </c>
      <c r="E42" s="98" t="s">
        <v>278</v>
      </c>
      <c r="F42" s="98" t="s">
        <v>63</v>
      </c>
      <c r="G42" s="98" t="s">
        <v>222</v>
      </c>
      <c r="H42" s="98" t="s">
        <v>3</v>
      </c>
      <c r="I42" s="100">
        <v>1</v>
      </c>
      <c r="J42" s="98" t="s">
        <v>172</v>
      </c>
      <c r="K42" s="98" t="s">
        <v>274</v>
      </c>
      <c r="L42" s="173">
        <v>25240.384615384617</v>
      </c>
      <c r="M42" s="181"/>
      <c r="N42" s="173">
        <f>M42+L42</f>
        <v>25240.384615384617</v>
      </c>
      <c r="O42" s="99">
        <v>0.5</v>
      </c>
      <c r="P42" s="208">
        <v>2015</v>
      </c>
      <c r="Q42" s="164" t="s">
        <v>429</v>
      </c>
      <c r="R42" s="87"/>
      <c r="X42" s="2">
        <f t="shared" si="0"/>
        <v>12620.192307692309</v>
      </c>
      <c r="AE42" s="39" t="str">
        <f>IF(D42="","",IFERROR(VLOOKUP(D42,Projects!$A$2:$A$20000,1,FALSE),""))</f>
        <v/>
      </c>
      <c r="AF42" s="2" t="str">
        <f>IF(D42="","",IFERROR(MATCH(D42,Projects!$A:$A,0),""))</f>
        <v/>
      </c>
    </row>
    <row r="43" spans="1:32" x14ac:dyDescent="0.25">
      <c r="B43" s="24"/>
      <c r="C43" s="98" t="s">
        <v>180</v>
      </c>
      <c r="D43" s="145" t="s">
        <v>268</v>
      </c>
      <c r="E43" s="98" t="s">
        <v>279</v>
      </c>
      <c r="F43" s="98" t="s">
        <v>64</v>
      </c>
      <c r="G43" s="98" t="s">
        <v>179</v>
      </c>
      <c r="H43" s="98" t="s">
        <v>5</v>
      </c>
      <c r="I43" s="99">
        <v>0.5</v>
      </c>
      <c r="J43" s="98" t="s">
        <v>172</v>
      </c>
      <c r="K43" s="98" t="s">
        <v>275</v>
      </c>
      <c r="L43" s="173">
        <v>18028.846153846152</v>
      </c>
      <c r="M43" s="181"/>
      <c r="N43" s="173">
        <f>M43+L43</f>
        <v>18028.846153846152</v>
      </c>
      <c r="O43" s="99"/>
      <c r="P43" s="208"/>
      <c r="Q43" s="164"/>
      <c r="R43" s="87"/>
      <c r="X43" s="2">
        <f t="shared" si="0"/>
        <v>0</v>
      </c>
      <c r="AE43" s="39" t="str">
        <f>IF(D43="","",IFERROR(VLOOKUP(D43,Projects!$A$2:$A$20000,1,FALSE),""))</f>
        <v/>
      </c>
      <c r="AF43" s="2" t="str">
        <f>IF(D43="","",IFERROR(MATCH(D43,Projects!$A:$A,0),""))</f>
        <v/>
      </c>
    </row>
    <row r="44" spans="1:32" x14ac:dyDescent="0.25">
      <c r="A44" s="6">
        <v>0.02</v>
      </c>
      <c r="B44" s="24" t="s">
        <v>29</v>
      </c>
      <c r="C44" s="25"/>
      <c r="D44" s="144"/>
      <c r="E44" s="25"/>
      <c r="F44" s="25"/>
      <c r="G44" s="25"/>
      <c r="H44" s="25"/>
      <c r="I44" s="28"/>
      <c r="J44" s="25"/>
      <c r="K44" s="25"/>
      <c r="L44" s="169"/>
      <c r="M44" s="169"/>
      <c r="N44" s="169"/>
      <c r="O44" s="28"/>
      <c r="P44" s="205"/>
      <c r="Q44" s="163"/>
      <c r="R44" s="2"/>
      <c r="X44" s="2">
        <f t="shared" si="0"/>
        <v>0</v>
      </c>
      <c r="AE44" s="39" t="str">
        <f>IF(D44="","",IFERROR(VLOOKUP(D44,Projects!$A$2:$A$20000,1,FALSE),""))</f>
        <v/>
      </c>
      <c r="AF44" s="2" t="str">
        <f>IF(D44="","",IFERROR(MATCH(D44,Projects!$A:$A,0),""))</f>
        <v/>
      </c>
    </row>
    <row r="45" spans="1:32" x14ac:dyDescent="0.25">
      <c r="A45" s="41">
        <f>A44*totalBudget</f>
        <v>130000</v>
      </c>
      <c r="B45" s="25"/>
      <c r="C45" s="98" t="s">
        <v>203</v>
      </c>
      <c r="D45" s="145" t="s">
        <v>280</v>
      </c>
      <c r="E45" s="98" t="s">
        <v>281</v>
      </c>
      <c r="F45" s="98" t="s">
        <v>64</v>
      </c>
      <c r="G45" s="98" t="s">
        <v>222</v>
      </c>
      <c r="H45" s="98" t="s">
        <v>3</v>
      </c>
      <c r="I45" s="100">
        <v>1</v>
      </c>
      <c r="J45" s="98" t="s">
        <v>172</v>
      </c>
      <c r="K45" s="98" t="s">
        <v>225</v>
      </c>
      <c r="L45" s="173">
        <v>123461.53846153847</v>
      </c>
      <c r="M45" s="181"/>
      <c r="N45" s="173">
        <f>M45+L45</f>
        <v>123461.53846153847</v>
      </c>
      <c r="O45" s="99">
        <v>1</v>
      </c>
      <c r="P45" s="208">
        <v>2015</v>
      </c>
      <c r="Q45" s="164" t="s">
        <v>430</v>
      </c>
      <c r="R45" s="87"/>
      <c r="X45" s="2">
        <f t="shared" si="0"/>
        <v>123461.53846153847</v>
      </c>
      <c r="AE45" s="39" t="str">
        <f>IF(D45="","",IFERROR(VLOOKUP(D45,Projects!$A$2:$A$20000,1,FALSE),""))</f>
        <v/>
      </c>
      <c r="AF45" s="2" t="str">
        <f>IF(D45="","",IFERROR(MATCH(D45,Projects!$A:$A,0),""))</f>
        <v/>
      </c>
    </row>
    <row r="46" spans="1:32" x14ac:dyDescent="0.25">
      <c r="B46" s="24"/>
      <c r="C46" s="98" t="s">
        <v>181</v>
      </c>
      <c r="D46" s="145" t="s">
        <v>288</v>
      </c>
      <c r="E46" s="98" t="s">
        <v>290</v>
      </c>
      <c r="F46" s="98" t="s">
        <v>63</v>
      </c>
      <c r="G46" s="98" t="s">
        <v>222</v>
      </c>
      <c r="H46" s="98" t="s">
        <v>3</v>
      </c>
      <c r="I46" s="100">
        <v>1</v>
      </c>
      <c r="J46" s="98" t="s">
        <v>172</v>
      </c>
      <c r="K46" s="98" t="s">
        <v>292</v>
      </c>
      <c r="L46" s="173">
        <v>33605.769230769234</v>
      </c>
      <c r="M46" s="181"/>
      <c r="N46" s="173">
        <f>M46+L46</f>
        <v>33605.769230769234</v>
      </c>
      <c r="O46" s="99">
        <v>1</v>
      </c>
      <c r="P46" s="208">
        <v>2015</v>
      </c>
      <c r="Q46" s="164" t="s">
        <v>429</v>
      </c>
      <c r="R46" s="87"/>
      <c r="X46" s="2">
        <f t="shared" si="0"/>
        <v>33605.769230769234</v>
      </c>
      <c r="AE46" s="39" t="str">
        <f>IF(D46="","",IFERROR(VLOOKUP(D46,Projects!$A$2:$A$20000,1,FALSE),""))</f>
        <v/>
      </c>
      <c r="AF46" s="2" t="str">
        <f>IF(D46="","",IFERROR(MATCH(D46,Projects!$A:$A,0),""))</f>
        <v/>
      </c>
    </row>
    <row r="47" spans="1:32" x14ac:dyDescent="0.25">
      <c r="A47" s="6"/>
      <c r="B47" s="24"/>
      <c r="C47" s="98" t="s">
        <v>181</v>
      </c>
      <c r="D47" s="145" t="s">
        <v>289</v>
      </c>
      <c r="E47" s="98" t="s">
        <v>193</v>
      </c>
      <c r="F47" s="98" t="s">
        <v>63</v>
      </c>
      <c r="G47" s="98" t="s">
        <v>222</v>
      </c>
      <c r="H47" s="98" t="s">
        <v>3</v>
      </c>
      <c r="I47" s="100">
        <v>1</v>
      </c>
      <c r="J47" s="98" t="s">
        <v>26</v>
      </c>
      <c r="K47" s="98" t="s">
        <v>291</v>
      </c>
      <c r="L47" s="173">
        <v>21201.923076923078</v>
      </c>
      <c r="M47" s="181"/>
      <c r="N47" s="173">
        <f>M47+L47</f>
        <v>21201.923076923078</v>
      </c>
      <c r="O47" s="99">
        <v>1</v>
      </c>
      <c r="P47" s="208">
        <v>2015</v>
      </c>
      <c r="Q47" s="164" t="s">
        <v>429</v>
      </c>
      <c r="R47" s="87"/>
      <c r="X47" s="2">
        <f t="shared" si="0"/>
        <v>21201.923076923078</v>
      </c>
      <c r="AE47" s="39" t="str">
        <f>IF(D47="","",IFERROR(VLOOKUP(D47,Projects!$A$2:$A$20000,1,FALSE),""))</f>
        <v/>
      </c>
      <c r="AF47" s="2" t="str">
        <f>IF(D47="","",IFERROR(MATCH(D47,Projects!$A:$A,0),""))</f>
        <v/>
      </c>
    </row>
    <row r="48" spans="1:32" x14ac:dyDescent="0.25">
      <c r="A48" s="42"/>
      <c r="B48" s="24"/>
      <c r="C48" s="98"/>
      <c r="D48" s="145"/>
      <c r="E48" s="98"/>
      <c r="F48" s="98"/>
      <c r="G48" s="98"/>
      <c r="H48" s="98"/>
      <c r="I48" s="100"/>
      <c r="J48" s="98"/>
      <c r="K48" s="98"/>
      <c r="L48" s="173"/>
      <c r="M48" s="181"/>
      <c r="N48" s="173"/>
      <c r="O48" s="99"/>
      <c r="P48" s="208"/>
      <c r="Q48" s="164"/>
      <c r="R48" s="87"/>
      <c r="X48" s="2">
        <f t="shared" si="0"/>
        <v>0</v>
      </c>
      <c r="AE48" s="39" t="str">
        <f>IF(D48="","",IFERROR(VLOOKUP(D48,Projects!$A$2:$A$20000,1,FALSE),""))</f>
        <v/>
      </c>
      <c r="AF48" s="2" t="str">
        <f>IF(D48="","",IFERROR(MATCH(D48,Projects!$A:$A,0),""))</f>
        <v/>
      </c>
    </row>
    <row r="49" spans="1:32" x14ac:dyDescent="0.25">
      <c r="B49" s="24"/>
      <c r="C49" s="98"/>
      <c r="D49" s="145"/>
      <c r="E49" s="98"/>
      <c r="F49" s="98"/>
      <c r="G49" s="98"/>
      <c r="H49" s="98"/>
      <c r="I49" s="100"/>
      <c r="J49" s="98"/>
      <c r="K49" s="98"/>
      <c r="L49" s="173"/>
      <c r="M49" s="181"/>
      <c r="N49" s="173"/>
      <c r="O49" s="99"/>
      <c r="P49" s="208"/>
      <c r="Q49" s="164"/>
      <c r="R49" s="2"/>
      <c r="X49" s="2">
        <f t="shared" si="0"/>
        <v>0</v>
      </c>
      <c r="AE49" s="39" t="str">
        <f>IF(D49="","",IFERROR(VLOOKUP(D49,Projects!$A$2:$A$20000,1,FALSE),""))</f>
        <v/>
      </c>
      <c r="AF49" s="2" t="str">
        <f>IF(D49="","",IFERROR(MATCH(D49,Projects!$A:$A,0),""))</f>
        <v/>
      </c>
    </row>
    <row r="50" spans="1:32" x14ac:dyDescent="0.25">
      <c r="A50" s="6">
        <v>0.01</v>
      </c>
      <c r="B50" s="24" t="s">
        <v>168</v>
      </c>
      <c r="C50" s="25"/>
      <c r="D50" s="144"/>
      <c r="E50" s="25"/>
      <c r="F50" s="25"/>
      <c r="G50" s="25"/>
      <c r="H50" s="25"/>
      <c r="I50" s="28"/>
      <c r="J50" s="25"/>
      <c r="K50" s="25"/>
      <c r="L50" s="169"/>
      <c r="M50" s="169"/>
      <c r="N50" s="169"/>
      <c r="O50" s="28"/>
      <c r="P50" s="205"/>
      <c r="Q50" s="163"/>
      <c r="R50" s="2"/>
      <c r="X50" s="2">
        <f t="shared" si="0"/>
        <v>0</v>
      </c>
      <c r="AE50" s="39" t="str">
        <f>IF(D50="","",IFERROR(VLOOKUP(D50,Projects!$A$2:$A$20000,1,FALSE),""))</f>
        <v/>
      </c>
      <c r="AF50" s="2" t="str">
        <f>IF(D50="","",IFERROR(MATCH(D50,Projects!$A:$A,0),""))</f>
        <v/>
      </c>
    </row>
    <row r="51" spans="1:32" x14ac:dyDescent="0.25">
      <c r="A51" s="41">
        <f>A50*totalBudget</f>
        <v>65000</v>
      </c>
      <c r="B51" s="25"/>
      <c r="C51" s="98" t="s">
        <v>184</v>
      </c>
      <c r="D51" s="145" t="s">
        <v>294</v>
      </c>
      <c r="E51" s="98" t="s">
        <v>295</v>
      </c>
      <c r="F51" s="98" t="s">
        <v>63</v>
      </c>
      <c r="G51" s="98" t="s">
        <v>41</v>
      </c>
      <c r="H51" s="98" t="s">
        <v>5</v>
      </c>
      <c r="I51" s="99">
        <v>0.5</v>
      </c>
      <c r="J51" s="98" t="s">
        <v>26</v>
      </c>
      <c r="K51" s="98" t="s">
        <v>296</v>
      </c>
      <c r="L51" s="173">
        <v>25192.307692307691</v>
      </c>
      <c r="M51" s="181"/>
      <c r="N51" s="173">
        <f>M51+L51</f>
        <v>25192.307692307691</v>
      </c>
      <c r="O51" s="99">
        <v>0.5</v>
      </c>
      <c r="P51" s="208">
        <v>2015</v>
      </c>
      <c r="Q51" s="164" t="s">
        <v>428</v>
      </c>
      <c r="R51" s="87"/>
      <c r="X51" s="2">
        <f t="shared" si="0"/>
        <v>12596.153846153846</v>
      </c>
      <c r="AE51" s="39" t="str">
        <f>IF(D51="","",IFERROR(VLOOKUP(D51,Projects!$A$2:$A$20000,1,FALSE),""))</f>
        <v/>
      </c>
      <c r="AF51" s="2" t="str">
        <f>IF(D51="","",IFERROR(MATCH(D51,Projects!$A:$A,0),""))</f>
        <v/>
      </c>
    </row>
    <row r="52" spans="1:32" x14ac:dyDescent="0.25">
      <c r="B52" s="24"/>
      <c r="C52" s="98" t="s">
        <v>189</v>
      </c>
      <c r="D52" s="145" t="s">
        <v>293</v>
      </c>
      <c r="E52" s="98" t="s">
        <v>295</v>
      </c>
      <c r="F52" s="98" t="s">
        <v>63</v>
      </c>
      <c r="G52" s="98" t="s">
        <v>41</v>
      </c>
      <c r="H52" s="98" t="s">
        <v>5</v>
      </c>
      <c r="I52" s="99">
        <v>0.5</v>
      </c>
      <c r="J52" s="98" t="s">
        <v>11</v>
      </c>
      <c r="K52" s="98" t="s">
        <v>297</v>
      </c>
      <c r="L52" s="173">
        <v>5200</v>
      </c>
      <c r="M52" s="181">
        <v>25000</v>
      </c>
      <c r="N52" s="173">
        <f>M52+L52</f>
        <v>30200</v>
      </c>
      <c r="O52" s="99">
        <v>1</v>
      </c>
      <c r="P52" s="208">
        <v>2015</v>
      </c>
      <c r="Q52" s="164" t="s">
        <v>428</v>
      </c>
      <c r="R52" s="87"/>
      <c r="X52" s="2">
        <f t="shared" si="0"/>
        <v>30200</v>
      </c>
      <c r="AE52" s="39" t="str">
        <f>IF(D52="","",IFERROR(VLOOKUP(D52,Projects!$A$2:$A$20000,1,FALSE),""))</f>
        <v/>
      </c>
      <c r="AF52" s="2" t="str">
        <f>IF(D52="","",IFERROR(MATCH(D52,Projects!$A:$A,0),""))</f>
        <v/>
      </c>
    </row>
    <row r="53" spans="1:32" x14ac:dyDescent="0.25">
      <c r="A53" s="6"/>
      <c r="B53" s="24"/>
      <c r="C53" s="98"/>
      <c r="D53" s="145"/>
      <c r="E53" s="98"/>
      <c r="F53" s="98"/>
      <c r="G53" s="98"/>
      <c r="H53" s="98"/>
      <c r="I53" s="100"/>
      <c r="J53" s="98"/>
      <c r="K53" s="98"/>
      <c r="L53" s="173"/>
      <c r="M53" s="181"/>
      <c r="N53" s="173"/>
      <c r="O53" s="99"/>
      <c r="P53" s="208"/>
      <c r="Q53" s="164"/>
      <c r="R53" s="87"/>
      <c r="X53" s="2">
        <f t="shared" si="0"/>
        <v>0</v>
      </c>
      <c r="AE53" s="39" t="str">
        <f>IF(D53="","",IFERROR(VLOOKUP(D53,Projects!$A$2:$A$20000,1,FALSE),""))</f>
        <v/>
      </c>
      <c r="AF53" s="2" t="str">
        <f>IF(D53="","",IFERROR(MATCH(D53,Projects!$A:$A,0),""))</f>
        <v/>
      </c>
    </row>
    <row r="54" spans="1:32" x14ac:dyDescent="0.25">
      <c r="A54" s="6">
        <v>0.08</v>
      </c>
      <c r="B54" s="24" t="s">
        <v>167</v>
      </c>
      <c r="C54" s="25"/>
      <c r="D54" s="144"/>
      <c r="E54" s="25"/>
      <c r="F54" s="25"/>
      <c r="G54" s="25"/>
      <c r="H54" s="25"/>
      <c r="I54" s="28"/>
      <c r="J54" s="25"/>
      <c r="K54" s="25"/>
      <c r="L54" s="169"/>
      <c r="M54" s="169"/>
      <c r="N54" s="169"/>
      <c r="O54" s="28"/>
      <c r="P54" s="205"/>
      <c r="Q54" s="163"/>
      <c r="R54" s="2"/>
      <c r="X54" s="2">
        <f t="shared" si="0"/>
        <v>0</v>
      </c>
      <c r="AE54" s="39" t="str">
        <f>IF(D54="","",IFERROR(VLOOKUP(D54,Projects!$A$2:$A$20000,1,FALSE),""))</f>
        <v/>
      </c>
      <c r="AF54" s="2" t="str">
        <f>IF(D54="","",IFERROR(MATCH(D54,Projects!$A:$A,0),""))</f>
        <v/>
      </c>
    </row>
    <row r="55" spans="1:32" x14ac:dyDescent="0.25">
      <c r="A55" s="41">
        <f>A54*totalBudget</f>
        <v>520000</v>
      </c>
      <c r="B55" s="25"/>
      <c r="C55" s="98" t="s">
        <v>181</v>
      </c>
      <c r="D55" s="145" t="s">
        <v>298</v>
      </c>
      <c r="E55" s="98"/>
      <c r="F55" s="98" t="s">
        <v>63</v>
      </c>
      <c r="G55" s="98" t="s">
        <v>41</v>
      </c>
      <c r="H55" s="98" t="s">
        <v>5</v>
      </c>
      <c r="I55" s="99">
        <v>0.8</v>
      </c>
      <c r="J55" s="98" t="s">
        <v>26</v>
      </c>
      <c r="K55" s="98" t="s">
        <v>302</v>
      </c>
      <c r="L55" s="173">
        <v>9014.4230769230762</v>
      </c>
      <c r="M55" s="181">
        <v>100000</v>
      </c>
      <c r="N55" s="173">
        <f>M55+L55</f>
        <v>109014.42307692308</v>
      </c>
      <c r="O55" s="99">
        <v>0.5</v>
      </c>
      <c r="P55" s="208">
        <v>2015</v>
      </c>
      <c r="Q55" s="164" t="s">
        <v>425</v>
      </c>
      <c r="R55" s="87"/>
      <c r="X55" s="2">
        <f t="shared" si="0"/>
        <v>54507.211538461539</v>
      </c>
      <c r="AE55" s="39" t="str">
        <f>IF(D55="","",IFERROR(VLOOKUP(D55,Projects!$A$2:$A$20000,1,FALSE),""))</f>
        <v/>
      </c>
      <c r="AF55" s="2" t="str">
        <f>IF(D55="","",IFERROR(MATCH(D55,Projects!$A:$A,0),""))</f>
        <v/>
      </c>
    </row>
    <row r="56" spans="1:32" x14ac:dyDescent="0.25">
      <c r="B56" s="24"/>
      <c r="C56" s="98" t="s">
        <v>181</v>
      </c>
      <c r="D56" s="145" t="s">
        <v>299</v>
      </c>
      <c r="E56" s="98"/>
      <c r="F56" s="98" t="s">
        <v>63</v>
      </c>
      <c r="G56" s="98" t="s">
        <v>41</v>
      </c>
      <c r="H56" s="98" t="s">
        <v>5</v>
      </c>
      <c r="I56" s="99">
        <v>0.8</v>
      </c>
      <c r="J56" s="98" t="s">
        <v>26</v>
      </c>
      <c r="K56" s="98" t="s">
        <v>303</v>
      </c>
      <c r="L56" s="173">
        <v>16826.923076923078</v>
      </c>
      <c r="M56" s="181">
        <v>62500</v>
      </c>
      <c r="N56" s="173">
        <f>M56+L56</f>
        <v>79326.923076923078</v>
      </c>
      <c r="O56" s="99">
        <v>0.75</v>
      </c>
      <c r="P56" s="208">
        <v>2015</v>
      </c>
      <c r="Q56" s="164" t="s">
        <v>424</v>
      </c>
      <c r="R56" s="87"/>
      <c r="X56" s="2">
        <f t="shared" si="0"/>
        <v>59495.192307692312</v>
      </c>
      <c r="AE56" s="39" t="str">
        <f>IF(D56="","",IFERROR(VLOOKUP(D56,Projects!$A$2:$A$20000,1,FALSE),""))</f>
        <v/>
      </c>
      <c r="AF56" s="2" t="str">
        <f>IF(D56="","",IFERROR(MATCH(D56,Projects!$A:$A,0),""))</f>
        <v/>
      </c>
    </row>
    <row r="57" spans="1:32" x14ac:dyDescent="0.25">
      <c r="B57" s="24"/>
      <c r="C57" s="98" t="s">
        <v>181</v>
      </c>
      <c r="D57" s="145" t="s">
        <v>300</v>
      </c>
      <c r="E57" s="98"/>
      <c r="F57" s="98" t="s">
        <v>63</v>
      </c>
      <c r="G57" s="98" t="s">
        <v>41</v>
      </c>
      <c r="H57" s="98" t="s">
        <v>5</v>
      </c>
      <c r="I57" s="99">
        <v>0.8</v>
      </c>
      <c r="J57" s="98" t="s">
        <v>26</v>
      </c>
      <c r="K57" s="98" t="s">
        <v>304</v>
      </c>
      <c r="L57" s="173">
        <v>12620.192307692309</v>
      </c>
      <c r="M57" s="181">
        <v>75000</v>
      </c>
      <c r="N57" s="173">
        <f>M57+L57</f>
        <v>87620.192307692312</v>
      </c>
      <c r="O57" s="99">
        <v>0.25</v>
      </c>
      <c r="P57" s="208">
        <v>2015</v>
      </c>
      <c r="Q57" s="164" t="s">
        <v>422</v>
      </c>
      <c r="R57" s="87"/>
      <c r="X57" s="2">
        <f t="shared" si="0"/>
        <v>21905.048076923078</v>
      </c>
      <c r="AE57" s="39" t="str">
        <f>IF(D57="","",IFERROR(VLOOKUP(D57,Projects!$A$2:$A$20000,1,FALSE),""))</f>
        <v/>
      </c>
      <c r="AF57" s="2" t="str">
        <f>IF(D57="","",IFERROR(MATCH(D57,Projects!$A:$A,0),""))</f>
        <v/>
      </c>
    </row>
    <row r="58" spans="1:32" x14ac:dyDescent="0.25">
      <c r="B58" s="24"/>
      <c r="C58" s="98" t="s">
        <v>181</v>
      </c>
      <c r="D58" s="145" t="s">
        <v>301</v>
      </c>
      <c r="E58" s="98"/>
      <c r="F58" s="98" t="s">
        <v>63</v>
      </c>
      <c r="G58" s="98" t="s">
        <v>41</v>
      </c>
      <c r="H58" s="98" t="s">
        <v>5</v>
      </c>
      <c r="I58" s="99">
        <v>0.8</v>
      </c>
      <c r="J58" s="98" t="s">
        <v>26</v>
      </c>
      <c r="K58" s="98" t="s">
        <v>305</v>
      </c>
      <c r="L58" s="173">
        <v>24038.461538461539</v>
      </c>
      <c r="M58" s="181">
        <v>125000</v>
      </c>
      <c r="N58" s="173">
        <f>M58+L58</f>
        <v>149038.46153846153</v>
      </c>
      <c r="O58" s="99">
        <v>0.65</v>
      </c>
      <c r="P58" s="208">
        <v>2015</v>
      </c>
      <c r="Q58" s="164" t="s">
        <v>426</v>
      </c>
      <c r="R58" s="87"/>
      <c r="X58" s="2">
        <f t="shared" si="0"/>
        <v>96875</v>
      </c>
      <c r="AE58" s="39" t="str">
        <f>IF(D58="","",IFERROR(VLOOKUP(D58,Projects!$A$2:$A$20000,1,FALSE),""))</f>
        <v/>
      </c>
      <c r="AF58" s="2" t="str">
        <f>IF(D58="","",IFERROR(MATCH(D58,Projects!$A:$A,0),""))</f>
        <v/>
      </c>
    </row>
    <row r="59" spans="1:32" x14ac:dyDescent="0.25">
      <c r="A59" s="6"/>
      <c r="B59" s="24"/>
      <c r="C59" s="98"/>
      <c r="D59" s="145"/>
      <c r="E59" s="98"/>
      <c r="F59" s="98"/>
      <c r="G59" s="98"/>
      <c r="H59" s="98"/>
      <c r="I59" s="100"/>
      <c r="J59" s="98"/>
      <c r="K59" s="98"/>
      <c r="L59" s="173"/>
      <c r="M59" s="181"/>
      <c r="N59" s="173"/>
      <c r="O59" s="99"/>
      <c r="P59" s="208"/>
      <c r="Q59" s="164"/>
      <c r="R59" s="87"/>
      <c r="X59" s="2">
        <f t="shared" si="0"/>
        <v>0</v>
      </c>
      <c r="AE59" s="39" t="str">
        <f>IF(D59="","",IFERROR(VLOOKUP(D59,Projects!$A$2:$A$20000,1,FALSE),""))</f>
        <v/>
      </c>
      <c r="AF59" s="2" t="str">
        <f>IF(D59="","",IFERROR(MATCH(D59,Projects!$A:$A,0),""))</f>
        <v/>
      </c>
    </row>
    <row r="60" spans="1:32" x14ac:dyDescent="0.25">
      <c r="A60" s="6"/>
      <c r="B60" s="24"/>
      <c r="C60" s="98"/>
      <c r="D60" s="145"/>
      <c r="E60" s="98"/>
      <c r="F60" s="98"/>
      <c r="G60" s="98"/>
      <c r="H60" s="98"/>
      <c r="I60" s="100"/>
      <c r="J60" s="98"/>
      <c r="K60" s="98"/>
      <c r="L60" s="173"/>
      <c r="M60" s="181"/>
      <c r="N60" s="173"/>
      <c r="O60" s="99"/>
      <c r="P60" s="208"/>
      <c r="Q60" s="164"/>
      <c r="R60" s="87"/>
      <c r="X60" s="2">
        <f t="shared" si="0"/>
        <v>0</v>
      </c>
      <c r="AE60" s="39" t="str">
        <f>IF(D60="","",IFERROR(VLOOKUP(D60,Projects!$A$2:$A$20000,1,FALSE),""))</f>
        <v/>
      </c>
      <c r="AF60" s="2" t="str">
        <f>IF(D60="","",IFERROR(MATCH(D60,Projects!$A:$A,0),""))</f>
        <v/>
      </c>
    </row>
    <row r="61" spans="1:32" x14ac:dyDescent="0.25">
      <c r="A61" s="42"/>
      <c r="B61" s="24"/>
      <c r="C61" s="98"/>
      <c r="D61" s="146"/>
      <c r="E61" s="98"/>
      <c r="F61" s="98"/>
      <c r="G61" s="98"/>
      <c r="H61" s="98"/>
      <c r="I61" s="100"/>
      <c r="J61" s="98"/>
      <c r="K61" s="98"/>
      <c r="L61" s="173"/>
      <c r="M61" s="181"/>
      <c r="N61" s="173"/>
      <c r="O61" s="99"/>
      <c r="P61" s="208"/>
      <c r="Q61" s="164"/>
      <c r="R61" s="87"/>
      <c r="X61" s="2">
        <f t="shared" si="0"/>
        <v>0</v>
      </c>
      <c r="AE61" s="39" t="str">
        <f>IF(D61="","",IFERROR(VLOOKUP(D61,Projects!$A$2:$A$20000,1,FALSE),""))</f>
        <v/>
      </c>
      <c r="AF61" s="2" t="str">
        <f>IF(D61="","",IFERROR(MATCH(D61,Projects!$A:$A,0),""))</f>
        <v/>
      </c>
    </row>
    <row r="62" spans="1:32" x14ac:dyDescent="0.25">
      <c r="B62" s="24"/>
      <c r="C62" s="98"/>
      <c r="D62" s="145"/>
      <c r="E62" s="98"/>
      <c r="F62" s="98"/>
      <c r="G62" s="98"/>
      <c r="H62" s="98"/>
      <c r="I62" s="100"/>
      <c r="J62" s="98"/>
      <c r="K62" s="98"/>
      <c r="L62" s="173"/>
      <c r="M62" s="181"/>
      <c r="N62" s="173"/>
      <c r="O62" s="99"/>
      <c r="P62" s="208"/>
      <c r="Q62" s="164"/>
      <c r="R62" s="87"/>
      <c r="X62" s="2">
        <f t="shared" si="0"/>
        <v>0</v>
      </c>
      <c r="AE62" s="39" t="str">
        <f>IF(D62="","",IFERROR(VLOOKUP(D62,Projects!$A$2:$A$20000,1,FALSE),""))</f>
        <v/>
      </c>
      <c r="AF62" s="2" t="str">
        <f>IF(D62="","",IFERROR(MATCH(D62,Projects!$A:$A,0),""))</f>
        <v/>
      </c>
    </row>
    <row r="63" spans="1:32" x14ac:dyDescent="0.25">
      <c r="A63" s="6"/>
      <c r="B63" s="24"/>
      <c r="C63" s="98"/>
      <c r="D63" s="145"/>
      <c r="E63" s="98"/>
      <c r="F63" s="98"/>
      <c r="G63" s="98"/>
      <c r="H63" s="98"/>
      <c r="I63" s="100"/>
      <c r="J63" s="98"/>
      <c r="K63" s="98"/>
      <c r="L63" s="173"/>
      <c r="M63" s="181"/>
      <c r="N63" s="173"/>
      <c r="O63" s="99"/>
      <c r="P63" s="208"/>
      <c r="Q63" s="164"/>
      <c r="R63" s="87"/>
      <c r="X63" s="2">
        <f t="shared" si="0"/>
        <v>0</v>
      </c>
      <c r="AE63" s="39" t="str">
        <f>IF(D63="","",IFERROR(VLOOKUP(D63,Projects!$A$2:$A$20000,1,FALSE),""))</f>
        <v/>
      </c>
      <c r="AF63" s="2" t="str">
        <f>IF(D63="","",IFERROR(MATCH(D63,Projects!$A:$A,0),""))</f>
        <v/>
      </c>
    </row>
    <row r="64" spans="1:32" x14ac:dyDescent="0.25">
      <c r="A64" s="42"/>
      <c r="B64" s="24"/>
      <c r="C64" s="98"/>
      <c r="D64" s="145"/>
      <c r="E64" s="98"/>
      <c r="F64" s="98"/>
      <c r="G64" s="98"/>
      <c r="H64" s="98"/>
      <c r="I64" s="100"/>
      <c r="J64" s="98"/>
      <c r="K64" s="98"/>
      <c r="L64" s="173"/>
      <c r="M64" s="181"/>
      <c r="N64" s="173"/>
      <c r="O64" s="99"/>
      <c r="P64" s="208"/>
      <c r="Q64" s="164"/>
      <c r="R64" s="87"/>
      <c r="X64" s="2">
        <f t="shared" si="0"/>
        <v>0</v>
      </c>
      <c r="AE64" s="39" t="str">
        <f>IF(D64="","",IFERROR(VLOOKUP(D64,Projects!$A$2:$A$20000,1,FALSE),""))</f>
        <v/>
      </c>
      <c r="AF64" s="2" t="str">
        <f>IF(D64="","",IFERROR(MATCH(D64,Projects!$A:$A,0),""))</f>
        <v/>
      </c>
    </row>
    <row r="65" spans="1:32" x14ac:dyDescent="0.25">
      <c r="B65" s="24"/>
      <c r="C65" s="98"/>
      <c r="D65" s="145"/>
      <c r="E65" s="98"/>
      <c r="F65" s="98"/>
      <c r="G65" s="98"/>
      <c r="H65" s="98"/>
      <c r="I65" s="100"/>
      <c r="J65" s="98"/>
      <c r="K65" s="98"/>
      <c r="L65" s="173"/>
      <c r="M65" s="181"/>
      <c r="N65" s="173"/>
      <c r="O65" s="99"/>
      <c r="P65" s="208"/>
      <c r="Q65" s="164"/>
      <c r="R65" s="87"/>
      <c r="X65" s="2">
        <f t="shared" si="0"/>
        <v>0</v>
      </c>
      <c r="AE65" s="39" t="str">
        <f>IF(D65="","",IFERROR(VLOOKUP(D65,Projects!$A$2:$A$20000,1,FALSE),""))</f>
        <v/>
      </c>
      <c r="AF65" s="2" t="str">
        <f>IF(D65="","",IFERROR(MATCH(D65,Projects!$A:$A,0),""))</f>
        <v/>
      </c>
    </row>
    <row r="66" spans="1:32" x14ac:dyDescent="0.25">
      <c r="B66" s="24"/>
      <c r="C66" s="98"/>
      <c r="D66" s="145"/>
      <c r="E66" s="98"/>
      <c r="F66" s="98"/>
      <c r="G66" s="98"/>
      <c r="H66" s="98"/>
      <c r="I66" s="100"/>
      <c r="J66" s="98"/>
      <c r="K66" s="98"/>
      <c r="L66" s="173"/>
      <c r="M66" s="181"/>
      <c r="N66" s="173"/>
      <c r="O66" s="99"/>
      <c r="P66" s="208"/>
      <c r="Q66" s="164"/>
      <c r="R66" s="87"/>
      <c r="X66" s="2">
        <f t="shared" si="0"/>
        <v>0</v>
      </c>
      <c r="AE66" s="39" t="str">
        <f>IF(D66="","",IFERROR(VLOOKUP(D66,Projects!$A$2:$A$20000,1,FALSE),""))</f>
        <v/>
      </c>
      <c r="AF66" s="2" t="str">
        <f>IF(D66="","",IFERROR(MATCH(D66,Projects!$A:$A,0),""))</f>
        <v/>
      </c>
    </row>
    <row r="67" spans="1:32" x14ac:dyDescent="0.25">
      <c r="B67" s="24"/>
      <c r="C67" s="98"/>
      <c r="D67" s="145"/>
      <c r="E67" s="98"/>
      <c r="F67" s="98"/>
      <c r="G67" s="98"/>
      <c r="H67" s="98"/>
      <c r="I67" s="100"/>
      <c r="J67" s="98"/>
      <c r="K67" s="98"/>
      <c r="L67" s="173"/>
      <c r="M67" s="181"/>
      <c r="N67" s="173"/>
      <c r="O67" s="99"/>
      <c r="P67" s="208"/>
      <c r="Q67" s="164"/>
      <c r="R67" s="87"/>
      <c r="X67" s="2">
        <f t="shared" si="0"/>
        <v>0</v>
      </c>
      <c r="AE67" s="39" t="str">
        <f>IF(D67="","",IFERROR(VLOOKUP(D67,Projects!$A$2:$A$20000,1,FALSE),""))</f>
        <v/>
      </c>
      <c r="AF67" s="2" t="str">
        <f>IF(D67="","",IFERROR(MATCH(D67,Projects!$A:$A,0),""))</f>
        <v/>
      </c>
    </row>
    <row r="68" spans="1:32" x14ac:dyDescent="0.25">
      <c r="B68" s="24"/>
      <c r="C68" s="132"/>
      <c r="D68" s="147"/>
      <c r="E68" s="132"/>
      <c r="F68" s="132"/>
      <c r="G68" s="132"/>
      <c r="H68" s="132"/>
      <c r="I68" s="133"/>
      <c r="J68" s="132"/>
      <c r="K68" s="132"/>
      <c r="L68" s="174"/>
      <c r="M68" s="182"/>
      <c r="N68" s="174"/>
      <c r="O68" s="134"/>
      <c r="P68" s="210"/>
      <c r="Q68" s="166"/>
      <c r="R68" s="135"/>
      <c r="X68" s="2">
        <f t="shared" si="0"/>
        <v>0</v>
      </c>
      <c r="AE68" s="39" t="str">
        <f>IF(D68="","",IFERROR(VLOOKUP(D68,Projects!$A$2:$A$20000,1,FALSE),""))</f>
        <v/>
      </c>
      <c r="AF68" s="2" t="str">
        <f>IF(D68="","",IFERROR(MATCH(D68,Projects!$A:$A,0),""))</f>
        <v/>
      </c>
    </row>
    <row r="69" spans="1:32" x14ac:dyDescent="0.25">
      <c r="B69" s="24"/>
      <c r="C69" s="136"/>
      <c r="D69" s="148"/>
      <c r="E69" s="136"/>
      <c r="F69" s="136"/>
      <c r="G69" s="136"/>
      <c r="H69" s="136"/>
      <c r="J69" s="136"/>
      <c r="K69" s="136"/>
      <c r="X69" s="2">
        <f t="shared" si="0"/>
        <v>0</v>
      </c>
      <c r="AE69" s="39" t="str">
        <f>IF(D69="","",IFERROR(VLOOKUP(D69,Projects!$A$2:$A$20000,1,FALSE),""))</f>
        <v/>
      </c>
      <c r="AF69" s="2" t="str">
        <f>IF(D69="","",IFERROR(MATCH(D69,Projects!$A:$A,0),""))</f>
        <v/>
      </c>
    </row>
    <row r="70" spans="1:32" x14ac:dyDescent="0.25">
      <c r="A70" s="6"/>
      <c r="B70" s="24"/>
      <c r="C70" s="136"/>
      <c r="D70" s="148"/>
      <c r="E70" s="136"/>
      <c r="F70" s="136"/>
      <c r="G70" s="136"/>
      <c r="H70" s="136"/>
      <c r="J70" s="136"/>
      <c r="K70" s="136"/>
      <c r="X70" s="2">
        <f t="shared" si="0"/>
        <v>0</v>
      </c>
      <c r="AE70" s="39" t="str">
        <f>IF(D70="","",IFERROR(VLOOKUP(D70,Projects!$A$2:$A$20000,1,FALSE),""))</f>
        <v/>
      </c>
      <c r="AF70" s="2" t="str">
        <f>IF(D70="","",IFERROR(MATCH(D70,Projects!$A:$A,0),""))</f>
        <v/>
      </c>
    </row>
    <row r="71" spans="1:32" x14ac:dyDescent="0.25">
      <c r="A71" s="42"/>
      <c r="B71" s="24"/>
      <c r="C71" s="136"/>
      <c r="D71" s="148"/>
      <c r="E71" s="136"/>
      <c r="F71" s="136"/>
      <c r="G71" s="136"/>
      <c r="H71" s="136"/>
      <c r="J71" s="136"/>
      <c r="K71" s="136"/>
      <c r="X71" s="2">
        <f t="shared" si="0"/>
        <v>0</v>
      </c>
      <c r="AE71" s="39" t="str">
        <f>IF(D71="","",IFERROR(VLOOKUP(D71,Projects!$A$2:$A$20000,1,FALSE),""))</f>
        <v/>
      </c>
      <c r="AF71" s="2" t="str">
        <f>IF(D71="","",IFERROR(MATCH(D71,Projects!$A:$A,0),""))</f>
        <v/>
      </c>
    </row>
    <row r="72" spans="1:32" x14ac:dyDescent="0.25">
      <c r="B72" s="24"/>
      <c r="C72" s="136"/>
      <c r="D72" s="148"/>
      <c r="E72" s="136"/>
      <c r="F72" s="136"/>
      <c r="G72" s="136"/>
      <c r="H72" s="136"/>
      <c r="J72" s="136"/>
      <c r="K72" s="136"/>
      <c r="X72" s="2">
        <f t="shared" si="0"/>
        <v>0</v>
      </c>
      <c r="AE72" s="39" t="str">
        <f>IF(D72="","",IFERROR(VLOOKUP(D72,Projects!$A$2:$A$20000,1,FALSE),""))</f>
        <v/>
      </c>
      <c r="AF72" s="2" t="str">
        <f>IF(D72="","",IFERROR(MATCH(D72,Projects!$A:$A,0),""))</f>
        <v/>
      </c>
    </row>
    <row r="73" spans="1:32" x14ac:dyDescent="0.25">
      <c r="B73" s="24"/>
      <c r="C73" s="136"/>
      <c r="D73" s="148"/>
      <c r="E73" s="136"/>
      <c r="F73" s="136"/>
      <c r="G73" s="136"/>
      <c r="H73" s="136"/>
      <c r="J73" s="136"/>
      <c r="K73" s="136"/>
      <c r="X73" s="2">
        <f t="shared" ref="X73:X86" si="1">N73*O73</f>
        <v>0</v>
      </c>
      <c r="AE73" s="39" t="str">
        <f>IF(D73="","",IFERROR(VLOOKUP(D73,Projects!$A$2:$A$20000,1,FALSE),""))</f>
        <v/>
      </c>
      <c r="AF73" s="2" t="str">
        <f>IF(D73="","",IFERROR(MATCH(D73,Projects!$A:$A,0),""))</f>
        <v/>
      </c>
    </row>
    <row r="74" spans="1:32" x14ac:dyDescent="0.25">
      <c r="B74" s="24"/>
      <c r="C74" s="136"/>
      <c r="D74" s="148"/>
      <c r="E74" s="136"/>
      <c r="F74" s="136"/>
      <c r="G74" s="136"/>
      <c r="H74" s="136"/>
      <c r="J74" s="136"/>
      <c r="K74" s="136"/>
      <c r="X74" s="2">
        <f t="shared" si="1"/>
        <v>0</v>
      </c>
      <c r="AE74" s="39" t="str">
        <f>IF(D74="","",IFERROR(VLOOKUP(D74,Projects!$A$2:$A$20000,1,FALSE),""))</f>
        <v/>
      </c>
      <c r="AF74" s="2" t="str">
        <f>IF(D74="","",IFERROR(MATCH(D74,Projects!$A:$A,0),""))</f>
        <v/>
      </c>
    </row>
    <row r="75" spans="1:32" x14ac:dyDescent="0.25">
      <c r="B75" s="24"/>
      <c r="C75" s="136"/>
      <c r="D75" s="148"/>
      <c r="E75" s="136"/>
      <c r="F75" s="136"/>
      <c r="G75" s="136"/>
      <c r="H75" s="136"/>
      <c r="J75" s="136"/>
      <c r="K75" s="136"/>
      <c r="X75" s="2">
        <f t="shared" si="1"/>
        <v>0</v>
      </c>
      <c r="AE75" s="39" t="str">
        <f>IF(D75="","",IFERROR(VLOOKUP(D75,Projects!$A$2:$A$20000,1,FALSE),""))</f>
        <v/>
      </c>
      <c r="AF75" s="2" t="str">
        <f>IF(D75="","",IFERROR(MATCH(D75,Projects!$A:$A,0),""))</f>
        <v/>
      </c>
    </row>
    <row r="76" spans="1:32" x14ac:dyDescent="0.25">
      <c r="B76" s="24"/>
      <c r="C76" s="136"/>
      <c r="D76" s="148"/>
      <c r="E76" s="136"/>
      <c r="F76" s="136"/>
      <c r="G76" s="136"/>
      <c r="H76" s="136"/>
      <c r="J76" s="136"/>
      <c r="K76" s="136"/>
      <c r="X76" s="2">
        <f t="shared" si="1"/>
        <v>0</v>
      </c>
      <c r="AE76" s="39" t="str">
        <f>IF(D76="","",IFERROR(VLOOKUP(D76,Projects!$A$2:$A$20000,1,FALSE),""))</f>
        <v/>
      </c>
      <c r="AF76" s="2" t="str">
        <f>IF(D76="","",IFERROR(MATCH(D76,Projects!$A:$A,0),""))</f>
        <v/>
      </c>
    </row>
    <row r="77" spans="1:32" x14ac:dyDescent="0.25">
      <c r="B77" s="24"/>
      <c r="C77" s="136"/>
      <c r="D77" s="148"/>
      <c r="E77" s="136"/>
      <c r="F77" s="136"/>
      <c r="G77" s="136"/>
      <c r="H77" s="136"/>
      <c r="J77" s="136"/>
      <c r="K77" s="136"/>
      <c r="X77" s="2">
        <f t="shared" si="1"/>
        <v>0</v>
      </c>
      <c r="AE77" s="39" t="str">
        <f>IF(D77="","",IFERROR(VLOOKUP(D77,Projects!$A$2:$A$20000,1,FALSE),""))</f>
        <v/>
      </c>
      <c r="AF77" s="2" t="str">
        <f>IF(D77="","",IFERROR(MATCH(D77,Projects!$A:$A,0),""))</f>
        <v/>
      </c>
    </row>
    <row r="78" spans="1:32" x14ac:dyDescent="0.25">
      <c r="B78" s="24"/>
      <c r="C78" s="136"/>
      <c r="D78" s="148"/>
      <c r="E78" s="136"/>
      <c r="F78" s="136"/>
      <c r="G78" s="136"/>
      <c r="H78" s="136"/>
      <c r="J78" s="136"/>
      <c r="K78" s="136"/>
      <c r="X78" s="2">
        <f t="shared" si="1"/>
        <v>0</v>
      </c>
      <c r="AE78" s="39" t="str">
        <f>IF(D78="","",IFERROR(VLOOKUP(D78,Projects!$A$2:$A$20000,1,FALSE),""))</f>
        <v/>
      </c>
      <c r="AF78" s="2" t="str">
        <f>IF(D78="","",IFERROR(MATCH(D78,Projects!$A:$A,0),""))</f>
        <v/>
      </c>
    </row>
    <row r="79" spans="1:32" x14ac:dyDescent="0.25">
      <c r="B79" s="24"/>
      <c r="C79" s="136"/>
      <c r="D79" s="148"/>
      <c r="E79" s="136"/>
      <c r="F79" s="136"/>
      <c r="G79" s="136"/>
      <c r="H79" s="136"/>
      <c r="J79" s="136"/>
      <c r="K79" s="136"/>
      <c r="X79" s="2">
        <f t="shared" si="1"/>
        <v>0</v>
      </c>
      <c r="AE79" s="39" t="str">
        <f>IF(D79="","",IFERROR(VLOOKUP(D79,Projects!$A$2:$A$20000,1,FALSE),""))</f>
        <v/>
      </c>
      <c r="AF79" s="2" t="str">
        <f>IF(D79="","",IFERROR(MATCH(D79,Projects!$A:$A,0),""))</f>
        <v/>
      </c>
    </row>
    <row r="80" spans="1:32" x14ac:dyDescent="0.25">
      <c r="B80" s="24"/>
      <c r="C80" s="136"/>
      <c r="D80" s="148"/>
      <c r="E80" s="136"/>
      <c r="F80" s="136"/>
      <c r="G80" s="136"/>
      <c r="H80" s="136"/>
      <c r="J80" s="136"/>
      <c r="K80" s="136"/>
      <c r="X80" s="2">
        <f t="shared" si="1"/>
        <v>0</v>
      </c>
      <c r="AE80" s="39" t="str">
        <f>IF(D80="","",IFERROR(VLOOKUP(D80,Projects!$A$2:$A$20000,1,FALSE),""))</f>
        <v/>
      </c>
      <c r="AF80" s="2" t="str">
        <f>IF(D80="","",IFERROR(MATCH(D80,Projects!$A:$A,0),""))</f>
        <v/>
      </c>
    </row>
    <row r="81" spans="2:32" x14ac:dyDescent="0.25">
      <c r="B81" s="24"/>
      <c r="C81" s="136"/>
      <c r="D81" s="148"/>
      <c r="E81" s="136"/>
      <c r="F81" s="136"/>
      <c r="G81" s="136"/>
      <c r="H81" s="136"/>
      <c r="J81" s="136"/>
      <c r="K81" s="136"/>
      <c r="X81" s="2">
        <f t="shared" si="1"/>
        <v>0</v>
      </c>
      <c r="AE81" s="39" t="str">
        <f>IF(D81="","",IFERROR(VLOOKUP(D81,Projects!$A$2:$A$20000,1,FALSE),""))</f>
        <v/>
      </c>
      <c r="AF81" s="2" t="str">
        <f>IF(D81="","",IFERROR(MATCH(D81,Projects!$A:$A,0),""))</f>
        <v/>
      </c>
    </row>
    <row r="82" spans="2:32" x14ac:dyDescent="0.25">
      <c r="B82" s="24"/>
      <c r="C82" s="136"/>
      <c r="D82" s="148"/>
      <c r="E82" s="136"/>
      <c r="F82" s="136"/>
      <c r="G82" s="136"/>
      <c r="H82" s="136"/>
      <c r="J82" s="136"/>
      <c r="K82" s="136"/>
      <c r="X82" s="2">
        <f t="shared" si="1"/>
        <v>0</v>
      </c>
      <c r="AE82" s="39" t="str">
        <f>IF(D82="","",IFERROR(VLOOKUP(D82,Projects!$A$2:$A$20000,1,FALSE),""))</f>
        <v/>
      </c>
      <c r="AF82" s="2" t="str">
        <f>IF(D82="","",IFERROR(MATCH(D82,Projects!$A:$A,0),""))</f>
        <v/>
      </c>
    </row>
    <row r="83" spans="2:32" x14ac:dyDescent="0.25">
      <c r="B83" s="24"/>
      <c r="C83" s="136"/>
      <c r="D83" s="148"/>
      <c r="E83" s="136"/>
      <c r="F83" s="136"/>
      <c r="G83" s="136"/>
      <c r="H83" s="136"/>
      <c r="J83" s="136"/>
      <c r="K83" s="136"/>
      <c r="X83" s="2">
        <f t="shared" si="1"/>
        <v>0</v>
      </c>
      <c r="AE83" s="39" t="str">
        <f>IF(D83="","",IFERROR(VLOOKUP(D83,Projects!$A$2:$A$20000,1,FALSE),""))</f>
        <v/>
      </c>
      <c r="AF83" s="2" t="str">
        <f>IF(D83="","",IFERROR(MATCH(D83,Projects!$A:$A,0),""))</f>
        <v/>
      </c>
    </row>
    <row r="84" spans="2:32" x14ac:dyDescent="0.25">
      <c r="B84" s="24"/>
      <c r="C84" s="136"/>
      <c r="D84" s="148"/>
      <c r="E84" s="136"/>
      <c r="F84" s="136"/>
      <c r="G84" s="136"/>
      <c r="H84" s="136"/>
      <c r="J84" s="136"/>
      <c r="K84" s="136"/>
      <c r="X84" s="2">
        <f t="shared" si="1"/>
        <v>0</v>
      </c>
      <c r="AE84" s="39" t="str">
        <f>IF(D84="","",IFERROR(VLOOKUP(D84,Projects!$A$2:$A$20000,1,FALSE),""))</f>
        <v/>
      </c>
      <c r="AF84" s="2" t="str">
        <f>IF(D84="","",IFERROR(MATCH(D84,Projects!$A:$A,0),""))</f>
        <v/>
      </c>
    </row>
    <row r="85" spans="2:32" x14ac:dyDescent="0.25">
      <c r="B85" s="24"/>
      <c r="C85" s="136"/>
      <c r="D85" s="148"/>
      <c r="E85" s="136"/>
      <c r="F85" s="136"/>
      <c r="G85" s="136"/>
      <c r="H85" s="136"/>
      <c r="J85" s="136"/>
      <c r="K85" s="136"/>
      <c r="X85" s="2">
        <f t="shared" si="1"/>
        <v>0</v>
      </c>
      <c r="AE85" s="39" t="str">
        <f>IF(D85="","",IFERROR(VLOOKUP(D85,Projects!$A$2:$A$20000,1,FALSE),""))</f>
        <v/>
      </c>
      <c r="AF85" s="2" t="str">
        <f>IF(D85="","",IFERROR(MATCH(D85,Projects!$A:$A,0),""))</f>
        <v/>
      </c>
    </row>
    <row r="86" spans="2:32" x14ac:dyDescent="0.25">
      <c r="B86" s="24"/>
      <c r="C86" s="136"/>
      <c r="D86" s="148"/>
      <c r="E86" s="136"/>
      <c r="F86" s="136"/>
      <c r="G86" s="136"/>
      <c r="H86" s="136"/>
      <c r="J86" s="136"/>
      <c r="K86" s="136"/>
      <c r="X86" s="2">
        <f t="shared" si="1"/>
        <v>0</v>
      </c>
      <c r="AE86" s="39" t="str">
        <f>IF(D86="","",IFERROR(VLOOKUP(D86,Projects!$A$2:$A$20000,1,FALSE),""))</f>
        <v/>
      </c>
      <c r="AF86" s="2" t="str">
        <f>IF(D86="","",IFERROR(MATCH(D86,Projects!$A:$A,0),""))</f>
        <v/>
      </c>
    </row>
    <row r="87" spans="2:32" x14ac:dyDescent="0.25">
      <c r="B87" s="24"/>
      <c r="C87" s="136"/>
      <c r="D87" s="148"/>
      <c r="E87" s="136"/>
      <c r="F87" s="136"/>
      <c r="G87" s="136"/>
      <c r="H87" s="136"/>
      <c r="J87" s="136"/>
      <c r="K87" s="136"/>
      <c r="AE87" s="39" t="str">
        <f>IF(D87="","",IFERROR(VLOOKUP(D87,Projects!$A$2:$A$20000,1,FALSE),""))</f>
        <v/>
      </c>
      <c r="AF87" s="2" t="str">
        <f>IF(D87="","",IFERROR(MATCH(D87,Projects!$A:$A,0),""))</f>
        <v/>
      </c>
    </row>
    <row r="88" spans="2:32" x14ac:dyDescent="0.25">
      <c r="B88" s="24"/>
      <c r="C88" s="136"/>
      <c r="D88" s="148"/>
      <c r="E88" s="136"/>
      <c r="F88" s="136"/>
      <c r="G88" s="136"/>
      <c r="H88" s="136"/>
      <c r="J88" s="136"/>
      <c r="K88" s="136"/>
      <c r="AE88" s="39" t="str">
        <f>IF(D88="","",IFERROR(VLOOKUP(D88,Projects!$A$2:$A$20000,1,FALSE),""))</f>
        <v/>
      </c>
      <c r="AF88" s="2" t="str">
        <f>IF(D88="","",IFERROR(MATCH(D88,Projects!$A:$A,0),""))</f>
        <v/>
      </c>
    </row>
    <row r="89" spans="2:32" x14ac:dyDescent="0.25">
      <c r="B89" s="24"/>
      <c r="C89" s="136"/>
      <c r="D89" s="148"/>
      <c r="E89" s="136"/>
      <c r="F89" s="136"/>
      <c r="G89" s="136"/>
      <c r="H89" s="136"/>
      <c r="J89" s="136"/>
      <c r="K89" s="136"/>
      <c r="AE89" s="39" t="str">
        <f>IF(D89="","",IFERROR(VLOOKUP(D89,Projects!$A$2:$A$20000,1,FALSE),""))</f>
        <v/>
      </c>
      <c r="AF89" s="2" t="str">
        <f>IF(D89="","",IFERROR(MATCH(D89,Projects!$A:$A,0),""))</f>
        <v/>
      </c>
    </row>
    <row r="90" spans="2:32" x14ac:dyDescent="0.25">
      <c r="B90" s="24"/>
      <c r="C90" s="136"/>
      <c r="D90" s="148"/>
      <c r="E90" s="136"/>
      <c r="F90" s="136"/>
      <c r="G90" s="136"/>
      <c r="H90" s="136"/>
      <c r="J90" s="136"/>
      <c r="K90" s="136"/>
      <c r="AE90" s="39" t="str">
        <f>IF(D90="","",IFERROR(VLOOKUP(D90,Projects!$A$2:$A$20000,1,FALSE),""))</f>
        <v/>
      </c>
      <c r="AF90" s="2" t="str">
        <f>IF(D90="","",IFERROR(MATCH(D90,Projects!$A:$A,0),""))</f>
        <v/>
      </c>
    </row>
    <row r="91" spans="2:32" x14ac:dyDescent="0.25">
      <c r="B91" s="24"/>
      <c r="C91" s="136"/>
      <c r="D91" s="148"/>
      <c r="E91" s="136"/>
      <c r="F91" s="136"/>
      <c r="G91" s="136"/>
      <c r="H91" s="136"/>
      <c r="J91" s="136"/>
      <c r="K91" s="136"/>
      <c r="AE91" s="39" t="str">
        <f>IF(D91="","",IFERROR(VLOOKUP(D91,Projects!$A$2:$A$20000,1,FALSE),""))</f>
        <v/>
      </c>
      <c r="AF91" s="2" t="str">
        <f>IF(D91="","",IFERROR(MATCH(D91,Projects!$A:$A,0),""))</f>
        <v/>
      </c>
    </row>
    <row r="92" spans="2:32" x14ac:dyDescent="0.25">
      <c r="B92" s="24"/>
      <c r="C92" s="136"/>
      <c r="D92" s="148"/>
      <c r="E92" s="136"/>
      <c r="F92" s="136"/>
      <c r="G92" s="136"/>
      <c r="H92" s="136"/>
      <c r="J92" s="136"/>
      <c r="K92" s="136"/>
      <c r="AE92" s="39" t="str">
        <f>IF(D92="","",IFERROR(VLOOKUP(D92,Projects!$A$2:$A$20000,1,FALSE),""))</f>
        <v/>
      </c>
      <c r="AF92" s="2" t="str">
        <f>IF(D92="","",IFERROR(MATCH(D92,Projects!$A:$A,0),""))</f>
        <v/>
      </c>
    </row>
    <row r="93" spans="2:32" x14ac:dyDescent="0.25">
      <c r="B93" s="24"/>
      <c r="C93" s="136"/>
      <c r="D93" s="148"/>
      <c r="E93" s="136"/>
      <c r="F93" s="136"/>
      <c r="G93" s="136"/>
      <c r="H93" s="136"/>
      <c r="J93" s="136"/>
      <c r="K93" s="136"/>
      <c r="AE93" s="39" t="str">
        <f>IF(D93="","",IFERROR(VLOOKUP(D93,Projects!$A$2:$A$20000,1,FALSE),""))</f>
        <v/>
      </c>
      <c r="AF93" s="2" t="str">
        <f>IF(D93="","",IFERROR(MATCH(D93,Projects!$A:$A,0),""))</f>
        <v/>
      </c>
    </row>
    <row r="94" spans="2:32" x14ac:dyDescent="0.25">
      <c r="B94" s="24"/>
      <c r="C94" s="136"/>
      <c r="D94" s="148"/>
      <c r="E94" s="136"/>
      <c r="F94" s="136"/>
      <c r="G94" s="136"/>
      <c r="H94" s="136"/>
      <c r="J94" s="136"/>
      <c r="K94" s="136"/>
      <c r="AE94" s="39" t="str">
        <f>IF(D94="","",IFERROR(VLOOKUP(D94,Projects!$A$2:$A$20000,1,FALSE),""))</f>
        <v/>
      </c>
      <c r="AF94" s="2" t="str">
        <f>IF(D94="","",IFERROR(MATCH(D94,Projects!$A:$A,0),""))</f>
        <v/>
      </c>
    </row>
    <row r="95" spans="2:32" x14ac:dyDescent="0.25">
      <c r="B95" s="24"/>
      <c r="C95" s="136"/>
      <c r="D95" s="148"/>
      <c r="E95" s="136"/>
      <c r="F95" s="136"/>
      <c r="G95" s="136"/>
      <c r="H95" s="136"/>
      <c r="J95" s="136"/>
      <c r="K95" s="136"/>
      <c r="AE95" s="39" t="str">
        <f>IF(D95="","",IFERROR(VLOOKUP(D95,Projects!$A$2:$A$20000,1,FALSE),""))</f>
        <v/>
      </c>
      <c r="AF95" s="2" t="str">
        <f>IF(D95="","",IFERROR(MATCH(D95,Projects!$A:$A,0),""))</f>
        <v/>
      </c>
    </row>
    <row r="96" spans="2:32" x14ac:dyDescent="0.25">
      <c r="B96" s="24"/>
      <c r="C96" s="136"/>
      <c r="D96" s="148"/>
      <c r="E96" s="136"/>
      <c r="F96" s="136"/>
      <c r="G96" s="136"/>
      <c r="H96" s="136"/>
      <c r="J96" s="136"/>
      <c r="K96" s="136"/>
      <c r="AE96" s="39" t="str">
        <f>IF(D96="","",IFERROR(VLOOKUP(D96,Projects!$A$2:$A$20000,1,FALSE),""))</f>
        <v/>
      </c>
      <c r="AF96" s="2" t="str">
        <f>IF(D96="","",IFERROR(MATCH(D96,Projects!$A:$A,0),""))</f>
        <v/>
      </c>
    </row>
    <row r="97" spans="2:32" x14ac:dyDescent="0.25">
      <c r="B97" s="24"/>
      <c r="C97" s="136"/>
      <c r="D97" s="148"/>
      <c r="E97" s="136"/>
      <c r="F97" s="136"/>
      <c r="G97" s="136"/>
      <c r="H97" s="136"/>
      <c r="J97" s="136"/>
      <c r="K97" s="136"/>
      <c r="AE97" s="39" t="str">
        <f>IF(D97="","",IFERROR(VLOOKUP(D97,Projects!$A$2:$A$20000,1,FALSE),""))</f>
        <v/>
      </c>
      <c r="AF97" s="2" t="str">
        <f>IF(D97="","",IFERROR(MATCH(D97,Projects!$A:$A,0),""))</f>
        <v/>
      </c>
    </row>
    <row r="98" spans="2:32" x14ac:dyDescent="0.25">
      <c r="B98" s="24"/>
      <c r="C98" s="136"/>
      <c r="D98" s="148"/>
      <c r="E98" s="136"/>
      <c r="F98" s="136"/>
      <c r="G98" s="136"/>
      <c r="H98" s="136"/>
      <c r="J98" s="136"/>
      <c r="K98" s="136"/>
      <c r="AE98" s="39" t="str">
        <f>IF(D98="","",IFERROR(VLOOKUP(D98,Projects!$A$2:$A$20000,1,FALSE),""))</f>
        <v/>
      </c>
      <c r="AF98" s="2" t="str">
        <f>IF(D98="","",IFERROR(MATCH(D98,Projects!$A:$A,0),""))</f>
        <v/>
      </c>
    </row>
    <row r="99" spans="2:32" x14ac:dyDescent="0.25">
      <c r="B99" s="24"/>
      <c r="C99" s="136"/>
      <c r="D99" s="148"/>
      <c r="E99" s="136"/>
      <c r="F99" s="136"/>
      <c r="G99" s="136"/>
      <c r="H99" s="136"/>
      <c r="J99" s="136"/>
      <c r="K99" s="136"/>
      <c r="AE99" s="39" t="str">
        <f>IF(D99="","",IFERROR(VLOOKUP(D99,Projects!$A$2:$A$20000,1,FALSE),""))</f>
        <v/>
      </c>
      <c r="AF99" s="2" t="str">
        <f>IF(D99="","",IFERROR(MATCH(D99,Projects!$A:$A,0),""))</f>
        <v/>
      </c>
    </row>
    <row r="100" spans="2:32" x14ac:dyDescent="0.25">
      <c r="B100" s="24"/>
      <c r="C100" s="136"/>
      <c r="D100" s="148"/>
      <c r="E100" s="136"/>
      <c r="F100" s="136"/>
      <c r="G100" s="136"/>
      <c r="H100" s="136"/>
      <c r="J100" s="136"/>
      <c r="K100" s="136"/>
      <c r="AE100" s="39" t="str">
        <f>IF(D100="","",IFERROR(VLOOKUP(D100,Projects!$A$2:$A$20000,1,FALSE),""))</f>
        <v/>
      </c>
      <c r="AF100" s="2" t="str">
        <f>IF(D100="","",IFERROR(MATCH(D100,Projects!$A:$A,0),""))</f>
        <v/>
      </c>
    </row>
    <row r="101" spans="2:32" x14ac:dyDescent="0.25">
      <c r="B101" s="24"/>
      <c r="C101" s="136"/>
      <c r="D101" s="148"/>
      <c r="E101" s="136"/>
      <c r="F101" s="136"/>
      <c r="G101" s="136"/>
      <c r="H101" s="136"/>
      <c r="J101" s="136"/>
      <c r="K101" s="136"/>
      <c r="AE101" s="39" t="str">
        <f>IF(D101="","",IFERROR(VLOOKUP(D101,Projects!$A$2:$A$20000,1,FALSE),""))</f>
        <v/>
      </c>
      <c r="AF101" s="2" t="str">
        <f>IF(D101="","",IFERROR(MATCH(D101,Projects!$A:$A,0),""))</f>
        <v/>
      </c>
    </row>
    <row r="102" spans="2:32" x14ac:dyDescent="0.25">
      <c r="B102" s="24"/>
      <c r="C102" s="136"/>
      <c r="D102" s="148"/>
      <c r="E102" s="136"/>
      <c r="F102" s="136"/>
      <c r="G102" s="136"/>
      <c r="H102" s="136"/>
      <c r="J102" s="136"/>
      <c r="K102" s="136"/>
      <c r="AE102" s="39" t="str">
        <f>IF(D102="","",IFERROR(VLOOKUP(D102,Projects!$A$2:$A$20000,1,FALSE),""))</f>
        <v/>
      </c>
      <c r="AF102" s="2" t="str">
        <f>IF(D102="","",IFERROR(MATCH(D102,Projects!$A:$A,0),""))</f>
        <v/>
      </c>
    </row>
    <row r="103" spans="2:32" x14ac:dyDescent="0.25">
      <c r="B103" s="24"/>
      <c r="C103" s="136"/>
      <c r="D103" s="148"/>
      <c r="E103" s="136"/>
      <c r="F103" s="136"/>
      <c r="G103" s="136"/>
      <c r="H103" s="136"/>
      <c r="J103" s="136"/>
      <c r="K103" s="136"/>
      <c r="AE103" s="39" t="str">
        <f>IF(D103="","",IFERROR(VLOOKUP(D103,Projects!$A$2:$A$20000,1,FALSE),""))</f>
        <v/>
      </c>
      <c r="AF103" s="2" t="str">
        <f>IF(D103="","",IFERROR(MATCH(D103,Projects!$A:$A,0),""))</f>
        <v/>
      </c>
    </row>
    <row r="104" spans="2:32" x14ac:dyDescent="0.25">
      <c r="B104" s="24"/>
      <c r="C104" s="136"/>
      <c r="D104" s="148"/>
      <c r="E104" s="136"/>
      <c r="F104" s="136"/>
      <c r="G104" s="136"/>
      <c r="H104" s="136"/>
      <c r="J104" s="136"/>
      <c r="K104" s="136"/>
      <c r="AE104" s="39" t="str">
        <f>IF(D104="","",IFERROR(VLOOKUP(D104,Projects!$A$2:$A$20000,1,FALSE),""))</f>
        <v/>
      </c>
      <c r="AF104" s="2" t="str">
        <f>IF(D104="","",IFERROR(MATCH(D104,Projects!$A:$A,0),""))</f>
        <v/>
      </c>
    </row>
    <row r="105" spans="2:32" x14ac:dyDescent="0.25">
      <c r="B105" s="24"/>
      <c r="C105" s="136"/>
      <c r="D105" s="148"/>
      <c r="E105" s="136"/>
      <c r="F105" s="136"/>
      <c r="G105" s="136"/>
      <c r="H105" s="136"/>
      <c r="J105" s="136"/>
      <c r="K105" s="136"/>
      <c r="AE105" s="39" t="str">
        <f>IF(D105="","",IFERROR(VLOOKUP(D105,Projects!$A$2:$A$20000,1,FALSE),""))</f>
        <v/>
      </c>
      <c r="AF105" s="2" t="str">
        <f>IF(D105="","",IFERROR(MATCH(D105,Projects!$A:$A,0),""))</f>
        <v/>
      </c>
    </row>
    <row r="106" spans="2:32" x14ac:dyDescent="0.25">
      <c r="B106" s="24"/>
      <c r="C106" s="136"/>
      <c r="D106" s="148"/>
      <c r="E106" s="136"/>
      <c r="F106" s="136"/>
      <c r="G106" s="136"/>
      <c r="H106" s="136"/>
      <c r="J106" s="136"/>
      <c r="K106" s="136"/>
      <c r="AE106" s="39" t="str">
        <f>IF(D106="","",IFERROR(VLOOKUP(D106,Projects!$A$2:$A$20000,1,FALSE),""))</f>
        <v/>
      </c>
      <c r="AF106" s="2" t="str">
        <f>IF(D106="","",IFERROR(MATCH(D106,Projects!$A:$A,0),""))</f>
        <v/>
      </c>
    </row>
    <row r="107" spans="2:32" x14ac:dyDescent="0.25">
      <c r="B107" s="24"/>
      <c r="C107" s="136"/>
      <c r="D107" s="148"/>
      <c r="E107" s="136"/>
      <c r="F107" s="136"/>
      <c r="G107" s="136"/>
      <c r="H107" s="136"/>
      <c r="J107" s="136"/>
      <c r="K107" s="136"/>
      <c r="AE107" s="39" t="str">
        <f>IF(D107="","",IFERROR(VLOOKUP(D107,Projects!$A$2:$A$20000,1,FALSE),""))</f>
        <v/>
      </c>
      <c r="AF107" s="2" t="str">
        <f>IF(D107="","",IFERROR(MATCH(D107,Projects!$A:$A,0),""))</f>
        <v/>
      </c>
    </row>
    <row r="108" spans="2:32" x14ac:dyDescent="0.25">
      <c r="B108" s="24"/>
      <c r="C108" s="136"/>
      <c r="D108" s="148"/>
      <c r="E108" s="136"/>
      <c r="F108" s="136"/>
      <c r="G108" s="136"/>
      <c r="H108" s="136"/>
      <c r="J108" s="136"/>
      <c r="K108" s="136"/>
      <c r="AE108" s="39" t="str">
        <f>IF(D108="","",IFERROR(VLOOKUP(D108,Projects!$A$2:$A$20000,1,FALSE),""))</f>
        <v/>
      </c>
      <c r="AF108" s="2" t="str">
        <f>IF(D108="","",IFERROR(MATCH(D108,Projects!$A:$A,0),""))</f>
        <v/>
      </c>
    </row>
    <row r="109" spans="2:32" x14ac:dyDescent="0.25">
      <c r="B109" s="24"/>
      <c r="C109" s="136"/>
      <c r="D109" s="148"/>
      <c r="E109" s="136"/>
      <c r="F109" s="136"/>
      <c r="G109" s="136"/>
      <c r="H109" s="136"/>
      <c r="J109" s="136"/>
      <c r="K109" s="136"/>
      <c r="AE109" s="39" t="str">
        <f>IF(D109="","",IFERROR(VLOOKUP(D109,Projects!$A$2:$A$20000,1,FALSE),""))</f>
        <v/>
      </c>
      <c r="AF109" s="2" t="str">
        <f>IF(D109="","",IFERROR(MATCH(D109,Projects!$A:$A,0),""))</f>
        <v/>
      </c>
    </row>
    <row r="110" spans="2:32" x14ac:dyDescent="0.25">
      <c r="B110" s="24"/>
      <c r="C110" s="136"/>
      <c r="D110" s="148"/>
      <c r="E110" s="136"/>
      <c r="F110" s="136"/>
      <c r="G110" s="136"/>
      <c r="H110" s="136"/>
      <c r="J110" s="136"/>
      <c r="K110" s="136"/>
      <c r="AE110" s="39" t="str">
        <f>IF(D110="","",IFERROR(VLOOKUP(D110,Projects!$A$2:$A$20000,1,FALSE),""))</f>
        <v/>
      </c>
      <c r="AF110" s="2" t="str">
        <f>IF(D110="","",IFERROR(MATCH(D110,Projects!$A:$A,0),""))</f>
        <v/>
      </c>
    </row>
    <row r="111" spans="2:32" x14ac:dyDescent="0.25">
      <c r="B111" s="24"/>
      <c r="C111" s="136"/>
      <c r="D111" s="148"/>
      <c r="E111" s="136"/>
      <c r="F111" s="136"/>
      <c r="G111" s="136"/>
      <c r="H111" s="136"/>
      <c r="J111" s="136"/>
      <c r="K111" s="136"/>
      <c r="AE111" s="39" t="str">
        <f>IF(D111="","",IFERROR(VLOOKUP(D111,Projects!$A$2:$A$20000,1,FALSE),""))</f>
        <v/>
      </c>
      <c r="AF111" s="2" t="str">
        <f>IF(D111="","",IFERROR(MATCH(D111,Projects!$A:$A,0),""))</f>
        <v/>
      </c>
    </row>
    <row r="112" spans="2:32" x14ac:dyDescent="0.25">
      <c r="B112" s="24"/>
      <c r="C112" s="136"/>
      <c r="D112" s="148"/>
      <c r="E112" s="136"/>
      <c r="F112" s="136"/>
      <c r="G112" s="136"/>
      <c r="H112" s="136"/>
      <c r="J112" s="136"/>
      <c r="K112" s="136"/>
      <c r="AE112" s="39" t="str">
        <f>IF(D112="","",IFERROR(VLOOKUP(D112,Projects!$A$2:$A$20000,1,FALSE),""))</f>
        <v/>
      </c>
      <c r="AF112" s="2" t="str">
        <f>IF(D112="","",IFERROR(MATCH(D112,Projects!$A:$A,0),""))</f>
        <v/>
      </c>
    </row>
    <row r="113" spans="2:32" x14ac:dyDescent="0.25">
      <c r="B113" s="24"/>
      <c r="C113" s="136"/>
      <c r="D113" s="148"/>
      <c r="E113" s="136"/>
      <c r="F113" s="136"/>
      <c r="G113" s="136"/>
      <c r="H113" s="136"/>
      <c r="J113" s="136"/>
      <c r="K113" s="136"/>
      <c r="AE113" s="39" t="str">
        <f>IF(D113="","",IFERROR(VLOOKUP(D113,Projects!$A$2:$A$20000,1,FALSE),""))</f>
        <v/>
      </c>
      <c r="AF113" s="2" t="str">
        <f>IF(D113="","",IFERROR(MATCH(D113,Projects!$A:$A,0),""))</f>
        <v/>
      </c>
    </row>
    <row r="114" spans="2:32" x14ac:dyDescent="0.25">
      <c r="B114" s="24"/>
      <c r="C114" s="136"/>
      <c r="D114" s="148"/>
      <c r="E114" s="136"/>
      <c r="F114" s="136"/>
      <c r="G114" s="136"/>
      <c r="H114" s="136"/>
      <c r="J114" s="136"/>
      <c r="K114" s="136"/>
      <c r="AE114" s="39" t="str">
        <f>IF(D114="","",IFERROR(VLOOKUP(D114,Projects!$A$2:$A$20000,1,FALSE),""))</f>
        <v/>
      </c>
      <c r="AF114" s="2" t="str">
        <f>IF(D114="","",IFERROR(MATCH(D114,Projects!$A:$A,0),""))</f>
        <v/>
      </c>
    </row>
    <row r="115" spans="2:32" x14ac:dyDescent="0.25">
      <c r="B115" s="24"/>
      <c r="C115" s="136"/>
      <c r="D115" s="148"/>
      <c r="E115" s="136"/>
      <c r="F115" s="136"/>
      <c r="G115" s="136"/>
      <c r="H115" s="136"/>
      <c r="J115" s="136"/>
      <c r="K115" s="136"/>
      <c r="AE115" s="39" t="str">
        <f>IF(D115="","",IFERROR(VLOOKUP(D115,Projects!$A$2:$A$20000,1,FALSE),""))</f>
        <v/>
      </c>
      <c r="AF115" s="2" t="str">
        <f>IF(D115="","",IFERROR(MATCH(D115,Projects!$A:$A,0),""))</f>
        <v/>
      </c>
    </row>
    <row r="116" spans="2:32" x14ac:dyDescent="0.25">
      <c r="B116" s="24"/>
      <c r="C116" s="136"/>
      <c r="D116" s="148"/>
      <c r="E116" s="136"/>
      <c r="F116" s="136"/>
      <c r="G116" s="136"/>
      <c r="H116" s="136"/>
      <c r="J116" s="136"/>
      <c r="K116" s="136"/>
      <c r="AE116" s="39" t="str">
        <f>IF(D116="","",IFERROR(VLOOKUP(D116,Projects!$A$2:$A$20000,1,FALSE),""))</f>
        <v/>
      </c>
      <c r="AF116" s="2" t="str">
        <f>IF(D116="","",IFERROR(MATCH(D116,Projects!$A:$A,0),""))</f>
        <v/>
      </c>
    </row>
    <row r="117" spans="2:32" x14ac:dyDescent="0.25">
      <c r="B117" s="24"/>
      <c r="C117" s="136"/>
      <c r="D117" s="148"/>
      <c r="E117" s="136"/>
      <c r="F117" s="136"/>
      <c r="G117" s="136"/>
      <c r="H117" s="136"/>
      <c r="J117" s="136"/>
      <c r="K117" s="136"/>
      <c r="AE117" s="39" t="str">
        <f>IF(D117="","",IFERROR(VLOOKUP(D117,Projects!$A$2:$A$20000,1,FALSE),""))</f>
        <v/>
      </c>
      <c r="AF117" s="2" t="str">
        <f>IF(D117="","",IFERROR(MATCH(D117,Projects!$A:$A,0),""))</f>
        <v/>
      </c>
    </row>
    <row r="118" spans="2:32" x14ac:dyDescent="0.25">
      <c r="B118" s="24"/>
      <c r="C118" s="136"/>
      <c r="D118" s="148"/>
      <c r="E118" s="136"/>
      <c r="F118" s="136"/>
      <c r="G118" s="136"/>
      <c r="H118" s="136"/>
      <c r="J118" s="136"/>
      <c r="K118" s="136"/>
      <c r="AE118" s="39" t="str">
        <f>IF(D118="","",IFERROR(VLOOKUP(D118,Projects!$A$2:$A$20000,1,FALSE),""))</f>
        <v/>
      </c>
      <c r="AF118" s="2" t="str">
        <f>IF(D118="","",IFERROR(MATCH(D118,Projects!$A:$A,0),""))</f>
        <v/>
      </c>
    </row>
    <row r="119" spans="2:32" x14ac:dyDescent="0.25">
      <c r="B119" s="24"/>
      <c r="C119" s="136"/>
      <c r="D119" s="148"/>
      <c r="E119" s="136"/>
      <c r="F119" s="136"/>
      <c r="G119" s="136"/>
      <c r="H119" s="136"/>
      <c r="J119" s="136"/>
      <c r="K119" s="136"/>
      <c r="AE119" s="39" t="str">
        <f>IF(D119="","",IFERROR(VLOOKUP(D119,Projects!$A$2:$A$20000,1,FALSE),""))</f>
        <v/>
      </c>
      <c r="AF119" s="2" t="str">
        <f>IF(D119="","",IFERROR(MATCH(D119,Projects!$A:$A,0),""))</f>
        <v/>
      </c>
    </row>
    <row r="120" spans="2:32" x14ac:dyDescent="0.25">
      <c r="B120" s="24"/>
      <c r="C120" s="136"/>
      <c r="D120" s="148"/>
      <c r="E120" s="136"/>
      <c r="F120" s="136"/>
      <c r="G120" s="136"/>
      <c r="H120" s="136"/>
      <c r="J120" s="136"/>
      <c r="K120" s="136"/>
      <c r="AE120" s="39" t="str">
        <f>IF(D120="","",IFERROR(VLOOKUP(D120,Projects!$A$2:$A$20000,1,FALSE),""))</f>
        <v/>
      </c>
      <c r="AF120" s="2" t="str">
        <f>IF(D120="","",IFERROR(MATCH(D120,Projects!$A:$A,0),""))</f>
        <v/>
      </c>
    </row>
    <row r="121" spans="2:32" x14ac:dyDescent="0.25">
      <c r="B121" s="24"/>
      <c r="C121" s="136"/>
      <c r="D121" s="148"/>
      <c r="E121" s="136"/>
      <c r="F121" s="136"/>
      <c r="G121" s="136"/>
      <c r="H121" s="136"/>
      <c r="J121" s="136"/>
      <c r="K121" s="136"/>
      <c r="AE121" s="39" t="str">
        <f>IF(D121="","",IFERROR(VLOOKUP(D121,Projects!$A$2:$A$20000,1,FALSE),""))</f>
        <v/>
      </c>
      <c r="AF121" s="2" t="str">
        <f>IF(D121="","",IFERROR(MATCH(D121,Projects!$A:$A,0),""))</f>
        <v/>
      </c>
    </row>
    <row r="122" spans="2:32" x14ac:dyDescent="0.25">
      <c r="B122" s="24"/>
      <c r="C122" s="136"/>
      <c r="D122" s="148"/>
      <c r="E122" s="136"/>
      <c r="F122" s="136"/>
      <c r="G122" s="136"/>
      <c r="H122" s="136"/>
      <c r="J122" s="136"/>
      <c r="K122" s="136"/>
      <c r="AE122" s="39" t="str">
        <f>IF(D122="","",IFERROR(VLOOKUP(D122,Projects!$A$2:$A$20000,1,FALSE),""))</f>
        <v/>
      </c>
      <c r="AF122" s="2" t="str">
        <f>IF(D122="","",IFERROR(MATCH(D122,Projects!$A:$A,0),""))</f>
        <v/>
      </c>
    </row>
    <row r="123" spans="2:32" x14ac:dyDescent="0.25">
      <c r="B123" s="24"/>
      <c r="C123" s="136"/>
      <c r="D123" s="148"/>
      <c r="E123" s="136"/>
      <c r="F123" s="136"/>
      <c r="G123" s="136"/>
      <c r="H123" s="136"/>
      <c r="J123" s="136"/>
      <c r="K123" s="136"/>
      <c r="AE123" s="39" t="str">
        <f>IF(D123="","",IFERROR(VLOOKUP(D123,Projects!$A$2:$A$20000,1,FALSE),""))</f>
        <v/>
      </c>
      <c r="AF123" s="2" t="str">
        <f>IF(D123="","",IFERROR(MATCH(D123,Projects!$A:$A,0),""))</f>
        <v/>
      </c>
    </row>
    <row r="124" spans="2:32" x14ac:dyDescent="0.25">
      <c r="B124" s="24"/>
      <c r="C124" s="136"/>
      <c r="D124" s="148"/>
      <c r="E124" s="136"/>
      <c r="F124" s="136"/>
      <c r="G124" s="136"/>
      <c r="H124" s="136"/>
      <c r="J124" s="136"/>
      <c r="K124" s="136"/>
      <c r="AE124" s="39" t="str">
        <f>IF(D124="","",IFERROR(VLOOKUP(D124,Projects!$A$2:$A$20000,1,FALSE),""))</f>
        <v/>
      </c>
      <c r="AF124" s="2" t="str">
        <f>IF(D124="","",IFERROR(MATCH(D124,Projects!$A:$A,0),""))</f>
        <v/>
      </c>
    </row>
    <row r="125" spans="2:32" x14ac:dyDescent="0.25">
      <c r="B125" s="24"/>
      <c r="C125" s="136"/>
      <c r="D125" s="148"/>
      <c r="E125" s="136"/>
      <c r="F125" s="136"/>
      <c r="G125" s="136"/>
      <c r="H125" s="136"/>
      <c r="J125" s="136"/>
      <c r="K125" s="136"/>
      <c r="AE125" s="39" t="str">
        <f>IF(D125="","",IFERROR(VLOOKUP(D125,Projects!$A$2:$A$20000,1,FALSE),""))</f>
        <v/>
      </c>
      <c r="AF125" s="2" t="str">
        <f>IF(D125="","",IFERROR(MATCH(D125,Projects!$A:$A,0),""))</f>
        <v/>
      </c>
    </row>
    <row r="126" spans="2:32" x14ac:dyDescent="0.25">
      <c r="B126" s="24"/>
      <c r="C126" s="136"/>
      <c r="D126" s="148"/>
      <c r="E126" s="136"/>
      <c r="F126" s="136"/>
      <c r="G126" s="136"/>
      <c r="H126" s="136"/>
      <c r="J126" s="136"/>
      <c r="K126" s="136"/>
      <c r="AE126" s="39" t="str">
        <f>IF(D126="","",IFERROR(VLOOKUP(D126,Projects!$A$2:$A$20000,1,FALSE),""))</f>
        <v/>
      </c>
      <c r="AF126" s="2" t="str">
        <f>IF(D126="","",IFERROR(MATCH(D126,Projects!$A:$A,0),""))</f>
        <v/>
      </c>
    </row>
    <row r="127" spans="2:32" x14ac:dyDescent="0.25">
      <c r="B127" s="24"/>
      <c r="C127" s="136"/>
      <c r="D127" s="148"/>
      <c r="E127" s="136"/>
      <c r="F127" s="136"/>
      <c r="G127" s="136"/>
      <c r="H127" s="136"/>
      <c r="J127" s="136"/>
      <c r="K127" s="136"/>
      <c r="AE127" s="39" t="str">
        <f>IF(D127="","",IFERROR(VLOOKUP(D127,Projects!$A$2:$A$20000,1,FALSE),""))</f>
        <v/>
      </c>
      <c r="AF127" s="2" t="str">
        <f>IF(D127="","",IFERROR(MATCH(D127,Projects!$A:$A,0),""))</f>
        <v/>
      </c>
    </row>
    <row r="128" spans="2:32" x14ac:dyDescent="0.25">
      <c r="B128" s="24"/>
      <c r="C128" s="136"/>
      <c r="D128" s="148"/>
      <c r="E128" s="136"/>
      <c r="F128" s="136"/>
      <c r="G128" s="136"/>
      <c r="H128" s="136"/>
      <c r="J128" s="136"/>
      <c r="K128" s="136"/>
      <c r="AE128" s="39" t="str">
        <f>IF(D128="","",IFERROR(VLOOKUP(D128,Projects!$A$2:$A$20000,1,FALSE),""))</f>
        <v/>
      </c>
      <c r="AF128" s="2" t="str">
        <f>IF(D128="","",IFERROR(MATCH(D128,Projects!$A:$A,0),""))</f>
        <v/>
      </c>
    </row>
    <row r="129" spans="2:32" x14ac:dyDescent="0.25">
      <c r="B129" s="24"/>
      <c r="C129" s="136"/>
      <c r="D129" s="148"/>
      <c r="E129" s="136"/>
      <c r="F129" s="136"/>
      <c r="G129" s="136"/>
      <c r="H129" s="136"/>
      <c r="J129" s="136"/>
      <c r="K129" s="136"/>
      <c r="AE129" s="39" t="str">
        <f>IF(D129="","",IFERROR(VLOOKUP(D129,Projects!$A$2:$A$20000,1,FALSE),""))</f>
        <v/>
      </c>
      <c r="AF129" s="2" t="str">
        <f>IF(D129="","",IFERROR(MATCH(D129,Projects!$A:$A,0),""))</f>
        <v/>
      </c>
    </row>
    <row r="130" spans="2:32" x14ac:dyDescent="0.25">
      <c r="B130" s="24"/>
      <c r="C130" s="136"/>
      <c r="D130" s="148"/>
      <c r="E130" s="136"/>
      <c r="F130" s="136"/>
      <c r="G130" s="136"/>
      <c r="H130" s="136"/>
      <c r="J130" s="136"/>
      <c r="K130" s="136"/>
      <c r="AE130" s="39" t="str">
        <f>IF(D130="","",IFERROR(VLOOKUP(D130,Projects!$A$2:$A$20000,1,FALSE),""))</f>
        <v/>
      </c>
      <c r="AF130" s="2" t="str">
        <f>IF(D130="","",IFERROR(MATCH(D130,Projects!$A:$A,0),""))</f>
        <v/>
      </c>
    </row>
    <row r="131" spans="2:32" x14ac:dyDescent="0.25">
      <c r="B131" s="24"/>
      <c r="C131" s="136"/>
      <c r="D131" s="148"/>
      <c r="E131" s="136"/>
      <c r="F131" s="136"/>
      <c r="G131" s="136"/>
      <c r="H131" s="136"/>
      <c r="J131" s="136"/>
      <c r="K131" s="136"/>
      <c r="AE131" s="39" t="str">
        <f>IF(D131="","",IFERROR(VLOOKUP(D131,Projects!$A$2:$A$20000,1,FALSE),""))</f>
        <v/>
      </c>
      <c r="AF131" s="2" t="str">
        <f>IF(D131="","",IFERROR(MATCH(D131,Projects!$A:$A,0),""))</f>
        <v/>
      </c>
    </row>
    <row r="132" spans="2:32" x14ac:dyDescent="0.25">
      <c r="B132" s="24"/>
      <c r="C132" s="136"/>
      <c r="D132" s="148"/>
      <c r="E132" s="136"/>
      <c r="F132" s="136"/>
      <c r="G132" s="136"/>
      <c r="H132" s="136"/>
      <c r="J132" s="136"/>
      <c r="K132" s="136"/>
      <c r="AE132" s="39" t="str">
        <f>IF(D132="","",IFERROR(VLOOKUP(D132,Projects!$A$2:$A$20000,1,FALSE),""))</f>
        <v/>
      </c>
      <c r="AF132" s="2" t="str">
        <f>IF(D132="","",IFERROR(MATCH(D132,Projects!$A:$A,0),""))</f>
        <v/>
      </c>
    </row>
    <row r="133" spans="2:32" x14ac:dyDescent="0.25">
      <c r="B133" s="24"/>
      <c r="C133" s="136"/>
      <c r="D133" s="148"/>
      <c r="E133" s="136"/>
      <c r="F133" s="136"/>
      <c r="G133" s="136"/>
      <c r="H133" s="136"/>
      <c r="J133" s="136"/>
      <c r="K133" s="136"/>
      <c r="AE133" s="39" t="str">
        <f>IF(D133="","",IFERROR(VLOOKUP(D133,Projects!$A$2:$A$20000,1,FALSE),""))</f>
        <v/>
      </c>
      <c r="AF133" s="2" t="str">
        <f>IF(D133="","",IFERROR(MATCH(D133,Projects!$A:$A,0),""))</f>
        <v/>
      </c>
    </row>
    <row r="134" spans="2:32" x14ac:dyDescent="0.25">
      <c r="B134" s="24"/>
      <c r="C134" s="136"/>
      <c r="D134" s="148"/>
      <c r="E134" s="136"/>
      <c r="F134" s="136"/>
      <c r="G134" s="136"/>
      <c r="H134" s="136"/>
      <c r="J134" s="136"/>
      <c r="K134" s="136"/>
      <c r="AE134" s="39" t="str">
        <f>IF(D134="","",IFERROR(VLOOKUP(D134,Projects!$A$2:$A$20000,1,FALSE),""))</f>
        <v/>
      </c>
      <c r="AF134" s="2" t="str">
        <f>IF(D134="","",IFERROR(MATCH(D134,Projects!$A:$A,0),""))</f>
        <v/>
      </c>
    </row>
    <row r="135" spans="2:32" x14ac:dyDescent="0.25">
      <c r="B135" s="24"/>
      <c r="C135" s="136"/>
      <c r="D135" s="148"/>
      <c r="E135" s="136"/>
      <c r="F135" s="136"/>
      <c r="G135" s="136"/>
      <c r="H135" s="136"/>
      <c r="J135" s="136"/>
      <c r="K135" s="136"/>
      <c r="AE135" s="39" t="str">
        <f>IF(D135="","",IFERROR(VLOOKUP(D135,Projects!$A$2:$A$20000,1,FALSE),""))</f>
        <v/>
      </c>
      <c r="AF135" s="2" t="str">
        <f>IF(D135="","",IFERROR(MATCH(D135,Projects!$A:$A,0),""))</f>
        <v/>
      </c>
    </row>
    <row r="136" spans="2:32" x14ac:dyDescent="0.25">
      <c r="B136" s="24"/>
      <c r="C136" s="136"/>
      <c r="D136" s="148"/>
      <c r="E136" s="136"/>
      <c r="F136" s="136"/>
      <c r="G136" s="136"/>
      <c r="H136" s="136"/>
      <c r="J136" s="136"/>
      <c r="K136" s="136"/>
      <c r="AE136" s="39" t="str">
        <f>IF(D136="","",IFERROR(VLOOKUP(D136,Projects!$A$2:$A$20000,1,FALSE),""))</f>
        <v/>
      </c>
      <c r="AF136" s="2" t="str">
        <f>IF(D136="","",IFERROR(MATCH(D136,Projects!$A:$A,0),""))</f>
        <v/>
      </c>
    </row>
    <row r="137" spans="2:32" x14ac:dyDescent="0.25">
      <c r="B137" s="24"/>
      <c r="C137" s="136"/>
      <c r="D137" s="148"/>
      <c r="E137" s="136"/>
      <c r="F137" s="136"/>
      <c r="G137" s="136"/>
      <c r="H137" s="136"/>
      <c r="J137" s="136"/>
      <c r="K137" s="136"/>
      <c r="AE137" s="39" t="str">
        <f>IF(D137="","",IFERROR(VLOOKUP(D137,Projects!$A$2:$A$20000,1,FALSE),""))</f>
        <v/>
      </c>
      <c r="AF137" s="2" t="str">
        <f>IF(D137="","",IFERROR(MATCH(D137,Projects!$A:$A,0),""))</f>
        <v/>
      </c>
    </row>
    <row r="138" spans="2:32" x14ac:dyDescent="0.25">
      <c r="B138" s="24"/>
      <c r="C138" s="136"/>
      <c r="D138" s="148"/>
      <c r="E138" s="136"/>
      <c r="F138" s="136"/>
      <c r="G138" s="136"/>
      <c r="H138" s="136"/>
      <c r="J138" s="136"/>
      <c r="K138" s="136"/>
      <c r="AE138" s="39" t="str">
        <f>IF(D138="","",IFERROR(VLOOKUP(D138,Projects!$A$2:$A$20000,1,FALSE),""))</f>
        <v/>
      </c>
      <c r="AF138" s="2" t="str">
        <f>IF(D138="","",IFERROR(MATCH(D138,Projects!$A:$A,0),""))</f>
        <v/>
      </c>
    </row>
    <row r="139" spans="2:32" x14ac:dyDescent="0.25">
      <c r="B139" s="24"/>
      <c r="C139" s="136"/>
      <c r="D139" s="148"/>
      <c r="E139" s="136"/>
      <c r="F139" s="136"/>
      <c r="G139" s="136"/>
      <c r="H139" s="136"/>
      <c r="J139" s="136"/>
      <c r="K139" s="136"/>
      <c r="AE139" s="39" t="str">
        <f>IF(D139="","",IFERROR(VLOOKUP(D139,Projects!$A$2:$A$20000,1,FALSE),""))</f>
        <v/>
      </c>
      <c r="AF139" s="2" t="str">
        <f>IF(D139="","",IFERROR(MATCH(D139,Projects!$A:$A,0),""))</f>
        <v/>
      </c>
    </row>
    <row r="140" spans="2:32" x14ac:dyDescent="0.25">
      <c r="B140" s="24"/>
      <c r="C140" s="136"/>
      <c r="D140" s="148"/>
      <c r="E140" s="136"/>
      <c r="F140" s="136"/>
      <c r="G140" s="136"/>
      <c r="H140" s="136"/>
      <c r="J140" s="136"/>
      <c r="K140" s="136"/>
      <c r="AE140" s="39" t="str">
        <f>IF(D140="","",IFERROR(VLOOKUP(D140,Projects!$A$2:$A$20000,1,FALSE),""))</f>
        <v/>
      </c>
      <c r="AF140" s="2" t="str">
        <f>IF(D140="","",IFERROR(MATCH(D140,Projects!$A:$A,0),""))</f>
        <v/>
      </c>
    </row>
    <row r="141" spans="2:32" x14ac:dyDescent="0.25">
      <c r="B141" s="24"/>
      <c r="C141" s="136"/>
      <c r="D141" s="148"/>
      <c r="E141" s="136"/>
      <c r="F141" s="136"/>
      <c r="G141" s="136"/>
      <c r="H141" s="136"/>
      <c r="J141" s="136"/>
      <c r="K141" s="136"/>
      <c r="AE141" s="39" t="str">
        <f>IF(D141="","",IFERROR(VLOOKUP(D141,Projects!$A$2:$A$20000,1,FALSE),""))</f>
        <v/>
      </c>
      <c r="AF141" s="2" t="str">
        <f>IF(D141="","",IFERROR(MATCH(D141,Projects!$A:$A,0),""))</f>
        <v/>
      </c>
    </row>
    <row r="142" spans="2:32" x14ac:dyDescent="0.25">
      <c r="B142" s="24"/>
      <c r="C142" s="136"/>
      <c r="D142" s="148"/>
      <c r="E142" s="136"/>
      <c r="F142" s="136"/>
      <c r="G142" s="136"/>
      <c r="H142" s="136"/>
      <c r="J142" s="136"/>
      <c r="K142" s="136"/>
      <c r="AE142" s="39" t="str">
        <f>IF(D142="","",IFERROR(VLOOKUP(D142,Projects!$A$2:$A$20000,1,FALSE),""))</f>
        <v/>
      </c>
      <c r="AF142" s="2" t="str">
        <f>IF(D142="","",IFERROR(MATCH(D142,Projects!$A:$A,0),""))</f>
        <v/>
      </c>
    </row>
    <row r="143" spans="2:32" x14ac:dyDescent="0.25">
      <c r="B143" s="24"/>
      <c r="C143" s="136"/>
      <c r="D143" s="148"/>
      <c r="E143" s="136"/>
      <c r="F143" s="136"/>
      <c r="G143" s="136"/>
      <c r="H143" s="136"/>
      <c r="J143" s="136"/>
      <c r="K143" s="136"/>
      <c r="AE143" s="39" t="str">
        <f>IF(D143="","",IFERROR(VLOOKUP(D143,Projects!$A$2:$A$20000,1,FALSE),""))</f>
        <v/>
      </c>
      <c r="AF143" s="2" t="str">
        <f>IF(D143="","",IFERROR(MATCH(D143,Projects!$A:$A,0),""))</f>
        <v/>
      </c>
    </row>
    <row r="144" spans="2:32" x14ac:dyDescent="0.25">
      <c r="B144" s="24"/>
      <c r="C144" s="136"/>
      <c r="D144" s="148"/>
      <c r="E144" s="136"/>
      <c r="F144" s="136"/>
      <c r="G144" s="136"/>
      <c r="H144" s="136"/>
      <c r="J144" s="136"/>
      <c r="K144" s="136"/>
      <c r="AE144" s="39" t="str">
        <f>IF(D144="","",IFERROR(VLOOKUP(D144,Projects!$A$2:$A$20000,1,FALSE),""))</f>
        <v/>
      </c>
      <c r="AF144" s="2" t="str">
        <f>IF(D144="","",IFERROR(MATCH(D144,Projects!$A:$A,0),""))</f>
        <v/>
      </c>
    </row>
    <row r="145" spans="2:32" x14ac:dyDescent="0.25">
      <c r="B145" s="24"/>
      <c r="C145" s="136"/>
      <c r="D145" s="148"/>
      <c r="E145" s="136"/>
      <c r="F145" s="136"/>
      <c r="G145" s="136"/>
      <c r="H145" s="136"/>
      <c r="J145" s="136"/>
      <c r="K145" s="136"/>
      <c r="AE145" s="39" t="str">
        <f>IF(D145="","",IFERROR(VLOOKUP(D145,Projects!$A$2:$A$20000,1,FALSE),""))</f>
        <v/>
      </c>
      <c r="AF145" s="2" t="str">
        <f>IF(D145="","",IFERROR(MATCH(D145,Projects!$A:$A,0),""))</f>
        <v/>
      </c>
    </row>
    <row r="146" spans="2:32" x14ac:dyDescent="0.25">
      <c r="B146" s="24"/>
      <c r="C146" s="136"/>
      <c r="D146" s="148"/>
      <c r="E146" s="136"/>
      <c r="F146" s="136"/>
      <c r="G146" s="136"/>
      <c r="H146" s="136"/>
      <c r="J146" s="136"/>
      <c r="K146" s="136"/>
      <c r="AE146" s="39" t="str">
        <f>IF(D146="","",IFERROR(VLOOKUP(D146,Projects!$A$2:$A$20000,1,FALSE),""))</f>
        <v/>
      </c>
      <c r="AF146" s="2" t="str">
        <f>IF(D146="","",IFERROR(MATCH(D146,Projects!$A:$A,0),""))</f>
        <v/>
      </c>
    </row>
    <row r="147" spans="2:32" x14ac:dyDescent="0.25">
      <c r="B147" s="24"/>
      <c r="C147" s="136"/>
      <c r="D147" s="148"/>
      <c r="E147" s="136"/>
      <c r="F147" s="136"/>
      <c r="G147" s="136"/>
      <c r="H147" s="136"/>
      <c r="J147" s="136"/>
      <c r="K147" s="136"/>
      <c r="AE147" s="39" t="str">
        <f>IF(D147="","",IFERROR(VLOOKUP(D147,Projects!$A$2:$A$20000,1,FALSE),""))</f>
        <v/>
      </c>
      <c r="AF147" s="2" t="str">
        <f>IF(D147="","",IFERROR(MATCH(D147,Projects!$A:$A,0),""))</f>
        <v/>
      </c>
    </row>
    <row r="148" spans="2:32" x14ac:dyDescent="0.25">
      <c r="B148" s="24"/>
      <c r="C148" s="136"/>
      <c r="D148" s="148"/>
      <c r="E148" s="136"/>
      <c r="F148" s="136"/>
      <c r="G148" s="136"/>
      <c r="H148" s="136"/>
      <c r="J148" s="136"/>
      <c r="K148" s="136"/>
      <c r="AE148" s="39" t="str">
        <f>IF(D148="","",IFERROR(VLOOKUP(D148,Projects!$A$2:$A$20000,1,FALSE),""))</f>
        <v/>
      </c>
      <c r="AF148" s="2" t="str">
        <f>IF(D148="","",IFERROR(MATCH(D148,Projects!$A:$A,0),""))</f>
        <v/>
      </c>
    </row>
    <row r="149" spans="2:32" x14ac:dyDescent="0.25">
      <c r="B149" s="24"/>
      <c r="C149" s="136"/>
      <c r="D149" s="148"/>
      <c r="E149" s="136"/>
      <c r="F149" s="136"/>
      <c r="G149" s="136"/>
      <c r="H149" s="136"/>
      <c r="J149" s="136"/>
      <c r="K149" s="136"/>
      <c r="AE149" s="39" t="str">
        <f>IF(D149="","",IFERROR(VLOOKUP(D149,Projects!$A$2:$A$20000,1,FALSE),""))</f>
        <v/>
      </c>
      <c r="AF149" s="2" t="str">
        <f>IF(D149="","",IFERROR(MATCH(D149,Projects!$A:$A,0),""))</f>
        <v/>
      </c>
    </row>
    <row r="150" spans="2:32" x14ac:dyDescent="0.25">
      <c r="B150" s="24"/>
      <c r="C150" s="136"/>
      <c r="D150" s="148"/>
      <c r="E150" s="136"/>
      <c r="F150" s="136"/>
      <c r="G150" s="136"/>
      <c r="H150" s="136"/>
      <c r="J150" s="136"/>
      <c r="K150" s="136"/>
      <c r="AE150" s="39" t="str">
        <f>IF(D150="","",IFERROR(VLOOKUP(D150,Projects!$A$2:$A$20000,1,FALSE),""))</f>
        <v/>
      </c>
      <c r="AF150" s="2" t="str">
        <f>IF(D150="","",IFERROR(MATCH(D150,Projects!$A:$A,0),""))</f>
        <v/>
      </c>
    </row>
    <row r="151" spans="2:32" x14ac:dyDescent="0.25">
      <c r="B151" s="24"/>
      <c r="C151" s="136"/>
      <c r="D151" s="148"/>
      <c r="E151" s="136"/>
      <c r="F151" s="136"/>
      <c r="G151" s="136"/>
      <c r="H151" s="136"/>
      <c r="J151" s="136"/>
      <c r="K151" s="136"/>
      <c r="AE151" s="39" t="str">
        <f>IF(D151="","",IFERROR(VLOOKUP(D151,Projects!$A$2:$A$20000,1,FALSE),""))</f>
        <v/>
      </c>
      <c r="AF151" s="2" t="str">
        <f>IF(D151="","",IFERROR(MATCH(D151,Projects!$A:$A,0),""))</f>
        <v/>
      </c>
    </row>
    <row r="152" spans="2:32" x14ac:dyDescent="0.25">
      <c r="B152" s="24"/>
      <c r="C152" s="136"/>
      <c r="D152" s="148"/>
      <c r="E152" s="136"/>
      <c r="F152" s="136"/>
      <c r="G152" s="136"/>
      <c r="H152" s="136"/>
      <c r="J152" s="136"/>
      <c r="K152" s="136"/>
      <c r="AE152" s="39" t="str">
        <f>IF(D152="","",IFERROR(VLOOKUP(D152,Projects!$A$2:$A$20000,1,FALSE),""))</f>
        <v/>
      </c>
      <c r="AF152" s="2" t="str">
        <f>IF(D152="","",IFERROR(MATCH(D152,Projects!$A:$A,0),""))</f>
        <v/>
      </c>
    </row>
    <row r="153" spans="2:32" x14ac:dyDescent="0.25">
      <c r="B153" s="24"/>
      <c r="C153" s="136"/>
      <c r="D153" s="148"/>
      <c r="E153" s="136"/>
      <c r="F153" s="136"/>
      <c r="G153" s="136"/>
      <c r="H153" s="136"/>
      <c r="J153" s="136"/>
      <c r="K153" s="136"/>
      <c r="AE153" s="39" t="str">
        <f>IF(D153="","",IFERROR(VLOOKUP(D153,Projects!$A$2:$A$20000,1,FALSE),""))</f>
        <v/>
      </c>
      <c r="AF153" s="2" t="str">
        <f>IF(D153="","",IFERROR(MATCH(D153,Projects!$A:$A,0),""))</f>
        <v/>
      </c>
    </row>
    <row r="154" spans="2:32" x14ac:dyDescent="0.25">
      <c r="B154" s="24"/>
      <c r="C154" s="136"/>
      <c r="D154" s="148"/>
      <c r="E154" s="136"/>
      <c r="F154" s="136"/>
      <c r="G154" s="136"/>
      <c r="H154" s="136"/>
      <c r="J154" s="136"/>
      <c r="K154" s="136"/>
      <c r="AE154" s="39" t="str">
        <f>IF(D154="","",IFERROR(VLOOKUP(D154,Projects!$A$2:$A$20000,1,FALSE),""))</f>
        <v/>
      </c>
      <c r="AF154" s="2" t="str">
        <f>IF(D154="","",IFERROR(MATCH(D154,Projects!$A:$A,0),""))</f>
        <v/>
      </c>
    </row>
    <row r="155" spans="2:32" x14ac:dyDescent="0.25">
      <c r="B155" s="24"/>
      <c r="C155" s="136"/>
      <c r="D155" s="148"/>
      <c r="E155" s="136"/>
      <c r="F155" s="136"/>
      <c r="G155" s="136"/>
      <c r="H155" s="136"/>
      <c r="J155" s="136"/>
      <c r="K155" s="136"/>
      <c r="AE155" s="39" t="str">
        <f>IF(D155="","",IFERROR(VLOOKUP(D155,Projects!$A$2:$A$20000,1,FALSE),""))</f>
        <v/>
      </c>
      <c r="AF155" s="2" t="str">
        <f>IF(D155="","",IFERROR(MATCH(D155,Projects!$A:$A,0),""))</f>
        <v/>
      </c>
    </row>
    <row r="156" spans="2:32" x14ac:dyDescent="0.25">
      <c r="B156" s="24"/>
      <c r="C156" s="136"/>
      <c r="D156" s="148"/>
      <c r="E156" s="136"/>
      <c r="F156" s="136"/>
      <c r="G156" s="136"/>
      <c r="H156" s="136"/>
      <c r="J156" s="136"/>
      <c r="K156" s="136"/>
      <c r="AE156" s="39" t="str">
        <f>IF(D156="","",IFERROR(VLOOKUP(D156,Projects!$A$2:$A$20000,1,FALSE),""))</f>
        <v/>
      </c>
      <c r="AF156" s="2" t="str">
        <f>IF(D156="","",IFERROR(MATCH(D156,Projects!$A:$A,0),""))</f>
        <v/>
      </c>
    </row>
    <row r="157" spans="2:32" x14ac:dyDescent="0.25">
      <c r="B157" s="24"/>
      <c r="C157" s="136"/>
      <c r="D157" s="148"/>
      <c r="E157" s="136"/>
      <c r="F157" s="136"/>
      <c r="G157" s="136"/>
      <c r="H157" s="136"/>
      <c r="J157" s="136"/>
      <c r="K157" s="136"/>
      <c r="AE157" s="39" t="str">
        <f>IF(D157="","",IFERROR(VLOOKUP(D157,Projects!$A$2:$A$20000,1,FALSE),""))</f>
        <v/>
      </c>
      <c r="AF157" s="2" t="str">
        <f>IF(D157="","",IFERROR(MATCH(D157,Projects!$A:$A,0),""))</f>
        <v/>
      </c>
    </row>
    <row r="158" spans="2:32" x14ac:dyDescent="0.25">
      <c r="B158" s="24"/>
      <c r="C158" s="136"/>
      <c r="D158" s="148"/>
      <c r="E158" s="136"/>
      <c r="F158" s="136"/>
      <c r="G158" s="136"/>
      <c r="H158" s="136"/>
      <c r="J158" s="136"/>
      <c r="K158" s="136"/>
      <c r="AE158" s="39" t="str">
        <f>IF(D158="","",IFERROR(VLOOKUP(D158,Projects!$A$2:$A$20000,1,FALSE),""))</f>
        <v/>
      </c>
      <c r="AF158" s="2" t="str">
        <f>IF(D158="","",IFERROR(MATCH(D158,Projects!$A:$A,0),""))</f>
        <v/>
      </c>
    </row>
    <row r="159" spans="2:32" x14ac:dyDescent="0.25">
      <c r="B159" s="24"/>
      <c r="C159" s="136"/>
      <c r="D159" s="148"/>
      <c r="E159" s="136"/>
      <c r="F159" s="136"/>
      <c r="G159" s="136"/>
      <c r="H159" s="136"/>
      <c r="J159" s="136"/>
      <c r="K159" s="136"/>
      <c r="AE159" s="39" t="str">
        <f>IF(D159="","",IFERROR(VLOOKUP(D159,Projects!$A$2:$A$20000,1,FALSE),""))</f>
        <v/>
      </c>
      <c r="AF159" s="2" t="str">
        <f>IF(D159="","",IFERROR(MATCH(D159,Projects!$A:$A,0),""))</f>
        <v/>
      </c>
    </row>
    <row r="160" spans="2:32" x14ac:dyDescent="0.25">
      <c r="B160" s="24"/>
      <c r="C160" s="136"/>
      <c r="D160" s="148"/>
      <c r="E160" s="136"/>
      <c r="F160" s="136"/>
      <c r="G160" s="136"/>
      <c r="H160" s="136"/>
      <c r="J160" s="136"/>
      <c r="K160" s="136"/>
      <c r="AE160" s="39" t="str">
        <f>IF(D160="","",IFERROR(VLOOKUP(D160,Projects!$A$2:$A$20000,1,FALSE),""))</f>
        <v/>
      </c>
      <c r="AF160" s="2" t="str">
        <f>IF(D160="","",IFERROR(MATCH(D160,Projects!$A:$A,0),""))</f>
        <v/>
      </c>
    </row>
    <row r="161" spans="2:32" x14ac:dyDescent="0.25">
      <c r="B161" s="24"/>
      <c r="C161" s="136"/>
      <c r="D161" s="148"/>
      <c r="E161" s="136"/>
      <c r="F161" s="136"/>
      <c r="G161" s="136"/>
      <c r="H161" s="136"/>
      <c r="J161" s="136"/>
      <c r="K161" s="136"/>
      <c r="AE161" s="39" t="str">
        <f>IF(D161="","",IFERROR(VLOOKUP(D161,Projects!$A$2:$A$20000,1,FALSE),""))</f>
        <v/>
      </c>
      <c r="AF161" s="2" t="str">
        <f>IF(D161="","",IFERROR(MATCH(D161,Projects!$A:$A,0),""))</f>
        <v/>
      </c>
    </row>
    <row r="162" spans="2:32" x14ac:dyDescent="0.25">
      <c r="B162" s="24"/>
      <c r="C162" s="136"/>
      <c r="D162" s="148"/>
      <c r="E162" s="136"/>
      <c r="F162" s="136"/>
      <c r="G162" s="136"/>
      <c r="H162" s="136"/>
      <c r="J162" s="136"/>
      <c r="K162" s="136"/>
      <c r="AE162" s="39" t="str">
        <f>IF(D162="","",IFERROR(VLOOKUP(D162,Projects!$A$2:$A$20000,1,FALSE),""))</f>
        <v/>
      </c>
      <c r="AF162" s="2" t="str">
        <f>IF(D162="","",IFERROR(MATCH(D162,Projects!$A:$A,0),""))</f>
        <v/>
      </c>
    </row>
    <row r="163" spans="2:32" x14ac:dyDescent="0.25">
      <c r="B163" s="24"/>
      <c r="C163" s="136"/>
      <c r="D163" s="148"/>
      <c r="E163" s="136"/>
      <c r="F163" s="136"/>
      <c r="G163" s="136"/>
      <c r="H163" s="136"/>
      <c r="J163" s="136"/>
      <c r="K163" s="136"/>
      <c r="AE163" s="39" t="str">
        <f>IF(D163="","",IFERROR(VLOOKUP(D163,Projects!$A$2:$A$20000,1,FALSE),""))</f>
        <v/>
      </c>
      <c r="AF163" s="2" t="str">
        <f>IF(D163="","",IFERROR(MATCH(D163,Projects!$A:$A,0),""))</f>
        <v/>
      </c>
    </row>
    <row r="164" spans="2:32" x14ac:dyDescent="0.25">
      <c r="B164" s="24"/>
      <c r="C164" s="136"/>
      <c r="D164" s="148"/>
      <c r="E164" s="136"/>
      <c r="F164" s="136"/>
      <c r="G164" s="136"/>
      <c r="H164" s="136"/>
      <c r="J164" s="136"/>
      <c r="K164" s="136"/>
      <c r="AE164" s="39" t="str">
        <f>IF(D164="","",IFERROR(VLOOKUP(D164,Projects!$A$2:$A$20000,1,FALSE),""))</f>
        <v/>
      </c>
      <c r="AF164" s="2" t="str">
        <f>IF(D164="","",IFERROR(MATCH(D164,Projects!$A:$A,0),""))</f>
        <v/>
      </c>
    </row>
    <row r="165" spans="2:32" x14ac:dyDescent="0.25">
      <c r="B165" s="24"/>
      <c r="C165" s="136"/>
      <c r="D165" s="148"/>
      <c r="E165" s="136"/>
      <c r="F165" s="136"/>
      <c r="G165" s="136"/>
      <c r="H165" s="136"/>
      <c r="J165" s="136"/>
      <c r="K165" s="136"/>
      <c r="AE165" s="39" t="str">
        <f>IF(D165="","",IFERROR(VLOOKUP(D165,Projects!$A$2:$A$20000,1,FALSE),""))</f>
        <v/>
      </c>
      <c r="AF165" s="2" t="str">
        <f>IF(D165="","",IFERROR(MATCH(D165,Projects!$A:$A,0),""))</f>
        <v/>
      </c>
    </row>
    <row r="166" spans="2:32" x14ac:dyDescent="0.25">
      <c r="B166" s="24"/>
      <c r="C166" s="136"/>
      <c r="D166" s="148"/>
      <c r="E166" s="136"/>
      <c r="F166" s="136"/>
      <c r="G166" s="136"/>
      <c r="H166" s="136"/>
      <c r="J166" s="136"/>
      <c r="K166" s="136"/>
      <c r="AE166" s="39" t="str">
        <f>IF(D166="","",IFERROR(VLOOKUP(D166,Projects!$A$2:$A$20000,1,FALSE),""))</f>
        <v/>
      </c>
      <c r="AF166" s="2" t="str">
        <f>IF(D166="","",IFERROR(MATCH(D166,Projects!$A:$A,0),""))</f>
        <v/>
      </c>
    </row>
    <row r="167" spans="2:32" x14ac:dyDescent="0.25">
      <c r="B167" s="24"/>
      <c r="C167" s="136"/>
      <c r="D167" s="148"/>
      <c r="E167" s="136"/>
      <c r="F167" s="136"/>
      <c r="G167" s="136"/>
      <c r="H167" s="136"/>
      <c r="J167" s="136"/>
      <c r="K167" s="136"/>
      <c r="AE167" s="39" t="str">
        <f>IF(D167="","",IFERROR(VLOOKUP(D167,Projects!$A$2:$A$20000,1,FALSE),""))</f>
        <v/>
      </c>
      <c r="AF167" s="2" t="str">
        <f>IF(D167="","",IFERROR(MATCH(D167,Projects!$A:$A,0),""))</f>
        <v/>
      </c>
    </row>
    <row r="168" spans="2:32" x14ac:dyDescent="0.25">
      <c r="B168" s="24"/>
      <c r="C168" s="136"/>
      <c r="D168" s="148"/>
      <c r="E168" s="136"/>
      <c r="F168" s="136"/>
      <c r="G168" s="136"/>
      <c r="H168" s="136"/>
      <c r="J168" s="136"/>
      <c r="K168" s="136"/>
      <c r="AE168" s="39" t="str">
        <f>IF(D168="","",IFERROR(VLOOKUP(D168,Projects!$A$2:$A$20000,1,FALSE),""))</f>
        <v/>
      </c>
      <c r="AF168" s="2" t="str">
        <f>IF(D168="","",IFERROR(MATCH(D168,Projects!$A:$A,0),""))</f>
        <v/>
      </c>
    </row>
    <row r="169" spans="2:32" x14ac:dyDescent="0.25">
      <c r="B169" s="24"/>
      <c r="C169" s="136"/>
      <c r="D169" s="148"/>
      <c r="E169" s="136"/>
      <c r="F169" s="136"/>
      <c r="G169" s="136"/>
      <c r="H169" s="136"/>
      <c r="J169" s="136"/>
      <c r="K169" s="136"/>
      <c r="AE169" s="39" t="str">
        <f>IF(D169="","",IFERROR(VLOOKUP(D169,Projects!$A$2:$A$20000,1,FALSE),""))</f>
        <v/>
      </c>
      <c r="AF169" s="2" t="str">
        <f>IF(D169="","",IFERROR(MATCH(D169,Projects!$A:$A,0),""))</f>
        <v/>
      </c>
    </row>
    <row r="170" spans="2:32" x14ac:dyDescent="0.25">
      <c r="B170" s="24"/>
      <c r="C170" s="136"/>
      <c r="D170" s="148"/>
      <c r="E170" s="136"/>
      <c r="F170" s="136"/>
      <c r="G170" s="136"/>
      <c r="H170" s="136"/>
      <c r="J170" s="136"/>
      <c r="K170" s="136"/>
      <c r="AE170" s="39" t="str">
        <f>IF(D170="","",IFERROR(VLOOKUP(D170,Projects!$A$2:$A$20000,1,FALSE),""))</f>
        <v/>
      </c>
      <c r="AF170" s="2" t="str">
        <f>IF(D170="","",IFERROR(MATCH(D170,Projects!$A:$A,0),""))</f>
        <v/>
      </c>
    </row>
    <row r="171" spans="2:32" x14ac:dyDescent="0.25">
      <c r="B171" s="24"/>
      <c r="C171" s="136"/>
      <c r="D171" s="148"/>
      <c r="E171" s="136"/>
      <c r="F171" s="136"/>
      <c r="G171" s="136"/>
      <c r="H171" s="136"/>
      <c r="J171" s="136"/>
      <c r="K171" s="136"/>
      <c r="AE171" s="39" t="str">
        <f>IF(D171="","",IFERROR(VLOOKUP(D171,Projects!$A$2:$A$20000,1,FALSE),""))</f>
        <v/>
      </c>
      <c r="AF171" s="2" t="str">
        <f>IF(D171="","",IFERROR(MATCH(D171,Projects!$A:$A,0),""))</f>
        <v/>
      </c>
    </row>
    <row r="172" spans="2:32" x14ac:dyDescent="0.25">
      <c r="B172" s="24"/>
      <c r="C172" s="136"/>
      <c r="D172" s="148"/>
      <c r="E172" s="136"/>
      <c r="F172" s="136"/>
      <c r="G172" s="136"/>
      <c r="H172" s="136"/>
      <c r="J172" s="136"/>
      <c r="K172" s="136"/>
      <c r="AE172" s="39" t="str">
        <f>IF(D172="","",IFERROR(VLOOKUP(D172,Projects!$A$2:$A$20000,1,FALSE),""))</f>
        <v/>
      </c>
      <c r="AF172" s="2" t="str">
        <f>IF(D172="","",IFERROR(MATCH(D172,Projects!$A:$A,0),""))</f>
        <v/>
      </c>
    </row>
    <row r="173" spans="2:32" x14ac:dyDescent="0.25">
      <c r="B173" s="24"/>
      <c r="C173" s="136"/>
      <c r="D173" s="148"/>
      <c r="E173" s="136"/>
      <c r="F173" s="136"/>
      <c r="G173" s="136"/>
      <c r="H173" s="136"/>
      <c r="J173" s="136"/>
      <c r="K173" s="136"/>
      <c r="AE173" s="39" t="str">
        <f>IF(D173="","",IFERROR(VLOOKUP(D173,Projects!$A$2:$A$20000,1,FALSE),""))</f>
        <v/>
      </c>
      <c r="AF173" s="2" t="str">
        <f>IF(D173="","",IFERROR(MATCH(D173,Projects!$A:$A,0),""))</f>
        <v/>
      </c>
    </row>
    <row r="174" spans="2:32" x14ac:dyDescent="0.25">
      <c r="B174" s="24"/>
      <c r="C174" s="136"/>
      <c r="D174" s="148"/>
      <c r="E174" s="136"/>
      <c r="F174" s="136"/>
      <c r="G174" s="136"/>
      <c r="H174" s="136"/>
      <c r="J174" s="136"/>
      <c r="K174" s="136"/>
      <c r="AE174" s="39" t="str">
        <f>IF(D174="","",IFERROR(VLOOKUP(D174,Projects!$A$2:$A$20000,1,FALSE),""))</f>
        <v/>
      </c>
      <c r="AF174" s="2" t="str">
        <f>IF(D174="","",IFERROR(MATCH(D174,Projects!$A:$A,0),""))</f>
        <v/>
      </c>
    </row>
    <row r="175" spans="2:32" x14ac:dyDescent="0.25">
      <c r="B175" s="24"/>
      <c r="C175" s="136"/>
      <c r="D175" s="148"/>
      <c r="E175" s="136"/>
      <c r="F175" s="136"/>
      <c r="G175" s="136"/>
      <c r="H175" s="136"/>
      <c r="J175" s="136"/>
      <c r="K175" s="136"/>
      <c r="AE175" s="39" t="str">
        <f>IF(D175="","",IFERROR(VLOOKUP(D175,Projects!$A$2:$A$20000,1,FALSE),""))</f>
        <v/>
      </c>
      <c r="AF175" s="2" t="str">
        <f>IF(D175="","",IFERROR(MATCH(D175,Projects!$A:$A,0),""))</f>
        <v/>
      </c>
    </row>
    <row r="176" spans="2:32" x14ac:dyDescent="0.25">
      <c r="B176" s="24"/>
      <c r="C176" s="136"/>
      <c r="D176" s="148"/>
      <c r="E176" s="136"/>
      <c r="F176" s="136"/>
      <c r="G176" s="136"/>
      <c r="H176" s="136"/>
      <c r="J176" s="136"/>
      <c r="K176" s="136"/>
      <c r="AE176" s="39" t="str">
        <f>IF(D176="","",IFERROR(VLOOKUP(D176,Projects!$A$2:$A$20000,1,FALSE),""))</f>
        <v/>
      </c>
      <c r="AF176" s="2" t="str">
        <f>IF(D176="","",IFERROR(MATCH(D176,Projects!$A:$A,0),""))</f>
        <v/>
      </c>
    </row>
    <row r="177" spans="2:32" x14ac:dyDescent="0.25">
      <c r="B177" s="24"/>
      <c r="C177" s="136"/>
      <c r="D177" s="148"/>
      <c r="E177" s="136"/>
      <c r="F177" s="136"/>
      <c r="G177" s="136"/>
      <c r="H177" s="136"/>
      <c r="J177" s="136"/>
      <c r="K177" s="136"/>
      <c r="AE177" s="39" t="str">
        <f>IF(D177="","",IFERROR(VLOOKUP(D177,Projects!$A$2:$A$20000,1,FALSE),""))</f>
        <v/>
      </c>
      <c r="AF177" s="2" t="str">
        <f>IF(D177="","",IFERROR(MATCH(D177,Projects!$A:$A,0),""))</f>
        <v/>
      </c>
    </row>
    <row r="178" spans="2:32" x14ac:dyDescent="0.25">
      <c r="B178" s="24"/>
      <c r="C178" s="136"/>
      <c r="D178" s="148"/>
      <c r="E178" s="136"/>
      <c r="F178" s="136"/>
      <c r="G178" s="136"/>
      <c r="H178" s="136"/>
      <c r="J178" s="136"/>
      <c r="K178" s="136"/>
      <c r="AE178" s="39" t="str">
        <f>IF(D178="","",IFERROR(VLOOKUP(D178,Projects!$A$2:$A$20000,1,FALSE),""))</f>
        <v/>
      </c>
      <c r="AF178" s="2" t="str">
        <f>IF(D178="","",IFERROR(MATCH(D178,Projects!$A:$A,0),""))</f>
        <v/>
      </c>
    </row>
    <row r="179" spans="2:32" x14ac:dyDescent="0.25">
      <c r="B179" s="24"/>
      <c r="C179" s="136"/>
      <c r="D179" s="148"/>
      <c r="E179" s="136"/>
      <c r="F179" s="136"/>
      <c r="G179" s="136"/>
      <c r="H179" s="136"/>
      <c r="J179" s="136"/>
      <c r="K179" s="136"/>
      <c r="AE179" s="39" t="str">
        <f>IF(D179="","",IFERROR(VLOOKUP(D179,Projects!$A$2:$A$20000,1,FALSE),""))</f>
        <v/>
      </c>
      <c r="AF179" s="2" t="str">
        <f>IF(D179="","",IFERROR(MATCH(D179,Projects!$A:$A,0),""))</f>
        <v/>
      </c>
    </row>
    <row r="180" spans="2:32" x14ac:dyDescent="0.25">
      <c r="B180" s="24"/>
      <c r="C180" s="136"/>
      <c r="D180" s="148"/>
      <c r="E180" s="136"/>
      <c r="F180" s="136"/>
      <c r="G180" s="136"/>
      <c r="H180" s="136"/>
      <c r="J180" s="136"/>
      <c r="K180" s="136"/>
      <c r="AE180" s="39" t="str">
        <f>IF(D180="","",IFERROR(VLOOKUP(D180,Projects!$A$2:$A$20000,1,FALSE),""))</f>
        <v/>
      </c>
      <c r="AF180" s="2" t="str">
        <f>IF(D180="","",IFERROR(MATCH(D180,Projects!$A:$A,0),""))</f>
        <v/>
      </c>
    </row>
    <row r="181" spans="2:32" x14ac:dyDescent="0.25">
      <c r="B181" s="24"/>
      <c r="C181" s="136"/>
      <c r="D181" s="148"/>
      <c r="E181" s="136"/>
      <c r="F181" s="136"/>
      <c r="G181" s="136"/>
      <c r="H181" s="136"/>
      <c r="J181" s="136"/>
      <c r="K181" s="136"/>
      <c r="AE181" s="39" t="str">
        <f>IF(D181="","",IFERROR(VLOOKUP(D181,Projects!$A$2:$A$20000,1,FALSE),""))</f>
        <v/>
      </c>
      <c r="AF181" s="2" t="str">
        <f>IF(D181="","",IFERROR(MATCH(D181,Projects!$A:$A,0),""))</f>
        <v/>
      </c>
    </row>
    <row r="182" spans="2:32" x14ac:dyDescent="0.25">
      <c r="B182" s="24"/>
      <c r="C182" s="136"/>
      <c r="D182" s="148"/>
      <c r="E182" s="136"/>
      <c r="F182" s="136"/>
      <c r="G182" s="136"/>
      <c r="H182" s="136"/>
      <c r="J182" s="136"/>
      <c r="K182" s="136"/>
      <c r="AE182" s="39" t="str">
        <f>IF(D182="","",IFERROR(VLOOKUP(D182,Projects!$A$2:$A$20000,1,FALSE),""))</f>
        <v/>
      </c>
      <c r="AF182" s="2" t="str">
        <f>IF(D182="","",IFERROR(MATCH(D182,Projects!$A:$A,0),""))</f>
        <v/>
      </c>
    </row>
    <row r="183" spans="2:32" x14ac:dyDescent="0.25">
      <c r="B183" s="24"/>
      <c r="C183" s="136"/>
      <c r="D183" s="148"/>
      <c r="E183" s="136"/>
      <c r="F183" s="136"/>
      <c r="G183" s="136"/>
      <c r="H183" s="136"/>
      <c r="J183" s="136"/>
      <c r="K183" s="136"/>
      <c r="AE183" s="39" t="str">
        <f>IF(D183="","",IFERROR(VLOOKUP(D183,Projects!$A$2:$A$20000,1,FALSE),""))</f>
        <v/>
      </c>
      <c r="AF183" s="2" t="str">
        <f>IF(D183="","",IFERROR(MATCH(D183,Projects!$A:$A,0),""))</f>
        <v/>
      </c>
    </row>
    <row r="184" spans="2:32" x14ac:dyDescent="0.25">
      <c r="B184" s="24"/>
      <c r="C184" s="136"/>
      <c r="D184" s="148"/>
      <c r="E184" s="136"/>
      <c r="F184" s="136"/>
      <c r="G184" s="136"/>
      <c r="H184" s="136"/>
      <c r="J184" s="136"/>
      <c r="K184" s="136"/>
      <c r="AE184" s="39" t="str">
        <f>IF(D184="","",IFERROR(VLOOKUP(D184,Projects!$A$2:$A$20000,1,FALSE),""))</f>
        <v/>
      </c>
      <c r="AF184" s="2" t="str">
        <f>IF(D184="","",IFERROR(MATCH(D184,Projects!$A:$A,0),""))</f>
        <v/>
      </c>
    </row>
    <row r="185" spans="2:32" x14ac:dyDescent="0.25">
      <c r="B185" s="24"/>
      <c r="C185" s="136"/>
      <c r="D185" s="148"/>
      <c r="E185" s="136"/>
      <c r="F185" s="136"/>
      <c r="G185" s="136"/>
      <c r="H185" s="136"/>
      <c r="J185" s="136"/>
      <c r="K185" s="136"/>
      <c r="AE185" s="39" t="str">
        <f>IF(D185="","",IFERROR(VLOOKUP(D185,Projects!$A$2:$A$20000,1,FALSE),""))</f>
        <v/>
      </c>
      <c r="AF185" s="2" t="str">
        <f>IF(D185="","",IFERROR(MATCH(D185,Projects!$A:$A,0),""))</f>
        <v/>
      </c>
    </row>
    <row r="186" spans="2:32" x14ac:dyDescent="0.25">
      <c r="B186" s="24"/>
      <c r="C186" s="136"/>
      <c r="D186" s="148"/>
      <c r="E186" s="136"/>
      <c r="F186" s="136"/>
      <c r="G186" s="136"/>
      <c r="H186" s="136"/>
      <c r="J186" s="136"/>
      <c r="K186" s="136"/>
      <c r="AE186" s="39" t="str">
        <f>IF(D186="","",IFERROR(VLOOKUP(D186,Projects!$A$2:$A$20000,1,FALSE),""))</f>
        <v/>
      </c>
      <c r="AF186" s="2" t="str">
        <f>IF(D186="","",IFERROR(MATCH(D186,Projects!$A:$A,0),""))</f>
        <v/>
      </c>
    </row>
    <row r="187" spans="2:32" x14ac:dyDescent="0.25">
      <c r="B187" s="24"/>
      <c r="C187" s="136"/>
      <c r="D187" s="148"/>
      <c r="E187" s="136"/>
      <c r="F187" s="136"/>
      <c r="G187" s="136"/>
      <c r="H187" s="136"/>
      <c r="J187" s="136"/>
      <c r="K187" s="136"/>
      <c r="AE187" s="39" t="str">
        <f>IF(D187="","",IFERROR(VLOOKUP(D187,Projects!$A$2:$A$20000,1,FALSE),""))</f>
        <v/>
      </c>
      <c r="AF187" s="2" t="str">
        <f>IF(D187="","",IFERROR(MATCH(D187,Projects!$A:$A,0),""))</f>
        <v/>
      </c>
    </row>
    <row r="188" spans="2:32" x14ac:dyDescent="0.25">
      <c r="B188" s="24"/>
      <c r="C188" s="136"/>
      <c r="D188" s="148"/>
      <c r="E188" s="136"/>
      <c r="F188" s="136"/>
      <c r="G188" s="136"/>
      <c r="H188" s="136"/>
      <c r="J188" s="136"/>
      <c r="K188" s="136"/>
      <c r="AE188" s="39" t="str">
        <f>IF(D188="","",IFERROR(VLOOKUP(D188,Projects!$A$2:$A$20000,1,FALSE),""))</f>
        <v/>
      </c>
      <c r="AF188" s="2" t="str">
        <f>IF(D188="","",IFERROR(MATCH(D188,Projects!$A:$A,0),""))</f>
        <v/>
      </c>
    </row>
    <row r="189" spans="2:32" x14ac:dyDescent="0.25">
      <c r="B189" s="24"/>
      <c r="C189" s="136"/>
      <c r="D189" s="148"/>
      <c r="E189" s="136"/>
      <c r="F189" s="136"/>
      <c r="G189" s="136"/>
      <c r="H189" s="136"/>
      <c r="J189" s="136"/>
      <c r="K189" s="136"/>
      <c r="AE189" s="39" t="str">
        <f>IF(D189="","",IFERROR(VLOOKUP(D189,Projects!$A$2:$A$20000,1,FALSE),""))</f>
        <v/>
      </c>
      <c r="AF189" s="2" t="str">
        <f>IF(D189="","",IFERROR(MATCH(D189,Projects!$A:$A,0),""))</f>
        <v/>
      </c>
    </row>
    <row r="190" spans="2:32" x14ac:dyDescent="0.25">
      <c r="B190" s="24"/>
      <c r="C190" s="136"/>
      <c r="D190" s="148"/>
      <c r="E190" s="136"/>
      <c r="F190" s="136"/>
      <c r="G190" s="136"/>
      <c r="H190" s="136"/>
      <c r="J190" s="136"/>
      <c r="K190" s="136"/>
      <c r="AE190" s="39" t="str">
        <f>IF(D190="","",IFERROR(VLOOKUP(D190,Projects!$A$2:$A$20000,1,FALSE),""))</f>
        <v/>
      </c>
      <c r="AF190" s="2" t="str">
        <f>IF(D190="","",IFERROR(MATCH(D190,Projects!$A:$A,0),""))</f>
        <v/>
      </c>
    </row>
    <row r="191" spans="2:32" x14ac:dyDescent="0.25">
      <c r="B191" s="24"/>
      <c r="C191" s="136"/>
      <c r="D191" s="148"/>
      <c r="E191" s="136"/>
      <c r="F191" s="136"/>
      <c r="G191" s="136"/>
      <c r="H191" s="136"/>
      <c r="J191" s="136"/>
      <c r="K191" s="136"/>
      <c r="AE191" s="39" t="str">
        <f>IF(D191="","",IFERROR(VLOOKUP(D191,Projects!$A$2:$A$20000,1,FALSE),""))</f>
        <v/>
      </c>
      <c r="AF191" s="2" t="str">
        <f>IF(D191="","",IFERROR(MATCH(D191,Projects!$A:$A,0),""))</f>
        <v/>
      </c>
    </row>
    <row r="192" spans="2:32" x14ac:dyDescent="0.25">
      <c r="B192" s="24"/>
      <c r="C192" s="136"/>
      <c r="D192" s="148"/>
      <c r="E192" s="136"/>
      <c r="F192" s="136"/>
      <c r="G192" s="136"/>
      <c r="H192" s="136"/>
      <c r="J192" s="136"/>
      <c r="K192" s="136"/>
      <c r="AE192" s="39" t="str">
        <f>IF(D192="","",IFERROR(VLOOKUP(D192,Projects!$A$2:$A$20000,1,FALSE),""))</f>
        <v/>
      </c>
      <c r="AF192" s="2" t="str">
        <f>IF(D192="","",IFERROR(MATCH(D192,Projects!$A:$A,0),""))</f>
        <v/>
      </c>
    </row>
    <row r="193" spans="2:32" x14ac:dyDescent="0.25">
      <c r="B193" s="24"/>
      <c r="C193" s="136"/>
      <c r="D193" s="148"/>
      <c r="E193" s="136"/>
      <c r="F193" s="136"/>
      <c r="G193" s="136"/>
      <c r="H193" s="136"/>
      <c r="J193" s="136"/>
      <c r="K193" s="136"/>
      <c r="AE193" s="39" t="str">
        <f>IF(D193="","",IFERROR(VLOOKUP(D193,Projects!$A$2:$A$20000,1,FALSE),""))</f>
        <v/>
      </c>
      <c r="AF193" s="2" t="str">
        <f>IF(D193="","",IFERROR(MATCH(D193,Projects!$A:$A,0),""))</f>
        <v/>
      </c>
    </row>
    <row r="194" spans="2:32" x14ac:dyDescent="0.25">
      <c r="B194" s="24"/>
      <c r="C194" s="136"/>
      <c r="D194" s="148"/>
      <c r="E194" s="136"/>
      <c r="F194" s="136"/>
      <c r="G194" s="136"/>
      <c r="H194" s="136"/>
      <c r="J194" s="136"/>
      <c r="K194" s="136"/>
      <c r="AE194" s="39" t="str">
        <f>IF(D194="","",IFERROR(VLOOKUP(D194,Projects!$A$2:$A$20000,1,FALSE),""))</f>
        <v/>
      </c>
      <c r="AF194" s="2" t="str">
        <f>IF(D194="","",IFERROR(MATCH(D194,Projects!$A:$A,0),""))</f>
        <v/>
      </c>
    </row>
    <row r="195" spans="2:32" x14ac:dyDescent="0.25">
      <c r="B195" s="24"/>
      <c r="C195" s="136"/>
      <c r="D195" s="148"/>
      <c r="E195" s="136"/>
      <c r="F195" s="136"/>
      <c r="G195" s="136"/>
      <c r="H195" s="136"/>
      <c r="J195" s="136"/>
      <c r="K195" s="136"/>
      <c r="AE195" s="39" t="str">
        <f>IF(D195="","",IFERROR(VLOOKUP(D195,Projects!$A$2:$A$20000,1,FALSE),""))</f>
        <v/>
      </c>
      <c r="AF195" s="2" t="str">
        <f>IF(D195="","",IFERROR(MATCH(D195,Projects!$A:$A,0),""))</f>
        <v/>
      </c>
    </row>
    <row r="196" spans="2:32" x14ac:dyDescent="0.25">
      <c r="B196" s="24"/>
      <c r="C196" s="136"/>
      <c r="D196" s="148"/>
      <c r="E196" s="136"/>
      <c r="F196" s="136"/>
      <c r="G196" s="136"/>
      <c r="H196" s="136"/>
      <c r="J196" s="136"/>
      <c r="K196" s="136"/>
      <c r="AE196" s="39" t="str">
        <f>IF(D196="","",IFERROR(VLOOKUP(D196,Projects!$A$2:$A$20000,1,FALSE),""))</f>
        <v/>
      </c>
      <c r="AF196" s="2" t="str">
        <f>IF(D196="","",IFERROR(MATCH(D196,Projects!$A:$A,0),""))</f>
        <v/>
      </c>
    </row>
    <row r="197" spans="2:32" x14ac:dyDescent="0.25">
      <c r="B197" s="24"/>
      <c r="C197" s="136"/>
      <c r="D197" s="148"/>
      <c r="E197" s="136"/>
      <c r="F197" s="136"/>
      <c r="G197" s="136"/>
      <c r="H197" s="136"/>
      <c r="J197" s="136"/>
      <c r="K197" s="136"/>
      <c r="AE197" s="39" t="str">
        <f>IF(D197="","",IFERROR(VLOOKUP(D197,Projects!$A$2:$A$20000,1,FALSE),""))</f>
        <v/>
      </c>
      <c r="AF197" s="2" t="str">
        <f>IF(D197="","",IFERROR(MATCH(D197,Projects!$A:$A,0),""))</f>
        <v/>
      </c>
    </row>
    <row r="198" spans="2:32" x14ac:dyDescent="0.25">
      <c r="B198" s="24"/>
      <c r="C198" s="136"/>
      <c r="D198" s="148"/>
      <c r="E198" s="136"/>
      <c r="F198" s="136"/>
      <c r="G198" s="136"/>
      <c r="H198" s="136"/>
      <c r="J198" s="136"/>
      <c r="K198" s="136"/>
      <c r="AE198" s="39" t="str">
        <f>IF(D198="","",IFERROR(VLOOKUP(D198,Projects!$A$2:$A$20000,1,FALSE),""))</f>
        <v/>
      </c>
      <c r="AF198" s="2" t="str">
        <f>IF(D198="","",IFERROR(MATCH(D198,Projects!$A:$A,0),""))</f>
        <v/>
      </c>
    </row>
    <row r="199" spans="2:32" x14ac:dyDescent="0.25">
      <c r="B199" s="24"/>
      <c r="C199" s="136"/>
      <c r="D199" s="148"/>
      <c r="E199" s="136"/>
      <c r="F199" s="136"/>
      <c r="G199" s="136"/>
      <c r="H199" s="136"/>
      <c r="J199" s="136"/>
      <c r="K199" s="136"/>
      <c r="AE199" s="39" t="str">
        <f>IF(D199="","",IFERROR(VLOOKUP(D199,Projects!$A$2:$A$20000,1,FALSE),""))</f>
        <v/>
      </c>
      <c r="AF199" s="2" t="str">
        <f>IF(D199="","",IFERROR(MATCH(D199,Projects!$A:$A,0),""))</f>
        <v/>
      </c>
    </row>
    <row r="200" spans="2:32" x14ac:dyDescent="0.25">
      <c r="B200" s="24"/>
      <c r="C200" s="136"/>
      <c r="D200" s="148"/>
      <c r="E200" s="136"/>
      <c r="F200" s="136"/>
      <c r="G200" s="136"/>
      <c r="H200" s="136"/>
      <c r="J200" s="136"/>
      <c r="K200" s="136"/>
      <c r="AE200" s="39" t="str">
        <f>IF(D200="","",IFERROR(VLOOKUP(D200,Projects!$A$2:$A$20000,1,FALSE),""))</f>
        <v/>
      </c>
      <c r="AF200" s="2" t="str">
        <f>IF(D200="","",IFERROR(MATCH(D200,Projects!$A:$A,0),""))</f>
        <v/>
      </c>
    </row>
    <row r="201" spans="2:32" x14ac:dyDescent="0.25">
      <c r="B201" s="24"/>
      <c r="C201" s="136"/>
      <c r="D201" s="148"/>
      <c r="E201" s="136"/>
      <c r="F201" s="136"/>
      <c r="G201" s="136"/>
      <c r="H201" s="136"/>
      <c r="J201" s="136"/>
      <c r="K201" s="136"/>
      <c r="AE201" s="39" t="str">
        <f>IF(D201="","",IFERROR(VLOOKUP(D201,Projects!$A$2:$A$20000,1,FALSE),""))</f>
        <v/>
      </c>
      <c r="AF201" s="2" t="str">
        <f>IF(D201="","",IFERROR(MATCH(D201,Projects!$A:$A,0),""))</f>
        <v/>
      </c>
    </row>
    <row r="202" spans="2:32" x14ac:dyDescent="0.25">
      <c r="B202" s="24"/>
      <c r="C202" s="136"/>
      <c r="D202" s="148"/>
      <c r="E202" s="136"/>
      <c r="F202" s="136"/>
      <c r="G202" s="136"/>
      <c r="H202" s="136"/>
      <c r="J202" s="136"/>
      <c r="K202" s="136"/>
      <c r="AE202" s="39" t="str">
        <f>IF(D202="","",IFERROR(VLOOKUP(D202,Projects!$A$2:$A$20000,1,FALSE),""))</f>
        <v/>
      </c>
      <c r="AF202" s="2" t="str">
        <f>IF(D202="","",IFERROR(MATCH(D202,Projects!$A:$A,0),""))</f>
        <v/>
      </c>
    </row>
    <row r="203" spans="2:32" x14ac:dyDescent="0.25">
      <c r="B203" s="24"/>
      <c r="C203" s="136"/>
      <c r="D203" s="148"/>
      <c r="E203" s="136"/>
      <c r="F203" s="136"/>
      <c r="G203" s="136"/>
      <c r="H203" s="136"/>
      <c r="J203" s="136"/>
      <c r="K203" s="136"/>
      <c r="AE203" s="39" t="str">
        <f>IF(D203="","",IFERROR(VLOOKUP(D203,Projects!$A$2:$A$20000,1,FALSE),""))</f>
        <v/>
      </c>
      <c r="AF203" s="2" t="str">
        <f>IF(D203="","",IFERROR(MATCH(D203,Projects!$A:$A,0),""))</f>
        <v/>
      </c>
    </row>
    <row r="204" spans="2:32" x14ac:dyDescent="0.25">
      <c r="B204" s="24"/>
      <c r="C204" s="136"/>
      <c r="D204" s="148"/>
      <c r="E204" s="136"/>
      <c r="F204" s="136"/>
      <c r="G204" s="136"/>
      <c r="H204" s="136"/>
      <c r="J204" s="136"/>
      <c r="K204" s="136"/>
      <c r="AE204" s="39" t="str">
        <f>IF(D204="","",IFERROR(VLOOKUP(D204,Projects!$A$2:$A$20000,1,FALSE),""))</f>
        <v/>
      </c>
      <c r="AF204" s="2" t="str">
        <f>IF(D204="","",IFERROR(MATCH(D204,Projects!$A:$A,0),""))</f>
        <v/>
      </c>
    </row>
    <row r="205" spans="2:32" x14ac:dyDescent="0.25">
      <c r="B205" s="24"/>
      <c r="C205" s="136"/>
      <c r="D205" s="148"/>
      <c r="E205" s="136"/>
      <c r="F205" s="136"/>
      <c r="G205" s="136"/>
      <c r="H205" s="136"/>
      <c r="J205" s="136"/>
      <c r="K205" s="136"/>
      <c r="AE205" s="39" t="str">
        <f>IF(D205="","",IFERROR(VLOOKUP(D205,Projects!$A$2:$A$20000,1,FALSE),""))</f>
        <v/>
      </c>
      <c r="AF205" s="2" t="str">
        <f>IF(D205="","",IFERROR(MATCH(D205,Projects!$A:$A,0),""))</f>
        <v/>
      </c>
    </row>
    <row r="206" spans="2:32" x14ac:dyDescent="0.25">
      <c r="B206" s="24"/>
      <c r="C206" s="136"/>
      <c r="D206" s="148"/>
      <c r="E206" s="136"/>
      <c r="F206" s="136"/>
      <c r="G206" s="136"/>
      <c r="H206" s="136"/>
      <c r="J206" s="136"/>
      <c r="K206" s="136"/>
      <c r="AE206" s="39" t="str">
        <f>IF(D206="","",IFERROR(VLOOKUP(D206,Projects!$A$2:$A$20000,1,FALSE),""))</f>
        <v/>
      </c>
      <c r="AF206" s="2" t="str">
        <f>IF(D206="","",IFERROR(MATCH(D206,Projects!$A:$A,0),""))</f>
        <v/>
      </c>
    </row>
    <row r="207" spans="2:32" x14ac:dyDescent="0.25">
      <c r="B207" s="24"/>
      <c r="C207" s="136"/>
      <c r="D207" s="148"/>
      <c r="E207" s="136"/>
      <c r="F207" s="136"/>
      <c r="G207" s="136"/>
      <c r="H207" s="136"/>
      <c r="J207" s="136"/>
      <c r="K207" s="136"/>
      <c r="AE207" s="39" t="str">
        <f>IF(D207="","",IFERROR(VLOOKUP(D207,Projects!$A$2:$A$20000,1,FALSE),""))</f>
        <v/>
      </c>
      <c r="AF207" s="2" t="str">
        <f>IF(D207="","",IFERROR(MATCH(D207,Projects!$A:$A,0),""))</f>
        <v/>
      </c>
    </row>
    <row r="208" spans="2:32" x14ac:dyDescent="0.25">
      <c r="B208" s="24"/>
      <c r="C208" s="136"/>
      <c r="D208" s="148"/>
      <c r="E208" s="136"/>
      <c r="F208" s="136"/>
      <c r="G208" s="136"/>
      <c r="H208" s="136"/>
      <c r="J208" s="136"/>
      <c r="K208" s="136"/>
      <c r="AE208" s="39" t="str">
        <f>IF(D208="","",IFERROR(VLOOKUP(D208,Projects!$A$2:$A$20000,1,FALSE),""))</f>
        <v/>
      </c>
      <c r="AF208" s="2" t="str">
        <f>IF(D208="","",IFERROR(MATCH(D208,Projects!$A:$A,0),""))</f>
        <v/>
      </c>
    </row>
    <row r="209" spans="2:32" x14ac:dyDescent="0.25">
      <c r="B209" s="24"/>
      <c r="C209" s="136"/>
      <c r="D209" s="148"/>
      <c r="E209" s="136"/>
      <c r="F209" s="136"/>
      <c r="G209" s="136"/>
      <c r="H209" s="136"/>
      <c r="J209" s="136"/>
      <c r="K209" s="136"/>
      <c r="AE209" s="39" t="str">
        <f>IF(D209="","",IFERROR(VLOOKUP(D209,Projects!$A$2:$A$20000,1,FALSE),""))</f>
        <v/>
      </c>
      <c r="AF209" s="2" t="str">
        <f>IF(D209="","",IFERROR(MATCH(D209,Projects!$A:$A,0),""))</f>
        <v/>
      </c>
    </row>
    <row r="210" spans="2:32" x14ac:dyDescent="0.25">
      <c r="B210" s="24"/>
      <c r="C210" s="136"/>
      <c r="D210" s="148"/>
      <c r="E210" s="136"/>
      <c r="F210" s="136"/>
      <c r="G210" s="136"/>
      <c r="H210" s="136"/>
      <c r="J210" s="136"/>
      <c r="K210" s="136"/>
      <c r="AE210" s="39" t="str">
        <f>IF(D210="","",IFERROR(VLOOKUP(D210,Projects!$A$2:$A$20000,1,FALSE),""))</f>
        <v/>
      </c>
      <c r="AF210" s="2" t="str">
        <f>IF(D210="","",IFERROR(MATCH(D210,Projects!$A:$A,0),""))</f>
        <v/>
      </c>
    </row>
    <row r="211" spans="2:32" x14ac:dyDescent="0.25">
      <c r="B211" s="24"/>
      <c r="C211" s="136"/>
      <c r="D211" s="148"/>
      <c r="E211" s="136"/>
      <c r="F211" s="136"/>
      <c r="G211" s="136"/>
      <c r="H211" s="136"/>
      <c r="J211" s="136"/>
      <c r="K211" s="136"/>
      <c r="AE211" s="39" t="str">
        <f>IF(D211="","",IFERROR(VLOOKUP(D211,Projects!$A$2:$A$20000,1,FALSE),""))</f>
        <v/>
      </c>
      <c r="AF211" s="2" t="str">
        <f>IF(D211="","",IFERROR(MATCH(D211,Projects!$A:$A,0),""))</f>
        <v/>
      </c>
    </row>
    <row r="212" spans="2:32" x14ac:dyDescent="0.25">
      <c r="B212" s="24"/>
      <c r="C212" s="136"/>
      <c r="D212" s="148"/>
      <c r="E212" s="136"/>
      <c r="F212" s="136"/>
      <c r="G212" s="136"/>
      <c r="H212" s="136"/>
      <c r="J212" s="136"/>
      <c r="K212" s="136"/>
      <c r="AE212" s="39" t="str">
        <f>IF(D212="","",IFERROR(VLOOKUP(D212,Projects!$A$2:$A$20000,1,FALSE),""))</f>
        <v/>
      </c>
      <c r="AF212" s="2" t="str">
        <f>IF(D212="","",IFERROR(MATCH(D212,Projects!$A:$A,0),""))</f>
        <v/>
      </c>
    </row>
    <row r="213" spans="2:32" x14ac:dyDescent="0.25">
      <c r="B213" s="24"/>
      <c r="C213" s="136"/>
      <c r="D213" s="148"/>
      <c r="E213" s="136"/>
      <c r="F213" s="136"/>
      <c r="G213" s="136"/>
      <c r="H213" s="136"/>
      <c r="J213" s="136"/>
      <c r="K213" s="136"/>
      <c r="AE213" s="39" t="str">
        <f>IF(D213="","",IFERROR(VLOOKUP(D213,Projects!$A$2:$A$20000,1,FALSE),""))</f>
        <v/>
      </c>
      <c r="AF213" s="2" t="str">
        <f>IF(D213="","",IFERROR(MATCH(D213,Projects!$A:$A,0),""))</f>
        <v/>
      </c>
    </row>
    <row r="214" spans="2:32" x14ac:dyDescent="0.25">
      <c r="B214" s="24"/>
      <c r="C214" s="136"/>
      <c r="D214" s="148"/>
      <c r="E214" s="136"/>
      <c r="F214" s="136"/>
      <c r="G214" s="136"/>
      <c r="H214" s="136"/>
      <c r="J214" s="136"/>
      <c r="K214" s="136"/>
      <c r="AE214" s="39" t="str">
        <f>IF(D214="","",IFERROR(VLOOKUP(D214,Projects!$A$2:$A$20000,1,FALSE),""))</f>
        <v/>
      </c>
      <c r="AF214" s="2" t="str">
        <f>IF(D214="","",IFERROR(MATCH(D214,Projects!$A:$A,0),""))</f>
        <v/>
      </c>
    </row>
    <row r="215" spans="2:32" x14ac:dyDescent="0.25">
      <c r="B215" s="24"/>
      <c r="C215" s="136"/>
      <c r="D215" s="148"/>
      <c r="E215" s="136"/>
      <c r="F215" s="136"/>
      <c r="G215" s="136"/>
      <c r="H215" s="136"/>
      <c r="J215" s="136"/>
      <c r="K215" s="136"/>
      <c r="AE215" s="39" t="str">
        <f>IF(D215="","",IFERROR(VLOOKUP(D215,Projects!$A$2:$A$20000,1,FALSE),""))</f>
        <v/>
      </c>
      <c r="AF215" s="2" t="str">
        <f>IF(D215="","",IFERROR(MATCH(D215,Projects!$A:$A,0),""))</f>
        <v/>
      </c>
    </row>
    <row r="216" spans="2:32" x14ac:dyDescent="0.25">
      <c r="B216" s="24"/>
      <c r="C216" s="136"/>
      <c r="D216" s="148"/>
      <c r="E216" s="136"/>
      <c r="F216" s="136"/>
      <c r="G216" s="136"/>
      <c r="H216" s="136"/>
      <c r="J216" s="136"/>
      <c r="K216" s="136"/>
      <c r="AE216" s="39" t="str">
        <f>IF(D216="","",IFERROR(VLOOKUP(D216,Projects!$A$2:$A$20000,1,FALSE),""))</f>
        <v/>
      </c>
      <c r="AF216" s="2" t="str">
        <f>IF(D216="","",IFERROR(MATCH(D216,Projects!$A:$A,0),""))</f>
        <v/>
      </c>
    </row>
    <row r="217" spans="2:32" x14ac:dyDescent="0.25">
      <c r="B217" s="24"/>
      <c r="C217" s="136"/>
      <c r="D217" s="148"/>
      <c r="E217" s="136"/>
      <c r="F217" s="136"/>
      <c r="G217" s="136"/>
      <c r="H217" s="136"/>
      <c r="J217" s="136"/>
      <c r="K217" s="136"/>
      <c r="AE217" s="39" t="str">
        <f>IF(D217="","",IFERROR(VLOOKUP(D217,Projects!$A$2:$A$20000,1,FALSE),""))</f>
        <v/>
      </c>
      <c r="AF217" s="2" t="str">
        <f>IF(D217="","",IFERROR(MATCH(D217,Projects!$A:$A,0),""))</f>
        <v/>
      </c>
    </row>
    <row r="218" spans="2:32" x14ac:dyDescent="0.25">
      <c r="B218" s="24"/>
      <c r="C218" s="136"/>
      <c r="D218" s="148"/>
      <c r="E218" s="136"/>
      <c r="F218" s="136"/>
      <c r="G218" s="136"/>
      <c r="H218" s="136"/>
      <c r="J218" s="136"/>
      <c r="K218" s="136"/>
      <c r="AE218" s="39" t="str">
        <f>IF(D218="","",IFERROR(VLOOKUP(D218,Projects!$A$2:$A$20000,1,FALSE),""))</f>
        <v/>
      </c>
      <c r="AF218" s="2" t="str">
        <f>IF(D218="","",IFERROR(MATCH(D218,Projects!$A:$A,0),""))</f>
        <v/>
      </c>
    </row>
    <row r="219" spans="2:32" x14ac:dyDescent="0.25">
      <c r="B219" s="24"/>
      <c r="C219" s="136"/>
      <c r="D219" s="148"/>
      <c r="E219" s="136"/>
      <c r="F219" s="136"/>
      <c r="G219" s="136"/>
      <c r="H219" s="136"/>
      <c r="J219" s="136"/>
      <c r="K219" s="136"/>
      <c r="AE219" s="39" t="str">
        <f>IF(D219="","",IFERROR(VLOOKUP(D219,Projects!$A$2:$A$20000,1,FALSE),""))</f>
        <v/>
      </c>
      <c r="AF219" s="2" t="str">
        <f>IF(D219="","",IFERROR(MATCH(D219,Projects!$A:$A,0),""))</f>
        <v/>
      </c>
    </row>
    <row r="220" spans="2:32" x14ac:dyDescent="0.25">
      <c r="B220" s="24"/>
      <c r="C220" s="136"/>
      <c r="D220" s="148"/>
      <c r="E220" s="136"/>
      <c r="F220" s="136"/>
      <c r="G220" s="136"/>
      <c r="H220" s="136"/>
      <c r="J220" s="136"/>
      <c r="K220" s="136"/>
      <c r="AE220" s="39" t="str">
        <f>IF(D220="","",IFERROR(VLOOKUP(D220,Projects!$A$2:$A$20000,1,FALSE),""))</f>
        <v/>
      </c>
      <c r="AF220" s="2" t="str">
        <f>IF(D220="","",IFERROR(MATCH(D220,Projects!$A:$A,0),""))</f>
        <v/>
      </c>
    </row>
    <row r="221" spans="2:32" x14ac:dyDescent="0.25">
      <c r="B221" s="24"/>
      <c r="C221" s="136"/>
      <c r="D221" s="148"/>
      <c r="E221" s="136"/>
      <c r="F221" s="136"/>
      <c r="G221" s="136"/>
      <c r="H221" s="136"/>
      <c r="J221" s="136"/>
      <c r="K221" s="136"/>
      <c r="AE221" s="39" t="str">
        <f>IF(D221="","",IFERROR(VLOOKUP(D221,Projects!$A$2:$A$20000,1,FALSE),""))</f>
        <v/>
      </c>
      <c r="AF221" s="2" t="str">
        <f>IF(D221="","",IFERROR(MATCH(D221,Projects!$A:$A,0),""))</f>
        <v/>
      </c>
    </row>
    <row r="222" spans="2:32" x14ac:dyDescent="0.25">
      <c r="B222" s="24"/>
      <c r="C222" s="136"/>
      <c r="D222" s="148"/>
      <c r="E222" s="136"/>
      <c r="F222" s="136"/>
      <c r="G222" s="136"/>
      <c r="H222" s="136"/>
      <c r="J222" s="136"/>
      <c r="K222" s="136"/>
      <c r="AE222" s="39" t="str">
        <f>IF(D222="","",IFERROR(VLOOKUP(D222,Projects!$A$2:$A$20000,1,FALSE),""))</f>
        <v/>
      </c>
      <c r="AF222" s="2" t="str">
        <f>IF(D222="","",IFERROR(MATCH(D222,Projects!$A:$A,0),""))</f>
        <v/>
      </c>
    </row>
    <row r="223" spans="2:32" x14ac:dyDescent="0.25">
      <c r="B223" s="24"/>
      <c r="C223" s="136"/>
      <c r="D223" s="148"/>
      <c r="E223" s="136"/>
      <c r="F223" s="136"/>
      <c r="G223" s="136"/>
      <c r="H223" s="136"/>
      <c r="J223" s="136"/>
      <c r="K223" s="136"/>
      <c r="AE223" s="39" t="str">
        <f>IF(D223="","",IFERROR(VLOOKUP(D223,Projects!$A$2:$A$20000,1,FALSE),""))</f>
        <v/>
      </c>
      <c r="AF223" s="2" t="str">
        <f>IF(D223="","",IFERROR(MATCH(D223,Projects!$A:$A,0),""))</f>
        <v/>
      </c>
    </row>
    <row r="224" spans="2:32" x14ac:dyDescent="0.25">
      <c r="B224" s="24"/>
      <c r="C224" s="136"/>
      <c r="D224" s="148"/>
      <c r="E224" s="136"/>
      <c r="F224" s="136"/>
      <c r="G224" s="136"/>
      <c r="H224" s="136"/>
      <c r="J224" s="136"/>
      <c r="K224" s="136"/>
      <c r="AE224" s="39" t="str">
        <f>IF(D224="","",IFERROR(VLOOKUP(D224,Projects!$A$2:$A$20000,1,FALSE),""))</f>
        <v/>
      </c>
      <c r="AF224" s="2" t="str">
        <f>IF(D224="","",IFERROR(MATCH(D224,Projects!$A:$A,0),""))</f>
        <v/>
      </c>
    </row>
    <row r="225" spans="2:32" x14ac:dyDescent="0.25">
      <c r="B225" s="24"/>
      <c r="C225" s="136"/>
      <c r="D225" s="148"/>
      <c r="E225" s="136"/>
      <c r="F225" s="136"/>
      <c r="G225" s="136"/>
      <c r="H225" s="136"/>
      <c r="J225" s="136"/>
      <c r="K225" s="136"/>
      <c r="AE225" s="39" t="str">
        <f>IF(D225="","",IFERROR(VLOOKUP(D225,Projects!$A$2:$A$20000,1,FALSE),""))</f>
        <v/>
      </c>
      <c r="AF225" s="2" t="str">
        <f>IF(D225="","",IFERROR(MATCH(D225,Projects!$A:$A,0),""))</f>
        <v/>
      </c>
    </row>
    <row r="226" spans="2:32" x14ac:dyDescent="0.25">
      <c r="B226" s="24"/>
      <c r="C226" s="136"/>
      <c r="D226" s="148"/>
      <c r="E226" s="136"/>
      <c r="F226" s="136"/>
      <c r="G226" s="136"/>
      <c r="H226" s="136"/>
      <c r="J226" s="136"/>
      <c r="K226" s="136"/>
      <c r="AE226" s="39" t="str">
        <f>IF(D226="","",IFERROR(VLOOKUP(D226,Projects!$A$2:$A$20000,1,FALSE),""))</f>
        <v/>
      </c>
      <c r="AF226" s="2" t="str">
        <f>IF(D226="","",IFERROR(MATCH(D226,Projects!$A:$A,0),""))</f>
        <v/>
      </c>
    </row>
    <row r="227" spans="2:32" x14ac:dyDescent="0.25">
      <c r="B227" s="24"/>
      <c r="C227" s="136"/>
      <c r="D227" s="148"/>
      <c r="E227" s="136"/>
      <c r="F227" s="136"/>
      <c r="G227" s="136"/>
      <c r="H227" s="136"/>
      <c r="J227" s="136"/>
      <c r="K227" s="136"/>
      <c r="AE227" s="39" t="str">
        <f>IF(D227="","",IFERROR(VLOOKUP(D227,Projects!$A$2:$A$20000,1,FALSE),""))</f>
        <v/>
      </c>
      <c r="AF227" s="2" t="str">
        <f>IF(D227="","",IFERROR(MATCH(D227,Projects!$A:$A,0),""))</f>
        <v/>
      </c>
    </row>
    <row r="228" spans="2:32" x14ac:dyDescent="0.25">
      <c r="B228" s="24"/>
      <c r="C228" s="136"/>
      <c r="D228" s="148"/>
      <c r="E228" s="136"/>
      <c r="F228" s="136"/>
      <c r="G228" s="136"/>
      <c r="H228" s="136"/>
      <c r="J228" s="136"/>
      <c r="K228" s="136"/>
      <c r="AE228" s="39" t="str">
        <f>IF(D228="","",IFERROR(VLOOKUP(D228,Projects!$A$2:$A$20000,1,FALSE),""))</f>
        <v/>
      </c>
      <c r="AF228" s="2" t="str">
        <f>IF(D228="","",IFERROR(MATCH(D228,Projects!$A:$A,0),""))</f>
        <v/>
      </c>
    </row>
    <row r="229" spans="2:32" x14ac:dyDescent="0.25">
      <c r="B229" s="24"/>
      <c r="C229" s="136"/>
      <c r="D229" s="148"/>
      <c r="E229" s="136"/>
      <c r="F229" s="136"/>
      <c r="G229" s="136"/>
      <c r="H229" s="136"/>
      <c r="J229" s="136"/>
      <c r="K229" s="136"/>
      <c r="AE229" s="39" t="str">
        <f>IF(D229="","",IFERROR(VLOOKUP(D229,Projects!$A$2:$A$20000,1,FALSE),""))</f>
        <v/>
      </c>
      <c r="AF229" s="2" t="str">
        <f>IF(D229="","",IFERROR(MATCH(D229,Projects!$A:$A,0),""))</f>
        <v/>
      </c>
    </row>
    <row r="230" spans="2:32" x14ac:dyDescent="0.25">
      <c r="B230" s="24"/>
      <c r="C230" s="136"/>
      <c r="D230" s="148"/>
      <c r="E230" s="136"/>
      <c r="F230" s="136"/>
      <c r="G230" s="136"/>
      <c r="H230" s="136"/>
      <c r="J230" s="136"/>
      <c r="K230" s="136"/>
      <c r="AE230" s="39" t="str">
        <f>IF(D230="","",IFERROR(VLOOKUP(D230,Projects!$A$2:$A$20000,1,FALSE),""))</f>
        <v/>
      </c>
      <c r="AF230" s="2" t="str">
        <f>IF(D230="","",IFERROR(MATCH(D230,Projects!$A:$A,0),""))</f>
        <v/>
      </c>
    </row>
    <row r="231" spans="2:32" x14ac:dyDescent="0.25">
      <c r="B231" s="24"/>
      <c r="C231" s="136"/>
      <c r="D231" s="148"/>
      <c r="E231" s="136"/>
      <c r="F231" s="136"/>
      <c r="G231" s="136"/>
      <c r="H231" s="136"/>
      <c r="J231" s="136"/>
      <c r="K231" s="136"/>
      <c r="AE231" s="39" t="str">
        <f>IF(D231="","",IFERROR(VLOOKUP(D231,Projects!$A$2:$A$20000,1,FALSE),""))</f>
        <v/>
      </c>
      <c r="AF231" s="2" t="str">
        <f>IF(D231="","",IFERROR(MATCH(D231,Projects!$A:$A,0),""))</f>
        <v/>
      </c>
    </row>
    <row r="232" spans="2:32" x14ac:dyDescent="0.25">
      <c r="B232" s="24"/>
      <c r="C232" s="136"/>
      <c r="D232" s="148"/>
      <c r="E232" s="136"/>
      <c r="F232" s="136"/>
      <c r="G232" s="136"/>
      <c r="H232" s="136"/>
      <c r="J232" s="136"/>
      <c r="K232" s="136"/>
      <c r="AE232" s="39" t="str">
        <f>IF(D232="","",IFERROR(VLOOKUP(D232,Projects!$A$2:$A$20000,1,FALSE),""))</f>
        <v/>
      </c>
      <c r="AF232" s="2" t="str">
        <f>IF(D232="","",IFERROR(MATCH(D232,Projects!$A:$A,0),""))</f>
        <v/>
      </c>
    </row>
    <row r="233" spans="2:32" x14ac:dyDescent="0.25">
      <c r="B233" s="24"/>
      <c r="C233" s="136"/>
      <c r="D233" s="148"/>
      <c r="E233" s="136"/>
      <c r="F233" s="136"/>
      <c r="G233" s="136"/>
      <c r="H233" s="136"/>
      <c r="J233" s="136"/>
      <c r="K233" s="136"/>
      <c r="AE233" s="39" t="str">
        <f>IF(D233="","",IFERROR(VLOOKUP(D233,Projects!$A$2:$A$20000,1,FALSE),""))</f>
        <v/>
      </c>
      <c r="AF233" s="2" t="str">
        <f>IF(D233="","",IFERROR(MATCH(D233,Projects!$A:$A,0),""))</f>
        <v/>
      </c>
    </row>
    <row r="234" spans="2:32" x14ac:dyDescent="0.25">
      <c r="B234" s="24"/>
      <c r="C234" s="136"/>
      <c r="D234" s="148"/>
      <c r="E234" s="136"/>
      <c r="F234" s="136"/>
      <c r="G234" s="136"/>
      <c r="H234" s="136"/>
      <c r="J234" s="136"/>
      <c r="K234" s="136"/>
      <c r="AE234" s="39" t="str">
        <f>IF(D234="","",IFERROR(VLOOKUP(D234,Projects!$A$2:$A$20000,1,FALSE),""))</f>
        <v/>
      </c>
      <c r="AF234" s="2" t="str">
        <f>IF(D234="","",IFERROR(MATCH(D234,Projects!$A:$A,0),""))</f>
        <v/>
      </c>
    </row>
    <row r="235" spans="2:32" x14ac:dyDescent="0.25">
      <c r="B235" s="24"/>
      <c r="C235" s="136"/>
      <c r="D235" s="148"/>
      <c r="E235" s="136"/>
      <c r="F235" s="136"/>
      <c r="G235" s="136"/>
      <c r="H235" s="136"/>
      <c r="J235" s="136"/>
      <c r="K235" s="136"/>
      <c r="AE235" s="39" t="str">
        <f>IF(D235="","",IFERROR(VLOOKUP(D235,Projects!$A$2:$A$20000,1,FALSE),""))</f>
        <v/>
      </c>
      <c r="AF235" s="2" t="str">
        <f>IF(D235="","",IFERROR(MATCH(D235,Projects!$A:$A,0),""))</f>
        <v/>
      </c>
    </row>
    <row r="236" spans="2:32" x14ac:dyDescent="0.25">
      <c r="B236" s="24"/>
      <c r="C236" s="136"/>
      <c r="D236" s="148"/>
      <c r="E236" s="136"/>
      <c r="F236" s="136"/>
      <c r="G236" s="136"/>
      <c r="H236" s="136"/>
      <c r="J236" s="136"/>
      <c r="K236" s="136"/>
      <c r="AE236" s="39" t="str">
        <f>IF(D236="","",IFERROR(VLOOKUP(D236,Projects!$A$2:$A$20000,1,FALSE),""))</f>
        <v/>
      </c>
      <c r="AF236" s="2" t="str">
        <f>IF(D236="","",IFERROR(MATCH(D236,Projects!$A:$A,0),""))</f>
        <v/>
      </c>
    </row>
    <row r="237" spans="2:32" x14ac:dyDescent="0.25">
      <c r="B237" s="24"/>
      <c r="C237" s="136"/>
      <c r="D237" s="148"/>
      <c r="E237" s="136"/>
      <c r="F237" s="136"/>
      <c r="G237" s="136"/>
      <c r="H237" s="136"/>
      <c r="J237" s="136"/>
      <c r="K237" s="136"/>
      <c r="AE237" s="39" t="str">
        <f>IF(D237="","",IFERROR(VLOOKUP(D237,Projects!$A$2:$A$20000,1,FALSE),""))</f>
        <v/>
      </c>
      <c r="AF237" s="2" t="str">
        <f>IF(D237="","",IFERROR(MATCH(D237,Projects!$A:$A,0),""))</f>
        <v/>
      </c>
    </row>
    <row r="238" spans="2:32" x14ac:dyDescent="0.25">
      <c r="B238" s="24"/>
      <c r="C238" s="136"/>
      <c r="D238" s="148"/>
      <c r="E238" s="136"/>
      <c r="F238" s="136"/>
      <c r="G238" s="136"/>
      <c r="H238" s="136"/>
      <c r="J238" s="136"/>
      <c r="K238" s="136"/>
      <c r="AE238" s="39" t="str">
        <f>IF(D238="","",IFERROR(VLOOKUP(D238,Projects!$A$2:$A$20000,1,FALSE),""))</f>
        <v/>
      </c>
      <c r="AF238" s="2" t="str">
        <f>IF(D238="","",IFERROR(MATCH(D238,Projects!$A:$A,0),""))</f>
        <v/>
      </c>
    </row>
    <row r="239" spans="2:32" x14ac:dyDescent="0.25">
      <c r="B239" s="24"/>
      <c r="C239" s="136"/>
      <c r="D239" s="148"/>
      <c r="E239" s="136"/>
      <c r="F239" s="136"/>
      <c r="G239" s="136"/>
      <c r="H239" s="136"/>
      <c r="J239" s="136"/>
      <c r="K239" s="136"/>
      <c r="AE239" s="39" t="str">
        <f>IF(D239="","",IFERROR(VLOOKUP(D239,Projects!$A$2:$A$20000,1,FALSE),""))</f>
        <v/>
      </c>
      <c r="AF239" s="2" t="str">
        <f>IF(D239="","",IFERROR(MATCH(D239,Projects!$A:$A,0),""))</f>
        <v/>
      </c>
    </row>
    <row r="240" spans="2:32" x14ac:dyDescent="0.25">
      <c r="B240" s="24"/>
      <c r="C240" s="136"/>
      <c r="D240" s="148"/>
      <c r="E240" s="136"/>
      <c r="F240" s="136"/>
      <c r="G240" s="136"/>
      <c r="H240" s="136"/>
      <c r="J240" s="136"/>
      <c r="K240" s="136"/>
      <c r="AE240" s="39" t="str">
        <f>IF(D240="","",IFERROR(VLOOKUP(D240,Projects!$A$2:$A$20000,1,FALSE),""))</f>
        <v/>
      </c>
      <c r="AF240" s="2" t="str">
        <f>IF(D240="","",IFERROR(MATCH(D240,Projects!$A:$A,0),""))</f>
        <v/>
      </c>
    </row>
    <row r="241" spans="2:32" x14ac:dyDescent="0.25">
      <c r="B241" s="24"/>
      <c r="C241" s="136"/>
      <c r="D241" s="148"/>
      <c r="E241" s="136"/>
      <c r="F241" s="136"/>
      <c r="G241" s="136"/>
      <c r="H241" s="136"/>
      <c r="J241" s="136"/>
      <c r="K241" s="136"/>
      <c r="AE241" s="39" t="str">
        <f>IF(D241="","",IFERROR(VLOOKUP(D241,Projects!$A$2:$A$20000,1,FALSE),""))</f>
        <v/>
      </c>
      <c r="AF241" s="2" t="str">
        <f>IF(D241="","",IFERROR(MATCH(D241,Projects!$A:$A,0),""))</f>
        <v/>
      </c>
    </row>
    <row r="242" spans="2:32" x14ac:dyDescent="0.25">
      <c r="B242" s="24"/>
      <c r="C242" s="136"/>
      <c r="D242" s="148"/>
      <c r="E242" s="136"/>
      <c r="F242" s="136"/>
      <c r="G242" s="136"/>
      <c r="H242" s="136"/>
      <c r="J242" s="136"/>
      <c r="K242" s="136"/>
      <c r="AE242" s="39" t="str">
        <f>IF(D242="","",IFERROR(VLOOKUP(D242,Projects!$A$2:$A$20000,1,FALSE),""))</f>
        <v/>
      </c>
      <c r="AF242" s="2" t="str">
        <f>IF(D242="","",IFERROR(MATCH(D242,Projects!$A:$A,0),""))</f>
        <v/>
      </c>
    </row>
    <row r="243" spans="2:32" x14ac:dyDescent="0.25">
      <c r="B243" s="24"/>
      <c r="C243" s="136"/>
      <c r="D243" s="148"/>
      <c r="E243" s="136"/>
      <c r="F243" s="136"/>
      <c r="G243" s="136"/>
      <c r="H243" s="136"/>
      <c r="J243" s="136"/>
      <c r="K243" s="136"/>
      <c r="AE243" s="39" t="str">
        <f>IF(D243="","",IFERROR(VLOOKUP(D243,Projects!$A$2:$A$20000,1,FALSE),""))</f>
        <v/>
      </c>
      <c r="AF243" s="2" t="str">
        <f>IF(D243="","",IFERROR(MATCH(D243,Projects!$A:$A,0),""))</f>
        <v/>
      </c>
    </row>
    <row r="244" spans="2:32" x14ac:dyDescent="0.25">
      <c r="B244" s="24"/>
      <c r="C244" s="136"/>
      <c r="D244" s="148"/>
      <c r="E244" s="136"/>
      <c r="F244" s="136"/>
      <c r="G244" s="136"/>
      <c r="H244" s="136"/>
      <c r="J244" s="136"/>
      <c r="K244" s="136"/>
      <c r="AE244" s="39" t="str">
        <f>IF(D244="","",IFERROR(VLOOKUP(D244,Projects!$A$2:$A$20000,1,FALSE),""))</f>
        <v/>
      </c>
      <c r="AF244" s="2" t="str">
        <f>IF(D244="","",IFERROR(MATCH(D244,Projects!$A:$A,0),""))</f>
        <v/>
      </c>
    </row>
    <row r="245" spans="2:32" x14ac:dyDescent="0.25">
      <c r="B245" s="24"/>
      <c r="C245" s="136"/>
      <c r="D245" s="148"/>
      <c r="E245" s="136"/>
      <c r="F245" s="136"/>
      <c r="G245" s="136"/>
      <c r="H245" s="136"/>
      <c r="J245" s="136"/>
      <c r="K245" s="136"/>
      <c r="AE245" s="39" t="str">
        <f>IF(D245="","",IFERROR(VLOOKUP(D245,Projects!$A$2:$A$20000,1,FALSE),""))</f>
        <v/>
      </c>
      <c r="AF245" s="2" t="str">
        <f>IF(D245="","",IFERROR(MATCH(D245,Projects!$A:$A,0),""))</f>
        <v/>
      </c>
    </row>
    <row r="246" spans="2:32" x14ac:dyDescent="0.25">
      <c r="B246" s="24"/>
      <c r="C246" s="136"/>
      <c r="D246" s="148"/>
      <c r="E246" s="136"/>
      <c r="F246" s="136"/>
      <c r="G246" s="136"/>
      <c r="H246" s="136"/>
      <c r="J246" s="136"/>
      <c r="K246" s="136"/>
      <c r="AE246" s="39" t="str">
        <f>IF(D246="","",IFERROR(VLOOKUP(D246,Projects!$A$2:$A$20000,1,FALSE),""))</f>
        <v/>
      </c>
      <c r="AF246" s="2" t="str">
        <f>IF(D246="","",IFERROR(MATCH(D246,Projects!$A:$A,0),""))</f>
        <v/>
      </c>
    </row>
    <row r="247" spans="2:32" x14ac:dyDescent="0.25">
      <c r="B247" s="24"/>
      <c r="C247" s="136"/>
      <c r="D247" s="148"/>
      <c r="E247" s="136"/>
      <c r="F247" s="136"/>
      <c r="G247" s="136"/>
      <c r="H247" s="136"/>
      <c r="J247" s="136"/>
      <c r="K247" s="136"/>
      <c r="AE247" s="39" t="str">
        <f>IF(D247="","",IFERROR(VLOOKUP(D247,Projects!$A$2:$A$20000,1,FALSE),""))</f>
        <v/>
      </c>
      <c r="AF247" s="2" t="str">
        <f>IF(D247="","",IFERROR(MATCH(D247,Projects!$A:$A,0),""))</f>
        <v/>
      </c>
    </row>
    <row r="248" spans="2:32" x14ac:dyDescent="0.25">
      <c r="B248" s="24"/>
      <c r="C248" s="136"/>
      <c r="D248" s="148"/>
      <c r="E248" s="136"/>
      <c r="F248" s="136"/>
      <c r="G248" s="136"/>
      <c r="H248" s="136"/>
      <c r="J248" s="136"/>
      <c r="K248" s="136"/>
      <c r="AE248" s="39" t="str">
        <f>IF(D248="","",IFERROR(VLOOKUP(D248,Projects!$A$2:$A$20000,1,FALSE),""))</f>
        <v/>
      </c>
      <c r="AF248" s="2" t="str">
        <f>IF(D248="","",IFERROR(MATCH(D248,Projects!$A:$A,0),""))</f>
        <v/>
      </c>
    </row>
    <row r="249" spans="2:32" x14ac:dyDescent="0.25">
      <c r="B249" s="24"/>
      <c r="C249" s="136"/>
      <c r="D249" s="148"/>
      <c r="E249" s="136"/>
      <c r="F249" s="136"/>
      <c r="G249" s="136"/>
      <c r="H249" s="136"/>
      <c r="J249" s="136"/>
      <c r="K249" s="136"/>
      <c r="AE249" s="39" t="str">
        <f>IF(D249="","",IFERROR(VLOOKUP(D249,Projects!$A$2:$A$20000,1,FALSE),""))</f>
        <v/>
      </c>
      <c r="AF249" s="2" t="str">
        <f>IF(D249="","",IFERROR(MATCH(D249,Projects!$A:$A,0),""))</f>
        <v/>
      </c>
    </row>
    <row r="250" spans="2:32" x14ac:dyDescent="0.25">
      <c r="B250" s="24"/>
      <c r="C250" s="136"/>
      <c r="D250" s="148"/>
      <c r="E250" s="136"/>
      <c r="F250" s="136"/>
      <c r="G250" s="136"/>
      <c r="H250" s="136"/>
      <c r="J250" s="136"/>
      <c r="K250" s="136"/>
      <c r="AE250" s="39" t="str">
        <f>IF(D250="","",IFERROR(VLOOKUP(D250,Projects!$A$2:$A$20000,1,FALSE),""))</f>
        <v/>
      </c>
      <c r="AF250" s="2" t="str">
        <f>IF(D250="","",IFERROR(MATCH(D250,Projects!$A:$A,0),""))</f>
        <v/>
      </c>
    </row>
    <row r="251" spans="2:32" x14ac:dyDescent="0.25">
      <c r="B251" s="24"/>
      <c r="C251" s="136"/>
      <c r="D251" s="148"/>
      <c r="E251" s="136"/>
      <c r="F251" s="136"/>
      <c r="G251" s="136"/>
      <c r="H251" s="136"/>
      <c r="J251" s="136"/>
      <c r="K251" s="136"/>
      <c r="AE251" s="39" t="str">
        <f>IF(D251="","",IFERROR(VLOOKUP(D251,Projects!$A$2:$A$20000,1,FALSE),""))</f>
        <v/>
      </c>
      <c r="AF251" s="2" t="str">
        <f>IF(D251="","",IFERROR(MATCH(D251,Projects!$A:$A,0),""))</f>
        <v/>
      </c>
    </row>
    <row r="252" spans="2:32" x14ac:dyDescent="0.25">
      <c r="B252" s="24"/>
      <c r="C252" s="136"/>
      <c r="D252" s="148"/>
      <c r="E252" s="136"/>
      <c r="F252" s="136"/>
      <c r="G252" s="136"/>
      <c r="H252" s="136"/>
      <c r="J252" s="136"/>
      <c r="K252" s="136"/>
      <c r="AE252" s="39" t="str">
        <f>IF(D252="","",IFERROR(VLOOKUP(D252,Projects!$A$2:$A$20000,1,FALSE),""))</f>
        <v/>
      </c>
      <c r="AF252" s="2" t="str">
        <f>IF(D252="","",IFERROR(MATCH(D252,Projects!$A:$A,0),""))</f>
        <v/>
      </c>
    </row>
    <row r="253" spans="2:32" x14ac:dyDescent="0.25">
      <c r="B253" s="24"/>
      <c r="C253" s="136"/>
      <c r="D253" s="148"/>
      <c r="E253" s="136"/>
      <c r="F253" s="136"/>
      <c r="G253" s="136"/>
      <c r="H253" s="136"/>
      <c r="J253" s="136"/>
      <c r="K253" s="136"/>
      <c r="AE253" s="39" t="str">
        <f>IF(D253="","",IFERROR(VLOOKUP(D253,Projects!$A$2:$A$20000,1,FALSE),""))</f>
        <v/>
      </c>
      <c r="AF253" s="2" t="str">
        <f>IF(D253="","",IFERROR(MATCH(D253,Projects!$A:$A,0),""))</f>
        <v/>
      </c>
    </row>
    <row r="254" spans="2:32" x14ac:dyDescent="0.25">
      <c r="B254" s="24"/>
      <c r="C254" s="136"/>
      <c r="D254" s="148"/>
      <c r="E254" s="136"/>
      <c r="F254" s="136"/>
      <c r="G254" s="136"/>
      <c r="H254" s="136"/>
      <c r="J254" s="136"/>
      <c r="K254" s="136"/>
      <c r="AE254" s="39" t="str">
        <f>IF(D254="","",IFERROR(VLOOKUP(D254,Projects!$A$2:$A$20000,1,FALSE),""))</f>
        <v/>
      </c>
      <c r="AF254" s="2" t="str">
        <f>IF(D254="","",IFERROR(MATCH(D254,Projects!$A:$A,0),""))</f>
        <v/>
      </c>
    </row>
    <row r="255" spans="2:32" x14ac:dyDescent="0.25">
      <c r="B255" s="24"/>
      <c r="C255" s="136"/>
      <c r="D255" s="148"/>
      <c r="E255" s="136"/>
      <c r="F255" s="136"/>
      <c r="G255" s="136"/>
      <c r="H255" s="136"/>
      <c r="J255" s="136"/>
      <c r="K255" s="136"/>
      <c r="AE255" s="39" t="str">
        <f>IF(D255="","",IFERROR(VLOOKUP(D255,Projects!$A$2:$A$20000,1,FALSE),""))</f>
        <v/>
      </c>
      <c r="AF255" s="2" t="str">
        <f>IF(D255="","",IFERROR(MATCH(D255,Projects!$A:$A,0),""))</f>
        <v/>
      </c>
    </row>
    <row r="256" spans="2:32" x14ac:dyDescent="0.25">
      <c r="B256" s="24"/>
      <c r="C256" s="136"/>
      <c r="D256" s="148"/>
      <c r="E256" s="136"/>
      <c r="F256" s="136"/>
      <c r="G256" s="136"/>
      <c r="H256" s="136"/>
      <c r="J256" s="136"/>
      <c r="K256" s="136"/>
      <c r="AE256" s="39" t="str">
        <f>IF(D256="","",IFERROR(VLOOKUP(D256,Projects!$A$2:$A$20000,1,FALSE),""))</f>
        <v/>
      </c>
      <c r="AF256" s="2" t="str">
        <f>IF(D256="","",IFERROR(MATCH(D256,Projects!$A:$A,0),""))</f>
        <v/>
      </c>
    </row>
    <row r="257" spans="2:32" x14ac:dyDescent="0.25">
      <c r="B257" s="24"/>
      <c r="C257" s="136"/>
      <c r="D257" s="148"/>
      <c r="E257" s="136"/>
      <c r="F257" s="136"/>
      <c r="G257" s="136"/>
      <c r="H257" s="136"/>
      <c r="J257" s="136"/>
      <c r="K257" s="136"/>
      <c r="AE257" s="39" t="str">
        <f>IF(D257="","",IFERROR(VLOOKUP(D257,Projects!$A$2:$A$20000,1,FALSE),""))</f>
        <v/>
      </c>
      <c r="AF257" s="2" t="str">
        <f>IF(D257="","",IFERROR(MATCH(D257,Projects!$A:$A,0),""))</f>
        <v/>
      </c>
    </row>
    <row r="258" spans="2:32" x14ac:dyDescent="0.25">
      <c r="B258" s="24"/>
      <c r="C258" s="136"/>
      <c r="D258" s="148"/>
      <c r="E258" s="136"/>
      <c r="F258" s="136"/>
      <c r="G258" s="136"/>
      <c r="H258" s="136"/>
      <c r="J258" s="136"/>
      <c r="K258" s="136"/>
      <c r="AE258" s="39" t="str">
        <f>IF(D258="","",IFERROR(VLOOKUP(D258,Projects!$A$2:$A$20000,1,FALSE),""))</f>
        <v/>
      </c>
      <c r="AF258" s="2" t="str">
        <f>IF(D258="","",IFERROR(MATCH(D258,Projects!$A:$A,0),""))</f>
        <v/>
      </c>
    </row>
    <row r="259" spans="2:32" x14ac:dyDescent="0.25">
      <c r="B259" s="24"/>
      <c r="C259" s="136"/>
      <c r="D259" s="148"/>
      <c r="E259" s="136"/>
      <c r="F259" s="136"/>
      <c r="G259" s="136"/>
      <c r="H259" s="136"/>
      <c r="J259" s="136"/>
      <c r="K259" s="136"/>
      <c r="AE259" s="39" t="str">
        <f>IF(D259="","",IFERROR(VLOOKUP(D259,Projects!$A$2:$A$20000,1,FALSE),""))</f>
        <v/>
      </c>
      <c r="AF259" s="2" t="str">
        <f>IF(D259="","",IFERROR(MATCH(D259,Projects!$A:$A,0),""))</f>
        <v/>
      </c>
    </row>
    <row r="260" spans="2:32" x14ac:dyDescent="0.25">
      <c r="B260" s="24"/>
      <c r="C260" s="136"/>
      <c r="D260" s="148"/>
      <c r="E260" s="136"/>
      <c r="F260" s="136"/>
      <c r="G260" s="136"/>
      <c r="H260" s="136"/>
      <c r="J260" s="136"/>
      <c r="K260" s="136"/>
      <c r="AE260" s="39" t="str">
        <f>IF(D260="","",IFERROR(VLOOKUP(D260,Projects!$A$2:$A$20000,1,FALSE),""))</f>
        <v/>
      </c>
      <c r="AF260" s="2" t="str">
        <f>IF(D260="","",IFERROR(MATCH(D260,Projects!$A:$A,0),""))</f>
        <v/>
      </c>
    </row>
    <row r="261" spans="2:32" x14ac:dyDescent="0.25">
      <c r="B261" s="24"/>
      <c r="C261" s="136"/>
      <c r="D261" s="148"/>
      <c r="E261" s="136"/>
      <c r="F261" s="136"/>
      <c r="G261" s="136"/>
      <c r="H261" s="136"/>
      <c r="J261" s="136"/>
      <c r="K261" s="136"/>
      <c r="AE261" s="39" t="str">
        <f>IF(D261="","",IFERROR(VLOOKUP(D261,Projects!$A$2:$A$20000,1,FALSE),""))</f>
        <v/>
      </c>
      <c r="AF261" s="2" t="str">
        <f>IF(D261="","",IFERROR(MATCH(D261,Projects!$A:$A,0),""))</f>
        <v/>
      </c>
    </row>
    <row r="262" spans="2:32" x14ac:dyDescent="0.25">
      <c r="B262" s="24"/>
      <c r="C262" s="136"/>
      <c r="D262" s="148"/>
      <c r="E262" s="136"/>
      <c r="F262" s="136"/>
      <c r="G262" s="136"/>
      <c r="H262" s="136"/>
      <c r="J262" s="136"/>
      <c r="K262" s="136"/>
      <c r="AE262" s="39" t="str">
        <f>IF(D262="","",IFERROR(VLOOKUP(D262,Projects!$A$2:$A$20000,1,FALSE),""))</f>
        <v/>
      </c>
      <c r="AF262" s="2" t="str">
        <f>IF(D262="","",IFERROR(MATCH(D262,Projects!$A:$A,0),""))</f>
        <v/>
      </c>
    </row>
    <row r="263" spans="2:32" x14ac:dyDescent="0.25">
      <c r="B263" s="24"/>
      <c r="C263" s="136"/>
      <c r="D263" s="148"/>
      <c r="E263" s="136"/>
      <c r="F263" s="136"/>
      <c r="G263" s="136"/>
      <c r="H263" s="136"/>
      <c r="J263" s="136"/>
      <c r="K263" s="136"/>
      <c r="AE263" s="39" t="str">
        <f>IF(D263="","",IFERROR(VLOOKUP(D263,Projects!$A$2:$A$20000,1,FALSE),""))</f>
        <v/>
      </c>
      <c r="AF263" s="2" t="str">
        <f>IF(D263="","",IFERROR(MATCH(D263,Projects!$A:$A,0),""))</f>
        <v/>
      </c>
    </row>
    <row r="264" spans="2:32" x14ac:dyDescent="0.25">
      <c r="B264" s="24"/>
      <c r="C264" s="136"/>
      <c r="D264" s="148"/>
      <c r="E264" s="136"/>
      <c r="F264" s="136"/>
      <c r="G264" s="136"/>
      <c r="H264" s="136"/>
      <c r="J264" s="136"/>
      <c r="K264" s="136"/>
      <c r="AE264" s="39" t="str">
        <f>IF(D264="","",IFERROR(VLOOKUP(D264,Projects!$A$2:$A$20000,1,FALSE),""))</f>
        <v/>
      </c>
      <c r="AF264" s="2" t="str">
        <f>IF(D264="","",IFERROR(MATCH(D264,Projects!$A:$A,0),""))</f>
        <v/>
      </c>
    </row>
    <row r="265" spans="2:32" x14ac:dyDescent="0.25">
      <c r="B265" s="24"/>
      <c r="C265" s="136"/>
      <c r="D265" s="148"/>
      <c r="E265" s="136"/>
      <c r="F265" s="136"/>
      <c r="G265" s="136"/>
      <c r="H265" s="136"/>
      <c r="J265" s="136"/>
      <c r="K265" s="136"/>
      <c r="AE265" s="39" t="str">
        <f>IF(D265="","",IFERROR(VLOOKUP(D265,Projects!$A$2:$A$20000,1,FALSE),""))</f>
        <v/>
      </c>
      <c r="AF265" s="2" t="str">
        <f>IF(D265="","",IFERROR(MATCH(D265,Projects!$A:$A,0),""))</f>
        <v/>
      </c>
    </row>
    <row r="266" spans="2:32" x14ac:dyDescent="0.25">
      <c r="B266" s="24"/>
      <c r="C266" s="136"/>
      <c r="D266" s="148"/>
      <c r="E266" s="136"/>
      <c r="F266" s="136"/>
      <c r="G266" s="136"/>
      <c r="H266" s="136"/>
      <c r="J266" s="136"/>
      <c r="K266" s="136"/>
      <c r="AE266" s="39" t="str">
        <f>IF(D266="","",IFERROR(VLOOKUP(D266,Projects!$A$2:$A$20000,1,FALSE),""))</f>
        <v/>
      </c>
      <c r="AF266" s="2" t="str">
        <f>IF(D266="","",IFERROR(MATCH(D266,Projects!$A:$A,0),""))</f>
        <v/>
      </c>
    </row>
    <row r="267" spans="2:32" x14ac:dyDescent="0.25">
      <c r="B267" s="24"/>
      <c r="C267" s="136"/>
      <c r="D267" s="148"/>
      <c r="E267" s="136"/>
      <c r="F267" s="136"/>
      <c r="G267" s="136"/>
      <c r="H267" s="136"/>
      <c r="J267" s="136"/>
      <c r="K267" s="136"/>
      <c r="AE267" s="39" t="str">
        <f>IF(D267="","",IFERROR(VLOOKUP(D267,Projects!$A$2:$A$20000,1,FALSE),""))</f>
        <v/>
      </c>
      <c r="AF267" s="2" t="str">
        <f>IF(D267="","",IFERROR(MATCH(D267,Projects!$A:$A,0),""))</f>
        <v/>
      </c>
    </row>
    <row r="268" spans="2:32" x14ac:dyDescent="0.25">
      <c r="B268" s="24"/>
      <c r="C268" s="136"/>
      <c r="D268" s="148"/>
      <c r="E268" s="136"/>
      <c r="F268" s="136"/>
      <c r="G268" s="136"/>
      <c r="H268" s="136"/>
      <c r="J268" s="136"/>
      <c r="K268" s="136"/>
      <c r="AE268" s="39" t="str">
        <f>IF(D268="","",IFERROR(VLOOKUP(D268,Projects!$A$2:$A$20000,1,FALSE),""))</f>
        <v/>
      </c>
      <c r="AF268" s="2" t="str">
        <f>IF(D268="","",IFERROR(MATCH(D268,Projects!$A:$A,0),""))</f>
        <v/>
      </c>
    </row>
    <row r="269" spans="2:32" x14ac:dyDescent="0.25">
      <c r="B269" s="24"/>
      <c r="C269" s="136"/>
      <c r="D269" s="148"/>
      <c r="E269" s="136"/>
      <c r="F269" s="136"/>
      <c r="G269" s="136"/>
      <c r="H269" s="136"/>
      <c r="J269" s="136"/>
      <c r="K269" s="136"/>
      <c r="AE269" s="39" t="str">
        <f>IF(D269="","",IFERROR(VLOOKUP(D269,Projects!$A$2:$A$20000,1,FALSE),""))</f>
        <v/>
      </c>
      <c r="AF269" s="2" t="str">
        <f>IF(D269="","",IFERROR(MATCH(D269,Projects!$A:$A,0),""))</f>
        <v/>
      </c>
    </row>
    <row r="270" spans="2:32" x14ac:dyDescent="0.25">
      <c r="B270" s="24"/>
      <c r="C270" s="136"/>
      <c r="D270" s="148"/>
      <c r="E270" s="136"/>
      <c r="F270" s="136"/>
      <c r="G270" s="136"/>
      <c r="H270" s="136"/>
      <c r="J270" s="136"/>
      <c r="K270" s="136"/>
      <c r="AE270" s="39" t="str">
        <f>IF(D270="","",IFERROR(VLOOKUP(D270,Projects!$A$2:$A$20000,1,FALSE),""))</f>
        <v/>
      </c>
      <c r="AF270" s="2" t="str">
        <f>IF(D270="","",IFERROR(MATCH(D270,Projects!$A:$A,0),""))</f>
        <v/>
      </c>
    </row>
    <row r="271" spans="2:32" x14ac:dyDescent="0.25">
      <c r="B271" s="24"/>
      <c r="C271" s="136"/>
      <c r="D271" s="148"/>
      <c r="E271" s="136"/>
      <c r="F271" s="136"/>
      <c r="G271" s="136"/>
      <c r="H271" s="136"/>
      <c r="J271" s="136"/>
      <c r="K271" s="136"/>
      <c r="AE271" s="39" t="str">
        <f>IF(D271="","",IFERROR(VLOOKUP(D271,Projects!$A$2:$A$20000,1,FALSE),""))</f>
        <v/>
      </c>
      <c r="AF271" s="2" t="str">
        <f>IF(D271="","",IFERROR(MATCH(D271,Projects!$A:$A,0),""))</f>
        <v/>
      </c>
    </row>
    <row r="272" spans="2:32" x14ac:dyDescent="0.25">
      <c r="B272" s="24"/>
      <c r="C272" s="136"/>
      <c r="D272" s="148"/>
      <c r="E272" s="136"/>
      <c r="F272" s="136"/>
      <c r="G272" s="136"/>
      <c r="H272" s="136"/>
      <c r="J272" s="136"/>
      <c r="K272" s="136"/>
      <c r="AE272" s="39" t="str">
        <f>IF(D272="","",IFERROR(VLOOKUP(D272,Projects!$A$2:$A$20000,1,FALSE),""))</f>
        <v/>
      </c>
      <c r="AF272" s="2" t="str">
        <f>IF(D272="","",IFERROR(MATCH(D272,Projects!$A:$A,0),""))</f>
        <v/>
      </c>
    </row>
    <row r="273" spans="2:32" x14ac:dyDescent="0.25">
      <c r="B273" s="24"/>
      <c r="C273" s="136"/>
      <c r="D273" s="148"/>
      <c r="E273" s="136"/>
      <c r="F273" s="136"/>
      <c r="G273" s="136"/>
      <c r="H273" s="136"/>
      <c r="J273" s="136"/>
      <c r="K273" s="136"/>
      <c r="AE273" s="39" t="str">
        <f>IF(D273="","",IFERROR(VLOOKUP(D273,Projects!$A$2:$A$20000,1,FALSE),""))</f>
        <v/>
      </c>
      <c r="AF273" s="2" t="str">
        <f>IF(D273="","",IFERROR(MATCH(D273,Projects!$A:$A,0),""))</f>
        <v/>
      </c>
    </row>
    <row r="274" spans="2:32" x14ac:dyDescent="0.25">
      <c r="B274" s="24"/>
      <c r="C274" s="136"/>
      <c r="D274" s="148"/>
      <c r="E274" s="136"/>
      <c r="F274" s="136"/>
      <c r="G274" s="136"/>
      <c r="H274" s="136"/>
      <c r="J274" s="136"/>
      <c r="K274" s="136"/>
      <c r="AE274" s="39" t="str">
        <f>IF(D274="","",IFERROR(VLOOKUP(D274,Projects!$A$2:$A$20000,1,FALSE),""))</f>
        <v/>
      </c>
      <c r="AF274" s="2" t="str">
        <f>IF(D274="","",IFERROR(MATCH(D274,Projects!$A:$A,0),""))</f>
        <v/>
      </c>
    </row>
    <row r="275" spans="2:32" x14ac:dyDescent="0.25">
      <c r="B275" s="24"/>
      <c r="C275" s="136"/>
      <c r="D275" s="148"/>
      <c r="E275" s="136"/>
      <c r="F275" s="136"/>
      <c r="G275" s="136"/>
      <c r="H275" s="136"/>
      <c r="J275" s="136"/>
      <c r="K275" s="136"/>
      <c r="AE275" s="39" t="str">
        <f>IF(D275="","",IFERROR(VLOOKUP(D275,Projects!$A$2:$A$20000,1,FALSE),""))</f>
        <v/>
      </c>
      <c r="AF275" s="2" t="str">
        <f>IF(D275="","",IFERROR(MATCH(D275,Projects!$A:$A,0),""))</f>
        <v/>
      </c>
    </row>
    <row r="276" spans="2:32" x14ac:dyDescent="0.25">
      <c r="B276" s="24"/>
      <c r="C276" s="136"/>
      <c r="D276" s="148"/>
      <c r="E276" s="136"/>
      <c r="F276" s="136"/>
      <c r="G276" s="136"/>
      <c r="H276" s="136"/>
      <c r="J276" s="136"/>
      <c r="K276" s="136"/>
      <c r="AE276" s="39" t="str">
        <f>IF(D276="","",IFERROR(VLOOKUP(D276,Projects!$A$2:$A$20000,1,FALSE),""))</f>
        <v/>
      </c>
      <c r="AF276" s="2" t="str">
        <f>IF(D276="","",IFERROR(MATCH(D276,Projects!$A:$A,0),""))</f>
        <v/>
      </c>
    </row>
    <row r="277" spans="2:32" x14ac:dyDescent="0.25">
      <c r="B277" s="24"/>
      <c r="C277" s="136"/>
      <c r="D277" s="148"/>
      <c r="E277" s="136"/>
      <c r="F277" s="136"/>
      <c r="G277" s="136"/>
      <c r="H277" s="136"/>
      <c r="J277" s="136"/>
      <c r="K277" s="136"/>
      <c r="AE277" s="39" t="str">
        <f>IF(D277="","",IFERROR(VLOOKUP(D277,Projects!$A$2:$A$20000,1,FALSE),""))</f>
        <v/>
      </c>
      <c r="AF277" s="2" t="str">
        <f>IF(D277="","",IFERROR(MATCH(D277,Projects!$A:$A,0),""))</f>
        <v/>
      </c>
    </row>
    <row r="278" spans="2:32" x14ac:dyDescent="0.25">
      <c r="B278" s="24"/>
      <c r="C278" s="136"/>
      <c r="D278" s="148"/>
      <c r="E278" s="136"/>
      <c r="F278" s="136"/>
      <c r="G278" s="136"/>
      <c r="H278" s="136"/>
      <c r="J278" s="136"/>
      <c r="K278" s="136"/>
      <c r="AE278" s="39" t="str">
        <f>IF(D278="","",IFERROR(VLOOKUP(D278,Projects!$A$2:$A$20000,1,FALSE),""))</f>
        <v/>
      </c>
      <c r="AF278" s="2" t="str">
        <f>IF(D278="","",IFERROR(MATCH(D278,Projects!$A:$A,0),""))</f>
        <v/>
      </c>
    </row>
    <row r="279" spans="2:32" x14ac:dyDescent="0.25">
      <c r="B279" s="24"/>
      <c r="C279" s="136"/>
      <c r="D279" s="148"/>
      <c r="E279" s="136"/>
      <c r="F279" s="136"/>
      <c r="G279" s="136"/>
      <c r="H279" s="136"/>
      <c r="J279" s="136"/>
      <c r="K279" s="136"/>
      <c r="AE279" s="39" t="str">
        <f>IF(D279="","",IFERROR(VLOOKUP(D279,Projects!$A$2:$A$20000,1,FALSE),""))</f>
        <v/>
      </c>
      <c r="AF279" s="2" t="str">
        <f>IF(D279="","",IFERROR(MATCH(D279,Projects!$A:$A,0),""))</f>
        <v/>
      </c>
    </row>
    <row r="280" spans="2:32" x14ac:dyDescent="0.25">
      <c r="B280" s="24"/>
      <c r="C280" s="136"/>
      <c r="D280" s="148"/>
      <c r="E280" s="136"/>
      <c r="F280" s="136"/>
      <c r="G280" s="136"/>
      <c r="H280" s="136"/>
      <c r="J280" s="136"/>
      <c r="K280" s="136"/>
      <c r="AE280" s="39" t="str">
        <f>IF(D280="","",IFERROR(VLOOKUP(D280,Projects!$A$2:$A$20000,1,FALSE),""))</f>
        <v/>
      </c>
      <c r="AF280" s="2" t="str">
        <f>IF(D280="","",IFERROR(MATCH(D280,Projects!$A:$A,0),""))</f>
        <v/>
      </c>
    </row>
    <row r="281" spans="2:32" x14ac:dyDescent="0.25">
      <c r="B281" s="24"/>
      <c r="C281" s="136"/>
      <c r="D281" s="148"/>
      <c r="E281" s="136"/>
      <c r="F281" s="136"/>
      <c r="G281" s="136"/>
      <c r="H281" s="136"/>
      <c r="J281" s="136"/>
      <c r="K281" s="136"/>
      <c r="AE281" s="39" t="str">
        <f>IF(D281="","",IFERROR(VLOOKUP(D281,Projects!$A$2:$A$20000,1,FALSE),""))</f>
        <v/>
      </c>
      <c r="AF281" s="2" t="str">
        <f>IF(D281="","",IFERROR(MATCH(D281,Projects!$A:$A,0),""))</f>
        <v/>
      </c>
    </row>
    <row r="282" spans="2:32" x14ac:dyDescent="0.25">
      <c r="B282" s="24"/>
      <c r="C282" s="136"/>
      <c r="D282" s="148"/>
      <c r="E282" s="136"/>
      <c r="F282" s="136"/>
      <c r="G282" s="136"/>
      <c r="H282" s="136"/>
      <c r="J282" s="136"/>
      <c r="K282" s="136"/>
      <c r="AE282" s="39" t="str">
        <f>IF(D282="","",IFERROR(VLOOKUP(D282,Projects!$A$2:$A$20000,1,FALSE),""))</f>
        <v/>
      </c>
      <c r="AF282" s="2" t="str">
        <f>IF(D282="","",IFERROR(MATCH(D282,Projects!$A:$A,0),""))</f>
        <v/>
      </c>
    </row>
    <row r="283" spans="2:32" x14ac:dyDescent="0.25">
      <c r="B283" s="24"/>
      <c r="C283" s="136"/>
      <c r="D283" s="148"/>
      <c r="E283" s="136"/>
      <c r="F283" s="136"/>
      <c r="G283" s="136"/>
      <c r="H283" s="136"/>
      <c r="J283" s="136"/>
      <c r="K283" s="136"/>
      <c r="AE283" s="39" t="str">
        <f>IF(D283="","",IFERROR(VLOOKUP(D283,Projects!$A$2:$A$20000,1,FALSE),""))</f>
        <v/>
      </c>
      <c r="AF283" s="2" t="str">
        <f>IF(D283="","",IFERROR(MATCH(D283,Projects!$A:$A,0),""))</f>
        <v/>
      </c>
    </row>
    <row r="284" spans="2:32" x14ac:dyDescent="0.25">
      <c r="B284" s="24"/>
      <c r="C284" s="136"/>
      <c r="D284" s="148"/>
      <c r="E284" s="136"/>
      <c r="F284" s="136"/>
      <c r="G284" s="136"/>
      <c r="H284" s="136"/>
      <c r="J284" s="136"/>
      <c r="K284" s="136"/>
      <c r="AE284" s="39" t="str">
        <f>IF(D284="","",IFERROR(VLOOKUP(D284,Projects!$A$2:$A$20000,1,FALSE),""))</f>
        <v/>
      </c>
      <c r="AF284" s="2" t="str">
        <f>IF(D284="","",IFERROR(MATCH(D284,Projects!$A:$A,0),""))</f>
        <v/>
      </c>
    </row>
    <row r="285" spans="2:32" x14ac:dyDescent="0.25">
      <c r="B285" s="24"/>
      <c r="C285" s="136"/>
      <c r="D285" s="148"/>
      <c r="E285" s="136"/>
      <c r="F285" s="136"/>
      <c r="G285" s="136"/>
      <c r="H285" s="136"/>
      <c r="J285" s="136"/>
      <c r="K285" s="136"/>
      <c r="AE285" s="39" t="str">
        <f>IF(D285="","",IFERROR(VLOOKUP(D285,Projects!$A$2:$A$20000,1,FALSE),""))</f>
        <v/>
      </c>
      <c r="AF285" s="2" t="str">
        <f>IF(D285="","",IFERROR(MATCH(D285,Projects!$A:$A,0),""))</f>
        <v/>
      </c>
    </row>
    <row r="286" spans="2:32" x14ac:dyDescent="0.25">
      <c r="B286" s="24"/>
      <c r="C286" s="136"/>
      <c r="D286" s="148"/>
      <c r="E286" s="136"/>
      <c r="F286" s="136"/>
      <c r="G286" s="136"/>
      <c r="H286" s="136"/>
      <c r="J286" s="136"/>
      <c r="K286" s="136"/>
      <c r="AE286" s="39" t="str">
        <f>IF(D286="","",IFERROR(VLOOKUP(D286,Projects!$A$2:$A$20000,1,FALSE),""))</f>
        <v/>
      </c>
      <c r="AF286" s="2" t="str">
        <f>IF(D286="","",IFERROR(MATCH(D286,Projects!$A:$A,0),""))</f>
        <v/>
      </c>
    </row>
    <row r="287" spans="2:32" x14ac:dyDescent="0.25">
      <c r="B287" s="24"/>
      <c r="C287" s="136"/>
      <c r="D287" s="148"/>
      <c r="E287" s="136"/>
      <c r="F287" s="136"/>
      <c r="G287" s="136"/>
      <c r="H287" s="136"/>
      <c r="J287" s="136"/>
      <c r="K287" s="136"/>
      <c r="AE287" s="39" t="str">
        <f>IF(D287="","",IFERROR(VLOOKUP(D287,Projects!$A$2:$A$20000,1,FALSE),""))</f>
        <v/>
      </c>
      <c r="AF287" s="2" t="str">
        <f>IF(D287="","",IFERROR(MATCH(D287,Projects!$A:$A,0),""))</f>
        <v/>
      </c>
    </row>
    <row r="288" spans="2:32" x14ac:dyDescent="0.25">
      <c r="B288" s="24"/>
      <c r="C288" s="136"/>
      <c r="D288" s="148"/>
      <c r="E288" s="136"/>
      <c r="F288" s="136"/>
      <c r="G288" s="136"/>
      <c r="H288" s="136"/>
      <c r="J288" s="136"/>
      <c r="K288" s="136"/>
      <c r="AE288" s="39" t="str">
        <f>IF(D288="","",IFERROR(VLOOKUP(D288,Projects!$A$2:$A$20000,1,FALSE),""))</f>
        <v/>
      </c>
      <c r="AF288" s="2" t="str">
        <f>IF(D288="","",IFERROR(MATCH(D288,Projects!$A:$A,0),""))</f>
        <v/>
      </c>
    </row>
    <row r="289" spans="2:32" x14ac:dyDescent="0.25">
      <c r="B289" s="24"/>
      <c r="C289" s="136"/>
      <c r="D289" s="148"/>
      <c r="E289" s="136"/>
      <c r="F289" s="136"/>
      <c r="G289" s="136"/>
      <c r="H289" s="136"/>
      <c r="J289" s="136"/>
      <c r="K289" s="136"/>
      <c r="AE289" s="39" t="str">
        <f>IF(D289="","",IFERROR(VLOOKUP(D289,Projects!$A$2:$A$20000,1,FALSE),""))</f>
        <v/>
      </c>
      <c r="AF289" s="2" t="str">
        <f>IF(D289="","",IFERROR(MATCH(D289,Projects!$A:$A,0),""))</f>
        <v/>
      </c>
    </row>
    <row r="290" spans="2:32" x14ac:dyDescent="0.25">
      <c r="B290" s="24"/>
      <c r="C290" s="136"/>
      <c r="D290" s="148"/>
      <c r="E290" s="136"/>
      <c r="F290" s="136"/>
      <c r="G290" s="136"/>
      <c r="H290" s="136"/>
      <c r="J290" s="136"/>
      <c r="K290" s="136"/>
      <c r="AE290" s="39" t="str">
        <f>IF(D290="","",IFERROR(VLOOKUP(D290,Projects!$A$2:$A$20000,1,FALSE),""))</f>
        <v/>
      </c>
      <c r="AF290" s="2" t="str">
        <f>IF(D290="","",IFERROR(MATCH(D290,Projects!$A:$A,0),""))</f>
        <v/>
      </c>
    </row>
    <row r="291" spans="2:32" x14ac:dyDescent="0.25">
      <c r="B291" s="24"/>
      <c r="C291" s="136"/>
      <c r="D291" s="148"/>
      <c r="E291" s="136"/>
      <c r="F291" s="136"/>
      <c r="G291" s="136"/>
      <c r="H291" s="136"/>
      <c r="J291" s="136"/>
      <c r="K291" s="136"/>
      <c r="AE291" s="39" t="str">
        <f>IF(D291="","",IFERROR(VLOOKUP(D291,Projects!$A$2:$A$20000,1,FALSE),""))</f>
        <v/>
      </c>
      <c r="AF291" s="2" t="str">
        <f>IF(D291="","",IFERROR(MATCH(D291,Projects!$A:$A,0),""))</f>
        <v/>
      </c>
    </row>
    <row r="292" spans="2:32" x14ac:dyDescent="0.25">
      <c r="B292" s="24"/>
      <c r="C292" s="136"/>
      <c r="D292" s="148"/>
      <c r="E292" s="136"/>
      <c r="F292" s="136"/>
      <c r="G292" s="136"/>
      <c r="H292" s="136"/>
      <c r="J292" s="136"/>
      <c r="K292" s="136"/>
      <c r="AE292" s="39" t="str">
        <f>IF(D292="","",IFERROR(VLOOKUP(D292,Projects!$A$2:$A$20000,1,FALSE),""))</f>
        <v/>
      </c>
      <c r="AF292" s="2" t="str">
        <f>IF(D292="","",IFERROR(MATCH(D292,Projects!$A:$A,0),""))</f>
        <v/>
      </c>
    </row>
    <row r="293" spans="2:32" x14ac:dyDescent="0.25">
      <c r="B293" s="24"/>
      <c r="C293" s="136"/>
      <c r="D293" s="148"/>
      <c r="E293" s="136"/>
      <c r="F293" s="136"/>
      <c r="G293" s="136"/>
      <c r="H293" s="136"/>
      <c r="J293" s="136"/>
      <c r="K293" s="136"/>
      <c r="AE293" s="39" t="str">
        <f>IF(D293="","",IFERROR(VLOOKUP(D293,Projects!$A$2:$A$20000,1,FALSE),""))</f>
        <v/>
      </c>
      <c r="AF293" s="2" t="str">
        <f>IF(D293="","",IFERROR(MATCH(D293,Projects!$A:$A,0),""))</f>
        <v/>
      </c>
    </row>
    <row r="294" spans="2:32" x14ac:dyDescent="0.25">
      <c r="B294" s="24"/>
      <c r="C294" s="136"/>
      <c r="D294" s="148"/>
      <c r="E294" s="136"/>
      <c r="F294" s="136"/>
      <c r="G294" s="136"/>
      <c r="H294" s="136"/>
      <c r="J294" s="136"/>
      <c r="K294" s="136"/>
      <c r="AE294" s="39" t="str">
        <f>IF(D294="","",IFERROR(VLOOKUP(D294,Projects!$A$2:$A$20000,1,FALSE),""))</f>
        <v/>
      </c>
      <c r="AF294" s="2" t="str">
        <f>IF(D294="","",IFERROR(MATCH(D294,Projects!$A:$A,0),""))</f>
        <v/>
      </c>
    </row>
    <row r="295" spans="2:32" x14ac:dyDescent="0.25">
      <c r="B295" s="24"/>
      <c r="C295" s="136"/>
      <c r="D295" s="148"/>
      <c r="E295" s="136"/>
      <c r="F295" s="136"/>
      <c r="G295" s="136"/>
      <c r="H295" s="136"/>
      <c r="J295" s="136"/>
      <c r="K295" s="136"/>
      <c r="AE295" s="39" t="str">
        <f>IF(D295="","",IFERROR(VLOOKUP(D295,Projects!$A$2:$A$20000,1,FALSE),""))</f>
        <v/>
      </c>
      <c r="AF295" s="2" t="str">
        <f>IF(D295="","",IFERROR(MATCH(D295,Projects!$A:$A,0),""))</f>
        <v/>
      </c>
    </row>
    <row r="296" spans="2:32" x14ac:dyDescent="0.25">
      <c r="B296" s="24"/>
      <c r="C296" s="136"/>
      <c r="D296" s="148"/>
      <c r="E296" s="136"/>
      <c r="F296" s="136"/>
      <c r="G296" s="136"/>
      <c r="H296" s="136"/>
      <c r="J296" s="136"/>
      <c r="K296" s="136"/>
      <c r="AE296" s="39" t="str">
        <f>IF(D296="","",IFERROR(VLOOKUP(D296,Projects!$A$2:$A$20000,1,FALSE),""))</f>
        <v/>
      </c>
      <c r="AF296" s="2" t="str">
        <f>IF(D296="","",IFERROR(MATCH(D296,Projects!$A:$A,0),""))</f>
        <v/>
      </c>
    </row>
    <row r="297" spans="2:32" x14ac:dyDescent="0.25">
      <c r="B297" s="24"/>
      <c r="C297" s="136"/>
      <c r="D297" s="148"/>
      <c r="E297" s="136"/>
      <c r="F297" s="136"/>
      <c r="G297" s="136"/>
      <c r="H297" s="136"/>
      <c r="J297" s="136"/>
      <c r="K297" s="136"/>
      <c r="AE297" s="39" t="str">
        <f>IF(D297="","",IFERROR(VLOOKUP(D297,Projects!$A$2:$A$20000,1,FALSE),""))</f>
        <v/>
      </c>
      <c r="AF297" s="2" t="str">
        <f>IF(D297="","",IFERROR(MATCH(D297,Projects!$A:$A,0),""))</f>
        <v/>
      </c>
    </row>
    <row r="298" spans="2:32" x14ac:dyDescent="0.25">
      <c r="B298" s="24"/>
      <c r="C298" s="136"/>
      <c r="D298" s="148"/>
      <c r="E298" s="136"/>
      <c r="F298" s="136"/>
      <c r="G298" s="136"/>
      <c r="H298" s="136"/>
      <c r="J298" s="136"/>
      <c r="K298" s="136"/>
      <c r="AE298" s="39" t="str">
        <f>IF(D298="","",IFERROR(VLOOKUP(D298,Projects!$A$2:$A$20000,1,FALSE),""))</f>
        <v/>
      </c>
      <c r="AF298" s="2" t="str">
        <f>IF(D298="","",IFERROR(MATCH(D298,Projects!$A:$A,0),""))</f>
        <v/>
      </c>
    </row>
    <row r="299" spans="2:32" x14ac:dyDescent="0.25">
      <c r="B299" s="24"/>
      <c r="C299" s="136"/>
      <c r="D299" s="148"/>
      <c r="E299" s="136"/>
      <c r="F299" s="136"/>
      <c r="G299" s="136"/>
      <c r="H299" s="136"/>
      <c r="J299" s="136"/>
      <c r="K299" s="136"/>
      <c r="AE299" s="39" t="str">
        <f>IF(D299="","",IFERROR(VLOOKUP(D299,Projects!$A$2:$A$20000,1,FALSE),""))</f>
        <v/>
      </c>
      <c r="AF299" s="2" t="str">
        <f>IF(D299="","",IFERROR(MATCH(D299,Projects!$A:$A,0),""))</f>
        <v/>
      </c>
    </row>
    <row r="300" spans="2:32" x14ac:dyDescent="0.25">
      <c r="B300" s="24"/>
      <c r="C300" s="136"/>
      <c r="D300" s="148"/>
      <c r="E300" s="136"/>
      <c r="F300" s="136"/>
      <c r="G300" s="136"/>
      <c r="H300" s="136"/>
      <c r="J300" s="136"/>
      <c r="K300" s="136"/>
      <c r="AE300" s="39" t="str">
        <f>IF(D300="","",IFERROR(VLOOKUP(D300,Projects!$A$2:$A$20000,1,FALSE),""))</f>
        <v/>
      </c>
      <c r="AF300" s="2" t="str">
        <f>IF(D300="","",IFERROR(MATCH(D300,Projects!$A:$A,0),""))</f>
        <v/>
      </c>
    </row>
    <row r="301" spans="2:32" x14ac:dyDescent="0.25">
      <c r="B301" s="24"/>
      <c r="C301" s="136"/>
      <c r="D301" s="148"/>
      <c r="E301" s="136"/>
      <c r="F301" s="136"/>
      <c r="G301" s="136"/>
      <c r="H301" s="136"/>
      <c r="J301" s="136"/>
      <c r="K301" s="136"/>
      <c r="AE301" s="39" t="str">
        <f>IF(D301="","",IFERROR(VLOOKUP(D301,Projects!$A$2:$A$20000,1,FALSE),""))</f>
        <v/>
      </c>
      <c r="AF301" s="2" t="str">
        <f>IF(D301="","",IFERROR(MATCH(D301,Projects!$A:$A,0),""))</f>
        <v/>
      </c>
    </row>
    <row r="302" spans="2:32" x14ac:dyDescent="0.25">
      <c r="B302" s="24"/>
      <c r="C302" s="136"/>
      <c r="D302" s="148"/>
      <c r="E302" s="136"/>
      <c r="F302" s="136"/>
      <c r="G302" s="136"/>
      <c r="H302" s="136"/>
      <c r="J302" s="136"/>
      <c r="K302" s="136"/>
      <c r="AE302" s="39" t="str">
        <f>IF(D302="","",IFERROR(VLOOKUP(D302,Projects!$A$2:$A$20000,1,FALSE),""))</f>
        <v/>
      </c>
      <c r="AF302" s="2" t="str">
        <f>IF(D302="","",IFERROR(MATCH(D302,Projects!$A:$A,0),""))</f>
        <v/>
      </c>
    </row>
    <row r="303" spans="2:32" x14ac:dyDescent="0.25">
      <c r="B303" s="24"/>
      <c r="C303" s="136"/>
      <c r="D303" s="148"/>
      <c r="E303" s="136"/>
      <c r="F303" s="136"/>
      <c r="G303" s="136"/>
      <c r="H303" s="136"/>
      <c r="J303" s="136"/>
      <c r="K303" s="136"/>
      <c r="AE303" s="39" t="str">
        <f>IF(D303="","",IFERROR(VLOOKUP(D303,Projects!$A$2:$A$20000,1,FALSE),""))</f>
        <v/>
      </c>
      <c r="AF303" s="2" t="str">
        <f>IF(D303="","",IFERROR(MATCH(D303,Projects!$A:$A,0),""))</f>
        <v/>
      </c>
    </row>
    <row r="304" spans="2:32" x14ac:dyDescent="0.25">
      <c r="B304" s="24"/>
      <c r="C304" s="136"/>
      <c r="D304" s="148"/>
      <c r="E304" s="136"/>
      <c r="F304" s="136"/>
      <c r="G304" s="136"/>
      <c r="H304" s="136"/>
      <c r="J304" s="136"/>
      <c r="K304" s="136"/>
      <c r="AE304" s="39" t="str">
        <f>IF(D304="","",IFERROR(VLOOKUP(D304,Projects!$A$2:$A$20000,1,FALSE),""))</f>
        <v/>
      </c>
      <c r="AF304" s="2" t="str">
        <f>IF(D304="","",IFERROR(MATCH(D304,Projects!$A:$A,0),""))</f>
        <v/>
      </c>
    </row>
    <row r="305" spans="2:32" x14ac:dyDescent="0.25">
      <c r="B305" s="24"/>
      <c r="C305" s="136"/>
      <c r="D305" s="148"/>
      <c r="E305" s="136"/>
      <c r="F305" s="136"/>
      <c r="G305" s="136"/>
      <c r="H305" s="136"/>
      <c r="J305" s="136"/>
      <c r="K305" s="136"/>
      <c r="AE305" s="39" t="str">
        <f>IF(D305="","",IFERROR(VLOOKUP(D305,Projects!$A$2:$A$20000,1,FALSE),""))</f>
        <v/>
      </c>
      <c r="AF305" s="2" t="str">
        <f>IF(D305="","",IFERROR(MATCH(D305,Projects!$A:$A,0),""))</f>
        <v/>
      </c>
    </row>
    <row r="306" spans="2:32" x14ac:dyDescent="0.25">
      <c r="B306" s="24"/>
      <c r="C306" s="136"/>
      <c r="D306" s="148"/>
      <c r="E306" s="136"/>
      <c r="F306" s="136"/>
      <c r="G306" s="136"/>
      <c r="H306" s="136"/>
      <c r="J306" s="136"/>
      <c r="K306" s="136"/>
      <c r="AE306" s="39" t="str">
        <f>IF(D306="","",IFERROR(VLOOKUP(D306,Projects!$A$2:$A$20000,1,FALSE),""))</f>
        <v/>
      </c>
      <c r="AF306" s="2" t="str">
        <f>IF(D306="","",IFERROR(MATCH(D306,Projects!$A:$A,0),""))</f>
        <v/>
      </c>
    </row>
    <row r="307" spans="2:32" x14ac:dyDescent="0.25">
      <c r="B307" s="24"/>
      <c r="C307" s="136"/>
      <c r="D307" s="148"/>
      <c r="E307" s="136"/>
      <c r="F307" s="136"/>
      <c r="G307" s="136"/>
      <c r="H307" s="136"/>
      <c r="J307" s="136"/>
      <c r="K307" s="136"/>
      <c r="AE307" s="39" t="str">
        <f>IF(D307="","",IFERROR(VLOOKUP(D307,Projects!$A$2:$A$20000,1,FALSE),""))</f>
        <v/>
      </c>
      <c r="AF307" s="2" t="str">
        <f>IF(D307="","",IFERROR(MATCH(D307,Projects!$A:$A,0),""))</f>
        <v/>
      </c>
    </row>
    <row r="308" spans="2:32" x14ac:dyDescent="0.25">
      <c r="B308" s="24"/>
      <c r="C308" s="136"/>
      <c r="D308" s="148"/>
      <c r="E308" s="136"/>
      <c r="F308" s="136"/>
      <c r="G308" s="136"/>
      <c r="H308" s="136"/>
      <c r="J308" s="136"/>
      <c r="K308" s="136"/>
      <c r="AE308" s="39" t="str">
        <f>IF(D308="","",IFERROR(VLOOKUP(D308,Projects!$A$2:$A$20000,1,FALSE),""))</f>
        <v/>
      </c>
      <c r="AF308" s="2" t="str">
        <f>IF(D308="","",IFERROR(MATCH(D308,Projects!$A:$A,0),""))</f>
        <v/>
      </c>
    </row>
    <row r="309" spans="2:32" x14ac:dyDescent="0.25">
      <c r="B309" s="24"/>
      <c r="C309" s="136"/>
      <c r="D309" s="148"/>
      <c r="E309" s="136"/>
      <c r="F309" s="136"/>
      <c r="G309" s="136"/>
      <c r="H309" s="136"/>
      <c r="J309" s="136"/>
      <c r="K309" s="136"/>
      <c r="AE309" s="39" t="str">
        <f>IF(D309="","",IFERROR(VLOOKUP(D309,Projects!$A$2:$A$20000,1,FALSE),""))</f>
        <v/>
      </c>
      <c r="AF309" s="2" t="str">
        <f>IF(D309="","",IFERROR(MATCH(D309,Projects!$A:$A,0),""))</f>
        <v/>
      </c>
    </row>
    <row r="310" spans="2:32" x14ac:dyDescent="0.25">
      <c r="B310" s="24"/>
      <c r="C310" s="136"/>
      <c r="D310" s="148"/>
      <c r="E310" s="136"/>
      <c r="F310" s="136"/>
      <c r="G310" s="136"/>
      <c r="H310" s="136"/>
      <c r="J310" s="136"/>
      <c r="K310" s="136"/>
      <c r="AE310" s="39" t="str">
        <f>IF(D310="","",IFERROR(VLOOKUP(D310,Projects!$A$2:$A$20000,1,FALSE),""))</f>
        <v/>
      </c>
      <c r="AF310" s="2" t="str">
        <f>IF(D310="","",IFERROR(MATCH(D310,Projects!$A:$A,0),""))</f>
        <v/>
      </c>
    </row>
    <row r="311" spans="2:32" x14ac:dyDescent="0.25">
      <c r="B311" s="24"/>
      <c r="C311" s="136"/>
      <c r="D311" s="148"/>
      <c r="E311" s="136"/>
      <c r="F311" s="136"/>
      <c r="G311" s="136"/>
      <c r="H311" s="136"/>
      <c r="J311" s="136"/>
      <c r="K311" s="136"/>
      <c r="AE311" s="39" t="str">
        <f>IF(D311="","",IFERROR(VLOOKUP(D311,Projects!$A$2:$A$20000,1,FALSE),""))</f>
        <v/>
      </c>
      <c r="AF311" s="2" t="str">
        <f>IF(D311="","",IFERROR(MATCH(D311,Projects!$A:$A,0),""))</f>
        <v/>
      </c>
    </row>
    <row r="312" spans="2:32" x14ac:dyDescent="0.25">
      <c r="B312" s="24"/>
      <c r="C312" s="136"/>
      <c r="D312" s="148"/>
      <c r="E312" s="136"/>
      <c r="F312" s="136"/>
      <c r="G312" s="136"/>
      <c r="H312" s="136"/>
      <c r="J312" s="136"/>
      <c r="K312" s="136"/>
      <c r="AE312" s="39" t="str">
        <f>IF(D312="","",IFERROR(VLOOKUP(D312,Projects!$A$2:$A$20000,1,FALSE),""))</f>
        <v/>
      </c>
      <c r="AF312" s="2" t="str">
        <f>IF(D312="","",IFERROR(MATCH(D312,Projects!$A:$A,0),""))</f>
        <v/>
      </c>
    </row>
    <row r="313" spans="2:32" x14ac:dyDescent="0.25">
      <c r="B313" s="24"/>
      <c r="C313" s="136"/>
      <c r="D313" s="148"/>
      <c r="E313" s="136"/>
      <c r="F313" s="136"/>
      <c r="G313" s="136"/>
      <c r="H313" s="136"/>
      <c r="J313" s="136"/>
      <c r="K313" s="136"/>
      <c r="AE313" s="39" t="str">
        <f>IF(D313="","",IFERROR(VLOOKUP(D313,Projects!$A$2:$A$20000,1,FALSE),""))</f>
        <v/>
      </c>
      <c r="AF313" s="2" t="str">
        <f>IF(D313="","",IFERROR(MATCH(D313,Projects!$A:$A,0),""))</f>
        <v/>
      </c>
    </row>
    <row r="314" spans="2:32" x14ac:dyDescent="0.25">
      <c r="B314" s="24"/>
      <c r="C314" s="136"/>
      <c r="D314" s="148"/>
      <c r="E314" s="136"/>
      <c r="F314" s="136"/>
      <c r="G314" s="136"/>
      <c r="H314" s="136"/>
      <c r="J314" s="136"/>
      <c r="K314" s="136"/>
      <c r="AE314" s="39" t="str">
        <f>IF(D314="","",IFERROR(VLOOKUP(D314,Projects!$A$2:$A$20000,1,FALSE),""))</f>
        <v/>
      </c>
      <c r="AF314" s="2" t="str">
        <f>IF(D314="","",IFERROR(MATCH(D314,Projects!$A:$A,0),""))</f>
        <v/>
      </c>
    </row>
    <row r="315" spans="2:32" x14ac:dyDescent="0.25">
      <c r="B315" s="24"/>
      <c r="C315" s="136"/>
      <c r="D315" s="148"/>
      <c r="E315" s="136"/>
      <c r="F315" s="136"/>
      <c r="G315" s="136"/>
      <c r="H315" s="136"/>
      <c r="J315" s="136"/>
      <c r="K315" s="136"/>
      <c r="AE315" s="39" t="str">
        <f>IF(D315="","",IFERROR(VLOOKUP(D315,Projects!$A$2:$A$20000,1,FALSE),""))</f>
        <v/>
      </c>
      <c r="AF315" s="2" t="str">
        <f>IF(D315="","",IFERROR(MATCH(D315,Projects!$A:$A,0),""))</f>
        <v/>
      </c>
    </row>
    <row r="316" spans="2:32" x14ac:dyDescent="0.25">
      <c r="B316" s="24"/>
      <c r="C316" s="136"/>
      <c r="D316" s="148"/>
      <c r="E316" s="136"/>
      <c r="F316" s="136"/>
      <c r="G316" s="136"/>
      <c r="H316" s="136"/>
      <c r="J316" s="136"/>
      <c r="K316" s="136"/>
      <c r="AE316" s="39" t="str">
        <f>IF(D316="","",IFERROR(VLOOKUP(D316,Projects!$A$2:$A$20000,1,FALSE),""))</f>
        <v/>
      </c>
      <c r="AF316" s="2" t="str">
        <f>IF(D316="","",IFERROR(MATCH(D316,Projects!$A:$A,0),""))</f>
        <v/>
      </c>
    </row>
    <row r="317" spans="2:32" x14ac:dyDescent="0.25">
      <c r="B317" s="24"/>
      <c r="C317" s="136"/>
      <c r="D317" s="148"/>
      <c r="E317" s="136"/>
      <c r="F317" s="136"/>
      <c r="G317" s="136"/>
      <c r="H317" s="136"/>
      <c r="J317" s="136"/>
      <c r="K317" s="136"/>
      <c r="AE317" s="39" t="str">
        <f>IF(D317="","",IFERROR(VLOOKUP(D317,Projects!$A$2:$A$20000,1,FALSE),""))</f>
        <v/>
      </c>
      <c r="AF317" s="2" t="str">
        <f>IF(D317="","",IFERROR(MATCH(D317,Projects!$A:$A,0),""))</f>
        <v/>
      </c>
    </row>
    <row r="318" spans="2:32" x14ac:dyDescent="0.25">
      <c r="B318" s="24"/>
      <c r="C318" s="136"/>
      <c r="D318" s="148"/>
      <c r="E318" s="136"/>
      <c r="F318" s="136"/>
      <c r="G318" s="136"/>
      <c r="H318" s="136"/>
      <c r="J318" s="136"/>
      <c r="K318" s="136"/>
      <c r="AE318" s="39" t="str">
        <f>IF(D318="","",IFERROR(VLOOKUP(D318,Projects!$A$2:$A$20000,1,FALSE),""))</f>
        <v/>
      </c>
      <c r="AF318" s="2" t="str">
        <f>IF(D318="","",IFERROR(MATCH(D318,Projects!$A:$A,0),""))</f>
        <v/>
      </c>
    </row>
    <row r="319" spans="2:32" x14ac:dyDescent="0.25">
      <c r="B319" s="24"/>
      <c r="C319" s="136"/>
      <c r="D319" s="148"/>
      <c r="E319" s="136"/>
      <c r="F319" s="136"/>
      <c r="G319" s="136"/>
      <c r="H319" s="136"/>
      <c r="J319" s="136"/>
      <c r="K319" s="136"/>
      <c r="AE319" s="39" t="str">
        <f>IF(D319="","",IFERROR(VLOOKUP(D319,Projects!$A$2:$A$20000,1,FALSE),""))</f>
        <v/>
      </c>
      <c r="AF319" s="2" t="str">
        <f>IF(D319="","",IFERROR(MATCH(D319,Projects!$A:$A,0),""))</f>
        <v/>
      </c>
    </row>
    <row r="320" spans="2:32" x14ac:dyDescent="0.25">
      <c r="B320" s="24"/>
      <c r="C320" s="136"/>
      <c r="D320" s="148"/>
      <c r="E320" s="136"/>
      <c r="F320" s="136"/>
      <c r="G320" s="136"/>
      <c r="H320" s="136"/>
      <c r="J320" s="136"/>
      <c r="K320" s="136"/>
      <c r="AE320" s="39" t="str">
        <f>IF(D320="","",IFERROR(VLOOKUP(D320,Projects!$A$2:$A$20000,1,FALSE),""))</f>
        <v/>
      </c>
      <c r="AF320" s="2" t="str">
        <f>IF(D320="","",IFERROR(MATCH(D320,Projects!$A:$A,0),""))</f>
        <v/>
      </c>
    </row>
    <row r="321" spans="2:32" x14ac:dyDescent="0.25">
      <c r="B321" s="24"/>
      <c r="C321" s="136"/>
      <c r="D321" s="148"/>
      <c r="E321" s="136"/>
      <c r="F321" s="136"/>
      <c r="G321" s="136"/>
      <c r="H321" s="136"/>
      <c r="J321" s="136"/>
      <c r="K321" s="136"/>
      <c r="AE321" s="39" t="str">
        <f>IF(D321="","",IFERROR(VLOOKUP(D321,Projects!$A$2:$A$20000,1,FALSE),""))</f>
        <v/>
      </c>
      <c r="AF321" s="2" t="str">
        <f>IF(D321="","",IFERROR(MATCH(D321,Projects!$A:$A,0),""))</f>
        <v/>
      </c>
    </row>
    <row r="322" spans="2:32" x14ac:dyDescent="0.25">
      <c r="B322" s="24"/>
      <c r="C322" s="136"/>
      <c r="D322" s="148"/>
      <c r="E322" s="136"/>
      <c r="F322" s="136"/>
      <c r="G322" s="136"/>
      <c r="H322" s="136"/>
      <c r="J322" s="136"/>
      <c r="K322" s="136"/>
      <c r="AE322" s="39" t="str">
        <f>IF(D322="","",IFERROR(VLOOKUP(D322,Projects!$A$2:$A$20000,1,FALSE),""))</f>
        <v/>
      </c>
      <c r="AF322" s="2" t="str">
        <f>IF(D322="","",IFERROR(MATCH(D322,Projects!$A:$A,0),""))</f>
        <v/>
      </c>
    </row>
    <row r="323" spans="2:32" x14ac:dyDescent="0.25">
      <c r="B323" s="24"/>
      <c r="C323" s="136"/>
      <c r="D323" s="148"/>
      <c r="E323" s="136"/>
      <c r="F323" s="136"/>
      <c r="G323" s="136"/>
      <c r="H323" s="136"/>
      <c r="J323" s="136"/>
      <c r="K323" s="136"/>
      <c r="AE323" s="39" t="str">
        <f>IF(D323="","",IFERROR(VLOOKUP(D323,Projects!$A$2:$A$20000,1,FALSE),""))</f>
        <v/>
      </c>
      <c r="AF323" s="2" t="str">
        <f>IF(D323="","",IFERROR(MATCH(D323,Projects!$A:$A,0),""))</f>
        <v/>
      </c>
    </row>
    <row r="324" spans="2:32" x14ac:dyDescent="0.25">
      <c r="B324" s="24"/>
      <c r="C324" s="136"/>
      <c r="D324" s="148"/>
      <c r="E324" s="136"/>
      <c r="F324" s="136"/>
      <c r="G324" s="136"/>
      <c r="H324" s="136"/>
      <c r="J324" s="136"/>
      <c r="K324" s="136"/>
      <c r="AE324" s="39" t="str">
        <f>IF(D324="","",IFERROR(VLOOKUP(D324,Projects!$A$2:$A$20000,1,FALSE),""))</f>
        <v/>
      </c>
      <c r="AF324" s="2" t="str">
        <f>IF(D324="","",IFERROR(MATCH(D324,Projects!$A:$A,0),""))</f>
        <v/>
      </c>
    </row>
    <row r="325" spans="2:32" x14ac:dyDescent="0.25">
      <c r="B325" s="24"/>
      <c r="C325" s="136"/>
      <c r="D325" s="148"/>
      <c r="E325" s="136"/>
      <c r="F325" s="136"/>
      <c r="G325" s="136"/>
      <c r="H325" s="136"/>
      <c r="J325" s="136"/>
      <c r="K325" s="136"/>
      <c r="AE325" s="39" t="str">
        <f>IF(D325="","",IFERROR(VLOOKUP(D325,Projects!$A$2:$A$20000,1,FALSE),""))</f>
        <v/>
      </c>
      <c r="AF325" s="2" t="str">
        <f>IF(D325="","",IFERROR(MATCH(D325,Projects!$A:$A,0),""))</f>
        <v/>
      </c>
    </row>
    <row r="326" spans="2:32" x14ac:dyDescent="0.25">
      <c r="B326" s="24"/>
      <c r="C326" s="136"/>
      <c r="D326" s="148"/>
      <c r="E326" s="136"/>
      <c r="F326" s="136"/>
      <c r="G326" s="136"/>
      <c r="H326" s="136"/>
      <c r="J326" s="136"/>
      <c r="K326" s="136"/>
      <c r="AE326" s="39" t="str">
        <f>IF(D326="","",IFERROR(VLOOKUP(D326,Projects!$A$2:$A$20000,1,FALSE),""))</f>
        <v/>
      </c>
      <c r="AF326" s="2" t="str">
        <f>IF(D326="","",IFERROR(MATCH(D326,Projects!$A:$A,0),""))</f>
        <v/>
      </c>
    </row>
    <row r="327" spans="2:32" x14ac:dyDescent="0.25">
      <c r="B327" s="24"/>
      <c r="C327" s="136"/>
      <c r="D327" s="148"/>
      <c r="E327" s="136"/>
      <c r="F327" s="136"/>
      <c r="G327" s="136"/>
      <c r="H327" s="136"/>
      <c r="J327" s="136"/>
      <c r="K327" s="136"/>
      <c r="AE327" s="39" t="str">
        <f>IF(D327="","",IFERROR(VLOOKUP(D327,Projects!$A$2:$A$20000,1,FALSE),""))</f>
        <v/>
      </c>
      <c r="AF327" s="2" t="str">
        <f>IF(D327="","",IFERROR(MATCH(D327,Projects!$A:$A,0),""))</f>
        <v/>
      </c>
    </row>
    <row r="328" spans="2:32" x14ac:dyDescent="0.25">
      <c r="B328" s="24"/>
      <c r="C328" s="136"/>
      <c r="D328" s="148"/>
      <c r="E328" s="136"/>
      <c r="F328" s="136"/>
      <c r="G328" s="136"/>
      <c r="H328" s="136"/>
      <c r="J328" s="136"/>
      <c r="K328" s="136"/>
      <c r="AE328" s="39" t="str">
        <f>IF(D328="","",IFERROR(VLOOKUP(D328,Projects!$A$2:$A$20000,1,FALSE),""))</f>
        <v/>
      </c>
      <c r="AF328" s="2" t="str">
        <f>IF(D328="","",IFERROR(MATCH(D328,Projects!$A:$A,0),""))</f>
        <v/>
      </c>
    </row>
    <row r="329" spans="2:32" x14ac:dyDescent="0.25">
      <c r="B329" s="24"/>
      <c r="C329" s="136"/>
      <c r="D329" s="148"/>
      <c r="E329" s="136"/>
      <c r="F329" s="136"/>
      <c r="G329" s="136"/>
      <c r="H329" s="136"/>
      <c r="J329" s="136"/>
      <c r="K329" s="136"/>
      <c r="AE329" s="39" t="str">
        <f>IF(D329="","",IFERROR(VLOOKUP(D329,Projects!$A$2:$A$20000,1,FALSE),""))</f>
        <v/>
      </c>
      <c r="AF329" s="2" t="str">
        <f>IF(D329="","",IFERROR(MATCH(D329,Projects!$A:$A,0),""))</f>
        <v/>
      </c>
    </row>
    <row r="330" spans="2:32" x14ac:dyDescent="0.25">
      <c r="B330" s="24"/>
      <c r="C330" s="136"/>
      <c r="D330" s="148"/>
      <c r="E330" s="136"/>
      <c r="F330" s="136"/>
      <c r="G330" s="136"/>
      <c r="H330" s="136"/>
      <c r="J330" s="136"/>
      <c r="K330" s="136"/>
      <c r="AE330" s="39" t="str">
        <f>IF(D330="","",IFERROR(VLOOKUP(D330,Projects!$A$2:$A$20000,1,FALSE),""))</f>
        <v/>
      </c>
      <c r="AF330" s="2" t="str">
        <f>IF(D330="","",IFERROR(MATCH(D330,Projects!$A:$A,0),""))</f>
        <v/>
      </c>
    </row>
    <row r="331" spans="2:32" x14ac:dyDescent="0.25">
      <c r="B331" s="24"/>
      <c r="C331" s="136"/>
      <c r="D331" s="148"/>
      <c r="E331" s="136"/>
      <c r="F331" s="136"/>
      <c r="G331" s="136"/>
      <c r="H331" s="136"/>
      <c r="J331" s="136"/>
      <c r="K331" s="136"/>
      <c r="AE331" s="39" t="str">
        <f>IF(D331="","",IFERROR(VLOOKUP(D331,Projects!$A$2:$A$20000,1,FALSE),""))</f>
        <v/>
      </c>
      <c r="AF331" s="2" t="str">
        <f>IF(D331="","",IFERROR(MATCH(D331,Projects!$A:$A,0),""))</f>
        <v/>
      </c>
    </row>
    <row r="332" spans="2:32" x14ac:dyDescent="0.25">
      <c r="B332" s="24"/>
      <c r="C332" s="136"/>
      <c r="D332" s="148"/>
      <c r="E332" s="136"/>
      <c r="F332" s="136"/>
      <c r="G332" s="136"/>
      <c r="H332" s="136"/>
      <c r="J332" s="136"/>
      <c r="K332" s="136"/>
      <c r="AE332" s="39" t="str">
        <f>IF(D332="","",IFERROR(VLOOKUP(D332,Projects!$A$2:$A$20000,1,FALSE),""))</f>
        <v/>
      </c>
      <c r="AF332" s="2" t="str">
        <f>IF(D332="","",IFERROR(MATCH(D332,Projects!$A:$A,0),""))</f>
        <v/>
      </c>
    </row>
    <row r="333" spans="2:32" x14ac:dyDescent="0.25">
      <c r="B333" s="24"/>
      <c r="C333" s="136"/>
      <c r="D333" s="148"/>
      <c r="E333" s="136"/>
      <c r="F333" s="136"/>
      <c r="G333" s="136"/>
      <c r="H333" s="136"/>
      <c r="J333" s="136"/>
      <c r="K333" s="136"/>
      <c r="AE333" s="39" t="str">
        <f>IF(D333="","",IFERROR(VLOOKUP(D333,Projects!$A$2:$A$20000,1,FALSE),""))</f>
        <v/>
      </c>
      <c r="AF333" s="2" t="str">
        <f>IF(D333="","",IFERROR(MATCH(D333,Projects!$A:$A,0),""))</f>
        <v/>
      </c>
    </row>
    <row r="334" spans="2:32" x14ac:dyDescent="0.25">
      <c r="B334" s="24"/>
      <c r="C334" s="136"/>
      <c r="D334" s="148"/>
      <c r="E334" s="136"/>
      <c r="F334" s="136"/>
      <c r="G334" s="136"/>
      <c r="H334" s="136"/>
      <c r="J334" s="136"/>
      <c r="K334" s="136"/>
      <c r="AE334" s="39" t="str">
        <f>IF(D334="","",IFERROR(VLOOKUP(D334,Projects!$A$2:$A$20000,1,FALSE),""))</f>
        <v/>
      </c>
      <c r="AF334" s="2" t="str">
        <f>IF(D334="","",IFERROR(MATCH(D334,Projects!$A:$A,0),""))</f>
        <v/>
      </c>
    </row>
    <row r="335" spans="2:32" x14ac:dyDescent="0.25">
      <c r="B335" s="24"/>
      <c r="C335" s="136"/>
      <c r="D335" s="148"/>
      <c r="E335" s="136"/>
      <c r="F335" s="136"/>
      <c r="G335" s="136"/>
      <c r="H335" s="136"/>
      <c r="J335" s="136"/>
      <c r="K335" s="136"/>
      <c r="AE335" s="39" t="str">
        <f>IF(D335="","",IFERROR(VLOOKUP(D335,Projects!$A$2:$A$20000,1,FALSE),""))</f>
        <v/>
      </c>
      <c r="AF335" s="2" t="str">
        <f>IF(D335="","",IFERROR(MATCH(D335,Projects!$A:$A,0),""))</f>
        <v/>
      </c>
    </row>
    <row r="336" spans="2:32" x14ac:dyDescent="0.25">
      <c r="B336" s="24"/>
      <c r="C336" s="136"/>
      <c r="D336" s="148"/>
      <c r="E336" s="136"/>
      <c r="F336" s="136"/>
      <c r="G336" s="136"/>
      <c r="H336" s="136"/>
      <c r="J336" s="136"/>
      <c r="K336" s="136"/>
      <c r="AE336" s="39" t="str">
        <f>IF(D336="","",IFERROR(VLOOKUP(D336,Projects!$A$2:$A$20000,1,FALSE),""))</f>
        <v/>
      </c>
      <c r="AF336" s="2" t="str">
        <f>IF(D336="","",IFERROR(MATCH(D336,Projects!$A:$A,0),""))</f>
        <v/>
      </c>
    </row>
    <row r="337" spans="2:32" x14ac:dyDescent="0.25">
      <c r="B337" s="24"/>
      <c r="C337" s="136"/>
      <c r="D337" s="148"/>
      <c r="E337" s="136"/>
      <c r="F337" s="136"/>
      <c r="G337" s="136"/>
      <c r="H337" s="136"/>
      <c r="J337" s="136"/>
      <c r="K337" s="136"/>
      <c r="AE337" s="39" t="str">
        <f>IF(D337="","",IFERROR(VLOOKUP(D337,Projects!$A$2:$A$20000,1,FALSE),""))</f>
        <v/>
      </c>
      <c r="AF337" s="2" t="str">
        <f>IF(D337="","",IFERROR(MATCH(D337,Projects!$A:$A,0),""))</f>
        <v/>
      </c>
    </row>
    <row r="338" spans="2:32" x14ac:dyDescent="0.25">
      <c r="B338" s="24"/>
      <c r="C338" s="136"/>
      <c r="D338" s="148"/>
      <c r="E338" s="136"/>
      <c r="F338" s="136"/>
      <c r="G338" s="136"/>
      <c r="H338" s="136"/>
      <c r="J338" s="136"/>
      <c r="K338" s="136"/>
      <c r="AE338" s="39" t="str">
        <f>IF(D338="","",IFERROR(VLOOKUP(D338,Projects!$A$2:$A$20000,1,FALSE),""))</f>
        <v/>
      </c>
      <c r="AF338" s="2" t="str">
        <f>IF(D338="","",IFERROR(MATCH(D338,Projects!$A:$A,0),""))</f>
        <v/>
      </c>
    </row>
    <row r="339" spans="2:32" x14ac:dyDescent="0.25">
      <c r="B339" s="24"/>
      <c r="C339" s="136"/>
      <c r="D339" s="148"/>
      <c r="E339" s="136"/>
      <c r="F339" s="136"/>
      <c r="G339" s="136"/>
      <c r="H339" s="136"/>
      <c r="J339" s="136"/>
      <c r="K339" s="136"/>
      <c r="AE339" s="39" t="str">
        <f>IF(D339="","",IFERROR(VLOOKUP(D339,Projects!$A$2:$A$20000,1,FALSE),""))</f>
        <v/>
      </c>
      <c r="AF339" s="2" t="str">
        <f>IF(D339="","",IFERROR(MATCH(D339,Projects!$A:$A,0),""))</f>
        <v/>
      </c>
    </row>
    <row r="340" spans="2:32" x14ac:dyDescent="0.25">
      <c r="B340" s="24"/>
      <c r="C340" s="136"/>
      <c r="D340" s="148"/>
      <c r="E340" s="136"/>
      <c r="F340" s="136"/>
      <c r="G340" s="136"/>
      <c r="H340" s="136"/>
      <c r="J340" s="136"/>
      <c r="K340" s="136"/>
      <c r="AE340" s="39" t="str">
        <f>IF(D340="","",IFERROR(VLOOKUP(D340,Projects!$A$2:$A$20000,1,FALSE),""))</f>
        <v/>
      </c>
      <c r="AF340" s="2" t="str">
        <f>IF(D340="","",IFERROR(MATCH(D340,Projects!$A:$A,0),""))</f>
        <v/>
      </c>
    </row>
    <row r="341" spans="2:32" x14ac:dyDescent="0.25">
      <c r="B341" s="24"/>
      <c r="C341" s="136"/>
      <c r="D341" s="148"/>
      <c r="E341" s="136"/>
      <c r="F341" s="136"/>
      <c r="G341" s="136"/>
      <c r="H341" s="136"/>
      <c r="J341" s="136"/>
      <c r="K341" s="136"/>
      <c r="AE341" s="39" t="str">
        <f>IF(D341="","",IFERROR(VLOOKUP(D341,Projects!$A$2:$A$20000,1,FALSE),""))</f>
        <v/>
      </c>
      <c r="AF341" s="2" t="str">
        <f>IF(D341="","",IFERROR(MATCH(D341,Projects!$A:$A,0),""))</f>
        <v/>
      </c>
    </row>
    <row r="342" spans="2:32" x14ac:dyDescent="0.25">
      <c r="B342" s="24"/>
      <c r="C342" s="136"/>
      <c r="D342" s="148"/>
      <c r="E342" s="136"/>
      <c r="F342" s="136"/>
      <c r="G342" s="136"/>
      <c r="H342" s="136"/>
      <c r="J342" s="136"/>
      <c r="K342" s="136"/>
      <c r="AE342" s="39" t="str">
        <f>IF(D342="","",IFERROR(VLOOKUP(D342,Projects!$A$2:$A$20000,1,FALSE),""))</f>
        <v/>
      </c>
      <c r="AF342" s="2" t="str">
        <f>IF(D342="","",IFERROR(MATCH(D342,Projects!$A:$A,0),""))</f>
        <v/>
      </c>
    </row>
    <row r="343" spans="2:32" x14ac:dyDescent="0.25">
      <c r="B343" s="24"/>
      <c r="C343" s="136"/>
      <c r="D343" s="148"/>
      <c r="E343" s="136"/>
      <c r="F343" s="136"/>
      <c r="G343" s="136"/>
      <c r="H343" s="136"/>
      <c r="J343" s="136"/>
      <c r="K343" s="136"/>
      <c r="AE343" s="39" t="str">
        <f>IF(D343="","",IFERROR(VLOOKUP(D343,Projects!$A$2:$A$20000,1,FALSE),""))</f>
        <v/>
      </c>
      <c r="AF343" s="2" t="str">
        <f>IF(D343="","",IFERROR(MATCH(D343,Projects!$A:$A,0),""))</f>
        <v/>
      </c>
    </row>
    <row r="344" spans="2:32" x14ac:dyDescent="0.25">
      <c r="B344" s="24"/>
      <c r="C344" s="136"/>
      <c r="D344" s="148"/>
      <c r="E344" s="136"/>
      <c r="F344" s="136"/>
      <c r="G344" s="136"/>
      <c r="H344" s="136"/>
      <c r="J344" s="136"/>
      <c r="K344" s="136"/>
      <c r="AE344" s="39" t="str">
        <f>IF(D344="","",IFERROR(VLOOKUP(D344,Projects!$A$2:$A$20000,1,FALSE),""))</f>
        <v/>
      </c>
      <c r="AF344" s="2" t="str">
        <f>IF(D344="","",IFERROR(MATCH(D344,Projects!$A:$A,0),""))</f>
        <v/>
      </c>
    </row>
    <row r="345" spans="2:32" x14ac:dyDescent="0.25">
      <c r="B345" s="24"/>
      <c r="C345" s="136"/>
      <c r="D345" s="148"/>
      <c r="E345" s="136"/>
      <c r="F345" s="136"/>
      <c r="G345" s="136"/>
      <c r="H345" s="136"/>
      <c r="J345" s="136"/>
      <c r="K345" s="136"/>
      <c r="AE345" s="39" t="str">
        <f>IF(D345="","",IFERROR(VLOOKUP(D345,Projects!$A$2:$A$20000,1,FALSE),""))</f>
        <v/>
      </c>
      <c r="AF345" s="2" t="str">
        <f>IF(D345="","",IFERROR(MATCH(D345,Projects!$A:$A,0),""))</f>
        <v/>
      </c>
    </row>
    <row r="346" spans="2:32" x14ac:dyDescent="0.25">
      <c r="B346" s="24"/>
      <c r="C346" s="136"/>
      <c r="D346" s="148"/>
      <c r="E346" s="136"/>
      <c r="F346" s="136"/>
      <c r="G346" s="136"/>
      <c r="H346" s="136"/>
      <c r="J346" s="136"/>
      <c r="K346" s="136"/>
      <c r="AE346" s="39" t="str">
        <f>IF(D346="","",IFERROR(VLOOKUP(D346,Projects!$A$2:$A$20000,1,FALSE),""))</f>
        <v/>
      </c>
      <c r="AF346" s="2" t="str">
        <f>IF(D346="","",IFERROR(MATCH(D346,Projects!$A:$A,0),""))</f>
        <v/>
      </c>
    </row>
    <row r="347" spans="2:32" x14ac:dyDescent="0.25">
      <c r="B347" s="24"/>
      <c r="C347" s="136"/>
      <c r="D347" s="148"/>
      <c r="E347" s="136"/>
      <c r="F347" s="136"/>
      <c r="G347" s="136"/>
      <c r="H347" s="136"/>
      <c r="J347" s="136"/>
      <c r="K347" s="136"/>
      <c r="AE347" s="39" t="str">
        <f>IF(D347="","",IFERROR(VLOOKUP(D347,Projects!$A$2:$A$20000,1,FALSE),""))</f>
        <v/>
      </c>
      <c r="AF347" s="2" t="str">
        <f>IF(D347="","",IFERROR(MATCH(D347,Projects!$A:$A,0),""))</f>
        <v/>
      </c>
    </row>
    <row r="348" spans="2:32" x14ac:dyDescent="0.25">
      <c r="B348" s="24"/>
      <c r="C348" s="136"/>
      <c r="D348" s="148"/>
      <c r="E348" s="136"/>
      <c r="F348" s="136"/>
      <c r="G348" s="136"/>
      <c r="H348" s="136"/>
      <c r="J348" s="136"/>
      <c r="K348" s="136"/>
      <c r="AE348" s="39" t="str">
        <f>IF(D348="","",IFERROR(VLOOKUP(D348,Projects!$A$2:$A$20000,1,FALSE),""))</f>
        <v/>
      </c>
      <c r="AF348" s="2" t="str">
        <f>IF(D348="","",IFERROR(MATCH(D348,Projects!$A:$A,0),""))</f>
        <v/>
      </c>
    </row>
    <row r="349" spans="2:32" x14ac:dyDescent="0.25">
      <c r="B349" s="24"/>
      <c r="C349" s="136"/>
      <c r="D349" s="148"/>
      <c r="E349" s="136"/>
      <c r="F349" s="136"/>
      <c r="G349" s="136"/>
      <c r="H349" s="136"/>
      <c r="J349" s="136"/>
      <c r="K349" s="136"/>
      <c r="AE349" s="39" t="str">
        <f>IF(D349="","",IFERROR(VLOOKUP(D349,Projects!$A$2:$A$20000,1,FALSE),""))</f>
        <v/>
      </c>
      <c r="AF349" s="2" t="str">
        <f>IF(D349="","",IFERROR(MATCH(D349,Projects!$A:$A,0),""))</f>
        <v/>
      </c>
    </row>
    <row r="350" spans="2:32" x14ac:dyDescent="0.25">
      <c r="B350" s="24"/>
      <c r="C350" s="136"/>
      <c r="D350" s="148"/>
      <c r="E350" s="136"/>
      <c r="F350" s="136"/>
      <c r="G350" s="136"/>
      <c r="H350" s="136"/>
      <c r="J350" s="136"/>
      <c r="K350" s="136"/>
      <c r="AE350" s="39" t="str">
        <f>IF(D350="","",IFERROR(VLOOKUP(D350,Projects!$A$2:$A$20000,1,FALSE),""))</f>
        <v/>
      </c>
      <c r="AF350" s="2" t="str">
        <f>IF(D350="","",IFERROR(MATCH(D350,Projects!$A:$A,0),""))</f>
        <v/>
      </c>
    </row>
    <row r="351" spans="2:32" x14ac:dyDescent="0.25">
      <c r="B351" s="24"/>
      <c r="C351" s="136"/>
      <c r="D351" s="148"/>
      <c r="E351" s="136"/>
      <c r="F351" s="136"/>
      <c r="G351" s="136"/>
      <c r="H351" s="136"/>
      <c r="J351" s="136"/>
      <c r="K351" s="136"/>
      <c r="AE351" s="39" t="str">
        <f>IF(D351="","",IFERROR(VLOOKUP(D351,Projects!$A$2:$A$20000,1,FALSE),""))</f>
        <v/>
      </c>
      <c r="AF351" s="2" t="str">
        <f>IF(D351="","",IFERROR(MATCH(D351,Projects!$A:$A,0),""))</f>
        <v/>
      </c>
    </row>
    <row r="352" spans="2:32" x14ac:dyDescent="0.25">
      <c r="B352" s="24"/>
      <c r="C352" s="136"/>
      <c r="D352" s="148"/>
      <c r="E352" s="136"/>
      <c r="F352" s="136"/>
      <c r="G352" s="136"/>
      <c r="H352" s="136"/>
      <c r="J352" s="136"/>
      <c r="K352" s="136"/>
      <c r="AE352" s="39" t="str">
        <f>IF(D352="","",IFERROR(VLOOKUP(D352,Projects!$A$2:$A$20000,1,FALSE),""))</f>
        <v/>
      </c>
      <c r="AF352" s="2" t="str">
        <f>IF(D352="","",IFERROR(MATCH(D352,Projects!$A:$A,0),""))</f>
        <v/>
      </c>
    </row>
    <row r="353" spans="2:32" x14ac:dyDescent="0.25">
      <c r="B353" s="24"/>
      <c r="C353" s="136"/>
      <c r="D353" s="148"/>
      <c r="E353" s="136"/>
      <c r="F353" s="136"/>
      <c r="G353" s="136"/>
      <c r="H353" s="136"/>
      <c r="J353" s="136"/>
      <c r="K353" s="136"/>
      <c r="AE353" s="39" t="str">
        <f>IF(D353="","",IFERROR(VLOOKUP(D353,Projects!$A$2:$A$20000,1,FALSE),""))</f>
        <v/>
      </c>
      <c r="AF353" s="2" t="str">
        <f>IF(D353="","",IFERROR(MATCH(D353,Projects!$A:$A,0),""))</f>
        <v/>
      </c>
    </row>
    <row r="354" spans="2:32" x14ac:dyDescent="0.25">
      <c r="B354" s="24"/>
      <c r="C354" s="136"/>
      <c r="D354" s="148"/>
      <c r="E354" s="136"/>
      <c r="F354" s="136"/>
      <c r="G354" s="136"/>
      <c r="H354" s="136"/>
      <c r="J354" s="136"/>
      <c r="K354" s="136"/>
      <c r="AE354" s="39" t="str">
        <f>IF(D354="","",IFERROR(VLOOKUP(D354,Projects!$A$2:$A$20000,1,FALSE),""))</f>
        <v/>
      </c>
      <c r="AF354" s="2" t="str">
        <f>IF(D354="","",IFERROR(MATCH(D354,Projects!$A:$A,0),""))</f>
        <v/>
      </c>
    </row>
    <row r="355" spans="2:32" x14ac:dyDescent="0.25">
      <c r="B355" s="24"/>
      <c r="C355" s="136"/>
      <c r="D355" s="148"/>
      <c r="E355" s="136"/>
      <c r="F355" s="136"/>
      <c r="G355" s="136"/>
      <c r="H355" s="136"/>
      <c r="J355" s="136"/>
      <c r="K355" s="136"/>
      <c r="AE355" s="39" t="str">
        <f>IF(D355="","",IFERROR(VLOOKUP(D355,Projects!$A$2:$A$20000,1,FALSE),""))</f>
        <v/>
      </c>
      <c r="AF355" s="2" t="str">
        <f>IF(D355="","",IFERROR(MATCH(D355,Projects!$A:$A,0),""))</f>
        <v/>
      </c>
    </row>
    <row r="356" spans="2:32" x14ac:dyDescent="0.25">
      <c r="B356" s="24"/>
      <c r="C356" s="136"/>
      <c r="D356" s="148"/>
      <c r="E356" s="136"/>
      <c r="F356" s="136"/>
      <c r="G356" s="136"/>
      <c r="H356" s="136"/>
      <c r="J356" s="136"/>
      <c r="K356" s="136"/>
      <c r="AE356" s="39" t="str">
        <f>IF(D356="","",IFERROR(VLOOKUP(D356,Projects!$A$2:$A$20000,1,FALSE),""))</f>
        <v/>
      </c>
      <c r="AF356" s="2" t="str">
        <f>IF(D356="","",IFERROR(MATCH(D356,Projects!$A:$A,0),""))</f>
        <v/>
      </c>
    </row>
    <row r="357" spans="2:32" x14ac:dyDescent="0.25">
      <c r="B357" s="24"/>
      <c r="C357" s="136"/>
      <c r="D357" s="148"/>
      <c r="E357" s="136"/>
      <c r="F357" s="136"/>
      <c r="G357" s="136"/>
      <c r="H357" s="136"/>
      <c r="J357" s="136"/>
      <c r="K357" s="136"/>
      <c r="AE357" s="39" t="str">
        <f>IF(D357="","",IFERROR(VLOOKUP(D357,Projects!$A$2:$A$20000,1,FALSE),""))</f>
        <v/>
      </c>
      <c r="AF357" s="2" t="str">
        <f>IF(D357="","",IFERROR(MATCH(D357,Projects!$A:$A,0),""))</f>
        <v/>
      </c>
    </row>
    <row r="358" spans="2:32" x14ac:dyDescent="0.25">
      <c r="B358" s="24"/>
      <c r="C358" s="136"/>
      <c r="D358" s="148"/>
      <c r="E358" s="136"/>
      <c r="F358" s="136"/>
      <c r="G358" s="136"/>
      <c r="H358" s="136"/>
      <c r="J358" s="136"/>
      <c r="K358" s="136"/>
      <c r="AE358" s="39" t="str">
        <f>IF(D358="","",IFERROR(VLOOKUP(D358,Projects!$A$2:$A$20000,1,FALSE),""))</f>
        <v/>
      </c>
      <c r="AF358" s="2" t="str">
        <f>IF(D358="","",IFERROR(MATCH(D358,Projects!$A:$A,0),""))</f>
        <v/>
      </c>
    </row>
    <row r="359" spans="2:32" x14ac:dyDescent="0.25">
      <c r="B359" s="24"/>
      <c r="C359" s="136"/>
      <c r="D359" s="148"/>
      <c r="E359" s="136"/>
      <c r="F359" s="136"/>
      <c r="G359" s="136"/>
      <c r="H359" s="136"/>
      <c r="J359" s="136"/>
      <c r="K359" s="136"/>
      <c r="AE359" s="39" t="str">
        <f>IF(D359="","",IFERROR(VLOOKUP(D359,Projects!$A$2:$A$20000,1,FALSE),""))</f>
        <v/>
      </c>
      <c r="AF359" s="2" t="str">
        <f>IF(D359="","",IFERROR(MATCH(D359,Projects!$A:$A,0),""))</f>
        <v/>
      </c>
    </row>
    <row r="360" spans="2:32" x14ac:dyDescent="0.25">
      <c r="B360" s="24"/>
      <c r="C360" s="136"/>
      <c r="D360" s="148"/>
      <c r="E360" s="136"/>
      <c r="F360" s="136"/>
      <c r="G360" s="136"/>
      <c r="H360" s="136"/>
      <c r="J360" s="136"/>
      <c r="K360" s="136"/>
      <c r="AE360" s="39" t="str">
        <f>IF(D360="","",IFERROR(VLOOKUP(D360,Projects!$A$2:$A$20000,1,FALSE),""))</f>
        <v/>
      </c>
      <c r="AF360" s="2" t="str">
        <f>IF(D360="","",IFERROR(MATCH(D360,Projects!$A:$A,0),""))</f>
        <v/>
      </c>
    </row>
    <row r="361" spans="2:32" x14ac:dyDescent="0.25">
      <c r="B361" s="24"/>
      <c r="C361" s="136"/>
      <c r="D361" s="148"/>
      <c r="E361" s="136"/>
      <c r="F361" s="136"/>
      <c r="G361" s="136"/>
      <c r="H361" s="136"/>
      <c r="J361" s="136"/>
      <c r="K361" s="136"/>
      <c r="AE361" s="39" t="str">
        <f>IF(D361="","",IFERROR(VLOOKUP(D361,Projects!$A$2:$A$20000,1,FALSE),""))</f>
        <v/>
      </c>
      <c r="AF361" s="2" t="str">
        <f>IF(D361="","",IFERROR(MATCH(D361,Projects!$A:$A,0),""))</f>
        <v/>
      </c>
    </row>
    <row r="362" spans="2:32" x14ac:dyDescent="0.25">
      <c r="B362" s="24"/>
      <c r="C362" s="136"/>
      <c r="D362" s="148"/>
      <c r="E362" s="136"/>
      <c r="F362" s="136"/>
      <c r="G362" s="136"/>
      <c r="H362" s="136"/>
      <c r="J362" s="136"/>
      <c r="K362" s="136"/>
      <c r="AE362" s="39" t="str">
        <f>IF(D362="","",IFERROR(VLOOKUP(D362,Projects!$A$2:$A$20000,1,FALSE),""))</f>
        <v/>
      </c>
      <c r="AF362" s="2" t="str">
        <f>IF(D362="","",IFERROR(MATCH(D362,Projects!$A:$A,0),""))</f>
        <v/>
      </c>
    </row>
    <row r="363" spans="2:32" x14ac:dyDescent="0.25">
      <c r="B363" s="24"/>
      <c r="C363" s="136"/>
      <c r="D363" s="148"/>
      <c r="E363" s="136"/>
      <c r="F363" s="136"/>
      <c r="G363" s="136"/>
      <c r="H363" s="136"/>
      <c r="J363" s="136"/>
      <c r="K363" s="136"/>
      <c r="AE363" s="39" t="str">
        <f>IF(D363="","",IFERROR(VLOOKUP(D363,Projects!$A$2:$A$20000,1,FALSE),""))</f>
        <v/>
      </c>
      <c r="AF363" s="2" t="str">
        <f>IF(D363="","",IFERROR(MATCH(D363,Projects!$A:$A,0),""))</f>
        <v/>
      </c>
    </row>
    <row r="364" spans="2:32" x14ac:dyDescent="0.25">
      <c r="B364" s="24"/>
      <c r="C364" s="136"/>
      <c r="D364" s="148"/>
      <c r="E364" s="136"/>
      <c r="F364" s="136"/>
      <c r="G364" s="136"/>
      <c r="H364" s="136"/>
      <c r="J364" s="136"/>
      <c r="K364" s="136"/>
      <c r="AE364" s="39" t="str">
        <f>IF(D364="","",IFERROR(VLOOKUP(D364,Projects!$A$2:$A$20000,1,FALSE),""))</f>
        <v/>
      </c>
      <c r="AF364" s="2" t="str">
        <f>IF(D364="","",IFERROR(MATCH(D364,Projects!$A:$A,0),""))</f>
        <v/>
      </c>
    </row>
    <row r="365" spans="2:32" x14ac:dyDescent="0.25">
      <c r="B365" s="24"/>
      <c r="C365" s="136"/>
      <c r="D365" s="148"/>
      <c r="E365" s="136"/>
      <c r="F365" s="136"/>
      <c r="G365" s="136"/>
      <c r="H365" s="136"/>
      <c r="J365" s="136"/>
      <c r="K365" s="136"/>
      <c r="AE365" s="39" t="str">
        <f>IF(D365="","",IFERROR(VLOOKUP(D365,Projects!$A$2:$A$20000,1,FALSE),""))</f>
        <v/>
      </c>
      <c r="AF365" s="2" t="str">
        <f>IF(D365="","",IFERROR(MATCH(D365,Projects!$A:$A,0),""))</f>
        <v/>
      </c>
    </row>
    <row r="366" spans="2:32" x14ac:dyDescent="0.25">
      <c r="B366" s="24"/>
      <c r="C366" s="136"/>
      <c r="D366" s="148"/>
      <c r="E366" s="136"/>
      <c r="F366" s="136"/>
      <c r="G366" s="136"/>
      <c r="H366" s="136"/>
      <c r="J366" s="136"/>
      <c r="K366" s="136"/>
      <c r="AE366" s="39" t="str">
        <f>IF(D366="","",IFERROR(VLOOKUP(D366,Projects!$A$2:$A$20000,1,FALSE),""))</f>
        <v/>
      </c>
      <c r="AF366" s="2" t="str">
        <f>IF(D366="","",IFERROR(MATCH(D366,Projects!$A:$A,0),""))</f>
        <v/>
      </c>
    </row>
    <row r="367" spans="2:32" x14ac:dyDescent="0.25">
      <c r="B367" s="24"/>
      <c r="C367" s="136"/>
      <c r="D367" s="148"/>
      <c r="E367" s="136"/>
      <c r="F367" s="136"/>
      <c r="G367" s="136"/>
      <c r="H367" s="136"/>
      <c r="J367" s="136"/>
      <c r="K367" s="136"/>
      <c r="AE367" s="39" t="str">
        <f>IF(D367="","",IFERROR(VLOOKUP(D367,Projects!$A$2:$A$20000,1,FALSE),""))</f>
        <v/>
      </c>
      <c r="AF367" s="2" t="str">
        <f>IF(D367="","",IFERROR(MATCH(D367,Projects!$A:$A,0),""))</f>
        <v/>
      </c>
    </row>
    <row r="368" spans="2:32" x14ac:dyDescent="0.25">
      <c r="B368" s="24"/>
      <c r="C368" s="136"/>
      <c r="D368" s="148"/>
      <c r="E368" s="136"/>
      <c r="F368" s="136"/>
      <c r="G368" s="136"/>
      <c r="H368" s="136"/>
      <c r="J368" s="136"/>
      <c r="K368" s="136"/>
      <c r="AE368" s="39" t="str">
        <f>IF(D368="","",IFERROR(VLOOKUP(D368,Projects!$A$2:$A$20000,1,FALSE),""))</f>
        <v/>
      </c>
      <c r="AF368" s="2" t="str">
        <f>IF(D368="","",IFERROR(MATCH(D368,Projects!$A:$A,0),""))</f>
        <v/>
      </c>
    </row>
    <row r="369" spans="2:32" x14ac:dyDescent="0.25">
      <c r="B369" s="24"/>
      <c r="C369" s="136"/>
      <c r="D369" s="148"/>
      <c r="E369" s="136"/>
      <c r="F369" s="136"/>
      <c r="G369" s="136"/>
      <c r="H369" s="136"/>
      <c r="J369" s="136"/>
      <c r="K369" s="136"/>
      <c r="AE369" s="39" t="str">
        <f>IF(D369="","",IFERROR(VLOOKUP(D369,Projects!$A$2:$A$20000,1,FALSE),""))</f>
        <v/>
      </c>
      <c r="AF369" s="2" t="str">
        <f>IF(D369="","",IFERROR(MATCH(D369,Projects!$A:$A,0),""))</f>
        <v/>
      </c>
    </row>
    <row r="370" spans="2:32" x14ac:dyDescent="0.25">
      <c r="B370" s="24"/>
      <c r="C370" s="136"/>
      <c r="D370" s="148"/>
      <c r="E370" s="136"/>
      <c r="F370" s="136"/>
      <c r="G370" s="136"/>
      <c r="H370" s="136"/>
      <c r="J370" s="136"/>
      <c r="K370" s="136"/>
      <c r="AE370" s="39" t="str">
        <f>IF(D370="","",IFERROR(VLOOKUP(D370,Projects!$A$2:$A$20000,1,FALSE),""))</f>
        <v/>
      </c>
      <c r="AF370" s="2" t="str">
        <f>IF(D370="","",IFERROR(MATCH(D370,Projects!$A:$A,0),""))</f>
        <v/>
      </c>
    </row>
    <row r="371" spans="2:32" x14ac:dyDescent="0.25">
      <c r="B371" s="24"/>
      <c r="C371" s="136"/>
      <c r="D371" s="148"/>
      <c r="E371" s="136"/>
      <c r="F371" s="136"/>
      <c r="G371" s="136"/>
      <c r="H371" s="136"/>
      <c r="J371" s="136"/>
      <c r="K371" s="136"/>
      <c r="AE371" s="39" t="str">
        <f>IF(D371="","",IFERROR(VLOOKUP(D371,Projects!$A$2:$A$20000,1,FALSE),""))</f>
        <v/>
      </c>
      <c r="AF371" s="2" t="str">
        <f>IF(D371="","",IFERROR(MATCH(D371,Projects!$A:$A,0),""))</f>
        <v/>
      </c>
    </row>
    <row r="372" spans="2:32" x14ac:dyDescent="0.25">
      <c r="B372" s="24"/>
      <c r="C372" s="136"/>
      <c r="D372" s="148"/>
      <c r="E372" s="136"/>
      <c r="F372" s="136"/>
      <c r="G372" s="136"/>
      <c r="H372" s="136"/>
      <c r="J372" s="136"/>
      <c r="K372" s="136"/>
      <c r="AE372" s="39" t="str">
        <f>IF(D372="","",IFERROR(VLOOKUP(D372,Projects!$A$2:$A$20000,1,FALSE),""))</f>
        <v/>
      </c>
      <c r="AF372" s="2" t="str">
        <f>IF(D372="","",IFERROR(MATCH(D372,Projects!$A:$A,0),""))</f>
        <v/>
      </c>
    </row>
    <row r="373" spans="2:32" x14ac:dyDescent="0.25">
      <c r="B373" s="24"/>
      <c r="C373" s="136"/>
      <c r="D373" s="148"/>
      <c r="E373" s="136"/>
      <c r="F373" s="136"/>
      <c r="G373" s="136"/>
      <c r="H373" s="136"/>
      <c r="J373" s="136"/>
      <c r="K373" s="136"/>
      <c r="AE373" s="39" t="str">
        <f>IF(D373="","",IFERROR(VLOOKUP(D373,Projects!$A$2:$A$20000,1,FALSE),""))</f>
        <v/>
      </c>
      <c r="AF373" s="2" t="str">
        <f>IF(D373="","",IFERROR(MATCH(D373,Projects!$A:$A,0),""))</f>
        <v/>
      </c>
    </row>
    <row r="374" spans="2:32" x14ac:dyDescent="0.25">
      <c r="B374" s="24"/>
      <c r="C374" s="136"/>
      <c r="D374" s="148"/>
      <c r="E374" s="136"/>
      <c r="F374" s="136"/>
      <c r="G374" s="136"/>
      <c r="H374" s="136"/>
      <c r="J374" s="136"/>
      <c r="K374" s="136"/>
      <c r="AE374" s="39" t="str">
        <f>IF(D374="","",IFERROR(VLOOKUP(D374,Projects!$A$2:$A$20000,1,FALSE),""))</f>
        <v/>
      </c>
      <c r="AF374" s="2" t="str">
        <f>IF(D374="","",IFERROR(MATCH(D374,Projects!$A:$A,0),""))</f>
        <v/>
      </c>
    </row>
    <row r="375" spans="2:32" x14ac:dyDescent="0.25">
      <c r="B375" s="24"/>
      <c r="C375" s="136"/>
      <c r="D375" s="148"/>
      <c r="E375" s="136"/>
      <c r="F375" s="136"/>
      <c r="G375" s="136"/>
      <c r="H375" s="136"/>
      <c r="J375" s="136"/>
      <c r="K375" s="136"/>
      <c r="AE375" s="39" t="str">
        <f>IF(D375="","",IFERROR(VLOOKUP(D375,Projects!$A$2:$A$20000,1,FALSE),""))</f>
        <v/>
      </c>
      <c r="AF375" s="2" t="str">
        <f>IF(D375="","",IFERROR(MATCH(D375,Projects!$A:$A,0),""))</f>
        <v/>
      </c>
    </row>
    <row r="376" spans="2:32" x14ac:dyDescent="0.25">
      <c r="B376" s="24"/>
      <c r="C376" s="136"/>
      <c r="D376" s="148"/>
      <c r="E376" s="136"/>
      <c r="F376" s="136"/>
      <c r="G376" s="136"/>
      <c r="H376" s="136"/>
      <c r="J376" s="136"/>
      <c r="K376" s="136"/>
      <c r="AE376" s="39" t="str">
        <f>IF(D376="","",IFERROR(VLOOKUP(D376,Projects!$A$2:$A$20000,1,FALSE),""))</f>
        <v/>
      </c>
      <c r="AF376" s="2" t="str">
        <f>IF(D376="","",IFERROR(MATCH(D376,Projects!$A:$A,0),""))</f>
        <v/>
      </c>
    </row>
    <row r="377" spans="2:32" x14ac:dyDescent="0.25">
      <c r="B377" s="24"/>
      <c r="C377" s="136"/>
      <c r="D377" s="148"/>
      <c r="E377" s="136"/>
      <c r="F377" s="136"/>
      <c r="G377" s="136"/>
      <c r="H377" s="136"/>
      <c r="J377" s="136"/>
      <c r="K377" s="136"/>
      <c r="AE377" s="39" t="str">
        <f>IF(D377="","",IFERROR(VLOOKUP(D377,Projects!$A$2:$A$20000,1,FALSE),""))</f>
        <v/>
      </c>
      <c r="AF377" s="2" t="str">
        <f>IF(D377="","",IFERROR(MATCH(D377,Projects!$A:$A,0),""))</f>
        <v/>
      </c>
    </row>
    <row r="378" spans="2:32" x14ac:dyDescent="0.25">
      <c r="B378" s="24"/>
      <c r="C378" s="136"/>
      <c r="D378" s="148"/>
      <c r="E378" s="136"/>
      <c r="F378" s="136"/>
      <c r="G378" s="136"/>
      <c r="H378" s="136"/>
      <c r="J378" s="136"/>
      <c r="K378" s="136"/>
      <c r="AE378" s="39" t="str">
        <f>IF(D378="","",IFERROR(VLOOKUP(D378,Projects!$A$2:$A$20000,1,FALSE),""))</f>
        <v/>
      </c>
      <c r="AF378" s="2" t="str">
        <f>IF(D378="","",IFERROR(MATCH(D378,Projects!$A:$A,0),""))</f>
        <v/>
      </c>
    </row>
    <row r="379" spans="2:32" x14ac:dyDescent="0.25">
      <c r="B379" s="24"/>
      <c r="C379" s="136"/>
      <c r="D379" s="148"/>
      <c r="E379" s="136"/>
      <c r="F379" s="136"/>
      <c r="G379" s="136"/>
      <c r="H379" s="136"/>
      <c r="J379" s="136"/>
      <c r="K379" s="136"/>
      <c r="AE379" s="39" t="str">
        <f>IF(D379="","",IFERROR(VLOOKUP(D379,Projects!$A$2:$A$20000,1,FALSE),""))</f>
        <v/>
      </c>
      <c r="AF379" s="2" t="str">
        <f>IF(D379="","",IFERROR(MATCH(D379,Projects!$A:$A,0),""))</f>
        <v/>
      </c>
    </row>
    <row r="380" spans="2:32" x14ac:dyDescent="0.25">
      <c r="B380" s="24"/>
      <c r="C380" s="136"/>
      <c r="D380" s="148"/>
      <c r="E380" s="136"/>
      <c r="F380" s="136"/>
      <c r="G380" s="136"/>
      <c r="H380" s="136"/>
      <c r="J380" s="136"/>
      <c r="K380" s="136"/>
      <c r="AE380" s="39" t="str">
        <f>IF(D380="","",IFERROR(VLOOKUP(D380,Projects!$A$2:$A$20000,1,FALSE),""))</f>
        <v/>
      </c>
      <c r="AF380" s="2" t="str">
        <f>IF(D380="","",IFERROR(MATCH(D380,Projects!$A:$A,0),""))</f>
        <v/>
      </c>
    </row>
    <row r="381" spans="2:32" x14ac:dyDescent="0.25">
      <c r="B381" s="24"/>
      <c r="C381" s="136"/>
      <c r="D381" s="148"/>
      <c r="E381" s="136"/>
      <c r="F381" s="136"/>
      <c r="G381" s="136"/>
      <c r="H381" s="136"/>
      <c r="J381" s="136"/>
      <c r="K381" s="136"/>
      <c r="AE381" s="39" t="str">
        <f>IF(D381="","",IFERROR(VLOOKUP(D381,Projects!$A$2:$A$20000,1,FALSE),""))</f>
        <v/>
      </c>
      <c r="AF381" s="2" t="str">
        <f>IF(D381="","",IFERROR(MATCH(D381,Projects!$A:$A,0),""))</f>
        <v/>
      </c>
    </row>
    <row r="382" spans="2:32" x14ac:dyDescent="0.25">
      <c r="B382" s="24"/>
      <c r="C382" s="136"/>
      <c r="D382" s="148"/>
      <c r="E382" s="136"/>
      <c r="F382" s="136"/>
      <c r="G382" s="136"/>
      <c r="H382" s="136"/>
      <c r="J382" s="136"/>
      <c r="K382" s="136"/>
      <c r="AE382" s="39" t="str">
        <f>IF(D382="","",IFERROR(VLOOKUP(D382,Projects!$A$2:$A$20000,1,FALSE),""))</f>
        <v/>
      </c>
      <c r="AF382" s="2" t="str">
        <f>IF(D382="","",IFERROR(MATCH(D382,Projects!$A:$A,0),""))</f>
        <v/>
      </c>
    </row>
    <row r="383" spans="2:32" x14ac:dyDescent="0.25">
      <c r="B383" s="24"/>
      <c r="C383" s="136"/>
      <c r="D383" s="148"/>
      <c r="E383" s="136"/>
      <c r="F383" s="136"/>
      <c r="G383" s="136"/>
      <c r="H383" s="136"/>
      <c r="J383" s="136"/>
      <c r="K383" s="136"/>
      <c r="AE383" s="39" t="str">
        <f>IF(D383="","",IFERROR(VLOOKUP(D383,Projects!$A$2:$A$20000,1,FALSE),""))</f>
        <v/>
      </c>
      <c r="AF383" s="2" t="str">
        <f>IF(D383="","",IFERROR(MATCH(D383,Projects!$A:$A,0),""))</f>
        <v/>
      </c>
    </row>
    <row r="384" spans="2:32" x14ac:dyDescent="0.25">
      <c r="B384" s="24"/>
      <c r="C384" s="136"/>
      <c r="D384" s="148"/>
      <c r="E384" s="136"/>
      <c r="F384" s="136"/>
      <c r="G384" s="136"/>
      <c r="H384" s="136"/>
      <c r="J384" s="136"/>
      <c r="K384" s="136"/>
      <c r="AE384" s="39" t="str">
        <f>IF(D384="","",IFERROR(VLOOKUP(D384,Projects!$A$2:$A$20000,1,FALSE),""))</f>
        <v/>
      </c>
      <c r="AF384" s="2" t="str">
        <f>IF(D384="","",IFERROR(MATCH(D384,Projects!$A:$A,0),""))</f>
        <v/>
      </c>
    </row>
    <row r="385" spans="2:32" x14ac:dyDescent="0.25">
      <c r="B385" s="24"/>
      <c r="C385" s="136"/>
      <c r="D385" s="148"/>
      <c r="E385" s="136"/>
      <c r="F385" s="136"/>
      <c r="G385" s="136"/>
      <c r="H385" s="136"/>
      <c r="J385" s="136"/>
      <c r="K385" s="136"/>
      <c r="AE385" s="39" t="str">
        <f>IF(D385="","",IFERROR(VLOOKUP(D385,Projects!$A$2:$A$20000,1,FALSE),""))</f>
        <v/>
      </c>
      <c r="AF385" s="2" t="str">
        <f>IF(D385="","",IFERROR(MATCH(D385,Projects!$A:$A,0),""))</f>
        <v/>
      </c>
    </row>
    <row r="386" spans="2:32" x14ac:dyDescent="0.25">
      <c r="B386" s="24"/>
      <c r="C386" s="136"/>
      <c r="D386" s="148"/>
      <c r="E386" s="136"/>
      <c r="F386" s="136"/>
      <c r="G386" s="136"/>
      <c r="H386" s="136"/>
      <c r="J386" s="136"/>
      <c r="K386" s="136"/>
      <c r="AE386" s="39" t="str">
        <f>IF(D386="","",IFERROR(VLOOKUP(D386,Projects!$A$2:$A$20000,1,FALSE),""))</f>
        <v/>
      </c>
      <c r="AF386" s="2" t="str">
        <f>IF(D386="","",IFERROR(MATCH(D386,Projects!$A:$A,0),""))</f>
        <v/>
      </c>
    </row>
    <row r="387" spans="2:32" x14ac:dyDescent="0.25">
      <c r="B387" s="24"/>
      <c r="C387" s="136"/>
      <c r="D387" s="148"/>
      <c r="E387" s="136"/>
      <c r="F387" s="136"/>
      <c r="G387" s="136"/>
      <c r="H387" s="136"/>
      <c r="J387" s="136"/>
      <c r="K387" s="136"/>
      <c r="AE387" s="39" t="str">
        <f>IF(D387="","",IFERROR(VLOOKUP(D387,Projects!$A$2:$A$20000,1,FALSE),""))</f>
        <v/>
      </c>
      <c r="AF387" s="2" t="str">
        <f>IF(D387="","",IFERROR(MATCH(D387,Projects!$A:$A,0),""))</f>
        <v/>
      </c>
    </row>
    <row r="388" spans="2:32" x14ac:dyDescent="0.25">
      <c r="B388" s="24"/>
      <c r="C388" s="136"/>
      <c r="D388" s="148"/>
      <c r="E388" s="136"/>
      <c r="F388" s="136"/>
      <c r="G388" s="136"/>
      <c r="H388" s="136"/>
      <c r="J388" s="136"/>
      <c r="K388" s="136"/>
      <c r="AE388" s="39" t="str">
        <f>IF(D388="","",IFERROR(VLOOKUP(D388,Projects!$A$2:$A$20000,1,FALSE),""))</f>
        <v/>
      </c>
      <c r="AF388" s="2" t="str">
        <f>IF(D388="","",IFERROR(MATCH(D388,Projects!$A:$A,0),""))</f>
        <v/>
      </c>
    </row>
    <row r="389" spans="2:32" x14ac:dyDescent="0.25">
      <c r="B389" s="24"/>
      <c r="C389" s="136"/>
      <c r="D389" s="148"/>
      <c r="E389" s="136"/>
      <c r="F389" s="136"/>
      <c r="G389" s="136"/>
      <c r="H389" s="136"/>
      <c r="J389" s="136"/>
      <c r="K389" s="136"/>
      <c r="AE389" s="39" t="str">
        <f>IF(D389="","",IFERROR(VLOOKUP(D389,Projects!$A$2:$A$20000,1,FALSE),""))</f>
        <v/>
      </c>
      <c r="AF389" s="2" t="str">
        <f>IF(D389="","",IFERROR(MATCH(D389,Projects!$A:$A,0),""))</f>
        <v/>
      </c>
    </row>
    <row r="390" spans="2:32" x14ac:dyDescent="0.25">
      <c r="B390" s="24"/>
      <c r="C390" s="136"/>
      <c r="D390" s="148"/>
      <c r="E390" s="136"/>
      <c r="F390" s="136"/>
      <c r="G390" s="136"/>
      <c r="H390" s="136"/>
      <c r="J390" s="136"/>
      <c r="K390" s="136"/>
      <c r="AE390" s="39" t="str">
        <f>IF(D390="","",IFERROR(VLOOKUP(D390,Projects!$A$2:$A$20000,1,FALSE),""))</f>
        <v/>
      </c>
      <c r="AF390" s="2" t="str">
        <f>IF(D390="","",IFERROR(MATCH(D390,Projects!$A:$A,0),""))</f>
        <v/>
      </c>
    </row>
    <row r="391" spans="2:32" x14ac:dyDescent="0.25">
      <c r="B391" s="24"/>
      <c r="C391" s="136"/>
      <c r="D391" s="148"/>
      <c r="E391" s="136"/>
      <c r="F391" s="136"/>
      <c r="G391" s="136"/>
      <c r="H391" s="136"/>
      <c r="J391" s="136"/>
      <c r="K391" s="136"/>
      <c r="AE391" s="39" t="str">
        <f>IF(D391="","",IFERROR(VLOOKUP(D391,Projects!$A$2:$A$20000,1,FALSE),""))</f>
        <v/>
      </c>
      <c r="AF391" s="2" t="str">
        <f>IF(D391="","",IFERROR(MATCH(D391,Projects!$A:$A,0),""))</f>
        <v/>
      </c>
    </row>
    <row r="392" spans="2:32" x14ac:dyDescent="0.25">
      <c r="B392" s="24"/>
      <c r="C392" s="136"/>
      <c r="D392" s="148"/>
      <c r="E392" s="136"/>
      <c r="F392" s="136"/>
      <c r="G392" s="136"/>
      <c r="H392" s="136"/>
      <c r="J392" s="136"/>
      <c r="K392" s="136"/>
      <c r="AE392" s="39" t="str">
        <f>IF(D392="","",IFERROR(VLOOKUP(D392,Projects!$A$2:$A$20000,1,FALSE),""))</f>
        <v/>
      </c>
      <c r="AF392" s="2" t="str">
        <f>IF(D392="","",IFERROR(MATCH(D392,Projects!$A:$A,0),""))</f>
        <v/>
      </c>
    </row>
    <row r="393" spans="2:32" x14ac:dyDescent="0.25">
      <c r="B393" s="24"/>
      <c r="C393" s="136"/>
      <c r="D393" s="148"/>
      <c r="E393" s="136"/>
      <c r="F393" s="136"/>
      <c r="G393" s="136"/>
      <c r="H393" s="136"/>
      <c r="J393" s="136"/>
      <c r="K393" s="136"/>
      <c r="AE393" s="39" t="str">
        <f>IF(D393="","",IFERROR(VLOOKUP(D393,Projects!$A$2:$A$20000,1,FALSE),""))</f>
        <v/>
      </c>
      <c r="AF393" s="2" t="str">
        <f>IF(D393="","",IFERROR(MATCH(D393,Projects!$A:$A,0),""))</f>
        <v/>
      </c>
    </row>
    <row r="394" spans="2:32" x14ac:dyDescent="0.25">
      <c r="B394" s="24"/>
      <c r="C394" s="136"/>
      <c r="D394" s="148"/>
      <c r="E394" s="136"/>
      <c r="F394" s="136"/>
      <c r="G394" s="136"/>
      <c r="H394" s="136"/>
      <c r="J394" s="136"/>
      <c r="K394" s="136"/>
      <c r="AE394" s="39" t="str">
        <f>IF(D394="","",IFERROR(VLOOKUP(D394,Projects!$A$2:$A$20000,1,FALSE),""))</f>
        <v/>
      </c>
      <c r="AF394" s="2" t="str">
        <f>IF(D394="","",IFERROR(MATCH(D394,Projects!$A:$A,0),""))</f>
        <v/>
      </c>
    </row>
    <row r="395" spans="2:32" x14ac:dyDescent="0.25">
      <c r="B395" s="24"/>
      <c r="C395" s="136"/>
      <c r="D395" s="148"/>
      <c r="E395" s="136"/>
      <c r="F395" s="136"/>
      <c r="G395" s="136"/>
      <c r="H395" s="136"/>
      <c r="J395" s="136"/>
      <c r="K395" s="136"/>
      <c r="AE395" s="39" t="str">
        <f>IF(D395="","",IFERROR(VLOOKUP(D395,Projects!$A$2:$A$20000,1,FALSE),""))</f>
        <v/>
      </c>
      <c r="AF395" s="2" t="str">
        <f>IF(D395="","",IFERROR(MATCH(D395,Projects!$A:$A,0),""))</f>
        <v/>
      </c>
    </row>
    <row r="396" spans="2:32" x14ac:dyDescent="0.25">
      <c r="B396" s="24"/>
      <c r="C396" s="136"/>
      <c r="D396" s="148"/>
      <c r="E396" s="136"/>
      <c r="F396" s="136"/>
      <c r="G396" s="136"/>
      <c r="H396" s="136"/>
      <c r="J396" s="136"/>
      <c r="K396" s="136"/>
      <c r="AE396" s="39" t="str">
        <f>IF(D396="","",IFERROR(VLOOKUP(D396,Projects!$A$2:$A$20000,1,FALSE),""))</f>
        <v/>
      </c>
      <c r="AF396" s="2" t="str">
        <f>IF(D396="","",IFERROR(MATCH(D396,Projects!$A:$A,0),""))</f>
        <v/>
      </c>
    </row>
    <row r="397" spans="2:32" x14ac:dyDescent="0.25">
      <c r="B397" s="24"/>
      <c r="C397" s="136"/>
      <c r="D397" s="148"/>
      <c r="E397" s="136"/>
      <c r="F397" s="136"/>
      <c r="G397" s="136"/>
      <c r="H397" s="136"/>
      <c r="J397" s="136"/>
      <c r="K397" s="136"/>
      <c r="AE397" s="39" t="str">
        <f>IF(D397="","",IFERROR(VLOOKUP(D397,Projects!$A$2:$A$20000,1,FALSE),""))</f>
        <v/>
      </c>
      <c r="AF397" s="2" t="str">
        <f>IF(D397="","",IFERROR(MATCH(D397,Projects!$A:$A,0),""))</f>
        <v/>
      </c>
    </row>
    <row r="398" spans="2:32" x14ac:dyDescent="0.25">
      <c r="B398" s="24"/>
      <c r="C398" s="136"/>
      <c r="D398" s="148"/>
      <c r="E398" s="136"/>
      <c r="F398" s="136"/>
      <c r="G398" s="136"/>
      <c r="H398" s="136"/>
      <c r="J398" s="136"/>
      <c r="K398" s="136"/>
      <c r="AE398" s="39" t="str">
        <f>IF(D398="","",IFERROR(VLOOKUP(D398,Projects!$A$2:$A$20000,1,FALSE),""))</f>
        <v/>
      </c>
      <c r="AF398" s="2" t="str">
        <f>IF(D398="","",IFERROR(MATCH(D398,Projects!$A:$A,0),""))</f>
        <v/>
      </c>
    </row>
    <row r="399" spans="2:32" x14ac:dyDescent="0.25">
      <c r="B399" s="24"/>
      <c r="C399" s="136"/>
      <c r="D399" s="148"/>
      <c r="E399" s="136"/>
      <c r="F399" s="136"/>
      <c r="G399" s="136"/>
      <c r="H399" s="136"/>
      <c r="J399" s="136"/>
      <c r="K399" s="136"/>
      <c r="AE399" s="39" t="str">
        <f>IF(D399="","",IFERROR(VLOOKUP(D399,Projects!$A$2:$A$20000,1,FALSE),""))</f>
        <v/>
      </c>
      <c r="AF399" s="2" t="str">
        <f>IF(D399="","",IFERROR(MATCH(D399,Projects!$A:$A,0),""))</f>
        <v/>
      </c>
    </row>
    <row r="400" spans="2:32" x14ac:dyDescent="0.25">
      <c r="B400" s="24"/>
      <c r="C400" s="136"/>
      <c r="D400" s="148"/>
      <c r="E400" s="136"/>
      <c r="F400" s="136"/>
      <c r="G400" s="136"/>
      <c r="H400" s="136"/>
      <c r="J400" s="136"/>
      <c r="K400" s="136"/>
      <c r="AE400" s="39" t="str">
        <f>IF(D400="","",IFERROR(VLOOKUP(D400,Projects!$A$2:$A$20000,1,FALSE),""))</f>
        <v/>
      </c>
      <c r="AF400" s="2" t="str">
        <f>IF(D400="","",IFERROR(MATCH(D400,Projects!$A:$A,0),""))</f>
        <v/>
      </c>
    </row>
    <row r="401" spans="2:32" x14ac:dyDescent="0.25">
      <c r="B401" s="24"/>
      <c r="C401" s="136"/>
      <c r="D401" s="148"/>
      <c r="E401" s="136"/>
      <c r="F401" s="136"/>
      <c r="G401" s="136"/>
      <c r="H401" s="136"/>
      <c r="J401" s="136"/>
      <c r="K401" s="136"/>
      <c r="AE401" s="39" t="str">
        <f>IF(D401="","",IFERROR(VLOOKUP(D401,Projects!$A$2:$A$20000,1,FALSE),""))</f>
        <v/>
      </c>
      <c r="AF401" s="2" t="str">
        <f>IF(D401="","",IFERROR(MATCH(D401,Projects!$A:$A,0),""))</f>
        <v/>
      </c>
    </row>
    <row r="402" spans="2:32" x14ac:dyDescent="0.25">
      <c r="B402" s="24"/>
      <c r="C402" s="136"/>
      <c r="D402" s="148"/>
      <c r="E402" s="136"/>
      <c r="F402" s="136"/>
      <c r="G402" s="136"/>
      <c r="H402" s="136"/>
      <c r="J402" s="136"/>
      <c r="K402" s="136"/>
      <c r="AE402" s="39" t="str">
        <f>IF(D402="","",IFERROR(VLOOKUP(D402,Projects!$A$2:$A$20000,1,FALSE),""))</f>
        <v/>
      </c>
      <c r="AF402" s="2" t="str">
        <f>IF(D402="","",IFERROR(MATCH(D402,Projects!$A:$A,0),""))</f>
        <v/>
      </c>
    </row>
    <row r="403" spans="2:32" x14ac:dyDescent="0.25">
      <c r="B403" s="24"/>
      <c r="C403" s="136"/>
      <c r="D403" s="148"/>
      <c r="E403" s="136"/>
      <c r="F403" s="136"/>
      <c r="G403" s="136"/>
      <c r="H403" s="136"/>
      <c r="J403" s="136"/>
      <c r="K403" s="136"/>
      <c r="AE403" s="39" t="str">
        <f>IF(D403="","",IFERROR(VLOOKUP(D403,Projects!$A$2:$A$20000,1,FALSE),""))</f>
        <v/>
      </c>
      <c r="AF403" s="2" t="str">
        <f>IF(D403="","",IFERROR(MATCH(D403,Projects!$A:$A,0),""))</f>
        <v/>
      </c>
    </row>
    <row r="404" spans="2:32" x14ac:dyDescent="0.25">
      <c r="B404" s="24"/>
      <c r="C404" s="136"/>
      <c r="D404" s="148"/>
      <c r="E404" s="136"/>
      <c r="F404" s="136"/>
      <c r="G404" s="136"/>
      <c r="H404" s="136"/>
      <c r="J404" s="136"/>
      <c r="K404" s="136"/>
      <c r="AE404" s="39" t="str">
        <f>IF(D404="","",IFERROR(VLOOKUP(D404,Projects!$A$2:$A$20000,1,FALSE),""))</f>
        <v/>
      </c>
      <c r="AF404" s="2" t="str">
        <f>IF(D404="","",IFERROR(MATCH(D404,Projects!$A:$A,0),""))</f>
        <v/>
      </c>
    </row>
    <row r="405" spans="2:32" x14ac:dyDescent="0.25">
      <c r="B405" s="24"/>
      <c r="C405" s="136"/>
      <c r="D405" s="148"/>
      <c r="E405" s="136"/>
      <c r="F405" s="136"/>
      <c r="G405" s="136"/>
      <c r="H405" s="136"/>
      <c r="J405" s="136"/>
      <c r="K405" s="136"/>
      <c r="AE405" s="39" t="str">
        <f>IF(D405="","",IFERROR(VLOOKUP(D405,Projects!$A$2:$A$20000,1,FALSE),""))</f>
        <v/>
      </c>
      <c r="AF405" s="2" t="str">
        <f>IF(D405="","",IFERROR(MATCH(D405,Projects!$A:$A,0),""))</f>
        <v/>
      </c>
    </row>
    <row r="406" spans="2:32" x14ac:dyDescent="0.25">
      <c r="B406" s="24"/>
      <c r="C406" s="136"/>
      <c r="D406" s="148"/>
      <c r="E406" s="136"/>
      <c r="F406" s="136"/>
      <c r="G406" s="136"/>
      <c r="H406" s="136"/>
      <c r="J406" s="136"/>
      <c r="K406" s="136"/>
      <c r="AE406" s="39" t="str">
        <f>IF(D406="","",IFERROR(VLOOKUP(D406,Projects!$A$2:$A$20000,1,FALSE),""))</f>
        <v/>
      </c>
      <c r="AF406" s="2" t="str">
        <f>IF(D406="","",IFERROR(MATCH(D406,Projects!$A:$A,0),""))</f>
        <v/>
      </c>
    </row>
    <row r="407" spans="2:32" x14ac:dyDescent="0.25">
      <c r="B407" s="24"/>
      <c r="C407" s="136"/>
      <c r="D407" s="148"/>
      <c r="E407" s="136"/>
      <c r="F407" s="136"/>
      <c r="G407" s="136"/>
      <c r="H407" s="136"/>
      <c r="J407" s="136"/>
      <c r="K407" s="136"/>
      <c r="AE407" s="39" t="str">
        <f>IF(D407="","",IFERROR(VLOOKUP(D407,Projects!$A$2:$A$20000,1,FALSE),""))</f>
        <v/>
      </c>
      <c r="AF407" s="2" t="str">
        <f>IF(D407="","",IFERROR(MATCH(D407,Projects!$A:$A,0),""))</f>
        <v/>
      </c>
    </row>
    <row r="408" spans="2:32" x14ac:dyDescent="0.25">
      <c r="B408" s="24"/>
      <c r="C408" s="136"/>
      <c r="D408" s="148"/>
      <c r="E408" s="136"/>
      <c r="F408" s="136"/>
      <c r="G408" s="136"/>
      <c r="H408" s="136"/>
      <c r="J408" s="136"/>
      <c r="K408" s="136"/>
      <c r="AE408" s="39" t="str">
        <f>IF(D408="","",IFERROR(VLOOKUP(D408,Projects!$A$2:$A$20000,1,FALSE),""))</f>
        <v/>
      </c>
      <c r="AF408" s="2" t="str">
        <f>IF(D408="","",IFERROR(MATCH(D408,Projects!$A:$A,0),""))</f>
        <v/>
      </c>
    </row>
    <row r="409" spans="2:32" x14ac:dyDescent="0.25">
      <c r="B409" s="24"/>
      <c r="C409" s="136"/>
      <c r="D409" s="148"/>
      <c r="E409" s="136"/>
      <c r="F409" s="136"/>
      <c r="G409" s="136"/>
      <c r="H409" s="136"/>
      <c r="J409" s="136"/>
      <c r="K409" s="136"/>
      <c r="AE409" s="39" t="str">
        <f>IF(D409="","",IFERROR(VLOOKUP(D409,Projects!$A$2:$A$20000,1,FALSE),""))</f>
        <v/>
      </c>
      <c r="AF409" s="2" t="str">
        <f>IF(D409="","",IFERROR(MATCH(D409,Projects!$A:$A,0),""))</f>
        <v/>
      </c>
    </row>
    <row r="410" spans="2:32" x14ac:dyDescent="0.25">
      <c r="B410" s="24"/>
      <c r="C410" s="136"/>
      <c r="D410" s="148"/>
      <c r="E410" s="136"/>
      <c r="F410" s="136"/>
      <c r="G410" s="136"/>
      <c r="H410" s="136"/>
      <c r="J410" s="136"/>
      <c r="K410" s="136"/>
      <c r="AE410" s="39" t="str">
        <f>IF(D410="","",IFERROR(VLOOKUP(D410,Projects!$A$2:$A$20000,1,FALSE),""))</f>
        <v/>
      </c>
      <c r="AF410" s="2" t="str">
        <f>IF(D410="","",IFERROR(MATCH(D410,Projects!$A:$A,0),""))</f>
        <v/>
      </c>
    </row>
    <row r="411" spans="2:32" x14ac:dyDescent="0.25">
      <c r="B411" s="24"/>
      <c r="C411" s="136"/>
      <c r="D411" s="148"/>
      <c r="E411" s="136"/>
      <c r="F411" s="136"/>
      <c r="G411" s="136"/>
      <c r="H411" s="136"/>
      <c r="J411" s="136"/>
      <c r="K411" s="136"/>
      <c r="AE411" s="39" t="str">
        <f>IF(D411="","",IFERROR(VLOOKUP(D411,Projects!$A$2:$A$20000,1,FALSE),""))</f>
        <v/>
      </c>
      <c r="AF411" s="2" t="str">
        <f>IF(D411="","",IFERROR(MATCH(D411,Projects!$A:$A,0),""))</f>
        <v/>
      </c>
    </row>
    <row r="412" spans="2:32" x14ac:dyDescent="0.25">
      <c r="B412" s="24"/>
      <c r="C412" s="136"/>
      <c r="D412" s="148"/>
      <c r="E412" s="136"/>
      <c r="F412" s="136"/>
      <c r="G412" s="136"/>
      <c r="H412" s="136"/>
      <c r="J412" s="136"/>
      <c r="K412" s="136"/>
      <c r="AE412" s="39" t="str">
        <f>IF(D412="","",IFERROR(VLOOKUP(D412,Projects!$A$2:$A$20000,1,FALSE),""))</f>
        <v/>
      </c>
      <c r="AF412" s="2" t="str">
        <f>IF(D412="","",IFERROR(MATCH(D412,Projects!$A:$A,0),""))</f>
        <v/>
      </c>
    </row>
    <row r="413" spans="2:32" x14ac:dyDescent="0.25">
      <c r="B413" s="24"/>
      <c r="C413" s="136"/>
      <c r="D413" s="148"/>
      <c r="E413" s="136"/>
      <c r="F413" s="136"/>
      <c r="G413" s="136"/>
      <c r="H413" s="136"/>
      <c r="J413" s="136"/>
      <c r="K413" s="136"/>
      <c r="AE413" s="39" t="str">
        <f>IF(D413="","",IFERROR(VLOOKUP(D413,Projects!$A$2:$A$20000,1,FALSE),""))</f>
        <v/>
      </c>
      <c r="AF413" s="2" t="str">
        <f>IF(D413="","",IFERROR(MATCH(D413,Projects!$A:$A,0),""))</f>
        <v/>
      </c>
    </row>
    <row r="414" spans="2:32" x14ac:dyDescent="0.25">
      <c r="B414" s="24"/>
      <c r="C414" s="136"/>
      <c r="D414" s="148"/>
      <c r="E414" s="136"/>
      <c r="F414" s="136"/>
      <c r="G414" s="136"/>
      <c r="H414" s="136"/>
      <c r="J414" s="136"/>
      <c r="K414" s="136"/>
      <c r="AE414" s="39" t="str">
        <f>IF(D414="","",IFERROR(VLOOKUP(D414,Projects!$A$2:$A$20000,1,FALSE),""))</f>
        <v/>
      </c>
      <c r="AF414" s="2" t="str">
        <f>IF(D414="","",IFERROR(MATCH(D414,Projects!$A:$A,0),""))</f>
        <v/>
      </c>
    </row>
    <row r="415" spans="2:32" x14ac:dyDescent="0.25">
      <c r="B415" s="24"/>
      <c r="C415" s="136"/>
      <c r="D415" s="148"/>
      <c r="E415" s="136"/>
      <c r="F415" s="136"/>
      <c r="G415" s="136"/>
      <c r="H415" s="136"/>
      <c r="J415" s="136"/>
      <c r="K415" s="136"/>
      <c r="AE415" s="39" t="str">
        <f>IF(D415="","",IFERROR(VLOOKUP(D415,Projects!$A$2:$A$20000,1,FALSE),""))</f>
        <v/>
      </c>
      <c r="AF415" s="2" t="str">
        <f>IF(D415="","",IFERROR(MATCH(D415,Projects!$A:$A,0),""))</f>
        <v/>
      </c>
    </row>
    <row r="416" spans="2:32" x14ac:dyDescent="0.25">
      <c r="B416" s="24"/>
      <c r="C416" s="136"/>
      <c r="D416" s="148"/>
      <c r="E416" s="136"/>
      <c r="F416" s="136"/>
      <c r="G416" s="136"/>
      <c r="H416" s="136"/>
      <c r="J416" s="136"/>
      <c r="K416" s="136"/>
      <c r="AE416" s="39" t="str">
        <f>IF(D416="","",IFERROR(VLOOKUP(D416,Projects!$A$2:$A$20000,1,FALSE),""))</f>
        <v/>
      </c>
      <c r="AF416" s="2" t="str">
        <f>IF(D416="","",IFERROR(MATCH(D416,Projects!$A:$A,0),""))</f>
        <v/>
      </c>
    </row>
    <row r="417" spans="2:32" x14ac:dyDescent="0.25">
      <c r="B417" s="24"/>
      <c r="C417" s="136"/>
      <c r="D417" s="148"/>
      <c r="E417" s="136"/>
      <c r="F417" s="136"/>
      <c r="G417" s="136"/>
      <c r="H417" s="136"/>
      <c r="J417" s="136"/>
      <c r="K417" s="136"/>
      <c r="AE417" s="39" t="str">
        <f>IF(D417="","",IFERROR(VLOOKUP(D417,Projects!$A$2:$A$20000,1,FALSE),""))</f>
        <v/>
      </c>
      <c r="AF417" s="2" t="str">
        <f>IF(D417="","",IFERROR(MATCH(D417,Projects!$A:$A,0),""))</f>
        <v/>
      </c>
    </row>
    <row r="418" spans="2:32" x14ac:dyDescent="0.25">
      <c r="B418" s="24"/>
      <c r="C418" s="136"/>
      <c r="D418" s="148"/>
      <c r="E418" s="136"/>
      <c r="F418" s="136"/>
      <c r="G418" s="136"/>
      <c r="H418" s="136"/>
      <c r="J418" s="136"/>
      <c r="K418" s="136"/>
      <c r="AE418" s="39" t="str">
        <f>IF(D418="","",IFERROR(VLOOKUP(D418,Projects!$A$2:$A$20000,1,FALSE),""))</f>
        <v/>
      </c>
      <c r="AF418" s="2" t="str">
        <f>IF(D418="","",IFERROR(MATCH(D418,Projects!$A:$A,0),""))</f>
        <v/>
      </c>
    </row>
    <row r="419" spans="2:32" x14ac:dyDescent="0.25">
      <c r="B419" s="24"/>
      <c r="C419" s="136"/>
      <c r="D419" s="148"/>
      <c r="E419" s="136"/>
      <c r="F419" s="136"/>
      <c r="G419" s="136"/>
      <c r="H419" s="136"/>
      <c r="J419" s="136"/>
      <c r="K419" s="136"/>
      <c r="AE419" s="39" t="str">
        <f>IF(D419="","",IFERROR(VLOOKUP(D419,Projects!$A$2:$A$20000,1,FALSE),""))</f>
        <v/>
      </c>
      <c r="AF419" s="2" t="str">
        <f>IF(D419="","",IFERROR(MATCH(D419,Projects!$A:$A,0),""))</f>
        <v/>
      </c>
    </row>
    <row r="420" spans="2:32" x14ac:dyDescent="0.25">
      <c r="B420" s="24"/>
      <c r="C420" s="136"/>
      <c r="D420" s="148"/>
      <c r="E420" s="136"/>
      <c r="F420" s="136"/>
      <c r="G420" s="136"/>
      <c r="H420" s="136"/>
      <c r="J420" s="136"/>
      <c r="K420" s="136"/>
      <c r="AE420" s="39" t="str">
        <f>IF(D420="","",IFERROR(VLOOKUP(D420,Projects!$A$2:$A$20000,1,FALSE),""))</f>
        <v/>
      </c>
      <c r="AF420" s="2" t="str">
        <f>IF(D420="","",IFERROR(MATCH(D420,Projects!$A:$A,0),""))</f>
        <v/>
      </c>
    </row>
    <row r="421" spans="2:32" x14ac:dyDescent="0.25">
      <c r="B421" s="24"/>
      <c r="C421" s="136"/>
      <c r="D421" s="148"/>
      <c r="E421" s="136"/>
      <c r="F421" s="136"/>
      <c r="G421" s="136"/>
      <c r="H421" s="136"/>
      <c r="J421" s="136"/>
      <c r="K421" s="136"/>
      <c r="AE421" s="39" t="str">
        <f>IF(D421="","",IFERROR(VLOOKUP(D421,Projects!$A$2:$A$20000,1,FALSE),""))</f>
        <v/>
      </c>
      <c r="AF421" s="2" t="str">
        <f>IF(D421="","",IFERROR(MATCH(D421,Projects!$A:$A,0),""))</f>
        <v/>
      </c>
    </row>
    <row r="422" spans="2:32" x14ac:dyDescent="0.25">
      <c r="B422" s="24"/>
      <c r="C422" s="136"/>
      <c r="D422" s="148"/>
      <c r="E422" s="136"/>
      <c r="F422" s="136"/>
      <c r="G422" s="136"/>
      <c r="H422" s="136"/>
      <c r="J422" s="136"/>
      <c r="K422" s="136"/>
      <c r="AE422" s="39" t="str">
        <f>IF(D422="","",IFERROR(VLOOKUP(D422,Projects!$A$2:$A$20000,1,FALSE),""))</f>
        <v/>
      </c>
      <c r="AF422" s="2" t="str">
        <f>IF(D422="","",IFERROR(MATCH(D422,Projects!$A:$A,0),""))</f>
        <v/>
      </c>
    </row>
    <row r="423" spans="2:32" x14ac:dyDescent="0.25">
      <c r="B423" s="24"/>
      <c r="C423" s="136"/>
      <c r="D423" s="148"/>
      <c r="E423" s="136"/>
      <c r="F423" s="136"/>
      <c r="G423" s="136"/>
      <c r="H423" s="136"/>
      <c r="J423" s="136"/>
      <c r="K423" s="136"/>
      <c r="AE423" s="39" t="str">
        <f>IF(D423="","",IFERROR(VLOOKUP(D423,Projects!$A$2:$A$20000,1,FALSE),""))</f>
        <v/>
      </c>
      <c r="AF423" s="2" t="str">
        <f>IF(D423="","",IFERROR(MATCH(D423,Projects!$A:$A,0),""))</f>
        <v/>
      </c>
    </row>
    <row r="424" spans="2:32" x14ac:dyDescent="0.25">
      <c r="B424" s="24"/>
      <c r="C424" s="136"/>
      <c r="D424" s="148"/>
      <c r="E424" s="136"/>
      <c r="F424" s="136"/>
      <c r="G424" s="136"/>
      <c r="H424" s="136"/>
      <c r="J424" s="136"/>
      <c r="K424" s="136"/>
      <c r="AE424" s="39" t="str">
        <f>IF(D424="","",IFERROR(VLOOKUP(D424,Projects!$A$2:$A$20000,1,FALSE),""))</f>
        <v/>
      </c>
      <c r="AF424" s="2" t="str">
        <f>IF(D424="","",IFERROR(MATCH(D424,Projects!$A:$A,0),""))</f>
        <v/>
      </c>
    </row>
    <row r="425" spans="2:32" x14ac:dyDescent="0.25">
      <c r="B425" s="24"/>
      <c r="C425" s="136"/>
      <c r="D425" s="148"/>
      <c r="E425" s="136"/>
      <c r="F425" s="136"/>
      <c r="G425" s="136"/>
      <c r="H425" s="136"/>
      <c r="J425" s="136"/>
      <c r="K425" s="136"/>
      <c r="AE425" s="39" t="str">
        <f>IF(D425="","",IFERROR(VLOOKUP(D425,Projects!$A$2:$A$20000,1,FALSE),""))</f>
        <v/>
      </c>
      <c r="AF425" s="2" t="str">
        <f>IF(D425="","",IFERROR(MATCH(D425,Projects!$A:$A,0),""))</f>
        <v/>
      </c>
    </row>
    <row r="426" spans="2:32" x14ac:dyDescent="0.25">
      <c r="B426" s="24"/>
      <c r="C426" s="136"/>
      <c r="D426" s="148"/>
      <c r="E426" s="136"/>
      <c r="F426" s="136"/>
      <c r="G426" s="136"/>
      <c r="H426" s="136"/>
      <c r="J426" s="136"/>
      <c r="K426" s="136"/>
      <c r="AE426" s="39" t="str">
        <f>IF(D426="","",IFERROR(VLOOKUP(D426,Projects!$A$2:$A$20000,1,FALSE),""))</f>
        <v/>
      </c>
      <c r="AF426" s="2" t="str">
        <f>IF(D426="","",IFERROR(MATCH(D426,Projects!$A:$A,0),""))</f>
        <v/>
      </c>
    </row>
    <row r="427" spans="2:32" x14ac:dyDescent="0.25">
      <c r="B427" s="24"/>
      <c r="C427" s="136"/>
      <c r="D427" s="148"/>
      <c r="E427" s="136"/>
      <c r="F427" s="136"/>
      <c r="G427" s="136"/>
      <c r="H427" s="136"/>
      <c r="J427" s="136"/>
      <c r="K427" s="136"/>
      <c r="AE427" s="39" t="str">
        <f>IF(D427="","",IFERROR(VLOOKUP(D427,Projects!$A$2:$A$20000,1,FALSE),""))</f>
        <v/>
      </c>
      <c r="AF427" s="2" t="str">
        <f>IF(D427="","",IFERROR(MATCH(D427,Projects!$A:$A,0),""))</f>
        <v/>
      </c>
    </row>
    <row r="428" spans="2:32" x14ac:dyDescent="0.25">
      <c r="B428" s="24"/>
      <c r="C428" s="136"/>
      <c r="D428" s="148"/>
      <c r="E428" s="136"/>
      <c r="F428" s="136"/>
      <c r="G428" s="136"/>
      <c r="H428" s="136"/>
      <c r="J428" s="136"/>
      <c r="K428" s="136"/>
      <c r="AE428" s="39" t="str">
        <f>IF(D428="","",IFERROR(VLOOKUP(D428,Projects!$A$2:$A$20000,1,FALSE),""))</f>
        <v/>
      </c>
      <c r="AF428" s="2" t="str">
        <f>IF(D428="","",IFERROR(MATCH(D428,Projects!$A:$A,0),""))</f>
        <v/>
      </c>
    </row>
    <row r="429" spans="2:32" x14ac:dyDescent="0.25">
      <c r="B429" s="24"/>
      <c r="C429" s="136"/>
      <c r="D429" s="148"/>
      <c r="E429" s="136"/>
      <c r="F429" s="136"/>
      <c r="G429" s="136"/>
      <c r="H429" s="136"/>
      <c r="J429" s="136"/>
      <c r="K429" s="136"/>
      <c r="AE429" s="39" t="str">
        <f>IF(D429="","",IFERROR(VLOOKUP(D429,Projects!$A$2:$A$20000,1,FALSE),""))</f>
        <v/>
      </c>
      <c r="AF429" s="2" t="str">
        <f>IF(D429="","",IFERROR(MATCH(D429,Projects!$A:$A,0),""))</f>
        <v/>
      </c>
    </row>
    <row r="430" spans="2:32" x14ac:dyDescent="0.25">
      <c r="B430" s="24"/>
      <c r="C430" s="136"/>
      <c r="D430" s="148"/>
      <c r="E430" s="136"/>
      <c r="F430" s="136"/>
      <c r="G430" s="136"/>
      <c r="H430" s="136"/>
      <c r="J430" s="136"/>
      <c r="K430" s="136"/>
      <c r="AE430" s="39" t="str">
        <f>IF(D430="","",IFERROR(VLOOKUP(D430,Projects!$A$2:$A$20000,1,FALSE),""))</f>
        <v/>
      </c>
      <c r="AF430" s="2" t="str">
        <f>IF(D430="","",IFERROR(MATCH(D430,Projects!$A:$A,0),""))</f>
        <v/>
      </c>
    </row>
    <row r="431" spans="2:32" x14ac:dyDescent="0.25">
      <c r="B431" s="24"/>
      <c r="C431" s="136"/>
      <c r="D431" s="148"/>
      <c r="E431" s="136"/>
      <c r="F431" s="136"/>
      <c r="G431" s="136"/>
      <c r="H431" s="136"/>
      <c r="J431" s="136"/>
      <c r="K431" s="136"/>
      <c r="AE431" s="39" t="str">
        <f>IF(D431="","",IFERROR(VLOOKUP(D431,Projects!$A$2:$A$20000,1,FALSE),""))</f>
        <v/>
      </c>
      <c r="AF431" s="2" t="str">
        <f>IF(D431="","",IFERROR(MATCH(D431,Projects!$A:$A,0),""))</f>
        <v/>
      </c>
    </row>
    <row r="432" spans="2:32" x14ac:dyDescent="0.25">
      <c r="B432" s="24"/>
      <c r="C432" s="136"/>
      <c r="D432" s="148"/>
      <c r="E432" s="136"/>
      <c r="F432" s="136"/>
      <c r="G432" s="136"/>
      <c r="H432" s="136"/>
      <c r="J432" s="136"/>
      <c r="K432" s="136"/>
      <c r="AE432" s="39" t="str">
        <f>IF(D432="","",IFERROR(VLOOKUP(D432,Projects!$A$2:$A$20000,1,FALSE),""))</f>
        <v/>
      </c>
      <c r="AF432" s="2" t="str">
        <f>IF(D432="","",IFERROR(MATCH(D432,Projects!$A:$A,0),""))</f>
        <v/>
      </c>
    </row>
    <row r="433" spans="2:32" x14ac:dyDescent="0.25">
      <c r="B433" s="24"/>
      <c r="C433" s="136"/>
      <c r="D433" s="148"/>
      <c r="E433" s="136"/>
      <c r="F433" s="136"/>
      <c r="G433" s="136"/>
      <c r="H433" s="136"/>
      <c r="J433" s="136"/>
      <c r="K433" s="136"/>
      <c r="AE433" s="39" t="str">
        <f>IF(D433="","",IFERROR(VLOOKUP(D433,Projects!$A$2:$A$20000,1,FALSE),""))</f>
        <v/>
      </c>
      <c r="AF433" s="2" t="str">
        <f>IF(D433="","",IFERROR(MATCH(D433,Projects!$A:$A,0),""))</f>
        <v/>
      </c>
    </row>
    <row r="434" spans="2:32" x14ac:dyDescent="0.25">
      <c r="B434" s="24"/>
      <c r="C434" s="136"/>
      <c r="D434" s="148"/>
      <c r="E434" s="136"/>
      <c r="F434" s="136"/>
      <c r="G434" s="136"/>
      <c r="H434" s="136"/>
      <c r="J434" s="136"/>
      <c r="K434" s="136"/>
      <c r="AE434" s="39" t="str">
        <f>IF(D434="","",IFERROR(VLOOKUP(D434,Projects!$A$2:$A$20000,1,FALSE),""))</f>
        <v/>
      </c>
      <c r="AF434" s="2" t="str">
        <f>IF(D434="","",IFERROR(MATCH(D434,Projects!$A:$A,0),""))</f>
        <v/>
      </c>
    </row>
    <row r="435" spans="2:32" x14ac:dyDescent="0.25">
      <c r="B435" s="24"/>
      <c r="C435" s="136"/>
      <c r="D435" s="148"/>
      <c r="E435" s="136"/>
      <c r="F435" s="136"/>
      <c r="G435" s="136"/>
      <c r="H435" s="136"/>
      <c r="J435" s="136"/>
      <c r="K435" s="136"/>
      <c r="AE435" s="39" t="str">
        <f>IF(D435="","",IFERROR(VLOOKUP(D435,Projects!$A$2:$A$20000,1,FALSE),""))</f>
        <v/>
      </c>
      <c r="AF435" s="2" t="str">
        <f>IF(D435="","",IFERROR(MATCH(D435,Projects!$A:$A,0),""))</f>
        <v/>
      </c>
    </row>
    <row r="436" spans="2:32" x14ac:dyDescent="0.25">
      <c r="B436" s="24"/>
      <c r="C436" s="136"/>
      <c r="D436" s="148"/>
      <c r="E436" s="136"/>
      <c r="F436" s="136"/>
      <c r="G436" s="136"/>
      <c r="H436" s="136"/>
      <c r="J436" s="136"/>
      <c r="K436" s="136"/>
      <c r="AE436" s="39" t="str">
        <f>IF(D436="","",IFERROR(VLOOKUP(D436,Projects!$A$2:$A$20000,1,FALSE),""))</f>
        <v/>
      </c>
      <c r="AF436" s="2" t="str">
        <f>IF(D436="","",IFERROR(MATCH(D436,Projects!$A:$A,0),""))</f>
        <v/>
      </c>
    </row>
    <row r="437" spans="2:32" x14ac:dyDescent="0.25">
      <c r="B437" s="24"/>
      <c r="C437" s="136"/>
      <c r="D437" s="148"/>
      <c r="E437" s="136"/>
      <c r="F437" s="136"/>
      <c r="G437" s="136"/>
      <c r="H437" s="136"/>
      <c r="J437" s="136"/>
      <c r="K437" s="136"/>
      <c r="AE437" s="39" t="str">
        <f>IF(D437="","",IFERROR(VLOOKUP(D437,Projects!$A$2:$A$20000,1,FALSE),""))</f>
        <v/>
      </c>
      <c r="AF437" s="2" t="str">
        <f>IF(D437="","",IFERROR(MATCH(D437,Projects!$A:$A,0),""))</f>
        <v/>
      </c>
    </row>
    <row r="438" spans="2:32" x14ac:dyDescent="0.25">
      <c r="B438" s="24"/>
      <c r="C438" s="136"/>
      <c r="D438" s="148"/>
      <c r="E438" s="136"/>
      <c r="F438" s="136"/>
      <c r="G438" s="136"/>
      <c r="H438" s="136"/>
      <c r="J438" s="136"/>
      <c r="K438" s="136"/>
      <c r="AE438" s="39" t="str">
        <f>IF(D438="","",IFERROR(VLOOKUP(D438,Projects!$A$2:$A$20000,1,FALSE),""))</f>
        <v/>
      </c>
      <c r="AF438" s="2" t="str">
        <f>IF(D438="","",IFERROR(MATCH(D438,Projects!$A:$A,0),""))</f>
        <v/>
      </c>
    </row>
    <row r="439" spans="2:32" x14ac:dyDescent="0.25">
      <c r="B439" s="24"/>
      <c r="C439" s="136"/>
      <c r="D439" s="148"/>
      <c r="E439" s="136"/>
      <c r="F439" s="136"/>
      <c r="G439" s="136"/>
      <c r="H439" s="136"/>
      <c r="J439" s="136"/>
      <c r="K439" s="136"/>
      <c r="AE439" s="39" t="str">
        <f>IF(D439="","",IFERROR(VLOOKUP(D439,Projects!$A$2:$A$20000,1,FALSE),""))</f>
        <v/>
      </c>
      <c r="AF439" s="2" t="str">
        <f>IF(D439="","",IFERROR(MATCH(D439,Projects!$A:$A,0),""))</f>
        <v/>
      </c>
    </row>
    <row r="440" spans="2:32" x14ac:dyDescent="0.25">
      <c r="B440" s="24"/>
      <c r="C440" s="136"/>
      <c r="D440" s="148"/>
      <c r="E440" s="136"/>
      <c r="F440" s="136"/>
      <c r="G440" s="136"/>
      <c r="H440" s="136"/>
      <c r="J440" s="136"/>
      <c r="K440" s="136"/>
      <c r="AE440" s="39" t="str">
        <f>IF(D440="","",IFERROR(VLOOKUP(D440,Projects!$A$2:$A$20000,1,FALSE),""))</f>
        <v/>
      </c>
      <c r="AF440" s="2" t="str">
        <f>IF(D440="","",IFERROR(MATCH(D440,Projects!$A:$A,0),""))</f>
        <v/>
      </c>
    </row>
    <row r="441" spans="2:32" x14ac:dyDescent="0.25">
      <c r="B441" s="24"/>
      <c r="C441" s="136"/>
      <c r="D441" s="148"/>
      <c r="E441" s="136"/>
      <c r="F441" s="136"/>
      <c r="G441" s="136"/>
      <c r="H441" s="136"/>
      <c r="J441" s="136"/>
      <c r="K441" s="136"/>
      <c r="AE441" s="39" t="str">
        <f>IF(D441="","",IFERROR(VLOOKUP(D441,Projects!$A$2:$A$20000,1,FALSE),""))</f>
        <v/>
      </c>
      <c r="AF441" s="2" t="str">
        <f>IF(D441="","",IFERROR(MATCH(D441,Projects!$A:$A,0),""))</f>
        <v/>
      </c>
    </row>
    <row r="442" spans="2:32" x14ac:dyDescent="0.25">
      <c r="B442" s="24"/>
      <c r="C442" s="136"/>
      <c r="D442" s="148"/>
      <c r="E442" s="136"/>
      <c r="F442" s="136"/>
      <c r="G442" s="136"/>
      <c r="H442" s="136"/>
      <c r="J442" s="136"/>
      <c r="K442" s="136"/>
      <c r="AE442" s="39" t="str">
        <f>IF(D442="","",IFERROR(VLOOKUP(D442,Projects!$A$2:$A$20000,1,FALSE),""))</f>
        <v/>
      </c>
      <c r="AF442" s="2" t="str">
        <f>IF(D442="","",IFERROR(MATCH(D442,Projects!$A:$A,0),""))</f>
        <v/>
      </c>
    </row>
    <row r="443" spans="2:32" x14ac:dyDescent="0.25">
      <c r="B443" s="24"/>
      <c r="C443" s="136"/>
      <c r="D443" s="148"/>
      <c r="E443" s="136"/>
      <c r="F443" s="136"/>
      <c r="G443" s="136"/>
      <c r="H443" s="136"/>
      <c r="J443" s="136"/>
      <c r="K443" s="136"/>
      <c r="AE443" s="39" t="str">
        <f>IF(D443="","",IFERROR(VLOOKUP(D443,Projects!$A$2:$A$20000,1,FALSE),""))</f>
        <v/>
      </c>
      <c r="AF443" s="2" t="str">
        <f>IF(D443="","",IFERROR(MATCH(D443,Projects!$A:$A,0),""))</f>
        <v/>
      </c>
    </row>
    <row r="444" spans="2:32" x14ac:dyDescent="0.25">
      <c r="B444" s="24"/>
      <c r="C444" s="136"/>
      <c r="D444" s="148"/>
      <c r="E444" s="136"/>
      <c r="F444" s="136"/>
      <c r="G444" s="136"/>
      <c r="H444" s="136"/>
      <c r="J444" s="136"/>
      <c r="K444" s="136"/>
      <c r="AE444" s="39" t="str">
        <f>IF(D444="","",IFERROR(VLOOKUP(D444,Projects!$A$2:$A$20000,1,FALSE),""))</f>
        <v/>
      </c>
      <c r="AF444" s="2" t="str">
        <f>IF(D444="","",IFERROR(MATCH(D444,Projects!$A:$A,0),""))</f>
        <v/>
      </c>
    </row>
    <row r="445" spans="2:32" x14ac:dyDescent="0.25">
      <c r="B445" s="24"/>
      <c r="C445" s="136"/>
      <c r="D445" s="148"/>
      <c r="E445" s="136"/>
      <c r="F445" s="136"/>
      <c r="G445" s="136"/>
      <c r="H445" s="136"/>
      <c r="J445" s="136"/>
      <c r="K445" s="136"/>
      <c r="AE445" s="39" t="str">
        <f>IF(D445="","",IFERROR(VLOOKUP(D445,Projects!$A$2:$A$20000,1,FALSE),""))</f>
        <v/>
      </c>
      <c r="AF445" s="2" t="str">
        <f>IF(D445="","",IFERROR(MATCH(D445,Projects!$A:$A,0),""))</f>
        <v/>
      </c>
    </row>
    <row r="446" spans="2:32" x14ac:dyDescent="0.25">
      <c r="B446" s="24"/>
      <c r="C446" s="136"/>
      <c r="D446" s="148"/>
      <c r="E446" s="136"/>
      <c r="F446" s="136"/>
      <c r="G446" s="136"/>
      <c r="H446" s="136"/>
      <c r="J446" s="136"/>
      <c r="K446" s="136"/>
      <c r="AE446" s="39" t="str">
        <f>IF(D446="","",IFERROR(VLOOKUP(D446,Projects!$A$2:$A$20000,1,FALSE),""))</f>
        <v/>
      </c>
      <c r="AF446" s="2" t="str">
        <f>IF(D446="","",IFERROR(MATCH(D446,Projects!$A:$A,0),""))</f>
        <v/>
      </c>
    </row>
    <row r="447" spans="2:32" x14ac:dyDescent="0.25">
      <c r="B447" s="24"/>
      <c r="C447" s="136"/>
      <c r="D447" s="148"/>
      <c r="E447" s="136"/>
      <c r="F447" s="136"/>
      <c r="G447" s="136"/>
      <c r="H447" s="136"/>
      <c r="J447" s="136"/>
      <c r="K447" s="136"/>
      <c r="AE447" s="39" t="str">
        <f>IF(D447="","",IFERROR(VLOOKUP(D447,Projects!$A$2:$A$20000,1,FALSE),""))</f>
        <v/>
      </c>
      <c r="AF447" s="2" t="str">
        <f>IF(D447="","",IFERROR(MATCH(D447,Projects!$A:$A,0),""))</f>
        <v/>
      </c>
    </row>
    <row r="448" spans="2:32" x14ac:dyDescent="0.25">
      <c r="B448" s="24"/>
      <c r="C448" s="136"/>
      <c r="D448" s="148"/>
      <c r="E448" s="136"/>
      <c r="F448" s="136"/>
      <c r="G448" s="136"/>
      <c r="H448" s="136"/>
      <c r="J448" s="136"/>
      <c r="K448" s="136"/>
      <c r="AE448" s="39" t="str">
        <f>IF(D448="","",IFERROR(VLOOKUP(D448,Projects!$A$2:$A$20000,1,FALSE),""))</f>
        <v/>
      </c>
      <c r="AF448" s="2" t="str">
        <f>IF(D448="","",IFERROR(MATCH(D448,Projects!$A:$A,0),""))</f>
        <v/>
      </c>
    </row>
    <row r="449" spans="2:32" x14ac:dyDescent="0.25">
      <c r="B449" s="24"/>
      <c r="C449" s="136"/>
      <c r="D449" s="148"/>
      <c r="E449" s="136"/>
      <c r="F449" s="136"/>
      <c r="G449" s="136"/>
      <c r="H449" s="136"/>
      <c r="J449" s="136"/>
      <c r="K449" s="136"/>
      <c r="AE449" s="39" t="str">
        <f>IF(D449="","",IFERROR(VLOOKUP(D449,Projects!$A$2:$A$20000,1,FALSE),""))</f>
        <v/>
      </c>
      <c r="AF449" s="2" t="str">
        <f>IF(D449="","",IFERROR(MATCH(D449,Projects!$A:$A,0),""))</f>
        <v/>
      </c>
    </row>
    <row r="450" spans="2:32" x14ac:dyDescent="0.25">
      <c r="B450" s="24"/>
      <c r="C450" s="136"/>
      <c r="D450" s="148"/>
      <c r="E450" s="136"/>
      <c r="F450" s="136"/>
      <c r="G450" s="136"/>
      <c r="H450" s="136"/>
      <c r="J450" s="136"/>
      <c r="K450" s="136"/>
      <c r="AE450" s="39" t="str">
        <f>IF(D450="","",IFERROR(VLOOKUP(D450,Projects!$A$2:$A$20000,1,FALSE),""))</f>
        <v/>
      </c>
      <c r="AF450" s="2" t="str">
        <f>IF(D450="","",IFERROR(MATCH(D450,Projects!$A:$A,0),""))</f>
        <v/>
      </c>
    </row>
    <row r="451" spans="2:32" x14ac:dyDescent="0.25">
      <c r="B451" s="24"/>
      <c r="C451" s="136"/>
      <c r="D451" s="148"/>
      <c r="E451" s="136"/>
      <c r="F451" s="136"/>
      <c r="G451" s="136"/>
      <c r="H451" s="136"/>
      <c r="J451" s="136"/>
      <c r="K451" s="136"/>
      <c r="AE451" s="39" t="str">
        <f>IF(D451="","",IFERROR(VLOOKUP(D451,Projects!$A$2:$A$20000,1,FALSE),""))</f>
        <v/>
      </c>
      <c r="AF451" s="2" t="str">
        <f>IF(D451="","",IFERROR(MATCH(D451,Projects!$A:$A,0),""))</f>
        <v/>
      </c>
    </row>
    <row r="452" spans="2:32" x14ac:dyDescent="0.25">
      <c r="B452" s="24"/>
      <c r="C452" s="136"/>
      <c r="D452" s="148"/>
      <c r="E452" s="136"/>
      <c r="F452" s="136"/>
      <c r="G452" s="136"/>
      <c r="H452" s="136"/>
      <c r="J452" s="136"/>
      <c r="K452" s="136"/>
      <c r="AE452" s="39" t="str">
        <f>IF(D452="","",IFERROR(VLOOKUP(D452,Projects!$A$2:$A$20000,1,FALSE),""))</f>
        <v/>
      </c>
      <c r="AF452" s="2" t="str">
        <f>IF(D452="","",IFERROR(MATCH(D452,Projects!$A:$A,0),""))</f>
        <v/>
      </c>
    </row>
    <row r="453" spans="2:32" x14ac:dyDescent="0.25">
      <c r="B453" s="24"/>
      <c r="C453" s="136"/>
      <c r="D453" s="148"/>
      <c r="E453" s="136"/>
      <c r="F453" s="136"/>
      <c r="G453" s="136"/>
      <c r="H453" s="136"/>
      <c r="J453" s="136"/>
      <c r="K453" s="136"/>
      <c r="AE453" s="39" t="str">
        <f>IF(D453="","",IFERROR(VLOOKUP(D453,Projects!$A$2:$A$20000,1,FALSE),""))</f>
        <v/>
      </c>
      <c r="AF453" s="2" t="str">
        <f>IF(D453="","",IFERROR(MATCH(D453,Projects!$A:$A,0),""))</f>
        <v/>
      </c>
    </row>
    <row r="454" spans="2:32" x14ac:dyDescent="0.25">
      <c r="B454" s="24"/>
      <c r="C454" s="136"/>
      <c r="D454" s="148"/>
      <c r="E454" s="136"/>
      <c r="F454" s="136"/>
      <c r="G454" s="136"/>
      <c r="H454" s="136"/>
      <c r="J454" s="136"/>
      <c r="K454" s="136"/>
      <c r="AE454" s="39" t="str">
        <f>IF(D454="","",IFERROR(VLOOKUP(D454,Projects!$A$2:$A$20000,1,FALSE),""))</f>
        <v/>
      </c>
      <c r="AF454" s="2" t="str">
        <f>IF(D454="","",IFERROR(MATCH(D454,Projects!$A:$A,0),""))</f>
        <v/>
      </c>
    </row>
    <row r="455" spans="2:32" x14ac:dyDescent="0.25">
      <c r="B455" s="24"/>
      <c r="C455" s="136"/>
      <c r="D455" s="148"/>
      <c r="E455" s="136"/>
      <c r="F455" s="136"/>
      <c r="G455" s="136"/>
      <c r="H455" s="136"/>
      <c r="J455" s="136"/>
      <c r="K455" s="136"/>
      <c r="AE455" s="39" t="str">
        <f>IF(D455="","",IFERROR(VLOOKUP(D455,Projects!$A$2:$A$20000,1,FALSE),""))</f>
        <v/>
      </c>
      <c r="AF455" s="2" t="str">
        <f>IF(D455="","",IFERROR(MATCH(D455,Projects!$A:$A,0),""))</f>
        <v/>
      </c>
    </row>
    <row r="456" spans="2:32" x14ac:dyDescent="0.25">
      <c r="B456" s="24"/>
      <c r="C456" s="136"/>
      <c r="D456" s="148"/>
      <c r="E456" s="136"/>
      <c r="F456" s="136"/>
      <c r="G456" s="136"/>
      <c r="H456" s="136"/>
      <c r="J456" s="136"/>
      <c r="K456" s="136"/>
      <c r="AE456" s="39" t="str">
        <f>IF(D456="","",IFERROR(VLOOKUP(D456,Projects!$A$2:$A$20000,1,FALSE),""))</f>
        <v/>
      </c>
      <c r="AF456" s="2" t="str">
        <f>IF(D456="","",IFERROR(MATCH(D456,Projects!$A:$A,0),""))</f>
        <v/>
      </c>
    </row>
    <row r="457" spans="2:32" x14ac:dyDescent="0.25">
      <c r="B457" s="24"/>
      <c r="C457" s="136"/>
      <c r="D457" s="148"/>
      <c r="E457" s="136"/>
      <c r="F457" s="136"/>
      <c r="G457" s="136"/>
      <c r="H457" s="136"/>
      <c r="J457" s="136"/>
      <c r="K457" s="136"/>
      <c r="AE457" s="39" t="str">
        <f>IF(D457="","",IFERROR(VLOOKUP(D457,Projects!$A$2:$A$20000,1,FALSE),""))</f>
        <v/>
      </c>
      <c r="AF457" s="2" t="str">
        <f>IF(D457="","",IFERROR(MATCH(D457,Projects!$A:$A,0),""))</f>
        <v/>
      </c>
    </row>
    <row r="458" spans="2:32" x14ac:dyDescent="0.25">
      <c r="B458" s="24"/>
      <c r="C458" s="136"/>
      <c r="D458" s="148"/>
      <c r="E458" s="136"/>
      <c r="F458" s="136"/>
      <c r="G458" s="136"/>
      <c r="H458" s="136"/>
      <c r="J458" s="136"/>
      <c r="K458" s="136"/>
      <c r="AE458" s="39" t="str">
        <f>IF(D458="","",IFERROR(VLOOKUP(D458,Projects!$A$2:$A$20000,1,FALSE),""))</f>
        <v/>
      </c>
      <c r="AF458" s="2" t="str">
        <f>IF(D458="","",IFERROR(MATCH(D458,Projects!$A:$A,0),""))</f>
        <v/>
      </c>
    </row>
    <row r="459" spans="2:32" x14ac:dyDescent="0.25">
      <c r="B459" s="24"/>
      <c r="C459" s="136"/>
      <c r="D459" s="148"/>
      <c r="E459" s="136"/>
      <c r="F459" s="136"/>
      <c r="G459" s="136"/>
      <c r="H459" s="136"/>
      <c r="J459" s="136"/>
      <c r="K459" s="136"/>
      <c r="AE459" s="39" t="str">
        <f>IF(D459="","",IFERROR(VLOOKUP(D459,Projects!$A$2:$A$20000,1,FALSE),""))</f>
        <v/>
      </c>
      <c r="AF459" s="2" t="str">
        <f>IF(D459="","",IFERROR(MATCH(D459,Projects!$A:$A,0),""))</f>
        <v/>
      </c>
    </row>
    <row r="460" spans="2:32" x14ac:dyDescent="0.25">
      <c r="B460" s="24"/>
      <c r="C460" s="136"/>
      <c r="D460" s="148"/>
      <c r="E460" s="136"/>
      <c r="F460" s="136"/>
      <c r="G460" s="136"/>
      <c r="H460" s="136"/>
      <c r="J460" s="136"/>
      <c r="K460" s="136"/>
      <c r="AE460" s="39" t="str">
        <f>IF(D460="","",IFERROR(VLOOKUP(D460,Projects!$A$2:$A$20000,1,FALSE),""))</f>
        <v/>
      </c>
      <c r="AF460" s="2" t="str">
        <f>IF(D460="","",IFERROR(MATCH(D460,Projects!$A:$A,0),""))</f>
        <v/>
      </c>
    </row>
    <row r="461" spans="2:32" x14ac:dyDescent="0.25">
      <c r="B461" s="24"/>
      <c r="C461" s="136"/>
      <c r="D461" s="148"/>
      <c r="E461" s="136"/>
      <c r="F461" s="136"/>
      <c r="G461" s="136"/>
      <c r="H461" s="136"/>
      <c r="J461" s="136"/>
      <c r="K461" s="136"/>
      <c r="AE461" s="39" t="str">
        <f>IF(D461="","",IFERROR(VLOOKUP(D461,Projects!$A$2:$A$20000,1,FALSE),""))</f>
        <v/>
      </c>
      <c r="AF461" s="2" t="str">
        <f>IF(D461="","",IFERROR(MATCH(D461,Projects!$A:$A,0),""))</f>
        <v/>
      </c>
    </row>
    <row r="462" spans="2:32" x14ac:dyDescent="0.25">
      <c r="B462" s="24"/>
      <c r="C462" s="136"/>
      <c r="D462" s="148"/>
      <c r="E462" s="136"/>
      <c r="F462" s="136"/>
      <c r="G462" s="136"/>
      <c r="H462" s="136"/>
      <c r="J462" s="136"/>
      <c r="K462" s="136"/>
      <c r="AE462" s="39" t="str">
        <f>IF(D462="","",IFERROR(VLOOKUP(D462,Projects!$A$2:$A$20000,1,FALSE),""))</f>
        <v/>
      </c>
      <c r="AF462" s="2" t="str">
        <f>IF(D462="","",IFERROR(MATCH(D462,Projects!$A:$A,0),""))</f>
        <v/>
      </c>
    </row>
    <row r="463" spans="2:32" x14ac:dyDescent="0.25">
      <c r="B463" s="24"/>
      <c r="C463" s="136"/>
      <c r="D463" s="148"/>
      <c r="E463" s="136"/>
      <c r="F463" s="136"/>
      <c r="G463" s="136"/>
      <c r="H463" s="136"/>
      <c r="J463" s="136"/>
      <c r="K463" s="136"/>
      <c r="AE463" s="39" t="str">
        <f>IF(D463="","",IFERROR(VLOOKUP(D463,Projects!$A$2:$A$20000,1,FALSE),""))</f>
        <v/>
      </c>
      <c r="AF463" s="2" t="str">
        <f>IF(D463="","",IFERROR(MATCH(D463,Projects!$A:$A,0),""))</f>
        <v/>
      </c>
    </row>
    <row r="464" spans="2:32" x14ac:dyDescent="0.25">
      <c r="B464" s="24"/>
      <c r="C464" s="136"/>
      <c r="D464" s="148"/>
      <c r="E464" s="136"/>
      <c r="F464" s="136"/>
      <c r="G464" s="136"/>
      <c r="H464" s="136"/>
      <c r="J464" s="136"/>
      <c r="K464" s="136"/>
      <c r="AE464" s="39" t="str">
        <f>IF(D464="","",IFERROR(VLOOKUP(D464,Projects!$A$2:$A$20000,1,FALSE),""))</f>
        <v/>
      </c>
      <c r="AF464" s="2" t="str">
        <f>IF(D464="","",IFERROR(MATCH(D464,Projects!$A:$A,0),""))</f>
        <v/>
      </c>
    </row>
    <row r="465" spans="2:32" x14ac:dyDescent="0.25">
      <c r="B465" s="24"/>
      <c r="C465" s="136"/>
      <c r="D465" s="148"/>
      <c r="E465" s="136"/>
      <c r="F465" s="136"/>
      <c r="G465" s="136"/>
      <c r="H465" s="136"/>
      <c r="J465" s="136"/>
      <c r="K465" s="136"/>
      <c r="AE465" s="39" t="str">
        <f>IF(D465="","",IFERROR(VLOOKUP(D465,Projects!$A$2:$A$20000,1,FALSE),""))</f>
        <v/>
      </c>
      <c r="AF465" s="2" t="str">
        <f>IF(D465="","",IFERROR(MATCH(D465,Projects!$A:$A,0),""))</f>
        <v/>
      </c>
    </row>
    <row r="466" spans="2:32" x14ac:dyDescent="0.25">
      <c r="B466" s="24"/>
      <c r="C466" s="136"/>
      <c r="D466" s="148"/>
      <c r="E466" s="136"/>
      <c r="F466" s="136"/>
      <c r="G466" s="136"/>
      <c r="H466" s="136"/>
      <c r="J466" s="136"/>
      <c r="K466" s="136"/>
      <c r="AE466" s="39" t="str">
        <f>IF(D466="","",IFERROR(VLOOKUP(D466,Projects!$A$2:$A$20000,1,FALSE),""))</f>
        <v/>
      </c>
      <c r="AF466" s="2" t="str">
        <f>IF(D466="","",IFERROR(MATCH(D466,Projects!$A:$A,0),""))</f>
        <v/>
      </c>
    </row>
    <row r="467" spans="2:32" x14ac:dyDescent="0.25">
      <c r="B467" s="24"/>
      <c r="C467" s="136"/>
      <c r="D467" s="148"/>
      <c r="E467" s="136"/>
      <c r="F467" s="136"/>
      <c r="G467" s="136"/>
      <c r="H467" s="136"/>
      <c r="J467" s="136"/>
      <c r="K467" s="136"/>
      <c r="AE467" s="39" t="str">
        <f>IF(D467="","",IFERROR(VLOOKUP(D467,Projects!$A$2:$A$20000,1,FALSE),""))</f>
        <v/>
      </c>
      <c r="AF467" s="2" t="str">
        <f>IF(D467="","",IFERROR(MATCH(D467,Projects!$A:$A,0),""))</f>
        <v/>
      </c>
    </row>
    <row r="468" spans="2:32" x14ac:dyDescent="0.25">
      <c r="B468" s="24"/>
      <c r="C468" s="136"/>
      <c r="D468" s="148"/>
      <c r="E468" s="136"/>
      <c r="F468" s="136"/>
      <c r="G468" s="136"/>
      <c r="H468" s="136"/>
      <c r="J468" s="136"/>
      <c r="K468" s="136"/>
      <c r="AE468" s="39" t="str">
        <f>IF(D468="","",IFERROR(VLOOKUP(D468,Projects!$A$2:$A$20000,1,FALSE),""))</f>
        <v/>
      </c>
      <c r="AF468" s="2" t="str">
        <f>IF(D468="","",IFERROR(MATCH(D468,Projects!$A:$A,0),""))</f>
        <v/>
      </c>
    </row>
    <row r="469" spans="2:32" x14ac:dyDescent="0.25">
      <c r="B469" s="24"/>
      <c r="C469" s="136"/>
      <c r="D469" s="148"/>
      <c r="E469" s="136"/>
      <c r="F469" s="136"/>
      <c r="G469" s="136"/>
      <c r="H469" s="136"/>
      <c r="J469" s="136"/>
      <c r="K469" s="136"/>
      <c r="AE469" s="39" t="str">
        <f>IF(D469="","",IFERROR(VLOOKUP(D469,Projects!$A$2:$A$20000,1,FALSE),""))</f>
        <v/>
      </c>
      <c r="AF469" s="2" t="str">
        <f>IF(D469="","",IFERROR(MATCH(D469,Projects!$A:$A,0),""))</f>
        <v/>
      </c>
    </row>
    <row r="470" spans="2:32" x14ac:dyDescent="0.25">
      <c r="B470" s="24"/>
      <c r="C470" s="136"/>
      <c r="D470" s="148"/>
      <c r="E470" s="136"/>
      <c r="F470" s="136"/>
      <c r="G470" s="136"/>
      <c r="H470" s="136"/>
      <c r="J470" s="136"/>
      <c r="K470" s="136"/>
      <c r="AE470" s="39" t="str">
        <f>IF(D470="","",IFERROR(VLOOKUP(D470,Projects!$A$2:$A$20000,1,FALSE),""))</f>
        <v/>
      </c>
      <c r="AF470" s="2" t="str">
        <f>IF(D470="","",IFERROR(MATCH(D470,Projects!$A:$A,0),""))</f>
        <v/>
      </c>
    </row>
    <row r="471" spans="2:32" x14ac:dyDescent="0.25">
      <c r="B471" s="24"/>
      <c r="C471" s="136"/>
      <c r="D471" s="148"/>
      <c r="E471" s="136"/>
      <c r="F471" s="136"/>
      <c r="G471" s="136"/>
      <c r="H471" s="136"/>
      <c r="J471" s="136"/>
      <c r="K471" s="136"/>
      <c r="AE471" s="39" t="str">
        <f>IF(D471="","",IFERROR(VLOOKUP(D471,Projects!$A$2:$A$20000,1,FALSE),""))</f>
        <v/>
      </c>
      <c r="AF471" s="2" t="str">
        <f>IF(D471="","",IFERROR(MATCH(D471,Projects!$A:$A,0),""))</f>
        <v/>
      </c>
    </row>
    <row r="472" spans="2:32" x14ac:dyDescent="0.25">
      <c r="B472" s="24"/>
      <c r="C472" s="136"/>
      <c r="D472" s="148"/>
      <c r="E472" s="136"/>
      <c r="F472" s="136"/>
      <c r="G472" s="136"/>
      <c r="H472" s="136"/>
      <c r="J472" s="136"/>
      <c r="K472" s="136"/>
      <c r="AE472" s="39" t="str">
        <f>IF(D472="","",IFERROR(VLOOKUP(D472,Projects!$A$2:$A$20000,1,FALSE),""))</f>
        <v/>
      </c>
      <c r="AF472" s="2" t="str">
        <f>IF(D472="","",IFERROR(MATCH(D472,Projects!$A:$A,0),""))</f>
        <v/>
      </c>
    </row>
    <row r="473" spans="2:32" x14ac:dyDescent="0.25">
      <c r="B473" s="24"/>
      <c r="C473" s="136"/>
      <c r="D473" s="148"/>
      <c r="E473" s="136"/>
      <c r="F473" s="136"/>
      <c r="G473" s="136"/>
      <c r="H473" s="136"/>
      <c r="J473" s="136"/>
      <c r="K473" s="136"/>
      <c r="AE473" s="39" t="str">
        <f>IF(D473="","",IFERROR(VLOOKUP(D473,Projects!$A$2:$A$20000,1,FALSE),""))</f>
        <v/>
      </c>
      <c r="AF473" s="2" t="str">
        <f>IF(D473="","",IFERROR(MATCH(D473,Projects!$A:$A,0),""))</f>
        <v/>
      </c>
    </row>
    <row r="474" spans="2:32" x14ac:dyDescent="0.25">
      <c r="B474" s="24"/>
      <c r="C474" s="136"/>
      <c r="D474" s="148"/>
      <c r="E474" s="136"/>
      <c r="F474" s="136"/>
      <c r="G474" s="136"/>
      <c r="H474" s="136"/>
      <c r="J474" s="136"/>
      <c r="K474" s="136"/>
      <c r="AE474" s="39" t="str">
        <f>IF(D474="","",IFERROR(VLOOKUP(D474,Projects!$A$2:$A$20000,1,FALSE),""))</f>
        <v/>
      </c>
      <c r="AF474" s="2" t="str">
        <f>IF(D474="","",IFERROR(MATCH(D474,Projects!$A:$A,0),""))</f>
        <v/>
      </c>
    </row>
    <row r="475" spans="2:32" x14ac:dyDescent="0.25">
      <c r="B475" s="24"/>
      <c r="C475" s="136"/>
      <c r="D475" s="148"/>
      <c r="E475" s="136"/>
      <c r="F475" s="136"/>
      <c r="G475" s="136"/>
      <c r="H475" s="136"/>
      <c r="J475" s="136"/>
      <c r="K475" s="136"/>
      <c r="AE475" s="39" t="str">
        <f>IF(D475="","",IFERROR(VLOOKUP(D475,Projects!$A$2:$A$20000,1,FALSE),""))</f>
        <v/>
      </c>
      <c r="AF475" s="2" t="str">
        <f>IF(D475="","",IFERROR(MATCH(D475,Projects!$A:$A,0),""))</f>
        <v/>
      </c>
    </row>
    <row r="476" spans="2:32" x14ac:dyDescent="0.25">
      <c r="B476" s="24"/>
      <c r="C476" s="136"/>
      <c r="D476" s="148"/>
      <c r="E476" s="136"/>
      <c r="F476" s="136"/>
      <c r="G476" s="136"/>
      <c r="H476" s="136"/>
      <c r="J476" s="136"/>
      <c r="K476" s="136"/>
      <c r="AE476" s="39" t="str">
        <f>IF(D476="","",IFERROR(VLOOKUP(D476,Projects!$A$2:$A$20000,1,FALSE),""))</f>
        <v/>
      </c>
      <c r="AF476" s="2" t="str">
        <f>IF(D476="","",IFERROR(MATCH(D476,Projects!$A:$A,0),""))</f>
        <v/>
      </c>
    </row>
    <row r="477" spans="2:32" x14ac:dyDescent="0.25">
      <c r="B477" s="24"/>
      <c r="C477" s="136"/>
      <c r="D477" s="148"/>
      <c r="E477" s="136"/>
      <c r="F477" s="136"/>
      <c r="G477" s="136"/>
      <c r="H477" s="136"/>
      <c r="J477" s="136"/>
      <c r="K477" s="136"/>
      <c r="AE477" s="39" t="str">
        <f>IF(D477="","",IFERROR(VLOOKUP(D477,Projects!$A$2:$A$20000,1,FALSE),""))</f>
        <v/>
      </c>
      <c r="AF477" s="2" t="str">
        <f>IF(D477="","",IFERROR(MATCH(D477,Projects!$A:$A,0),""))</f>
        <v/>
      </c>
    </row>
    <row r="478" spans="2:32" x14ac:dyDescent="0.25">
      <c r="B478" s="24"/>
      <c r="C478" s="136"/>
      <c r="D478" s="148"/>
      <c r="E478" s="136"/>
      <c r="F478" s="136"/>
      <c r="G478" s="136"/>
      <c r="H478" s="136"/>
      <c r="J478" s="136"/>
      <c r="K478" s="136"/>
      <c r="AE478" s="39" t="str">
        <f>IF(D478="","",IFERROR(VLOOKUP(D478,Projects!$A$2:$A$20000,1,FALSE),""))</f>
        <v/>
      </c>
      <c r="AF478" s="2" t="str">
        <f>IF(D478="","",IFERROR(MATCH(D478,Projects!$A:$A,0),""))</f>
        <v/>
      </c>
    </row>
    <row r="479" spans="2:32" x14ac:dyDescent="0.25">
      <c r="B479" s="24"/>
      <c r="C479" s="136"/>
      <c r="D479" s="148"/>
      <c r="E479" s="136"/>
      <c r="F479" s="136"/>
      <c r="G479" s="136"/>
      <c r="H479" s="136"/>
      <c r="J479" s="136"/>
      <c r="K479" s="136"/>
      <c r="AE479" s="39" t="str">
        <f>IF(D479="","",IFERROR(VLOOKUP(D479,Projects!$A$2:$A$20000,1,FALSE),""))</f>
        <v/>
      </c>
      <c r="AF479" s="2" t="str">
        <f>IF(D479="","",IFERROR(MATCH(D479,Projects!$A:$A,0),""))</f>
        <v/>
      </c>
    </row>
    <row r="480" spans="2:32" x14ac:dyDescent="0.25">
      <c r="B480" s="24"/>
      <c r="C480" s="136"/>
      <c r="D480" s="148"/>
      <c r="E480" s="136"/>
      <c r="F480" s="136"/>
      <c r="G480" s="136"/>
      <c r="H480" s="136"/>
      <c r="J480" s="136"/>
      <c r="K480" s="136"/>
      <c r="AE480" s="39" t="str">
        <f>IF(D480="","",IFERROR(VLOOKUP(D480,Projects!$A$2:$A$20000,1,FALSE),""))</f>
        <v/>
      </c>
      <c r="AF480" s="2" t="str">
        <f>IF(D480="","",IFERROR(MATCH(D480,Projects!$A:$A,0),""))</f>
        <v/>
      </c>
    </row>
    <row r="481" spans="2:32" x14ac:dyDescent="0.25">
      <c r="B481" s="24"/>
      <c r="C481" s="136"/>
      <c r="D481" s="148"/>
      <c r="E481" s="136"/>
      <c r="F481" s="136"/>
      <c r="G481" s="136"/>
      <c r="H481" s="136"/>
      <c r="J481" s="136"/>
      <c r="K481" s="136"/>
      <c r="AE481" s="39" t="str">
        <f>IF(D481="","",IFERROR(VLOOKUP(D481,Projects!$A$2:$A$20000,1,FALSE),""))</f>
        <v/>
      </c>
      <c r="AF481" s="2" t="str">
        <f>IF(D481="","",IFERROR(MATCH(D481,Projects!$A:$A,0),""))</f>
        <v/>
      </c>
    </row>
    <row r="482" spans="2:32" x14ac:dyDescent="0.25">
      <c r="B482" s="24"/>
      <c r="C482" s="136"/>
      <c r="D482" s="148"/>
      <c r="E482" s="136"/>
      <c r="F482" s="136"/>
      <c r="G482" s="136"/>
      <c r="H482" s="136"/>
      <c r="J482" s="136"/>
      <c r="K482" s="136"/>
      <c r="AE482" s="39" t="str">
        <f>IF(D482="","",IFERROR(VLOOKUP(D482,Projects!$A$2:$A$20000,1,FALSE),""))</f>
        <v/>
      </c>
      <c r="AF482" s="2" t="str">
        <f>IF(D482="","",IFERROR(MATCH(D482,Projects!$A:$A,0),""))</f>
        <v/>
      </c>
    </row>
    <row r="483" spans="2:32" x14ac:dyDescent="0.25">
      <c r="B483" s="24"/>
      <c r="C483" s="136"/>
      <c r="D483" s="148"/>
      <c r="E483" s="136"/>
      <c r="F483" s="136"/>
      <c r="G483" s="136"/>
      <c r="H483" s="136"/>
      <c r="J483" s="136"/>
      <c r="K483" s="136"/>
      <c r="AE483" s="39" t="str">
        <f>IF(D483="","",IFERROR(VLOOKUP(D483,Projects!$A$2:$A$20000,1,FALSE),""))</f>
        <v/>
      </c>
      <c r="AF483" s="2" t="str">
        <f>IF(D483="","",IFERROR(MATCH(D483,Projects!$A:$A,0),""))</f>
        <v/>
      </c>
    </row>
    <row r="484" spans="2:32" x14ac:dyDescent="0.25">
      <c r="B484" s="24"/>
      <c r="C484" s="136"/>
      <c r="D484" s="148"/>
      <c r="E484" s="136"/>
      <c r="F484" s="136"/>
      <c r="G484" s="136"/>
      <c r="H484" s="136"/>
      <c r="J484" s="136"/>
      <c r="K484" s="136"/>
      <c r="AE484" s="39" t="str">
        <f>IF(D484="","",IFERROR(VLOOKUP(D484,Projects!$A$2:$A$20000,1,FALSE),""))</f>
        <v/>
      </c>
      <c r="AF484" s="2" t="str">
        <f>IF(D484="","",IFERROR(MATCH(D484,Projects!$A:$A,0),""))</f>
        <v/>
      </c>
    </row>
    <row r="485" spans="2:32" x14ac:dyDescent="0.25">
      <c r="B485" s="24"/>
      <c r="C485" s="136"/>
      <c r="D485" s="148"/>
      <c r="E485" s="136"/>
      <c r="F485" s="136"/>
      <c r="G485" s="136"/>
      <c r="H485" s="136"/>
      <c r="J485" s="136"/>
      <c r="K485" s="136"/>
      <c r="AE485" s="39" t="str">
        <f>IF(D485="","",IFERROR(VLOOKUP(D485,Projects!$A$2:$A$20000,1,FALSE),""))</f>
        <v/>
      </c>
      <c r="AF485" s="2" t="str">
        <f>IF(D485="","",IFERROR(MATCH(D485,Projects!$A:$A,0),""))</f>
        <v/>
      </c>
    </row>
    <row r="486" spans="2:32" x14ac:dyDescent="0.25">
      <c r="B486" s="24"/>
      <c r="C486" s="136"/>
      <c r="D486" s="148"/>
      <c r="E486" s="136"/>
      <c r="F486" s="136"/>
      <c r="G486" s="136"/>
      <c r="H486" s="136"/>
      <c r="J486" s="136"/>
      <c r="K486" s="136"/>
      <c r="AE486" s="39" t="str">
        <f>IF(D486="","",IFERROR(VLOOKUP(D486,Projects!$A$2:$A$20000,1,FALSE),""))</f>
        <v/>
      </c>
      <c r="AF486" s="2" t="str">
        <f>IF(D486="","",IFERROR(MATCH(D486,Projects!$A:$A,0),""))</f>
        <v/>
      </c>
    </row>
    <row r="487" spans="2:32" x14ac:dyDescent="0.25">
      <c r="B487" s="24"/>
      <c r="C487" s="136"/>
      <c r="D487" s="148"/>
      <c r="E487" s="136"/>
      <c r="F487" s="136"/>
      <c r="G487" s="136"/>
      <c r="H487" s="136"/>
      <c r="J487" s="136"/>
      <c r="K487" s="136"/>
      <c r="AE487" s="39" t="str">
        <f>IF(D487="","",IFERROR(VLOOKUP(D487,Projects!$A$2:$A$20000,1,FALSE),""))</f>
        <v/>
      </c>
      <c r="AF487" s="2" t="str">
        <f>IF(D487="","",IFERROR(MATCH(D487,Projects!$A:$A,0),""))</f>
        <v/>
      </c>
    </row>
    <row r="488" spans="2:32" x14ac:dyDescent="0.25">
      <c r="B488" s="24"/>
      <c r="C488" s="136"/>
      <c r="D488" s="148"/>
      <c r="E488" s="136"/>
      <c r="F488" s="136"/>
      <c r="G488" s="136"/>
      <c r="H488" s="136"/>
      <c r="J488" s="136"/>
      <c r="K488" s="136"/>
      <c r="AE488" s="39" t="str">
        <f>IF(D488="","",IFERROR(VLOOKUP(D488,Projects!$A$2:$A$20000,1,FALSE),""))</f>
        <v/>
      </c>
      <c r="AF488" s="2" t="str">
        <f>IF(D488="","",IFERROR(MATCH(D488,Projects!$A:$A,0),""))</f>
        <v/>
      </c>
    </row>
    <row r="489" spans="2:32" x14ac:dyDescent="0.25">
      <c r="B489" s="24"/>
      <c r="C489" s="136"/>
      <c r="D489" s="148"/>
      <c r="E489" s="136"/>
      <c r="F489" s="136"/>
      <c r="G489" s="136"/>
      <c r="H489" s="136"/>
      <c r="J489" s="136"/>
      <c r="K489" s="136"/>
      <c r="AE489" s="39" t="str">
        <f>IF(D489="","",IFERROR(VLOOKUP(D489,Projects!$A$2:$A$20000,1,FALSE),""))</f>
        <v/>
      </c>
      <c r="AF489" s="2" t="str">
        <f>IF(D489="","",IFERROR(MATCH(D489,Projects!$A:$A,0),""))</f>
        <v/>
      </c>
    </row>
    <row r="490" spans="2:32" x14ac:dyDescent="0.25">
      <c r="B490" s="24"/>
      <c r="C490" s="136"/>
      <c r="D490" s="148"/>
      <c r="E490" s="136"/>
      <c r="F490" s="136"/>
      <c r="G490" s="136"/>
      <c r="H490" s="136"/>
      <c r="J490" s="136"/>
      <c r="K490" s="136"/>
      <c r="AE490" s="39" t="str">
        <f>IF(D490="","",IFERROR(VLOOKUP(D490,Projects!$A$2:$A$20000,1,FALSE),""))</f>
        <v/>
      </c>
      <c r="AF490" s="2" t="str">
        <f>IF(D490="","",IFERROR(MATCH(D490,Projects!$A:$A,0),""))</f>
        <v/>
      </c>
    </row>
    <row r="491" spans="2:32" x14ac:dyDescent="0.25">
      <c r="B491" s="24"/>
      <c r="C491" s="136"/>
      <c r="D491" s="148"/>
      <c r="E491" s="136"/>
      <c r="F491" s="136"/>
      <c r="G491" s="136"/>
      <c r="H491" s="136"/>
      <c r="J491" s="136"/>
      <c r="K491" s="136"/>
      <c r="AE491" s="39" t="str">
        <f>IF(D491="","",IFERROR(VLOOKUP(D491,Projects!$A$2:$A$20000,1,FALSE),""))</f>
        <v/>
      </c>
      <c r="AF491" s="2" t="str">
        <f>IF(D491="","",IFERROR(MATCH(D491,Projects!$A:$A,0),""))</f>
        <v/>
      </c>
    </row>
    <row r="492" spans="2:32" x14ac:dyDescent="0.25">
      <c r="B492" s="24"/>
      <c r="C492" s="136"/>
      <c r="D492" s="148"/>
      <c r="E492" s="136"/>
      <c r="F492" s="136"/>
      <c r="G492" s="136"/>
      <c r="H492" s="136"/>
      <c r="J492" s="136"/>
      <c r="K492" s="136"/>
      <c r="AE492" s="39" t="str">
        <f>IF(D492="","",IFERROR(VLOOKUP(D492,Projects!$A$2:$A$20000,1,FALSE),""))</f>
        <v/>
      </c>
      <c r="AF492" s="2" t="str">
        <f>IF(D492="","",IFERROR(MATCH(D492,Projects!$A:$A,0),""))</f>
        <v/>
      </c>
    </row>
    <row r="493" spans="2:32" x14ac:dyDescent="0.25">
      <c r="B493" s="24"/>
      <c r="C493" s="136"/>
      <c r="D493" s="148"/>
      <c r="E493" s="136"/>
      <c r="F493" s="136"/>
      <c r="G493" s="136"/>
      <c r="H493" s="136"/>
      <c r="J493" s="136"/>
      <c r="K493" s="136"/>
      <c r="AE493" s="39" t="str">
        <f>IF(D493="","",IFERROR(VLOOKUP(D493,Projects!$A$2:$A$20000,1,FALSE),""))</f>
        <v/>
      </c>
      <c r="AF493" s="2" t="str">
        <f>IF(D493="","",IFERROR(MATCH(D493,Projects!$A:$A,0),""))</f>
        <v/>
      </c>
    </row>
    <row r="494" spans="2:32" x14ac:dyDescent="0.25">
      <c r="B494" s="24"/>
      <c r="C494" s="136"/>
      <c r="D494" s="148"/>
      <c r="E494" s="136"/>
      <c r="F494" s="136"/>
      <c r="G494" s="136"/>
      <c r="H494" s="136"/>
      <c r="J494" s="136"/>
      <c r="K494" s="136"/>
      <c r="AE494" s="39" t="str">
        <f>IF(D494="","",IFERROR(VLOOKUP(D494,Projects!$A$2:$A$20000,1,FALSE),""))</f>
        <v/>
      </c>
      <c r="AF494" s="2" t="str">
        <f>IF(D494="","",IFERROR(MATCH(D494,Projects!$A:$A,0),""))</f>
        <v/>
      </c>
    </row>
    <row r="495" spans="2:32" x14ac:dyDescent="0.25">
      <c r="B495" s="24"/>
      <c r="C495" s="136"/>
      <c r="D495" s="148"/>
      <c r="E495" s="136"/>
      <c r="F495" s="136"/>
      <c r="G495" s="136"/>
      <c r="H495" s="136"/>
      <c r="J495" s="136"/>
      <c r="K495" s="136"/>
      <c r="AE495" s="39" t="str">
        <f>IF(D495="","",IFERROR(VLOOKUP(D495,Projects!$A$2:$A$20000,1,FALSE),""))</f>
        <v/>
      </c>
      <c r="AF495" s="2" t="str">
        <f>IF(D495="","",IFERROR(MATCH(D495,Projects!$A:$A,0),""))</f>
        <v/>
      </c>
    </row>
    <row r="496" spans="2:32" x14ac:dyDescent="0.25">
      <c r="B496" s="24"/>
      <c r="C496" s="136"/>
      <c r="D496" s="148"/>
      <c r="E496" s="136"/>
      <c r="F496" s="136"/>
      <c r="G496" s="136"/>
      <c r="H496" s="136"/>
      <c r="J496" s="136"/>
      <c r="K496" s="136"/>
      <c r="AE496" s="39" t="str">
        <f>IF(D496="","",IFERROR(VLOOKUP(D496,Projects!$A$2:$A$20000,1,FALSE),""))</f>
        <v/>
      </c>
      <c r="AF496" s="2" t="str">
        <f>IF(D496="","",IFERROR(MATCH(D496,Projects!$A:$A,0),""))</f>
        <v/>
      </c>
    </row>
    <row r="497" spans="2:32" x14ac:dyDescent="0.25">
      <c r="B497" s="24"/>
      <c r="C497" s="136"/>
      <c r="D497" s="148"/>
      <c r="E497" s="136"/>
      <c r="F497" s="136"/>
      <c r="G497" s="136"/>
      <c r="H497" s="136"/>
      <c r="J497" s="136"/>
      <c r="K497" s="136"/>
      <c r="AE497" s="39" t="str">
        <f>IF(D497="","",IFERROR(VLOOKUP(D497,Projects!$A$2:$A$20000,1,FALSE),""))</f>
        <v/>
      </c>
      <c r="AF497" s="2" t="str">
        <f>IF(D497="","",IFERROR(MATCH(D497,Projects!$A:$A,0),""))</f>
        <v/>
      </c>
    </row>
    <row r="498" spans="2:32" x14ac:dyDescent="0.25">
      <c r="B498" s="24"/>
      <c r="C498" s="136"/>
      <c r="D498" s="148"/>
      <c r="E498" s="136"/>
      <c r="F498" s="136"/>
      <c r="G498" s="136"/>
      <c r="H498" s="136"/>
      <c r="J498" s="136"/>
      <c r="K498" s="136"/>
      <c r="AE498" s="39" t="str">
        <f>IF(D498="","",IFERROR(VLOOKUP(D498,Projects!$A$2:$A$20000,1,FALSE),""))</f>
        <v/>
      </c>
      <c r="AF498" s="2" t="str">
        <f>IF(D498="","",IFERROR(MATCH(D498,Projects!$A:$A,0),""))</f>
        <v/>
      </c>
    </row>
    <row r="499" spans="2:32" x14ac:dyDescent="0.25">
      <c r="B499" s="24"/>
      <c r="C499" s="136"/>
      <c r="D499" s="148"/>
      <c r="E499" s="136"/>
      <c r="F499" s="136"/>
      <c r="G499" s="136"/>
      <c r="H499" s="136"/>
      <c r="J499" s="136"/>
      <c r="K499" s="136"/>
      <c r="AE499" s="39" t="str">
        <f>IF(D499="","",IFERROR(VLOOKUP(D499,Projects!$A$2:$A$20000,1,FALSE),""))</f>
        <v/>
      </c>
      <c r="AF499" s="2" t="str">
        <f>IF(D499="","",IFERROR(MATCH(D499,Projects!$A:$A,0),""))</f>
        <v/>
      </c>
    </row>
    <row r="500" spans="2:32" x14ac:dyDescent="0.25">
      <c r="B500" s="24"/>
      <c r="C500" s="136"/>
      <c r="D500" s="148"/>
      <c r="E500" s="136"/>
      <c r="F500" s="136"/>
      <c r="G500" s="136"/>
      <c r="H500" s="136"/>
      <c r="J500" s="136"/>
      <c r="K500" s="136"/>
      <c r="AE500" s="39" t="str">
        <f>IF(D500="","",IFERROR(VLOOKUP(D500,Projects!$A$2:$A$20000,1,FALSE),""))</f>
        <v/>
      </c>
      <c r="AF500" s="2" t="str">
        <f>IF(D500="","",IFERROR(MATCH(D500,Projects!$A:$A,0),""))</f>
        <v/>
      </c>
    </row>
    <row r="501" spans="2:32" x14ac:dyDescent="0.25">
      <c r="B501" s="24"/>
      <c r="C501" s="136"/>
      <c r="D501" s="148"/>
      <c r="E501" s="136"/>
      <c r="F501" s="136"/>
      <c r="G501" s="136"/>
      <c r="H501" s="136"/>
      <c r="J501" s="136"/>
      <c r="K501" s="136"/>
      <c r="AE501" s="39" t="str">
        <f>IF(D501="","",IFERROR(VLOOKUP(D501,Projects!$A$2:$A$20000,1,FALSE),""))</f>
        <v/>
      </c>
      <c r="AF501" s="2" t="str">
        <f>IF(D501="","",IFERROR(MATCH(D501,Projects!$A:$A,0),""))</f>
        <v/>
      </c>
    </row>
    <row r="502" spans="2:32" x14ac:dyDescent="0.25">
      <c r="B502" s="24"/>
      <c r="C502" s="136"/>
      <c r="D502" s="148"/>
      <c r="E502" s="136"/>
      <c r="F502" s="136"/>
      <c r="G502" s="136"/>
      <c r="H502" s="136"/>
      <c r="J502" s="136"/>
      <c r="K502" s="136"/>
      <c r="AE502" s="39" t="str">
        <f>IF(D502="","",IFERROR(VLOOKUP(D502,Projects!$A$2:$A$20000,1,FALSE),""))</f>
        <v/>
      </c>
      <c r="AF502" s="2" t="str">
        <f>IF(D502="","",IFERROR(MATCH(D502,Projects!$A:$A,0),""))</f>
        <v/>
      </c>
    </row>
    <row r="503" spans="2:32" x14ac:dyDescent="0.25">
      <c r="B503" s="24"/>
      <c r="C503" s="136"/>
      <c r="D503" s="148"/>
      <c r="E503" s="136"/>
      <c r="F503" s="136"/>
      <c r="G503" s="136"/>
      <c r="H503" s="136"/>
      <c r="J503" s="136"/>
      <c r="K503" s="136"/>
      <c r="AE503" s="39" t="str">
        <f>IF(D503="","",IFERROR(VLOOKUP(D503,Projects!$A$2:$A$20000,1,FALSE),""))</f>
        <v/>
      </c>
      <c r="AF503" s="2" t="str">
        <f>IF(D503="","",IFERROR(MATCH(D503,Projects!$A:$A,0),""))</f>
        <v/>
      </c>
    </row>
    <row r="504" spans="2:32" x14ac:dyDescent="0.25">
      <c r="B504" s="24"/>
      <c r="C504" s="136"/>
      <c r="D504" s="148"/>
      <c r="E504" s="136"/>
      <c r="F504" s="136"/>
      <c r="G504" s="136"/>
      <c r="H504" s="136"/>
      <c r="J504" s="136"/>
      <c r="K504" s="136"/>
      <c r="AE504" s="39" t="str">
        <f>IF(D504="","",IFERROR(VLOOKUP(D504,Projects!$A$2:$A$20000,1,FALSE),""))</f>
        <v/>
      </c>
      <c r="AF504" s="2" t="str">
        <f>IF(D504="","",IFERROR(MATCH(D504,Projects!$A:$A,0),""))</f>
        <v/>
      </c>
    </row>
    <row r="505" spans="2:32" x14ac:dyDescent="0.25">
      <c r="B505" s="24"/>
      <c r="C505" s="136"/>
      <c r="D505" s="148"/>
      <c r="E505" s="136"/>
      <c r="F505" s="136"/>
      <c r="G505" s="136"/>
      <c r="H505" s="136"/>
      <c r="J505" s="136"/>
      <c r="K505" s="136"/>
      <c r="AE505" s="39" t="str">
        <f>IF(D505="","",IFERROR(VLOOKUP(D505,Projects!$A$2:$A$20000,1,FALSE),""))</f>
        <v/>
      </c>
      <c r="AF505" s="2" t="str">
        <f>IF(D505="","",IFERROR(MATCH(D505,Projects!$A:$A,0),""))</f>
        <v/>
      </c>
    </row>
    <row r="506" spans="2:32" x14ac:dyDescent="0.25">
      <c r="B506" s="24"/>
      <c r="C506" s="136"/>
      <c r="D506" s="148"/>
      <c r="E506" s="136"/>
      <c r="F506" s="136"/>
      <c r="G506" s="136"/>
      <c r="H506" s="136"/>
      <c r="J506" s="136"/>
      <c r="K506" s="136"/>
      <c r="AE506" s="39" t="str">
        <f>IF(D506="","",IFERROR(VLOOKUP(D506,Projects!$A$2:$A$20000,1,FALSE),""))</f>
        <v/>
      </c>
      <c r="AF506" s="2" t="str">
        <f>IF(D506="","",IFERROR(MATCH(D506,Projects!$A:$A,0),""))</f>
        <v/>
      </c>
    </row>
    <row r="507" spans="2:32" x14ac:dyDescent="0.25">
      <c r="B507" s="24"/>
      <c r="C507" s="136"/>
      <c r="D507" s="148"/>
      <c r="E507" s="136"/>
      <c r="F507" s="136"/>
      <c r="G507" s="136"/>
      <c r="H507" s="136"/>
      <c r="J507" s="136"/>
      <c r="K507" s="136"/>
      <c r="AE507" s="39" t="str">
        <f>IF(D507="","",IFERROR(VLOOKUP(D507,Projects!$A$2:$A$20000,1,FALSE),""))</f>
        <v/>
      </c>
      <c r="AF507" s="2" t="str">
        <f>IF(D507="","",IFERROR(MATCH(D507,Projects!$A:$A,0),""))</f>
        <v/>
      </c>
    </row>
    <row r="508" spans="2:32" x14ac:dyDescent="0.25">
      <c r="B508" s="24"/>
      <c r="C508" s="136"/>
      <c r="D508" s="148"/>
      <c r="E508" s="136"/>
      <c r="F508" s="136"/>
      <c r="G508" s="136"/>
      <c r="H508" s="136"/>
      <c r="J508" s="136"/>
      <c r="K508" s="136"/>
      <c r="AE508" s="39" t="str">
        <f>IF(D508="","",IFERROR(VLOOKUP(D508,Projects!$A$2:$A$20000,1,FALSE),""))</f>
        <v/>
      </c>
      <c r="AF508" s="2" t="str">
        <f>IF(D508="","",IFERROR(MATCH(D508,Projects!$A:$A,0),""))</f>
        <v/>
      </c>
    </row>
    <row r="509" spans="2:32" x14ac:dyDescent="0.25">
      <c r="B509" s="24"/>
      <c r="C509" s="136"/>
      <c r="D509" s="148"/>
      <c r="E509" s="136"/>
      <c r="F509" s="136"/>
      <c r="G509" s="136"/>
      <c r="H509" s="136"/>
      <c r="J509" s="136"/>
      <c r="K509" s="136"/>
      <c r="AE509" s="39" t="str">
        <f>IF(D509="","",IFERROR(VLOOKUP(D509,Projects!$A$2:$A$20000,1,FALSE),""))</f>
        <v/>
      </c>
      <c r="AF509" s="2" t="str">
        <f>IF(D509="","",IFERROR(MATCH(D509,Projects!$A:$A,0),""))</f>
        <v/>
      </c>
    </row>
    <row r="510" spans="2:32" x14ac:dyDescent="0.25">
      <c r="B510" s="24"/>
      <c r="C510" s="136"/>
      <c r="D510" s="148"/>
      <c r="E510" s="136"/>
      <c r="F510" s="136"/>
      <c r="G510" s="136"/>
      <c r="H510" s="136"/>
      <c r="J510" s="136"/>
      <c r="K510" s="136"/>
      <c r="AE510" s="39" t="str">
        <f>IF(D510="","",IFERROR(VLOOKUP(D510,Projects!$A$2:$A$20000,1,FALSE),""))</f>
        <v/>
      </c>
      <c r="AF510" s="2" t="str">
        <f>IF(D510="","",IFERROR(MATCH(D510,Projects!$A:$A,0),""))</f>
        <v/>
      </c>
    </row>
    <row r="511" spans="2:32" x14ac:dyDescent="0.25">
      <c r="B511" s="24"/>
      <c r="C511" s="136"/>
      <c r="D511" s="148"/>
      <c r="E511" s="136"/>
      <c r="F511" s="136"/>
      <c r="G511" s="136"/>
      <c r="H511" s="136"/>
      <c r="J511" s="136"/>
      <c r="K511" s="136"/>
      <c r="AE511" s="39" t="str">
        <f>IF(D511="","",IFERROR(VLOOKUP(D511,Projects!$A$2:$A$20000,1,FALSE),""))</f>
        <v/>
      </c>
      <c r="AF511" s="2" t="str">
        <f>IF(D511="","",IFERROR(MATCH(D511,Projects!$A:$A,0),""))</f>
        <v/>
      </c>
    </row>
    <row r="512" spans="2:32" x14ac:dyDescent="0.25">
      <c r="B512" s="24"/>
      <c r="C512" s="136"/>
      <c r="D512" s="148"/>
      <c r="E512" s="136"/>
      <c r="F512" s="136"/>
      <c r="G512" s="136"/>
      <c r="H512" s="136"/>
      <c r="J512" s="136"/>
      <c r="K512" s="136"/>
      <c r="AE512" s="39" t="str">
        <f>IF(D512="","",IFERROR(VLOOKUP(D512,Projects!$A$2:$A$20000,1,FALSE),""))</f>
        <v/>
      </c>
      <c r="AF512" s="2" t="str">
        <f>IF(D512="","",IFERROR(MATCH(D512,Projects!$A:$A,0),""))</f>
        <v/>
      </c>
    </row>
    <row r="513" spans="2:32" x14ac:dyDescent="0.25">
      <c r="B513" s="24"/>
      <c r="C513" s="136"/>
      <c r="D513" s="148"/>
      <c r="E513" s="136"/>
      <c r="F513" s="136"/>
      <c r="G513" s="136"/>
      <c r="H513" s="136"/>
      <c r="J513" s="136"/>
      <c r="K513" s="136"/>
      <c r="AE513" s="39" t="str">
        <f>IF(D513="","",IFERROR(VLOOKUP(D513,Projects!$A$2:$A$20000,1,FALSE),""))</f>
        <v/>
      </c>
      <c r="AF513" s="2" t="str">
        <f>IF(D513="","",IFERROR(MATCH(D513,Projects!$A:$A,0),""))</f>
        <v/>
      </c>
    </row>
    <row r="514" spans="2:32" x14ac:dyDescent="0.25">
      <c r="B514" s="24"/>
      <c r="C514" s="136"/>
      <c r="D514" s="148"/>
      <c r="E514" s="136"/>
      <c r="F514" s="136"/>
      <c r="G514" s="136"/>
      <c r="H514" s="136"/>
      <c r="J514" s="136"/>
      <c r="K514" s="136"/>
      <c r="AE514" s="39" t="str">
        <f>IF(D514="","",IFERROR(VLOOKUP(D514,Projects!$A$2:$A$20000,1,FALSE),""))</f>
        <v/>
      </c>
      <c r="AF514" s="2" t="str">
        <f>IF(D514="","",IFERROR(MATCH(D514,Projects!$A:$A,0),""))</f>
        <v/>
      </c>
    </row>
    <row r="515" spans="2:32" x14ac:dyDescent="0.25">
      <c r="B515" s="24"/>
      <c r="C515" s="136"/>
      <c r="D515" s="148"/>
      <c r="E515" s="136"/>
      <c r="F515" s="136"/>
      <c r="G515" s="136"/>
      <c r="H515" s="136"/>
      <c r="J515" s="136"/>
      <c r="K515" s="136"/>
      <c r="AE515" s="39" t="str">
        <f>IF(D515="","",IFERROR(VLOOKUP(D515,Projects!$A$2:$A$20000,1,FALSE),""))</f>
        <v/>
      </c>
      <c r="AF515" s="2" t="str">
        <f>IF(D515="","",IFERROR(MATCH(D515,Projects!$A:$A,0),""))</f>
        <v/>
      </c>
    </row>
    <row r="516" spans="2:32" x14ac:dyDescent="0.25">
      <c r="B516" s="24"/>
      <c r="C516" s="136"/>
      <c r="D516" s="148"/>
      <c r="E516" s="136"/>
      <c r="F516" s="136"/>
      <c r="G516" s="136"/>
      <c r="H516" s="136"/>
      <c r="J516" s="136"/>
      <c r="K516" s="136"/>
      <c r="AE516" s="39" t="str">
        <f>IF(D516="","",IFERROR(VLOOKUP(D516,Projects!$A$2:$A$20000,1,FALSE),""))</f>
        <v/>
      </c>
      <c r="AF516" s="2" t="str">
        <f>IF(D516="","",IFERROR(MATCH(D516,Projects!$A:$A,0),""))</f>
        <v/>
      </c>
    </row>
    <row r="517" spans="2:32" x14ac:dyDescent="0.25">
      <c r="B517" s="24"/>
      <c r="C517" s="136"/>
      <c r="D517" s="148"/>
      <c r="E517" s="136"/>
      <c r="F517" s="136"/>
      <c r="G517" s="136"/>
      <c r="H517" s="136"/>
      <c r="J517" s="136"/>
      <c r="K517" s="136"/>
      <c r="AE517" s="39" t="str">
        <f>IF(D517="","",IFERROR(VLOOKUP(D517,Projects!$A$2:$A$20000,1,FALSE),""))</f>
        <v/>
      </c>
      <c r="AF517" s="2" t="str">
        <f>IF(D517="","",IFERROR(MATCH(D517,Projects!$A:$A,0),""))</f>
        <v/>
      </c>
    </row>
    <row r="518" spans="2:32" x14ac:dyDescent="0.25">
      <c r="B518" s="24"/>
      <c r="C518" s="136"/>
      <c r="D518" s="148"/>
      <c r="E518" s="136"/>
      <c r="F518" s="136"/>
      <c r="G518" s="136"/>
      <c r="H518" s="136"/>
      <c r="J518" s="136"/>
      <c r="K518" s="136"/>
      <c r="AE518" s="39" t="str">
        <f>IF(D518="","",IFERROR(VLOOKUP(D518,Projects!$A$2:$A$20000,1,FALSE),""))</f>
        <v/>
      </c>
      <c r="AF518" s="2" t="str">
        <f>IF(D518="","",IFERROR(MATCH(D518,Projects!$A:$A,0),""))</f>
        <v/>
      </c>
    </row>
    <row r="519" spans="2:32" x14ac:dyDescent="0.25">
      <c r="B519" s="24"/>
      <c r="C519" s="136"/>
      <c r="D519" s="148"/>
      <c r="E519" s="136"/>
      <c r="F519" s="136"/>
      <c r="G519" s="136"/>
      <c r="H519" s="136"/>
      <c r="J519" s="136"/>
      <c r="K519" s="136"/>
      <c r="AE519" s="39" t="str">
        <f>IF(D519="","",IFERROR(VLOOKUP(D519,Projects!$A$2:$A$20000,1,FALSE),""))</f>
        <v/>
      </c>
      <c r="AF519" s="2" t="str">
        <f>IF(D519="","",IFERROR(MATCH(D519,Projects!$A:$A,0),""))</f>
        <v/>
      </c>
    </row>
    <row r="520" spans="2:32" x14ac:dyDescent="0.25">
      <c r="B520" s="24"/>
      <c r="C520" s="136"/>
      <c r="D520" s="148"/>
      <c r="E520" s="136"/>
      <c r="F520" s="136"/>
      <c r="G520" s="136"/>
      <c r="H520" s="136"/>
      <c r="J520" s="136"/>
      <c r="K520" s="136"/>
      <c r="AE520" s="39" t="str">
        <f>IF(D520="","",IFERROR(VLOOKUP(D520,Projects!$A$2:$A$20000,1,FALSE),""))</f>
        <v/>
      </c>
      <c r="AF520" s="2" t="str">
        <f>IF(D520="","",IFERROR(MATCH(D520,Projects!$A:$A,0),""))</f>
        <v/>
      </c>
    </row>
    <row r="521" spans="2:32" x14ac:dyDescent="0.25">
      <c r="B521" s="24"/>
      <c r="C521" s="136"/>
      <c r="D521" s="148"/>
      <c r="E521" s="136"/>
      <c r="F521" s="136"/>
      <c r="G521" s="136"/>
      <c r="H521" s="136"/>
      <c r="J521" s="136"/>
      <c r="K521" s="136"/>
      <c r="AE521" s="39" t="str">
        <f>IF(D521="","",IFERROR(VLOOKUP(D521,Projects!$A$2:$A$20000,1,FALSE),""))</f>
        <v/>
      </c>
      <c r="AF521" s="2" t="str">
        <f>IF(D521="","",IFERROR(MATCH(D521,Projects!$A:$A,0),""))</f>
        <v/>
      </c>
    </row>
    <row r="522" spans="2:32" x14ac:dyDescent="0.25">
      <c r="B522" s="24"/>
      <c r="C522" s="136"/>
      <c r="D522" s="148"/>
      <c r="E522" s="136"/>
      <c r="F522" s="136"/>
      <c r="G522" s="136"/>
      <c r="H522" s="136"/>
      <c r="J522" s="136"/>
      <c r="K522" s="136"/>
      <c r="AE522" s="39" t="str">
        <f>IF(D522="","",IFERROR(VLOOKUP(D522,Projects!$A$2:$A$20000,1,FALSE),""))</f>
        <v/>
      </c>
      <c r="AF522" s="2" t="str">
        <f>IF(D522="","",IFERROR(MATCH(D522,Projects!$A:$A,0),""))</f>
        <v/>
      </c>
    </row>
    <row r="523" spans="2:32" x14ac:dyDescent="0.25">
      <c r="B523" s="24"/>
      <c r="C523" s="136"/>
      <c r="D523" s="148"/>
      <c r="E523" s="136"/>
      <c r="F523" s="136"/>
      <c r="G523" s="136"/>
      <c r="H523" s="136"/>
      <c r="J523" s="136"/>
      <c r="K523" s="136"/>
      <c r="AE523" s="39" t="str">
        <f>IF(D523="","",IFERROR(VLOOKUP(D523,Projects!$A$2:$A$20000,1,FALSE),""))</f>
        <v/>
      </c>
      <c r="AF523" s="2" t="str">
        <f>IF(D523="","",IFERROR(MATCH(D523,Projects!$A:$A,0),""))</f>
        <v/>
      </c>
    </row>
    <row r="524" spans="2:32" x14ac:dyDescent="0.25">
      <c r="B524" s="24"/>
      <c r="C524" s="136"/>
      <c r="D524" s="148"/>
      <c r="E524" s="136"/>
      <c r="F524" s="136"/>
      <c r="G524" s="136"/>
      <c r="H524" s="136"/>
      <c r="J524" s="136"/>
      <c r="K524" s="136"/>
      <c r="AE524" s="39" t="str">
        <f>IF(D524="","",IFERROR(VLOOKUP(D524,Projects!$A$2:$A$20000,1,FALSE),""))</f>
        <v/>
      </c>
      <c r="AF524" s="2" t="str">
        <f>IF(D524="","",IFERROR(MATCH(D524,Projects!$A:$A,0),""))</f>
        <v/>
      </c>
    </row>
    <row r="525" spans="2:32" x14ac:dyDescent="0.25">
      <c r="B525" s="24"/>
      <c r="C525" s="136"/>
      <c r="D525" s="148"/>
      <c r="E525" s="136"/>
      <c r="F525" s="136"/>
      <c r="G525" s="136"/>
      <c r="H525" s="136"/>
      <c r="J525" s="136"/>
      <c r="K525" s="136"/>
      <c r="AE525" s="39" t="str">
        <f>IF(D525="","",IFERROR(VLOOKUP(D525,Projects!$A$2:$A$20000,1,FALSE),""))</f>
        <v/>
      </c>
      <c r="AF525" s="2" t="str">
        <f>IF(D525="","",IFERROR(MATCH(D525,Projects!$A:$A,0),""))</f>
        <v/>
      </c>
    </row>
    <row r="526" spans="2:32" x14ac:dyDescent="0.25">
      <c r="B526" s="24"/>
      <c r="C526" s="136"/>
      <c r="D526" s="148"/>
      <c r="E526" s="136"/>
      <c r="F526" s="136"/>
      <c r="G526" s="136"/>
      <c r="H526" s="136"/>
      <c r="J526" s="136"/>
      <c r="K526" s="136"/>
      <c r="AE526" s="39" t="str">
        <f>IF(D526="","",IFERROR(VLOOKUP(D526,Projects!$A$2:$A$20000,1,FALSE),""))</f>
        <v/>
      </c>
      <c r="AF526" s="2" t="str">
        <f>IF(D526="","",IFERROR(MATCH(D526,Projects!$A:$A,0),""))</f>
        <v/>
      </c>
    </row>
    <row r="527" spans="2:32" x14ac:dyDescent="0.25">
      <c r="B527" s="24"/>
      <c r="C527" s="136"/>
      <c r="D527" s="148"/>
      <c r="E527" s="136"/>
      <c r="F527" s="136"/>
      <c r="G527" s="136"/>
      <c r="H527" s="136"/>
      <c r="J527" s="136"/>
      <c r="K527" s="136"/>
      <c r="AE527" s="39" t="str">
        <f>IF(D527="","",IFERROR(VLOOKUP(D527,Projects!$A$2:$A$20000,1,FALSE),""))</f>
        <v/>
      </c>
      <c r="AF527" s="2" t="str">
        <f>IF(D527="","",IFERROR(MATCH(D527,Projects!$A:$A,0),""))</f>
        <v/>
      </c>
    </row>
    <row r="528" spans="2:32" x14ac:dyDescent="0.25">
      <c r="B528" s="24"/>
      <c r="C528" s="136"/>
      <c r="D528" s="148"/>
      <c r="E528" s="136"/>
      <c r="F528" s="136"/>
      <c r="G528" s="136"/>
      <c r="H528" s="136"/>
      <c r="J528" s="136"/>
      <c r="K528" s="136"/>
      <c r="AE528" s="39" t="str">
        <f>IF(D528="","",IFERROR(VLOOKUP(D528,Projects!$A$2:$A$20000,1,FALSE),""))</f>
        <v/>
      </c>
      <c r="AF528" s="2" t="str">
        <f>IF(D528="","",IFERROR(MATCH(D528,Projects!$A:$A,0),""))</f>
        <v/>
      </c>
    </row>
    <row r="529" spans="2:32" x14ac:dyDescent="0.25">
      <c r="B529" s="24"/>
      <c r="C529" s="136"/>
      <c r="D529" s="148"/>
      <c r="E529" s="136"/>
      <c r="F529" s="136"/>
      <c r="G529" s="136"/>
      <c r="H529" s="136"/>
      <c r="J529" s="136"/>
      <c r="K529" s="136"/>
      <c r="AE529" s="39" t="str">
        <f>IF(D529="","",IFERROR(VLOOKUP(D529,Projects!$A$2:$A$20000,1,FALSE),""))</f>
        <v/>
      </c>
      <c r="AF529" s="2" t="str">
        <f>IF(D529="","",IFERROR(MATCH(D529,Projects!$A:$A,0),""))</f>
        <v/>
      </c>
    </row>
    <row r="530" spans="2:32" x14ac:dyDescent="0.25">
      <c r="B530" s="24"/>
      <c r="C530" s="136"/>
      <c r="D530" s="148"/>
      <c r="E530" s="136"/>
      <c r="F530" s="136"/>
      <c r="G530" s="136"/>
      <c r="H530" s="136"/>
      <c r="J530" s="136"/>
      <c r="K530" s="136"/>
      <c r="AE530" s="39" t="str">
        <f>IF(D530="","",IFERROR(VLOOKUP(D530,Projects!$A$2:$A$20000,1,FALSE),""))</f>
        <v/>
      </c>
      <c r="AF530" s="2" t="str">
        <f>IF(D530="","",IFERROR(MATCH(D530,Projects!$A:$A,0),""))</f>
        <v/>
      </c>
    </row>
    <row r="531" spans="2:32" x14ac:dyDescent="0.25">
      <c r="B531" s="24"/>
      <c r="C531" s="136"/>
      <c r="D531" s="148"/>
      <c r="E531" s="136"/>
      <c r="F531" s="136"/>
      <c r="G531" s="136"/>
      <c r="H531" s="136"/>
      <c r="J531" s="136"/>
      <c r="K531" s="136"/>
      <c r="AE531" s="39" t="str">
        <f>IF(D531="","",IFERROR(VLOOKUP(D531,Projects!$A$2:$A$20000,1,FALSE),""))</f>
        <v/>
      </c>
      <c r="AF531" s="2" t="str">
        <f>IF(D531="","",IFERROR(MATCH(D531,Projects!$A:$A,0),""))</f>
        <v/>
      </c>
    </row>
    <row r="532" spans="2:32" x14ac:dyDescent="0.25">
      <c r="B532" s="24"/>
      <c r="C532" s="136"/>
      <c r="D532" s="148"/>
      <c r="E532" s="136"/>
      <c r="F532" s="136"/>
      <c r="G532" s="136"/>
      <c r="H532" s="136"/>
      <c r="J532" s="136"/>
      <c r="K532" s="136"/>
      <c r="AE532" s="39" t="str">
        <f>IF(D532="","",IFERROR(VLOOKUP(D532,Projects!$A$2:$A$20000,1,FALSE),""))</f>
        <v/>
      </c>
      <c r="AF532" s="2" t="str">
        <f>IF(D532="","",IFERROR(MATCH(D532,Projects!$A:$A,0),""))</f>
        <v/>
      </c>
    </row>
    <row r="533" spans="2:32" x14ac:dyDescent="0.25">
      <c r="B533" s="24"/>
      <c r="C533" s="136"/>
      <c r="D533" s="148"/>
      <c r="E533" s="136"/>
      <c r="F533" s="136"/>
      <c r="G533" s="136"/>
      <c r="H533" s="136"/>
      <c r="J533" s="136"/>
      <c r="K533" s="136"/>
      <c r="AE533" s="39" t="str">
        <f>IF(D533="","",IFERROR(VLOOKUP(D533,Projects!$A$2:$A$20000,1,FALSE),""))</f>
        <v/>
      </c>
      <c r="AF533" s="2" t="str">
        <f>IF(D533="","",IFERROR(MATCH(D533,Projects!$A:$A,0),""))</f>
        <v/>
      </c>
    </row>
    <row r="534" spans="2:32" x14ac:dyDescent="0.25">
      <c r="B534" s="24"/>
      <c r="C534" s="136"/>
      <c r="D534" s="148"/>
      <c r="E534" s="136"/>
      <c r="F534" s="136"/>
      <c r="G534" s="136"/>
      <c r="H534" s="136"/>
      <c r="J534" s="136"/>
      <c r="K534" s="136"/>
      <c r="AE534" s="39" t="str">
        <f>IF(D534="","",IFERROR(VLOOKUP(D534,Projects!$A$2:$A$20000,1,FALSE),""))</f>
        <v/>
      </c>
      <c r="AF534" s="2" t="str">
        <f>IF(D534="","",IFERROR(MATCH(D534,Projects!$A:$A,0),""))</f>
        <v/>
      </c>
    </row>
    <row r="535" spans="2:32" x14ac:dyDescent="0.25">
      <c r="B535" s="24"/>
      <c r="C535" s="136"/>
      <c r="D535" s="148"/>
      <c r="E535" s="136"/>
      <c r="F535" s="136"/>
      <c r="G535" s="136"/>
      <c r="H535" s="136"/>
      <c r="J535" s="136"/>
      <c r="K535" s="136"/>
      <c r="AE535" s="39" t="str">
        <f>IF(D535="","",IFERROR(VLOOKUP(D535,Projects!$A$2:$A$20000,1,FALSE),""))</f>
        <v/>
      </c>
      <c r="AF535" s="2" t="str">
        <f>IF(D535="","",IFERROR(MATCH(D535,Projects!$A:$A,0),""))</f>
        <v/>
      </c>
    </row>
    <row r="536" spans="2:32" x14ac:dyDescent="0.25">
      <c r="B536" s="24"/>
      <c r="C536" s="136"/>
      <c r="D536" s="148"/>
      <c r="E536" s="136"/>
      <c r="F536" s="136"/>
      <c r="G536" s="136"/>
      <c r="H536" s="136"/>
      <c r="J536" s="136"/>
      <c r="K536" s="136"/>
      <c r="AE536" s="39" t="str">
        <f>IF(D536="","",IFERROR(VLOOKUP(D536,Projects!$A$2:$A$20000,1,FALSE),""))</f>
        <v/>
      </c>
      <c r="AF536" s="2" t="str">
        <f>IF(D536="","",IFERROR(MATCH(D536,Projects!$A:$A,0),""))</f>
        <v/>
      </c>
    </row>
    <row r="537" spans="2:32" x14ac:dyDescent="0.25">
      <c r="B537" s="24"/>
      <c r="C537" s="136"/>
      <c r="D537" s="148"/>
      <c r="E537" s="136"/>
      <c r="F537" s="136"/>
      <c r="G537" s="136"/>
      <c r="H537" s="136"/>
      <c r="J537" s="136"/>
      <c r="K537" s="136"/>
      <c r="AE537" s="39" t="str">
        <f>IF(D537="","",IFERROR(VLOOKUP(D537,Projects!$A$2:$A$20000,1,FALSE),""))</f>
        <v/>
      </c>
      <c r="AF537" s="2" t="str">
        <f>IF(D537="","",IFERROR(MATCH(D537,Projects!$A:$A,0),""))</f>
        <v/>
      </c>
    </row>
    <row r="538" spans="2:32" x14ac:dyDescent="0.25">
      <c r="B538" s="24"/>
      <c r="C538" s="136"/>
      <c r="D538" s="148"/>
      <c r="E538" s="136"/>
      <c r="F538" s="136"/>
      <c r="G538" s="136"/>
      <c r="H538" s="136"/>
      <c r="J538" s="136"/>
      <c r="K538" s="136"/>
      <c r="AE538" s="39" t="str">
        <f>IF(D538="","",IFERROR(VLOOKUP(D538,Projects!$A$2:$A$20000,1,FALSE),""))</f>
        <v/>
      </c>
      <c r="AF538" s="2" t="str">
        <f>IF(D538="","",IFERROR(MATCH(D538,Projects!$A:$A,0),""))</f>
        <v/>
      </c>
    </row>
    <row r="539" spans="2:32" x14ac:dyDescent="0.25">
      <c r="B539" s="24"/>
      <c r="C539" s="136"/>
      <c r="D539" s="148"/>
      <c r="E539" s="136"/>
      <c r="F539" s="136"/>
      <c r="G539" s="136"/>
      <c r="H539" s="136"/>
      <c r="J539" s="136"/>
      <c r="K539" s="136"/>
      <c r="AE539" s="39" t="str">
        <f>IF(D539="","",IFERROR(VLOOKUP(D539,Projects!$A$2:$A$20000,1,FALSE),""))</f>
        <v/>
      </c>
      <c r="AF539" s="2" t="str">
        <f>IF(D539="","",IFERROR(MATCH(D539,Projects!$A:$A,0),""))</f>
        <v/>
      </c>
    </row>
    <row r="540" spans="2:32" x14ac:dyDescent="0.25">
      <c r="B540" s="24"/>
      <c r="C540" s="136"/>
      <c r="D540" s="148"/>
      <c r="E540" s="136"/>
      <c r="F540" s="136"/>
      <c r="G540" s="136"/>
      <c r="H540" s="136"/>
      <c r="J540" s="136"/>
      <c r="K540" s="136"/>
      <c r="AE540" s="39" t="str">
        <f>IF(D540="","",IFERROR(VLOOKUP(D540,Projects!$A$2:$A$20000,1,FALSE),""))</f>
        <v/>
      </c>
      <c r="AF540" s="2" t="str">
        <f>IF(D540="","",IFERROR(MATCH(D540,Projects!$A:$A,0),""))</f>
        <v/>
      </c>
    </row>
    <row r="541" spans="2:32" x14ac:dyDescent="0.25">
      <c r="B541" s="24"/>
      <c r="C541" s="136"/>
      <c r="D541" s="148"/>
      <c r="E541" s="136"/>
      <c r="F541" s="136"/>
      <c r="G541" s="136"/>
      <c r="H541" s="136"/>
      <c r="J541" s="136"/>
      <c r="K541" s="136"/>
      <c r="AE541" s="39" t="str">
        <f>IF(D541="","",IFERROR(VLOOKUP(D541,Projects!$A$2:$A$20000,1,FALSE),""))</f>
        <v/>
      </c>
      <c r="AF541" s="2" t="str">
        <f>IF(D541="","",IFERROR(MATCH(D541,Projects!$A:$A,0),""))</f>
        <v/>
      </c>
    </row>
    <row r="542" spans="2:32" x14ac:dyDescent="0.25">
      <c r="B542" s="24"/>
      <c r="C542" s="136"/>
      <c r="D542" s="148"/>
      <c r="E542" s="136"/>
      <c r="F542" s="136"/>
      <c r="G542" s="136"/>
      <c r="H542" s="136"/>
      <c r="J542" s="136"/>
      <c r="K542" s="136"/>
      <c r="AE542" s="39" t="str">
        <f>IF(D542="","",IFERROR(VLOOKUP(D542,Projects!$A$2:$A$20000,1,FALSE),""))</f>
        <v/>
      </c>
      <c r="AF542" s="2" t="str">
        <f>IF(D542="","",IFERROR(MATCH(D542,Projects!$A:$A,0),""))</f>
        <v/>
      </c>
    </row>
    <row r="543" spans="2:32" x14ac:dyDescent="0.25">
      <c r="B543" s="24"/>
      <c r="C543" s="136"/>
      <c r="D543" s="148"/>
      <c r="E543" s="136"/>
      <c r="F543" s="136"/>
      <c r="G543" s="136"/>
      <c r="H543" s="136"/>
      <c r="J543" s="136"/>
      <c r="K543" s="136"/>
      <c r="AE543" s="39" t="str">
        <f>IF(D543="","",IFERROR(VLOOKUP(D543,Projects!$A$2:$A$20000,1,FALSE),""))</f>
        <v/>
      </c>
      <c r="AF543" s="2" t="str">
        <f>IF(D543="","",IFERROR(MATCH(D543,Projects!$A:$A,0),""))</f>
        <v/>
      </c>
    </row>
    <row r="544" spans="2:32" x14ac:dyDescent="0.25">
      <c r="B544" s="24"/>
      <c r="C544" s="136"/>
      <c r="D544" s="148"/>
      <c r="E544" s="136"/>
      <c r="F544" s="136"/>
      <c r="G544" s="136"/>
      <c r="H544" s="136"/>
      <c r="J544" s="136"/>
      <c r="K544" s="136"/>
      <c r="AE544" s="39" t="str">
        <f>IF(D544="","",IFERROR(VLOOKUP(D544,Projects!$A$2:$A$20000,1,FALSE),""))</f>
        <v/>
      </c>
      <c r="AF544" s="2" t="str">
        <f>IF(D544="","",IFERROR(MATCH(D544,Projects!$A:$A,0),""))</f>
        <v/>
      </c>
    </row>
    <row r="545" spans="2:32" x14ac:dyDescent="0.25">
      <c r="B545" s="24"/>
      <c r="C545" s="136"/>
      <c r="D545" s="148"/>
      <c r="E545" s="136"/>
      <c r="F545" s="136"/>
      <c r="G545" s="136"/>
      <c r="H545" s="136"/>
      <c r="J545" s="136"/>
      <c r="K545" s="136"/>
      <c r="AE545" s="39" t="str">
        <f>IF(D545="","",IFERROR(VLOOKUP(D545,Projects!$A$2:$A$20000,1,FALSE),""))</f>
        <v/>
      </c>
      <c r="AF545" s="2" t="str">
        <f>IF(D545="","",IFERROR(MATCH(D545,Projects!$A:$A,0),""))</f>
        <v/>
      </c>
    </row>
    <row r="546" spans="2:32" x14ac:dyDescent="0.25">
      <c r="B546" s="24"/>
      <c r="C546" s="136"/>
      <c r="D546" s="148"/>
      <c r="E546" s="136"/>
      <c r="F546" s="136"/>
      <c r="G546" s="136"/>
      <c r="H546" s="136"/>
      <c r="J546" s="136"/>
      <c r="K546" s="136"/>
      <c r="AE546" s="39" t="str">
        <f>IF(D546="","",IFERROR(VLOOKUP(D546,Projects!$A$2:$A$20000,1,FALSE),""))</f>
        <v/>
      </c>
      <c r="AF546" s="2" t="str">
        <f>IF(D546="","",IFERROR(MATCH(D546,Projects!$A:$A,0),""))</f>
        <v/>
      </c>
    </row>
    <row r="547" spans="2:32" x14ac:dyDescent="0.25">
      <c r="B547" s="24"/>
      <c r="C547" s="136"/>
      <c r="D547" s="148"/>
      <c r="E547" s="136"/>
      <c r="F547" s="136"/>
      <c r="G547" s="136"/>
      <c r="H547" s="136"/>
      <c r="J547" s="136"/>
      <c r="K547" s="136"/>
      <c r="AE547" s="39" t="str">
        <f>IF(D547="","",IFERROR(VLOOKUP(D547,Projects!$A$2:$A$20000,1,FALSE),""))</f>
        <v/>
      </c>
      <c r="AF547" s="2" t="str">
        <f>IF(D547="","",IFERROR(MATCH(D547,Projects!$A:$A,0),""))</f>
        <v/>
      </c>
    </row>
    <row r="548" spans="2:32" x14ac:dyDescent="0.25">
      <c r="B548" s="24"/>
      <c r="C548" s="136"/>
      <c r="D548" s="148"/>
      <c r="E548" s="136"/>
      <c r="F548" s="136"/>
      <c r="G548" s="136"/>
      <c r="H548" s="136"/>
      <c r="J548" s="136"/>
      <c r="K548" s="136"/>
      <c r="AE548" s="39" t="str">
        <f>IF(D548="","",IFERROR(VLOOKUP(D548,Projects!$A$2:$A$20000,1,FALSE),""))</f>
        <v/>
      </c>
      <c r="AF548" s="2" t="str">
        <f>IF(D548="","",IFERROR(MATCH(D548,Projects!$A:$A,0),""))</f>
        <v/>
      </c>
    </row>
    <row r="549" spans="2:32" x14ac:dyDescent="0.25">
      <c r="B549" s="24"/>
      <c r="C549" s="136"/>
      <c r="D549" s="148"/>
      <c r="E549" s="136"/>
      <c r="F549" s="136"/>
      <c r="G549" s="136"/>
      <c r="H549" s="136"/>
      <c r="J549" s="136"/>
      <c r="K549" s="136"/>
      <c r="AE549" s="39" t="str">
        <f>IF(D549="","",IFERROR(VLOOKUP(D549,Projects!$A$2:$A$20000,1,FALSE),""))</f>
        <v/>
      </c>
      <c r="AF549" s="2" t="str">
        <f>IF(D549="","",IFERROR(MATCH(D549,Projects!$A:$A,0),""))</f>
        <v/>
      </c>
    </row>
    <row r="550" spans="2:32" x14ac:dyDescent="0.25">
      <c r="B550" s="24"/>
      <c r="C550" s="136"/>
      <c r="D550" s="148"/>
      <c r="E550" s="136"/>
      <c r="F550" s="136"/>
      <c r="G550" s="136"/>
      <c r="H550" s="136"/>
      <c r="J550" s="136"/>
      <c r="K550" s="136"/>
      <c r="AE550" s="39" t="str">
        <f>IF(D550="","",IFERROR(VLOOKUP(D550,Projects!$A$2:$A$20000,1,FALSE),""))</f>
        <v/>
      </c>
      <c r="AF550" s="2" t="str">
        <f>IF(D550="","",IFERROR(MATCH(D550,Projects!$A:$A,0),""))</f>
        <v/>
      </c>
    </row>
    <row r="551" spans="2:32" x14ac:dyDescent="0.25">
      <c r="B551" s="24"/>
      <c r="C551" s="136"/>
      <c r="D551" s="148"/>
      <c r="E551" s="136"/>
      <c r="F551" s="136"/>
      <c r="G551" s="136"/>
      <c r="H551" s="136"/>
      <c r="J551" s="136"/>
      <c r="K551" s="136"/>
      <c r="AE551" s="39" t="str">
        <f>IF(D551="","",IFERROR(VLOOKUP(D551,Projects!$A$2:$A$20000,1,FALSE),""))</f>
        <v/>
      </c>
      <c r="AF551" s="2" t="str">
        <f>IF(D551="","",IFERROR(MATCH(D551,Projects!$A:$A,0),""))</f>
        <v/>
      </c>
    </row>
    <row r="552" spans="2:32" x14ac:dyDescent="0.25">
      <c r="B552" s="24"/>
      <c r="C552" s="136"/>
      <c r="D552" s="148"/>
      <c r="E552" s="136"/>
      <c r="F552" s="136"/>
      <c r="G552" s="136"/>
      <c r="H552" s="136"/>
      <c r="J552" s="136"/>
      <c r="K552" s="136"/>
      <c r="AE552" s="39" t="str">
        <f>IF(D552="","",IFERROR(VLOOKUP(D552,Projects!$A$2:$A$20000,1,FALSE),""))</f>
        <v/>
      </c>
      <c r="AF552" s="2" t="str">
        <f>IF(D552="","",IFERROR(MATCH(D552,Projects!$A:$A,0),""))</f>
        <v/>
      </c>
    </row>
    <row r="553" spans="2:32" x14ac:dyDescent="0.25">
      <c r="B553" s="24"/>
      <c r="C553" s="136"/>
      <c r="D553" s="148"/>
      <c r="E553" s="136"/>
      <c r="F553" s="136"/>
      <c r="G553" s="136"/>
      <c r="H553" s="136"/>
      <c r="J553" s="136"/>
      <c r="K553" s="136"/>
      <c r="AE553" s="39" t="str">
        <f>IF(D553="","",IFERROR(VLOOKUP(D553,Projects!$A$2:$A$20000,1,FALSE),""))</f>
        <v/>
      </c>
      <c r="AF553" s="2" t="str">
        <f>IF(D553="","",IFERROR(MATCH(D553,Projects!$A:$A,0),""))</f>
        <v/>
      </c>
    </row>
    <row r="554" spans="2:32" x14ac:dyDescent="0.25">
      <c r="B554" s="24"/>
      <c r="C554" s="136"/>
      <c r="D554" s="148"/>
      <c r="E554" s="136"/>
      <c r="F554" s="136"/>
      <c r="G554" s="136"/>
      <c r="H554" s="136"/>
      <c r="J554" s="136"/>
      <c r="K554" s="136"/>
      <c r="AE554" s="39" t="str">
        <f>IF(D554="","",IFERROR(VLOOKUP(D554,Projects!$A$2:$A$20000,1,FALSE),""))</f>
        <v/>
      </c>
      <c r="AF554" s="2" t="str">
        <f>IF(D554="","",IFERROR(MATCH(D554,Projects!$A:$A,0),""))</f>
        <v/>
      </c>
    </row>
    <row r="555" spans="2:32" x14ac:dyDescent="0.25">
      <c r="B555" s="24"/>
      <c r="C555" s="136"/>
      <c r="D555" s="148"/>
      <c r="E555" s="136"/>
      <c r="F555" s="136"/>
      <c r="G555" s="136"/>
      <c r="H555" s="136"/>
      <c r="J555" s="136"/>
      <c r="K555" s="136"/>
      <c r="AE555" s="39" t="str">
        <f>IF(D555="","",IFERROR(VLOOKUP(D555,Projects!$A$2:$A$20000,1,FALSE),""))</f>
        <v/>
      </c>
      <c r="AF555" s="2" t="str">
        <f>IF(D555="","",IFERROR(MATCH(D555,Projects!$A:$A,0),""))</f>
        <v/>
      </c>
    </row>
    <row r="556" spans="2:32" x14ac:dyDescent="0.25">
      <c r="B556" s="24"/>
      <c r="C556" s="136"/>
      <c r="D556" s="148"/>
      <c r="E556" s="136"/>
      <c r="F556" s="136"/>
      <c r="G556" s="136"/>
      <c r="H556" s="136"/>
      <c r="J556" s="136"/>
      <c r="K556" s="136"/>
      <c r="AE556" s="39" t="str">
        <f>IF(D556="","",IFERROR(VLOOKUP(D556,Projects!$A$2:$A$20000,1,FALSE),""))</f>
        <v/>
      </c>
      <c r="AF556" s="2" t="str">
        <f>IF(D556="","",IFERROR(MATCH(D556,Projects!$A:$A,0),""))</f>
        <v/>
      </c>
    </row>
    <row r="557" spans="2:32" x14ac:dyDescent="0.25">
      <c r="B557" s="24"/>
      <c r="C557" s="136"/>
      <c r="D557" s="148"/>
      <c r="E557" s="136"/>
      <c r="F557" s="136"/>
      <c r="G557" s="136"/>
      <c r="H557" s="136"/>
      <c r="J557" s="136"/>
      <c r="K557" s="136"/>
      <c r="AE557" s="39" t="str">
        <f>IF(D557="","",IFERROR(VLOOKUP(D557,Projects!$A$2:$A$20000,1,FALSE),""))</f>
        <v/>
      </c>
      <c r="AF557" s="2" t="str">
        <f>IF(D557="","",IFERROR(MATCH(D557,Projects!$A:$A,0),""))</f>
        <v/>
      </c>
    </row>
    <row r="558" spans="2:32" x14ac:dyDescent="0.25">
      <c r="B558" s="24"/>
      <c r="C558" s="136"/>
      <c r="D558" s="148"/>
      <c r="E558" s="136"/>
      <c r="F558" s="136"/>
      <c r="G558" s="136"/>
      <c r="H558" s="136"/>
      <c r="J558" s="136"/>
      <c r="K558" s="136"/>
      <c r="AE558" s="39" t="str">
        <f>IF(D558="","",IFERROR(VLOOKUP(D558,Projects!$A$2:$A$20000,1,FALSE),""))</f>
        <v/>
      </c>
      <c r="AF558" s="2" t="str">
        <f>IF(D558="","",IFERROR(MATCH(D558,Projects!$A:$A,0),""))</f>
        <v/>
      </c>
    </row>
    <row r="559" spans="2:32" x14ac:dyDescent="0.25">
      <c r="B559" s="24"/>
      <c r="C559" s="136"/>
      <c r="D559" s="148"/>
      <c r="E559" s="136"/>
      <c r="F559" s="136"/>
      <c r="G559" s="136"/>
      <c r="H559" s="136"/>
      <c r="J559" s="136"/>
      <c r="K559" s="136"/>
      <c r="AE559" s="39" t="str">
        <f>IF(D559="","",IFERROR(VLOOKUP(D559,Projects!$A$2:$A$20000,1,FALSE),""))</f>
        <v/>
      </c>
      <c r="AF559" s="2" t="str">
        <f>IF(D559="","",IFERROR(MATCH(D559,Projects!$A:$A,0),""))</f>
        <v/>
      </c>
    </row>
    <row r="560" spans="2:32" x14ac:dyDescent="0.25">
      <c r="B560" s="24"/>
      <c r="C560" s="136"/>
      <c r="D560" s="148"/>
      <c r="E560" s="136"/>
      <c r="F560" s="136"/>
      <c r="G560" s="136"/>
      <c r="H560" s="136"/>
      <c r="J560" s="136"/>
      <c r="K560" s="136"/>
      <c r="AE560" s="39" t="str">
        <f>IF(D560="","",IFERROR(VLOOKUP(D560,Projects!$A$2:$A$20000,1,FALSE),""))</f>
        <v/>
      </c>
      <c r="AF560" s="2" t="str">
        <f>IF(D560="","",IFERROR(MATCH(D560,Projects!$A:$A,0),""))</f>
        <v/>
      </c>
    </row>
    <row r="561" spans="2:32" x14ac:dyDescent="0.25">
      <c r="B561" s="24"/>
      <c r="C561" s="136"/>
      <c r="D561" s="148"/>
      <c r="E561" s="136"/>
      <c r="F561" s="136"/>
      <c r="G561" s="136"/>
      <c r="H561" s="136"/>
      <c r="J561" s="136"/>
      <c r="K561" s="136"/>
      <c r="AE561" s="39" t="str">
        <f>IF(D561="","",IFERROR(VLOOKUP(D561,Projects!$A$2:$A$20000,1,FALSE),""))</f>
        <v/>
      </c>
      <c r="AF561" s="2" t="str">
        <f>IF(D561="","",IFERROR(MATCH(D561,Projects!$A:$A,0),""))</f>
        <v/>
      </c>
    </row>
    <row r="562" spans="2:32" x14ac:dyDescent="0.25">
      <c r="B562" s="24"/>
      <c r="C562" s="136"/>
      <c r="D562" s="148"/>
      <c r="E562" s="136"/>
      <c r="F562" s="136"/>
      <c r="G562" s="136"/>
      <c r="H562" s="136"/>
      <c r="J562" s="136"/>
      <c r="K562" s="136"/>
      <c r="AE562" s="39" t="str">
        <f>IF(D562="","",IFERROR(VLOOKUP(D562,Projects!$A$2:$A$20000,1,FALSE),""))</f>
        <v/>
      </c>
      <c r="AF562" s="2" t="str">
        <f>IF(D562="","",IFERROR(MATCH(D562,Projects!$A:$A,0),""))</f>
        <v/>
      </c>
    </row>
    <row r="563" spans="2:32" x14ac:dyDescent="0.25">
      <c r="B563" s="24"/>
      <c r="C563" s="136"/>
      <c r="D563" s="148"/>
      <c r="E563" s="136"/>
      <c r="F563" s="136"/>
      <c r="G563" s="136"/>
      <c r="H563" s="136"/>
      <c r="J563" s="136"/>
      <c r="K563" s="136"/>
      <c r="AE563" s="39" t="str">
        <f>IF(D563="","",IFERROR(VLOOKUP(D563,Projects!$A$2:$A$20000,1,FALSE),""))</f>
        <v/>
      </c>
      <c r="AF563" s="2" t="str">
        <f>IF(D563="","",IFERROR(MATCH(D563,Projects!$A:$A,0),""))</f>
        <v/>
      </c>
    </row>
    <row r="564" spans="2:32" x14ac:dyDescent="0.25">
      <c r="B564" s="24"/>
      <c r="C564" s="136"/>
      <c r="D564" s="148"/>
      <c r="E564" s="136"/>
      <c r="F564" s="136"/>
      <c r="G564" s="136"/>
      <c r="H564" s="136"/>
      <c r="J564" s="136"/>
      <c r="K564" s="136"/>
      <c r="AE564" s="39" t="str">
        <f>IF(D564="","",IFERROR(VLOOKUP(D564,Projects!$A$2:$A$20000,1,FALSE),""))</f>
        <v/>
      </c>
      <c r="AF564" s="2" t="str">
        <f>IF(D564="","",IFERROR(MATCH(D564,Projects!$A:$A,0),""))</f>
        <v/>
      </c>
    </row>
    <row r="565" spans="2:32" x14ac:dyDescent="0.25">
      <c r="B565" s="24"/>
      <c r="C565" s="136"/>
      <c r="D565" s="148"/>
      <c r="E565" s="136"/>
      <c r="F565" s="136"/>
      <c r="G565" s="136"/>
      <c r="H565" s="136"/>
      <c r="J565" s="136"/>
      <c r="K565" s="136"/>
      <c r="AE565" s="39" t="str">
        <f>IF(D565="","",IFERROR(VLOOKUP(D565,Projects!$A$2:$A$20000,1,FALSE),""))</f>
        <v/>
      </c>
      <c r="AF565" s="2" t="str">
        <f>IF(D565="","",IFERROR(MATCH(D565,Projects!$A:$A,0),""))</f>
        <v/>
      </c>
    </row>
    <row r="566" spans="2:32" x14ac:dyDescent="0.25">
      <c r="B566" s="24"/>
      <c r="C566" s="136"/>
      <c r="D566" s="148"/>
      <c r="E566" s="136"/>
      <c r="F566" s="136"/>
      <c r="G566" s="136"/>
      <c r="H566" s="136"/>
      <c r="J566" s="136"/>
      <c r="K566" s="136"/>
      <c r="AE566" s="39" t="str">
        <f>IF(D566="","",IFERROR(VLOOKUP(D566,Projects!$A$2:$A$20000,1,FALSE),""))</f>
        <v/>
      </c>
      <c r="AF566" s="2" t="str">
        <f>IF(D566="","",IFERROR(MATCH(D566,Projects!$A:$A,0),""))</f>
        <v/>
      </c>
    </row>
    <row r="567" spans="2:32" x14ac:dyDescent="0.25">
      <c r="B567" s="24"/>
      <c r="C567" s="136"/>
      <c r="D567" s="148"/>
      <c r="E567" s="136"/>
      <c r="F567" s="136"/>
      <c r="G567" s="136"/>
      <c r="H567" s="136"/>
      <c r="J567" s="136"/>
      <c r="K567" s="136"/>
      <c r="AE567" s="39" t="str">
        <f>IF(D567="","",IFERROR(VLOOKUP(D567,Projects!$A$2:$A$20000,1,FALSE),""))</f>
        <v/>
      </c>
      <c r="AF567" s="2" t="str">
        <f>IF(D567="","",IFERROR(MATCH(D567,Projects!$A:$A,0),""))</f>
        <v/>
      </c>
    </row>
    <row r="568" spans="2:32" x14ac:dyDescent="0.25">
      <c r="B568" s="24"/>
      <c r="C568" s="136"/>
      <c r="D568" s="148"/>
      <c r="E568" s="136"/>
      <c r="F568" s="136"/>
      <c r="G568" s="136"/>
      <c r="H568" s="136"/>
      <c r="J568" s="136"/>
      <c r="K568" s="136"/>
      <c r="AE568" s="39" t="str">
        <f>IF(D568="","",IFERROR(VLOOKUP(D568,Projects!$A$2:$A$20000,1,FALSE),""))</f>
        <v/>
      </c>
      <c r="AF568" s="2" t="str">
        <f>IF(D568="","",IFERROR(MATCH(D568,Projects!$A:$A,0),""))</f>
        <v/>
      </c>
    </row>
    <row r="569" spans="2:32" x14ac:dyDescent="0.25">
      <c r="B569" s="24"/>
      <c r="C569" s="136"/>
      <c r="D569" s="148"/>
      <c r="E569" s="136"/>
      <c r="F569" s="136"/>
      <c r="G569" s="136"/>
      <c r="H569" s="136"/>
      <c r="J569" s="136"/>
      <c r="K569" s="136"/>
      <c r="AE569" s="39" t="str">
        <f>IF(D569="","",IFERROR(VLOOKUP(D569,Projects!$A$2:$A$20000,1,FALSE),""))</f>
        <v/>
      </c>
      <c r="AF569" s="2" t="str">
        <f>IF(D569="","",IFERROR(MATCH(D569,Projects!$A:$A,0),""))</f>
        <v/>
      </c>
    </row>
    <row r="570" spans="2:32" x14ac:dyDescent="0.25">
      <c r="B570" s="24"/>
      <c r="C570" s="136"/>
      <c r="D570" s="148"/>
      <c r="E570" s="136"/>
      <c r="F570" s="136"/>
      <c r="G570" s="136"/>
      <c r="H570" s="136"/>
      <c r="J570" s="136"/>
      <c r="K570" s="136"/>
      <c r="AE570" s="39" t="str">
        <f>IF(D570="","",IFERROR(VLOOKUP(D570,Projects!$A$2:$A$20000,1,FALSE),""))</f>
        <v/>
      </c>
      <c r="AF570" s="2" t="str">
        <f>IF(D570="","",IFERROR(MATCH(D570,Projects!$A:$A,0),""))</f>
        <v/>
      </c>
    </row>
    <row r="571" spans="2:32" x14ac:dyDescent="0.25">
      <c r="B571" s="24"/>
      <c r="C571" s="136"/>
      <c r="D571" s="148"/>
      <c r="E571" s="136"/>
      <c r="F571" s="136"/>
      <c r="G571" s="136"/>
      <c r="H571" s="136"/>
      <c r="J571" s="136"/>
      <c r="K571" s="136"/>
      <c r="AE571" s="39" t="str">
        <f>IF(D571="","",IFERROR(VLOOKUP(D571,Projects!$A$2:$A$20000,1,FALSE),""))</f>
        <v/>
      </c>
      <c r="AF571" s="2" t="str">
        <f>IF(D571="","",IFERROR(MATCH(D571,Projects!$A:$A,0),""))</f>
        <v/>
      </c>
    </row>
    <row r="572" spans="2:32" x14ac:dyDescent="0.25">
      <c r="B572" s="24"/>
      <c r="C572" s="136"/>
      <c r="D572" s="148"/>
      <c r="E572" s="136"/>
      <c r="F572" s="136"/>
      <c r="G572" s="136"/>
      <c r="H572" s="136"/>
      <c r="J572" s="136"/>
      <c r="K572" s="136"/>
      <c r="AE572" s="39" t="str">
        <f>IF(D572="","",IFERROR(VLOOKUP(D572,Projects!$A$2:$A$20000,1,FALSE),""))</f>
        <v/>
      </c>
      <c r="AF572" s="2" t="str">
        <f>IF(D572="","",IFERROR(MATCH(D572,Projects!$A:$A,0),""))</f>
        <v/>
      </c>
    </row>
    <row r="573" spans="2:32" x14ac:dyDescent="0.25">
      <c r="B573" s="24"/>
      <c r="C573" s="136"/>
      <c r="D573" s="148"/>
      <c r="E573" s="136"/>
      <c r="F573" s="136"/>
      <c r="G573" s="136"/>
      <c r="H573" s="136"/>
      <c r="J573" s="136"/>
      <c r="K573" s="136"/>
      <c r="AE573" s="39" t="str">
        <f>IF(D573="","",IFERROR(VLOOKUP(D573,Projects!$A$2:$A$20000,1,FALSE),""))</f>
        <v/>
      </c>
      <c r="AF573" s="2" t="str">
        <f>IF(D573="","",IFERROR(MATCH(D573,Projects!$A:$A,0),""))</f>
        <v/>
      </c>
    </row>
    <row r="574" spans="2:32" x14ac:dyDescent="0.25">
      <c r="B574" s="24"/>
      <c r="C574" s="136"/>
      <c r="D574" s="148"/>
      <c r="E574" s="136"/>
      <c r="F574" s="136"/>
      <c r="G574" s="136"/>
      <c r="H574" s="136"/>
      <c r="J574" s="136"/>
      <c r="K574" s="136"/>
      <c r="AE574" s="39" t="str">
        <f>IF(D574="","",IFERROR(VLOOKUP(D574,Projects!$A$2:$A$20000,1,FALSE),""))</f>
        <v/>
      </c>
      <c r="AF574" s="2" t="str">
        <f>IF(D574="","",IFERROR(MATCH(D574,Projects!$A:$A,0),""))</f>
        <v/>
      </c>
    </row>
    <row r="575" spans="2:32" x14ac:dyDescent="0.25">
      <c r="B575" s="24"/>
      <c r="C575" s="136"/>
      <c r="D575" s="148"/>
      <c r="E575" s="136"/>
      <c r="F575" s="136"/>
      <c r="G575" s="136"/>
      <c r="H575" s="136"/>
      <c r="J575" s="136"/>
      <c r="K575" s="136"/>
      <c r="AE575" s="39" t="str">
        <f>IF(D575="","",IFERROR(VLOOKUP(D575,Projects!$A$2:$A$20000,1,FALSE),""))</f>
        <v/>
      </c>
      <c r="AF575" s="2" t="str">
        <f>IF(D575="","",IFERROR(MATCH(D575,Projects!$A:$A,0),""))</f>
        <v/>
      </c>
    </row>
    <row r="576" spans="2:32" x14ac:dyDescent="0.25">
      <c r="B576" s="24"/>
      <c r="C576" s="136"/>
      <c r="D576" s="148"/>
      <c r="E576" s="136"/>
      <c r="F576" s="136"/>
      <c r="G576" s="136"/>
      <c r="H576" s="136"/>
      <c r="J576" s="136"/>
      <c r="K576" s="136"/>
      <c r="AE576" s="39" t="str">
        <f>IF(D576="","",IFERROR(VLOOKUP(D576,Projects!$A$2:$A$20000,1,FALSE),""))</f>
        <v/>
      </c>
      <c r="AF576" s="2" t="str">
        <f>IF(D576="","",IFERROR(MATCH(D576,Projects!$A:$A,0),""))</f>
        <v/>
      </c>
    </row>
    <row r="577" spans="2:32" x14ac:dyDescent="0.25">
      <c r="B577" s="24"/>
      <c r="C577" s="136"/>
      <c r="D577" s="148"/>
      <c r="E577" s="136"/>
      <c r="F577" s="136"/>
      <c r="G577" s="136"/>
      <c r="H577" s="136"/>
      <c r="J577" s="136"/>
      <c r="K577" s="136"/>
      <c r="AE577" s="39" t="str">
        <f>IF(D577="","",IFERROR(VLOOKUP(D577,Projects!$A$2:$A$20000,1,FALSE),""))</f>
        <v/>
      </c>
      <c r="AF577" s="2" t="str">
        <f>IF(D577="","",IFERROR(MATCH(D577,Projects!$A:$A,0),""))</f>
        <v/>
      </c>
    </row>
    <row r="578" spans="2:32" x14ac:dyDescent="0.25">
      <c r="B578" s="24"/>
      <c r="C578" s="136"/>
      <c r="D578" s="148"/>
      <c r="E578" s="136"/>
      <c r="F578" s="136"/>
      <c r="G578" s="136"/>
      <c r="H578" s="136"/>
      <c r="J578" s="136"/>
      <c r="K578" s="136"/>
      <c r="AE578" s="39" t="str">
        <f>IF(D578="","",IFERROR(VLOOKUP(D578,Projects!$A$2:$A$20000,1,FALSE),""))</f>
        <v/>
      </c>
      <c r="AF578" s="2" t="str">
        <f>IF(D578="","",IFERROR(MATCH(D578,Projects!$A:$A,0),""))</f>
        <v/>
      </c>
    </row>
    <row r="579" spans="2:32" x14ac:dyDescent="0.25">
      <c r="B579" s="24"/>
      <c r="C579" s="136"/>
      <c r="D579" s="148"/>
      <c r="E579" s="136"/>
      <c r="F579" s="136"/>
      <c r="G579" s="136"/>
      <c r="H579" s="136"/>
      <c r="J579" s="136"/>
      <c r="K579" s="136"/>
      <c r="AE579" s="39" t="str">
        <f>IF(D579="","",IFERROR(VLOOKUP(D579,Projects!$A$2:$A$20000,1,FALSE),""))</f>
        <v/>
      </c>
      <c r="AF579" s="2" t="str">
        <f>IF(D579="","",IFERROR(MATCH(D579,Projects!$A:$A,0),""))</f>
        <v/>
      </c>
    </row>
    <row r="580" spans="2:32" x14ac:dyDescent="0.25">
      <c r="B580" s="24"/>
      <c r="C580" s="136"/>
      <c r="D580" s="148"/>
      <c r="E580" s="136"/>
      <c r="F580" s="136"/>
      <c r="G580" s="136"/>
      <c r="H580" s="136"/>
      <c r="J580" s="136"/>
      <c r="K580" s="136"/>
      <c r="AE580" s="39" t="str">
        <f>IF(D580="","",IFERROR(VLOOKUP(D580,Projects!$A$2:$A$20000,1,FALSE),""))</f>
        <v/>
      </c>
      <c r="AF580" s="2" t="str">
        <f>IF(D580="","",IFERROR(MATCH(D580,Projects!$A:$A,0),""))</f>
        <v/>
      </c>
    </row>
    <row r="581" spans="2:32" x14ac:dyDescent="0.25">
      <c r="B581" s="24"/>
      <c r="C581" s="136"/>
      <c r="D581" s="148"/>
      <c r="E581" s="136"/>
      <c r="F581" s="136"/>
      <c r="G581" s="136"/>
      <c r="H581" s="136"/>
      <c r="J581" s="136"/>
      <c r="K581" s="136"/>
      <c r="AE581" s="39" t="str">
        <f>IF(D581="","",IFERROR(VLOOKUP(D581,Projects!$A$2:$A$20000,1,FALSE),""))</f>
        <v/>
      </c>
      <c r="AF581" s="2" t="str">
        <f>IF(D581="","",IFERROR(MATCH(D581,Projects!$A:$A,0),""))</f>
        <v/>
      </c>
    </row>
    <row r="582" spans="2:32" x14ac:dyDescent="0.25">
      <c r="B582" s="24"/>
      <c r="C582" s="136"/>
      <c r="D582" s="148"/>
      <c r="E582" s="136"/>
      <c r="F582" s="136"/>
      <c r="G582" s="136"/>
      <c r="H582" s="136"/>
      <c r="J582" s="136"/>
      <c r="K582" s="136"/>
      <c r="AE582" s="39" t="str">
        <f>IF(D582="","",IFERROR(VLOOKUP(D582,Projects!$A$2:$A$20000,1,FALSE),""))</f>
        <v/>
      </c>
      <c r="AF582" s="2" t="str">
        <f>IF(D582="","",IFERROR(MATCH(D582,Projects!$A:$A,0),""))</f>
        <v/>
      </c>
    </row>
    <row r="583" spans="2:32" x14ac:dyDescent="0.25">
      <c r="B583" s="24"/>
      <c r="C583" s="136"/>
      <c r="D583" s="148"/>
      <c r="E583" s="136"/>
      <c r="F583" s="136"/>
      <c r="G583" s="136"/>
      <c r="H583" s="136"/>
      <c r="J583" s="136"/>
      <c r="K583" s="136"/>
      <c r="AE583" s="39" t="str">
        <f>IF(D583="","",IFERROR(VLOOKUP(D583,Projects!$A$2:$A$20000,1,FALSE),""))</f>
        <v/>
      </c>
      <c r="AF583" s="2" t="str">
        <f>IF(D583="","",IFERROR(MATCH(D583,Projects!$A:$A,0),""))</f>
        <v/>
      </c>
    </row>
    <row r="584" spans="2:32" x14ac:dyDescent="0.25">
      <c r="B584" s="24"/>
      <c r="C584" s="136"/>
      <c r="D584" s="148"/>
      <c r="E584" s="136"/>
      <c r="F584" s="136"/>
      <c r="G584" s="136"/>
      <c r="H584" s="136"/>
      <c r="J584" s="136"/>
      <c r="K584" s="136"/>
      <c r="AE584" s="39" t="str">
        <f>IF(D584="","",IFERROR(VLOOKUP(D584,Projects!$A$2:$A$20000,1,FALSE),""))</f>
        <v/>
      </c>
      <c r="AF584" s="2" t="str">
        <f>IF(D584="","",IFERROR(MATCH(D584,Projects!$A:$A,0),""))</f>
        <v/>
      </c>
    </row>
    <row r="585" spans="2:32" x14ac:dyDescent="0.25">
      <c r="B585" s="24"/>
      <c r="C585" s="136"/>
      <c r="D585" s="148"/>
      <c r="E585" s="136"/>
      <c r="F585" s="136"/>
      <c r="G585" s="136"/>
      <c r="H585" s="136"/>
      <c r="J585" s="136"/>
      <c r="K585" s="136"/>
      <c r="AE585" s="39" t="str">
        <f>IF(D585="","",IFERROR(VLOOKUP(D585,Projects!$A$2:$A$20000,1,FALSE),""))</f>
        <v/>
      </c>
      <c r="AF585" s="2" t="str">
        <f>IF(D585="","",IFERROR(MATCH(D585,Projects!$A:$A,0),""))</f>
        <v/>
      </c>
    </row>
    <row r="586" spans="2:32" x14ac:dyDescent="0.25">
      <c r="B586" s="24"/>
      <c r="C586" s="136"/>
      <c r="D586" s="148"/>
      <c r="E586" s="136"/>
      <c r="F586" s="136"/>
      <c r="G586" s="136"/>
      <c r="H586" s="136"/>
      <c r="J586" s="136"/>
      <c r="K586" s="136"/>
      <c r="AE586" s="39" t="str">
        <f>IF(D586="","",IFERROR(VLOOKUP(D586,Projects!$A$2:$A$20000,1,FALSE),""))</f>
        <v/>
      </c>
      <c r="AF586" s="2" t="str">
        <f>IF(D586="","",IFERROR(MATCH(D586,Projects!$A:$A,0),""))</f>
        <v/>
      </c>
    </row>
    <row r="587" spans="2:32" x14ac:dyDescent="0.25">
      <c r="B587" s="24"/>
      <c r="C587" s="136"/>
      <c r="D587" s="148"/>
      <c r="E587" s="136"/>
      <c r="F587" s="136"/>
      <c r="G587" s="136"/>
      <c r="H587" s="136"/>
      <c r="J587" s="136"/>
      <c r="K587" s="136"/>
      <c r="AE587" s="39" t="str">
        <f>IF(D587="","",IFERROR(VLOOKUP(D587,Projects!$A$2:$A$20000,1,FALSE),""))</f>
        <v/>
      </c>
      <c r="AF587" s="2" t="str">
        <f>IF(D587="","",IFERROR(MATCH(D587,Projects!$A:$A,0),""))</f>
        <v/>
      </c>
    </row>
    <row r="588" spans="2:32" x14ac:dyDescent="0.25">
      <c r="B588" s="24"/>
      <c r="C588" s="136"/>
      <c r="D588" s="148"/>
      <c r="E588" s="136"/>
      <c r="F588" s="136"/>
      <c r="G588" s="136"/>
      <c r="H588" s="136"/>
      <c r="J588" s="136"/>
      <c r="K588" s="136"/>
      <c r="AE588" s="39" t="str">
        <f>IF(D588="","",IFERROR(VLOOKUP(D588,Projects!$A$2:$A$20000,1,FALSE),""))</f>
        <v/>
      </c>
      <c r="AF588" s="2" t="str">
        <f>IF(D588="","",IFERROR(MATCH(D588,Projects!$A:$A,0),""))</f>
        <v/>
      </c>
    </row>
    <row r="589" spans="2:32" x14ac:dyDescent="0.25">
      <c r="B589" s="24"/>
      <c r="C589" s="136"/>
      <c r="D589" s="148"/>
      <c r="E589" s="136"/>
      <c r="F589" s="136"/>
      <c r="G589" s="136"/>
      <c r="H589" s="136"/>
      <c r="J589" s="136"/>
      <c r="K589" s="136"/>
      <c r="AE589" s="39" t="str">
        <f>IF(D589="","",IFERROR(VLOOKUP(D589,Projects!$A$2:$A$20000,1,FALSE),""))</f>
        <v/>
      </c>
      <c r="AF589" s="2" t="str">
        <f>IF(D589="","",IFERROR(MATCH(D589,Projects!$A:$A,0),""))</f>
        <v/>
      </c>
    </row>
    <row r="590" spans="2:32" x14ac:dyDescent="0.25">
      <c r="B590" s="24"/>
      <c r="C590" s="136"/>
      <c r="D590" s="148"/>
      <c r="E590" s="136"/>
      <c r="F590" s="136"/>
      <c r="G590" s="136"/>
      <c r="H590" s="136"/>
      <c r="J590" s="136"/>
      <c r="K590" s="136"/>
      <c r="AE590" s="39" t="str">
        <f>IF(D590="","",IFERROR(VLOOKUP(D590,Projects!$A$2:$A$20000,1,FALSE),""))</f>
        <v/>
      </c>
      <c r="AF590" s="2" t="str">
        <f>IF(D590="","",IFERROR(MATCH(D590,Projects!$A:$A,0),""))</f>
        <v/>
      </c>
    </row>
    <row r="591" spans="2:32" x14ac:dyDescent="0.25">
      <c r="B591" s="24"/>
      <c r="C591" s="136"/>
      <c r="D591" s="148"/>
      <c r="E591" s="136"/>
      <c r="F591" s="136"/>
      <c r="G591" s="136"/>
      <c r="H591" s="136"/>
      <c r="J591" s="136"/>
      <c r="K591" s="136"/>
      <c r="AE591" s="39" t="str">
        <f>IF(D591="","",IFERROR(VLOOKUP(D591,Projects!$A$2:$A$20000,1,FALSE),""))</f>
        <v/>
      </c>
      <c r="AF591" s="2" t="str">
        <f>IF(D591="","",IFERROR(MATCH(D591,Projects!$A:$A,0),""))</f>
        <v/>
      </c>
    </row>
    <row r="592" spans="2:32" x14ac:dyDescent="0.25">
      <c r="B592" s="24"/>
      <c r="C592" s="136"/>
      <c r="D592" s="148"/>
      <c r="E592" s="136"/>
      <c r="F592" s="136"/>
      <c r="G592" s="136"/>
      <c r="H592" s="136"/>
      <c r="J592" s="136"/>
      <c r="K592" s="136"/>
      <c r="AE592" s="39" t="str">
        <f>IF(D592="","",IFERROR(VLOOKUP(D592,Projects!$A$2:$A$20000,1,FALSE),""))</f>
        <v/>
      </c>
      <c r="AF592" s="2" t="str">
        <f>IF(D592="","",IFERROR(MATCH(D592,Projects!$A:$A,0),""))</f>
        <v/>
      </c>
    </row>
    <row r="593" spans="2:32" x14ac:dyDescent="0.25">
      <c r="B593" s="24"/>
      <c r="C593" s="136"/>
      <c r="D593" s="148"/>
      <c r="E593" s="136"/>
      <c r="F593" s="136"/>
      <c r="G593" s="136"/>
      <c r="H593" s="136"/>
      <c r="J593" s="136"/>
      <c r="K593" s="136"/>
      <c r="AE593" s="39" t="str">
        <f>IF(D593="","",IFERROR(VLOOKUP(D593,Projects!$A$2:$A$20000,1,FALSE),""))</f>
        <v/>
      </c>
      <c r="AF593" s="2" t="str">
        <f>IF(D593="","",IFERROR(MATCH(D593,Projects!$A:$A,0),""))</f>
        <v/>
      </c>
    </row>
    <row r="594" spans="2:32" x14ac:dyDescent="0.25">
      <c r="B594" s="24"/>
      <c r="C594" s="136"/>
      <c r="D594" s="148"/>
      <c r="E594" s="136"/>
      <c r="F594" s="136"/>
      <c r="G594" s="136"/>
      <c r="H594" s="136"/>
      <c r="J594" s="136"/>
      <c r="K594" s="136"/>
      <c r="AE594" s="39" t="str">
        <f>IF(D594="","",IFERROR(VLOOKUP(D594,Projects!$A$2:$A$20000,1,FALSE),""))</f>
        <v/>
      </c>
      <c r="AF594" s="2" t="str">
        <f>IF(D594="","",IFERROR(MATCH(D594,Projects!$A:$A,0),""))</f>
        <v/>
      </c>
    </row>
    <row r="595" spans="2:32" x14ac:dyDescent="0.25">
      <c r="B595" s="24"/>
      <c r="C595" s="136"/>
      <c r="D595" s="148"/>
      <c r="E595" s="136"/>
      <c r="F595" s="136"/>
      <c r="G595" s="136"/>
      <c r="H595" s="136"/>
      <c r="J595" s="136"/>
      <c r="K595" s="136"/>
      <c r="AE595" s="39" t="str">
        <f>IF(D595="","",IFERROR(VLOOKUP(D595,Projects!$A$2:$A$20000,1,FALSE),""))</f>
        <v/>
      </c>
      <c r="AF595" s="2" t="str">
        <f>IF(D595="","",IFERROR(MATCH(D595,Projects!$A:$A,0),""))</f>
        <v/>
      </c>
    </row>
    <row r="596" spans="2:32" x14ac:dyDescent="0.25">
      <c r="B596" s="24"/>
      <c r="C596" s="136"/>
      <c r="D596" s="148"/>
      <c r="E596" s="136"/>
      <c r="F596" s="136"/>
      <c r="G596" s="136"/>
      <c r="H596" s="136"/>
      <c r="J596" s="136"/>
      <c r="K596" s="136"/>
      <c r="AE596" s="39" t="str">
        <f>IF(D596="","",IFERROR(VLOOKUP(D596,Projects!$A$2:$A$20000,1,FALSE),""))</f>
        <v/>
      </c>
      <c r="AF596" s="2" t="str">
        <f>IF(D596="","",IFERROR(MATCH(D596,Projects!$A:$A,0),""))</f>
        <v/>
      </c>
    </row>
    <row r="597" spans="2:32" x14ac:dyDescent="0.25">
      <c r="B597" s="24"/>
      <c r="C597" s="136"/>
      <c r="D597" s="148"/>
      <c r="E597" s="136"/>
      <c r="F597" s="136"/>
      <c r="G597" s="136"/>
      <c r="H597" s="136"/>
      <c r="J597" s="136"/>
      <c r="K597" s="136"/>
      <c r="AE597" s="39" t="str">
        <f>IF(D597="","",IFERROR(VLOOKUP(D597,Projects!$A$2:$A$20000,1,FALSE),""))</f>
        <v/>
      </c>
      <c r="AF597" s="2" t="str">
        <f>IF(D597="","",IFERROR(MATCH(D597,Projects!$A:$A,0),""))</f>
        <v/>
      </c>
    </row>
    <row r="598" spans="2:32" x14ac:dyDescent="0.25">
      <c r="B598" s="24"/>
      <c r="C598" s="136"/>
      <c r="D598" s="148"/>
      <c r="E598" s="136"/>
      <c r="F598" s="136"/>
      <c r="G598" s="136"/>
      <c r="H598" s="136"/>
      <c r="J598" s="136"/>
      <c r="K598" s="136"/>
      <c r="AE598" s="39" t="str">
        <f>IF(D598="","",IFERROR(VLOOKUP(D598,Projects!$A$2:$A$20000,1,FALSE),""))</f>
        <v/>
      </c>
      <c r="AF598" s="2" t="str">
        <f>IF(D598="","",IFERROR(MATCH(D598,Projects!$A:$A,0),""))</f>
        <v/>
      </c>
    </row>
    <row r="599" spans="2:32" x14ac:dyDescent="0.25">
      <c r="B599" s="24"/>
      <c r="C599" s="136"/>
      <c r="D599" s="148"/>
      <c r="E599" s="136"/>
      <c r="F599" s="136"/>
      <c r="G599" s="136"/>
      <c r="H599" s="136"/>
      <c r="J599" s="136"/>
      <c r="K599" s="136"/>
      <c r="AE599" s="39" t="str">
        <f>IF(D599="","",IFERROR(VLOOKUP(D599,Projects!$A$2:$A$20000,1,FALSE),""))</f>
        <v/>
      </c>
      <c r="AF599" s="2" t="str">
        <f>IF(D599="","",IFERROR(MATCH(D599,Projects!$A:$A,0),""))</f>
        <v/>
      </c>
    </row>
    <row r="600" spans="2:32" x14ac:dyDescent="0.25">
      <c r="B600" s="24"/>
      <c r="C600" s="136"/>
      <c r="D600" s="148"/>
      <c r="E600" s="136"/>
      <c r="F600" s="136"/>
      <c r="G600" s="136"/>
      <c r="H600" s="136"/>
      <c r="J600" s="136"/>
      <c r="K600" s="136"/>
      <c r="AE600" s="39" t="str">
        <f>IF(D600="","",IFERROR(VLOOKUP(D600,Projects!$A$2:$A$20000,1,FALSE),""))</f>
        <v/>
      </c>
      <c r="AF600" s="2" t="str">
        <f>IF(D600="","",IFERROR(MATCH(D600,Projects!$A:$A,0),""))</f>
        <v/>
      </c>
    </row>
    <row r="601" spans="2:32" x14ac:dyDescent="0.25">
      <c r="B601" s="24"/>
      <c r="C601" s="136"/>
      <c r="D601" s="148"/>
      <c r="E601" s="136"/>
      <c r="F601" s="136"/>
      <c r="G601" s="136"/>
      <c r="H601" s="136"/>
      <c r="J601" s="136"/>
      <c r="K601" s="136"/>
      <c r="AE601" s="39" t="str">
        <f>IF(D601="","",IFERROR(VLOOKUP(D601,Projects!$A$2:$A$20000,1,FALSE),""))</f>
        <v/>
      </c>
      <c r="AF601" s="2" t="str">
        <f>IF(D601="","",IFERROR(MATCH(D601,Projects!$A:$A,0),""))</f>
        <v/>
      </c>
    </row>
    <row r="602" spans="2:32" x14ac:dyDescent="0.25">
      <c r="B602" s="24"/>
      <c r="C602" s="136"/>
      <c r="D602" s="148"/>
      <c r="E602" s="136"/>
      <c r="F602" s="136"/>
      <c r="G602" s="136"/>
      <c r="H602" s="136"/>
      <c r="J602" s="136"/>
      <c r="K602" s="136"/>
      <c r="AE602" s="39" t="str">
        <f>IF(D602="","",IFERROR(VLOOKUP(D602,Projects!$A$2:$A$20000,1,FALSE),""))</f>
        <v/>
      </c>
      <c r="AF602" s="2" t="str">
        <f>IF(D602="","",IFERROR(MATCH(D602,Projects!$A:$A,0),""))</f>
        <v/>
      </c>
    </row>
    <row r="603" spans="2:32" x14ac:dyDescent="0.25">
      <c r="B603" s="24"/>
      <c r="C603" s="136"/>
      <c r="D603" s="148"/>
      <c r="E603" s="136"/>
      <c r="F603" s="136"/>
      <c r="G603" s="136"/>
      <c r="H603" s="136"/>
      <c r="J603" s="136"/>
      <c r="K603" s="136"/>
      <c r="AE603" s="39" t="str">
        <f>IF(D603="","",IFERROR(VLOOKUP(D603,Projects!$A$2:$A$20000,1,FALSE),""))</f>
        <v/>
      </c>
      <c r="AF603" s="2" t="str">
        <f>IF(D603="","",IFERROR(MATCH(D603,Projects!$A:$A,0),""))</f>
        <v/>
      </c>
    </row>
    <row r="604" spans="2:32" x14ac:dyDescent="0.25">
      <c r="B604" s="24"/>
      <c r="C604" s="136"/>
      <c r="D604" s="148"/>
      <c r="E604" s="136"/>
      <c r="F604" s="136"/>
      <c r="G604" s="136"/>
      <c r="H604" s="136"/>
      <c r="J604" s="136"/>
      <c r="K604" s="136"/>
      <c r="AE604" s="39" t="str">
        <f>IF(D604="","",IFERROR(VLOOKUP(D604,Projects!$A$2:$A$20000,1,FALSE),""))</f>
        <v/>
      </c>
      <c r="AF604" s="2" t="str">
        <f>IF(D604="","",IFERROR(MATCH(D604,Projects!$A:$A,0),""))</f>
        <v/>
      </c>
    </row>
    <row r="605" spans="2:32" x14ac:dyDescent="0.25">
      <c r="B605" s="24"/>
      <c r="C605" s="136"/>
      <c r="D605" s="148"/>
      <c r="E605" s="136"/>
      <c r="F605" s="136"/>
      <c r="G605" s="136"/>
      <c r="H605" s="136"/>
      <c r="J605" s="136"/>
      <c r="K605" s="136"/>
      <c r="AE605" s="39" t="str">
        <f>IF(D605="","",IFERROR(VLOOKUP(D605,Projects!$A$2:$A$20000,1,FALSE),""))</f>
        <v/>
      </c>
      <c r="AF605" s="2" t="str">
        <f>IF(D605="","",IFERROR(MATCH(D605,Projects!$A:$A,0),""))</f>
        <v/>
      </c>
    </row>
    <row r="606" spans="2:32" x14ac:dyDescent="0.25">
      <c r="B606" s="24"/>
      <c r="C606" s="136"/>
      <c r="D606" s="148"/>
      <c r="E606" s="136"/>
      <c r="F606" s="136"/>
      <c r="G606" s="136"/>
      <c r="H606" s="136"/>
      <c r="J606" s="136"/>
      <c r="K606" s="136"/>
      <c r="AE606" s="39" t="str">
        <f>IF(D606="","",IFERROR(VLOOKUP(D606,Projects!$A$2:$A$20000,1,FALSE),""))</f>
        <v/>
      </c>
      <c r="AF606" s="2" t="str">
        <f>IF(D606="","",IFERROR(MATCH(D606,Projects!$A:$A,0),""))</f>
        <v/>
      </c>
    </row>
    <row r="607" spans="2:32" x14ac:dyDescent="0.25">
      <c r="B607" s="24"/>
      <c r="C607" s="136"/>
      <c r="D607" s="148"/>
      <c r="E607" s="136"/>
      <c r="F607" s="136"/>
      <c r="G607" s="136"/>
      <c r="H607" s="136"/>
      <c r="J607" s="136"/>
      <c r="K607" s="136"/>
      <c r="AE607" s="39" t="str">
        <f>IF(D607="","",IFERROR(VLOOKUP(D607,Projects!$A$2:$A$20000,1,FALSE),""))</f>
        <v/>
      </c>
      <c r="AF607" s="2" t="str">
        <f>IF(D607="","",IFERROR(MATCH(D607,Projects!$A:$A,0),""))</f>
        <v/>
      </c>
    </row>
    <row r="608" spans="2:32" x14ac:dyDescent="0.25">
      <c r="B608" s="24"/>
      <c r="C608" s="136"/>
      <c r="D608" s="148"/>
      <c r="E608" s="136"/>
      <c r="F608" s="136"/>
      <c r="G608" s="136"/>
      <c r="H608" s="136"/>
      <c r="J608" s="136"/>
      <c r="K608" s="136"/>
      <c r="AE608" s="39" t="str">
        <f>IF(D608="","",IFERROR(VLOOKUP(D608,Projects!$A$2:$A$20000,1,FALSE),""))</f>
        <v/>
      </c>
      <c r="AF608" s="2" t="str">
        <f>IF(D608="","",IFERROR(MATCH(D608,Projects!$A:$A,0),""))</f>
        <v/>
      </c>
    </row>
    <row r="609" spans="2:32" x14ac:dyDescent="0.25">
      <c r="B609" s="24"/>
      <c r="C609" s="136"/>
      <c r="D609" s="148"/>
      <c r="E609" s="136"/>
      <c r="F609" s="136"/>
      <c r="G609" s="136"/>
      <c r="H609" s="136"/>
      <c r="J609" s="136"/>
      <c r="K609" s="136"/>
      <c r="AE609" s="39" t="str">
        <f>IF(D609="","",IFERROR(VLOOKUP(D609,Projects!$A$2:$A$20000,1,FALSE),""))</f>
        <v/>
      </c>
      <c r="AF609" s="2" t="str">
        <f>IF(D609="","",IFERROR(MATCH(D609,Projects!$A:$A,0),""))</f>
        <v/>
      </c>
    </row>
    <row r="610" spans="2:32" x14ac:dyDescent="0.25">
      <c r="B610" s="24"/>
      <c r="C610" s="136"/>
      <c r="D610" s="148"/>
      <c r="E610" s="136"/>
      <c r="F610" s="136"/>
      <c r="G610" s="136"/>
      <c r="H610" s="136"/>
      <c r="J610" s="136"/>
      <c r="K610" s="136"/>
      <c r="AE610" s="39" t="str">
        <f>IF(D610="","",IFERROR(VLOOKUP(D610,Projects!$A$2:$A$20000,1,FALSE),""))</f>
        <v/>
      </c>
      <c r="AF610" s="2" t="str">
        <f>IF(D610="","",IFERROR(MATCH(D610,Projects!$A:$A,0),""))</f>
        <v/>
      </c>
    </row>
    <row r="611" spans="2:32" x14ac:dyDescent="0.25">
      <c r="B611" s="24"/>
      <c r="C611" s="136"/>
      <c r="D611" s="148"/>
      <c r="E611" s="136"/>
      <c r="F611" s="136"/>
      <c r="G611" s="136"/>
      <c r="H611" s="136"/>
      <c r="J611" s="136"/>
      <c r="K611" s="136"/>
      <c r="AE611" s="39" t="str">
        <f>IF(D611="","",IFERROR(VLOOKUP(D611,Projects!$A$2:$A$20000,1,FALSE),""))</f>
        <v/>
      </c>
      <c r="AF611" s="2" t="str">
        <f>IF(D611="","",IFERROR(MATCH(D611,Projects!$A:$A,0),""))</f>
        <v/>
      </c>
    </row>
    <row r="612" spans="2:32" x14ac:dyDescent="0.25">
      <c r="B612" s="24"/>
      <c r="C612" s="136"/>
      <c r="D612" s="148"/>
      <c r="E612" s="136"/>
      <c r="F612" s="136"/>
      <c r="G612" s="136"/>
      <c r="H612" s="136"/>
      <c r="J612" s="136"/>
      <c r="K612" s="136"/>
      <c r="AE612" s="39" t="str">
        <f>IF(D612="","",IFERROR(VLOOKUP(D612,Projects!$A$2:$A$20000,1,FALSE),""))</f>
        <v/>
      </c>
      <c r="AF612" s="2" t="str">
        <f>IF(D612="","",IFERROR(MATCH(D612,Projects!$A:$A,0),""))</f>
        <v/>
      </c>
    </row>
    <row r="613" spans="2:32" x14ac:dyDescent="0.25">
      <c r="B613" s="24"/>
      <c r="C613" s="136"/>
      <c r="D613" s="148"/>
      <c r="E613" s="136"/>
      <c r="F613" s="136"/>
      <c r="G613" s="136"/>
      <c r="H613" s="136"/>
      <c r="J613" s="136"/>
      <c r="K613" s="136"/>
      <c r="AE613" s="39" t="str">
        <f>IF(D613="","",IFERROR(VLOOKUP(D613,Projects!$A$2:$A$20000,1,FALSE),""))</f>
        <v/>
      </c>
      <c r="AF613" s="2" t="str">
        <f>IF(D613="","",IFERROR(MATCH(D613,Projects!$A:$A,0),""))</f>
        <v/>
      </c>
    </row>
    <row r="614" spans="2:32" x14ac:dyDescent="0.25">
      <c r="B614" s="24"/>
      <c r="C614" s="136"/>
      <c r="D614" s="148"/>
      <c r="E614" s="136"/>
      <c r="F614" s="136"/>
      <c r="G614" s="136"/>
      <c r="H614" s="136"/>
      <c r="J614" s="136"/>
      <c r="K614" s="136"/>
      <c r="AE614" s="39" t="str">
        <f>IF(D614="","",IFERROR(VLOOKUP(D614,Projects!$A$2:$A$20000,1,FALSE),""))</f>
        <v/>
      </c>
      <c r="AF614" s="2" t="str">
        <f>IF(D614="","",IFERROR(MATCH(D614,Projects!$A:$A,0),""))</f>
        <v/>
      </c>
    </row>
    <row r="615" spans="2:32" x14ac:dyDescent="0.25">
      <c r="B615" s="24"/>
      <c r="C615" s="136"/>
      <c r="D615" s="148"/>
      <c r="E615" s="136"/>
      <c r="F615" s="136"/>
      <c r="G615" s="136"/>
      <c r="H615" s="136"/>
      <c r="J615" s="136"/>
      <c r="K615" s="136"/>
      <c r="AE615" s="39" t="str">
        <f>IF(D615="","",IFERROR(VLOOKUP(D615,Projects!$A$2:$A$20000,1,FALSE),""))</f>
        <v/>
      </c>
      <c r="AF615" s="2" t="str">
        <f>IF(D615="","",IFERROR(MATCH(D615,Projects!$A:$A,0),""))</f>
        <v/>
      </c>
    </row>
    <row r="616" spans="2:32" x14ac:dyDescent="0.25">
      <c r="B616" s="24"/>
      <c r="C616" s="136"/>
      <c r="D616" s="148"/>
      <c r="E616" s="136"/>
      <c r="F616" s="136"/>
      <c r="G616" s="136"/>
      <c r="H616" s="136"/>
      <c r="J616" s="136"/>
      <c r="K616" s="136"/>
      <c r="AE616" s="39" t="str">
        <f>IF(D616="","",IFERROR(VLOOKUP(D616,Projects!$A$2:$A$20000,1,FALSE),""))</f>
        <v/>
      </c>
      <c r="AF616" s="2" t="str">
        <f>IF(D616="","",IFERROR(MATCH(D616,Projects!$A:$A,0),""))</f>
        <v/>
      </c>
    </row>
    <row r="617" spans="2:32" x14ac:dyDescent="0.25">
      <c r="B617" s="24"/>
      <c r="C617" s="136"/>
      <c r="D617" s="148"/>
      <c r="E617" s="136"/>
      <c r="F617" s="136"/>
      <c r="G617" s="136"/>
      <c r="H617" s="136"/>
      <c r="J617" s="136"/>
      <c r="K617" s="136"/>
      <c r="AE617" s="39" t="str">
        <f>IF(D617="","",IFERROR(VLOOKUP(D617,Projects!$A$2:$A$20000,1,FALSE),""))</f>
        <v/>
      </c>
      <c r="AF617" s="2" t="str">
        <f>IF(D617="","",IFERROR(MATCH(D617,Projects!$A:$A,0),""))</f>
        <v/>
      </c>
    </row>
    <row r="618" spans="2:32" x14ac:dyDescent="0.25">
      <c r="B618" s="24"/>
      <c r="C618" s="136"/>
      <c r="D618" s="148"/>
      <c r="E618" s="136"/>
      <c r="F618" s="136"/>
      <c r="G618" s="136"/>
      <c r="H618" s="136"/>
      <c r="J618" s="136"/>
      <c r="K618" s="136"/>
      <c r="AE618" s="39" t="str">
        <f>IF(D618="","",IFERROR(VLOOKUP(D618,Projects!$A$2:$A$20000,1,FALSE),""))</f>
        <v/>
      </c>
      <c r="AF618" s="2" t="str">
        <f>IF(D618="","",IFERROR(MATCH(D618,Projects!$A:$A,0),""))</f>
        <v/>
      </c>
    </row>
    <row r="619" spans="2:32" x14ac:dyDescent="0.25">
      <c r="B619" s="24"/>
      <c r="C619" s="136"/>
      <c r="D619" s="148"/>
      <c r="E619" s="136"/>
      <c r="F619" s="136"/>
      <c r="G619" s="136"/>
      <c r="H619" s="136"/>
      <c r="J619" s="136"/>
      <c r="K619" s="136"/>
      <c r="AE619" s="39" t="str">
        <f>IF(D619="","",IFERROR(VLOOKUP(D619,Projects!$A$2:$A$20000,1,FALSE),""))</f>
        <v/>
      </c>
      <c r="AF619" s="2" t="str">
        <f>IF(D619="","",IFERROR(MATCH(D619,Projects!$A:$A,0),""))</f>
        <v/>
      </c>
    </row>
    <row r="620" spans="2:32" x14ac:dyDescent="0.25">
      <c r="B620" s="24"/>
      <c r="C620" s="136"/>
      <c r="D620" s="148"/>
      <c r="E620" s="136"/>
      <c r="F620" s="136"/>
      <c r="G620" s="136"/>
      <c r="H620" s="136"/>
      <c r="J620" s="136"/>
      <c r="K620" s="136"/>
      <c r="AE620" s="39" t="str">
        <f>IF(D620="","",IFERROR(VLOOKUP(D620,Projects!$A$2:$A$20000,1,FALSE),""))</f>
        <v/>
      </c>
      <c r="AF620" s="2" t="str">
        <f>IF(D620="","",IFERROR(MATCH(D620,Projects!$A:$A,0),""))</f>
        <v/>
      </c>
    </row>
    <row r="621" spans="2:32" x14ac:dyDescent="0.25">
      <c r="B621" s="24"/>
      <c r="C621" s="136"/>
      <c r="D621" s="148"/>
      <c r="E621" s="136"/>
      <c r="F621" s="136"/>
      <c r="G621" s="136"/>
      <c r="H621" s="136"/>
      <c r="J621" s="136"/>
      <c r="K621" s="136"/>
      <c r="AE621" s="39" t="str">
        <f>IF(D621="","",IFERROR(VLOOKUP(D621,Projects!$A$2:$A$20000,1,FALSE),""))</f>
        <v/>
      </c>
      <c r="AF621" s="2" t="str">
        <f>IF(D621="","",IFERROR(MATCH(D621,Projects!$A:$A,0),""))</f>
        <v/>
      </c>
    </row>
    <row r="622" spans="2:32" x14ac:dyDescent="0.25">
      <c r="B622" s="24"/>
      <c r="C622" s="136"/>
      <c r="D622" s="148"/>
      <c r="E622" s="136"/>
      <c r="F622" s="136"/>
      <c r="G622" s="136"/>
      <c r="H622" s="136"/>
      <c r="J622" s="136"/>
      <c r="K622" s="136"/>
      <c r="AE622" s="39" t="str">
        <f>IF(D622="","",IFERROR(VLOOKUP(D622,Projects!$A$2:$A$20000,1,FALSE),""))</f>
        <v/>
      </c>
      <c r="AF622" s="2" t="str">
        <f>IF(D622="","",IFERROR(MATCH(D622,Projects!$A:$A,0),""))</f>
        <v/>
      </c>
    </row>
    <row r="623" spans="2:32" x14ac:dyDescent="0.25">
      <c r="B623" s="24"/>
      <c r="C623" s="136"/>
      <c r="D623" s="148"/>
      <c r="E623" s="136"/>
      <c r="F623" s="136"/>
      <c r="G623" s="136"/>
      <c r="H623" s="136"/>
      <c r="J623" s="136"/>
      <c r="K623" s="136"/>
      <c r="AE623" s="39" t="str">
        <f>IF(D623="","",IFERROR(VLOOKUP(D623,Projects!$A$2:$A$20000,1,FALSE),""))</f>
        <v/>
      </c>
      <c r="AF623" s="2" t="str">
        <f>IF(D623="","",IFERROR(MATCH(D623,Projects!$A:$A,0),""))</f>
        <v/>
      </c>
    </row>
    <row r="624" spans="2:32" x14ac:dyDescent="0.25">
      <c r="B624" s="24"/>
      <c r="C624" s="136"/>
      <c r="D624" s="148"/>
      <c r="E624" s="136"/>
      <c r="F624" s="136"/>
      <c r="G624" s="136"/>
      <c r="H624" s="136"/>
      <c r="J624" s="136"/>
      <c r="K624" s="136"/>
      <c r="AE624" s="39" t="str">
        <f>IF(D624="","",IFERROR(VLOOKUP(D624,Projects!$A$2:$A$20000,1,FALSE),""))</f>
        <v/>
      </c>
      <c r="AF624" s="2" t="str">
        <f>IF(D624="","",IFERROR(MATCH(D624,Projects!$A:$A,0),""))</f>
        <v/>
      </c>
    </row>
    <row r="625" spans="2:32" x14ac:dyDescent="0.25">
      <c r="B625" s="24"/>
      <c r="C625" s="136"/>
      <c r="D625" s="148"/>
      <c r="E625" s="136"/>
      <c r="F625" s="136"/>
      <c r="G625" s="136"/>
      <c r="H625" s="136"/>
      <c r="J625" s="136"/>
      <c r="K625" s="136"/>
      <c r="AE625" s="39" t="str">
        <f>IF(D625="","",IFERROR(VLOOKUP(D625,Projects!$A$2:$A$20000,1,FALSE),""))</f>
        <v/>
      </c>
      <c r="AF625" s="2" t="str">
        <f>IF(D625="","",IFERROR(MATCH(D625,Projects!$A:$A,0),""))</f>
        <v/>
      </c>
    </row>
    <row r="626" spans="2:32" x14ac:dyDescent="0.25">
      <c r="B626" s="24"/>
      <c r="C626" s="136"/>
      <c r="D626" s="148"/>
      <c r="E626" s="136"/>
      <c r="F626" s="136"/>
      <c r="G626" s="136"/>
      <c r="H626" s="136"/>
      <c r="J626" s="136"/>
      <c r="K626" s="136"/>
      <c r="AE626" s="39" t="str">
        <f>IF(D626="","",IFERROR(VLOOKUP(D626,Projects!$A$2:$A$20000,1,FALSE),""))</f>
        <v/>
      </c>
      <c r="AF626" s="2" t="str">
        <f>IF(D626="","",IFERROR(MATCH(D626,Projects!$A:$A,0),""))</f>
        <v/>
      </c>
    </row>
    <row r="627" spans="2:32" x14ac:dyDescent="0.25">
      <c r="B627" s="24"/>
      <c r="C627" s="136"/>
      <c r="D627" s="148"/>
      <c r="E627" s="136"/>
      <c r="F627" s="136"/>
      <c r="G627" s="136"/>
      <c r="H627" s="136"/>
      <c r="J627" s="136"/>
      <c r="K627" s="136"/>
      <c r="AE627" s="39" t="str">
        <f>IF(D627="","",IFERROR(VLOOKUP(D627,Projects!$A$2:$A$20000,1,FALSE),""))</f>
        <v/>
      </c>
      <c r="AF627" s="2" t="str">
        <f>IF(D627="","",IFERROR(MATCH(D627,Projects!$A:$A,0),""))</f>
        <v/>
      </c>
    </row>
    <row r="628" spans="2:32" x14ac:dyDescent="0.25">
      <c r="B628" s="24"/>
      <c r="C628" s="136"/>
      <c r="D628" s="148"/>
      <c r="E628" s="136"/>
      <c r="F628" s="136"/>
      <c r="G628" s="136"/>
      <c r="H628" s="136"/>
      <c r="J628" s="136"/>
      <c r="K628" s="136"/>
      <c r="AE628" s="39" t="str">
        <f>IF(D628="","",IFERROR(VLOOKUP(D628,Projects!$A$2:$A$20000,1,FALSE),""))</f>
        <v/>
      </c>
      <c r="AF628" s="2" t="str">
        <f>IF(D628="","",IFERROR(MATCH(D628,Projects!$A:$A,0),""))</f>
        <v/>
      </c>
    </row>
    <row r="629" spans="2:32" x14ac:dyDescent="0.25">
      <c r="B629" s="24"/>
      <c r="C629" s="136"/>
      <c r="D629" s="148"/>
      <c r="E629" s="136"/>
      <c r="F629" s="136"/>
      <c r="G629" s="136"/>
      <c r="H629" s="136"/>
      <c r="J629" s="136"/>
      <c r="K629" s="136"/>
      <c r="AE629" s="39" t="str">
        <f>IF(D629="","",IFERROR(VLOOKUP(D629,Projects!$A$2:$A$20000,1,FALSE),""))</f>
        <v/>
      </c>
      <c r="AF629" s="2" t="str">
        <f>IF(D629="","",IFERROR(MATCH(D629,Projects!$A:$A,0),""))</f>
        <v/>
      </c>
    </row>
    <row r="630" spans="2:32" x14ac:dyDescent="0.25">
      <c r="B630" s="24"/>
      <c r="C630" s="136"/>
      <c r="D630" s="148"/>
      <c r="E630" s="136"/>
      <c r="F630" s="136"/>
      <c r="G630" s="136"/>
      <c r="H630" s="136"/>
      <c r="J630" s="136"/>
      <c r="K630" s="136"/>
      <c r="AE630" s="39" t="str">
        <f>IF(D630="","",IFERROR(VLOOKUP(D630,Projects!$A$2:$A$20000,1,FALSE),""))</f>
        <v/>
      </c>
      <c r="AF630" s="2" t="str">
        <f>IF(D630="","",IFERROR(MATCH(D630,Projects!$A:$A,0),""))</f>
        <v/>
      </c>
    </row>
    <row r="631" spans="2:32" x14ac:dyDescent="0.25">
      <c r="B631" s="24"/>
      <c r="C631" s="136"/>
      <c r="D631" s="148"/>
      <c r="E631" s="136"/>
      <c r="F631" s="136"/>
      <c r="G631" s="136"/>
      <c r="H631" s="136"/>
      <c r="J631" s="136"/>
      <c r="K631" s="136"/>
      <c r="AE631" s="39" t="str">
        <f>IF(D631="","",IFERROR(VLOOKUP(D631,Projects!$A$2:$A$20000,1,FALSE),""))</f>
        <v/>
      </c>
      <c r="AF631" s="2" t="str">
        <f>IF(D631="","",IFERROR(MATCH(D631,Projects!$A:$A,0),""))</f>
        <v/>
      </c>
    </row>
    <row r="632" spans="2:32" x14ac:dyDescent="0.25">
      <c r="B632" s="24"/>
      <c r="C632" s="136"/>
      <c r="D632" s="148"/>
      <c r="E632" s="136"/>
      <c r="F632" s="136"/>
      <c r="G632" s="136"/>
      <c r="H632" s="136"/>
      <c r="J632" s="136"/>
      <c r="K632" s="136"/>
      <c r="AE632" s="39" t="str">
        <f>IF(D632="","",IFERROR(VLOOKUP(D632,Projects!$A$2:$A$20000,1,FALSE),""))</f>
        <v/>
      </c>
      <c r="AF632" s="2" t="str">
        <f>IF(D632="","",IFERROR(MATCH(D632,Projects!$A:$A,0),""))</f>
        <v/>
      </c>
    </row>
    <row r="633" spans="2:32" x14ac:dyDescent="0.25">
      <c r="B633" s="24"/>
      <c r="C633" s="136"/>
      <c r="D633" s="148"/>
      <c r="E633" s="136"/>
      <c r="F633" s="136"/>
      <c r="G633" s="136"/>
      <c r="H633" s="136"/>
      <c r="J633" s="136"/>
      <c r="K633" s="136"/>
      <c r="AE633" s="39" t="str">
        <f>IF(D633="","",IFERROR(VLOOKUP(D633,Projects!$A$2:$A$20000,1,FALSE),""))</f>
        <v/>
      </c>
      <c r="AF633" s="2" t="str">
        <f>IF(D633="","",IFERROR(MATCH(D633,Projects!$A:$A,0),""))</f>
        <v/>
      </c>
    </row>
    <row r="634" spans="2:32" x14ac:dyDescent="0.25">
      <c r="B634" s="24"/>
      <c r="C634" s="136"/>
      <c r="D634" s="148"/>
      <c r="E634" s="136"/>
      <c r="F634" s="136"/>
      <c r="G634" s="136"/>
      <c r="H634" s="136"/>
      <c r="J634" s="136"/>
      <c r="K634" s="136"/>
      <c r="AE634" s="39" t="str">
        <f>IF(D634="","",IFERROR(VLOOKUP(D634,Projects!$A$2:$A$20000,1,FALSE),""))</f>
        <v/>
      </c>
      <c r="AF634" s="2" t="str">
        <f>IF(D634="","",IFERROR(MATCH(D634,Projects!$A:$A,0),""))</f>
        <v/>
      </c>
    </row>
    <row r="635" spans="2:32" x14ac:dyDescent="0.25">
      <c r="B635" s="24"/>
      <c r="C635" s="136"/>
      <c r="D635" s="148"/>
      <c r="E635" s="136"/>
      <c r="F635" s="136"/>
      <c r="G635" s="136"/>
      <c r="H635" s="136"/>
      <c r="J635" s="136"/>
      <c r="K635" s="136"/>
      <c r="AE635" s="39" t="str">
        <f>IF(D635="","",IFERROR(VLOOKUP(D635,Projects!$A$2:$A$20000,1,FALSE),""))</f>
        <v/>
      </c>
      <c r="AF635" s="2" t="str">
        <f>IF(D635="","",IFERROR(MATCH(D635,Projects!$A:$A,0),""))</f>
        <v/>
      </c>
    </row>
    <row r="636" spans="2:32" x14ac:dyDescent="0.25">
      <c r="B636" s="24"/>
      <c r="C636" s="136"/>
      <c r="D636" s="148"/>
      <c r="E636" s="136"/>
      <c r="F636" s="136"/>
      <c r="G636" s="136"/>
      <c r="H636" s="136"/>
      <c r="J636" s="136"/>
      <c r="K636" s="136"/>
      <c r="AE636" s="39" t="str">
        <f>IF(D636="","",IFERROR(VLOOKUP(D636,Projects!$A$2:$A$20000,1,FALSE),""))</f>
        <v/>
      </c>
      <c r="AF636" s="2" t="str">
        <f>IF(D636="","",IFERROR(MATCH(D636,Projects!$A:$A,0),""))</f>
        <v/>
      </c>
    </row>
    <row r="637" spans="2:32" x14ac:dyDescent="0.25">
      <c r="B637" s="24"/>
      <c r="C637" s="136"/>
      <c r="D637" s="148"/>
      <c r="E637" s="136"/>
      <c r="F637" s="136"/>
      <c r="G637" s="136"/>
      <c r="H637" s="136"/>
      <c r="J637" s="136"/>
      <c r="K637" s="136"/>
      <c r="AE637" s="39" t="str">
        <f>IF(D637="","",IFERROR(VLOOKUP(D637,Projects!$A$2:$A$20000,1,FALSE),""))</f>
        <v/>
      </c>
      <c r="AF637" s="2" t="str">
        <f>IF(D637="","",IFERROR(MATCH(D637,Projects!$A:$A,0),""))</f>
        <v/>
      </c>
    </row>
    <row r="638" spans="2:32" x14ac:dyDescent="0.25">
      <c r="B638" s="24"/>
      <c r="C638" s="136"/>
      <c r="D638" s="148"/>
      <c r="E638" s="136"/>
      <c r="F638" s="136"/>
      <c r="G638" s="136"/>
      <c r="H638" s="136"/>
      <c r="J638" s="136"/>
      <c r="K638" s="136"/>
      <c r="AE638" s="39" t="str">
        <f>IF(D638="","",IFERROR(VLOOKUP(D638,Projects!$A$2:$A$20000,1,FALSE),""))</f>
        <v/>
      </c>
      <c r="AF638" s="2" t="str">
        <f>IF(D638="","",IFERROR(MATCH(D638,Projects!$A:$A,0),""))</f>
        <v/>
      </c>
    </row>
    <row r="639" spans="2:32" x14ac:dyDescent="0.25">
      <c r="B639" s="24"/>
      <c r="C639" s="136"/>
      <c r="D639" s="148"/>
      <c r="E639" s="136"/>
      <c r="F639" s="136"/>
      <c r="G639" s="136"/>
      <c r="H639" s="136"/>
      <c r="J639" s="136"/>
      <c r="K639" s="136"/>
      <c r="AE639" s="39" t="str">
        <f>IF(D639="","",IFERROR(VLOOKUP(D639,Projects!$A$2:$A$20000,1,FALSE),""))</f>
        <v/>
      </c>
      <c r="AF639" s="2" t="str">
        <f>IF(D639="","",IFERROR(MATCH(D639,Projects!$A:$A,0),""))</f>
        <v/>
      </c>
    </row>
    <row r="640" spans="2:32" x14ac:dyDescent="0.25">
      <c r="B640" s="24"/>
      <c r="C640" s="136"/>
      <c r="D640" s="148"/>
      <c r="E640" s="136"/>
      <c r="F640" s="136"/>
      <c r="G640" s="136"/>
      <c r="H640" s="136"/>
      <c r="J640" s="136"/>
      <c r="K640" s="136"/>
      <c r="AE640" s="39" t="str">
        <f>IF(D640="","",IFERROR(VLOOKUP(D640,Projects!$A$2:$A$20000,1,FALSE),""))</f>
        <v/>
      </c>
      <c r="AF640" s="2" t="str">
        <f>IF(D640="","",IFERROR(MATCH(D640,Projects!$A:$A,0),""))</f>
        <v/>
      </c>
    </row>
    <row r="641" spans="2:32" x14ac:dyDescent="0.25">
      <c r="B641" s="24"/>
      <c r="C641" s="136"/>
      <c r="D641" s="148"/>
      <c r="E641" s="136"/>
      <c r="F641" s="136"/>
      <c r="G641" s="136"/>
      <c r="H641" s="136"/>
      <c r="J641" s="136"/>
      <c r="K641" s="136"/>
      <c r="AE641" s="39" t="str">
        <f>IF(D641="","",IFERROR(VLOOKUP(D641,Projects!$A$2:$A$20000,1,FALSE),""))</f>
        <v/>
      </c>
      <c r="AF641" s="2" t="str">
        <f>IF(D641="","",IFERROR(MATCH(D641,Projects!$A:$A,0),""))</f>
        <v/>
      </c>
    </row>
    <row r="642" spans="2:32" x14ac:dyDescent="0.25">
      <c r="B642" s="24"/>
      <c r="C642" s="136"/>
      <c r="D642" s="148"/>
      <c r="E642" s="136"/>
      <c r="F642" s="136"/>
      <c r="G642" s="136"/>
      <c r="H642" s="136"/>
      <c r="J642" s="136"/>
      <c r="K642" s="136"/>
      <c r="AE642" s="39" t="str">
        <f>IF(D642="","",IFERROR(VLOOKUP(D642,Projects!$A$2:$A$20000,1,FALSE),""))</f>
        <v/>
      </c>
      <c r="AF642" s="2" t="str">
        <f>IF(D642="","",IFERROR(MATCH(D642,Projects!$A:$A,0),""))</f>
        <v/>
      </c>
    </row>
    <row r="643" spans="2:32" x14ac:dyDescent="0.25">
      <c r="B643" s="24"/>
      <c r="C643" s="136"/>
      <c r="D643" s="148"/>
      <c r="E643" s="136"/>
      <c r="F643" s="136"/>
      <c r="G643" s="136"/>
      <c r="H643" s="136"/>
      <c r="J643" s="136"/>
      <c r="K643" s="136"/>
      <c r="AE643" s="39" t="str">
        <f>IF(D643="","",IFERROR(VLOOKUP(D643,Projects!$A$2:$A$20000,1,FALSE),""))</f>
        <v/>
      </c>
      <c r="AF643" s="2" t="str">
        <f>IF(D643="","",IFERROR(MATCH(D643,Projects!$A:$A,0),""))</f>
        <v/>
      </c>
    </row>
    <row r="644" spans="2:32" x14ac:dyDescent="0.25">
      <c r="B644" s="24"/>
      <c r="C644" s="136"/>
      <c r="D644" s="148"/>
      <c r="E644" s="136"/>
      <c r="F644" s="136"/>
      <c r="G644" s="136"/>
      <c r="H644" s="136"/>
      <c r="J644" s="136"/>
      <c r="K644" s="136"/>
      <c r="AE644" s="39" t="str">
        <f>IF(D644="","",IFERROR(VLOOKUP(D644,Projects!$A$2:$A$20000,1,FALSE),""))</f>
        <v/>
      </c>
      <c r="AF644" s="2" t="str">
        <f>IF(D644="","",IFERROR(MATCH(D644,Projects!$A:$A,0),""))</f>
        <v/>
      </c>
    </row>
    <row r="645" spans="2:32" x14ac:dyDescent="0.25">
      <c r="B645" s="24"/>
      <c r="C645" s="136"/>
      <c r="D645" s="148"/>
      <c r="E645" s="136"/>
      <c r="F645" s="136"/>
      <c r="G645" s="136"/>
      <c r="H645" s="136"/>
      <c r="J645" s="136"/>
      <c r="K645" s="136"/>
      <c r="AE645" s="39" t="str">
        <f>IF(D645="","",IFERROR(VLOOKUP(D645,Projects!$A$2:$A$20000,1,FALSE),""))</f>
        <v/>
      </c>
      <c r="AF645" s="2" t="str">
        <f>IF(D645="","",IFERROR(MATCH(D645,Projects!$A:$A,0),""))</f>
        <v/>
      </c>
    </row>
    <row r="646" spans="2:32" x14ac:dyDescent="0.25">
      <c r="B646" s="24"/>
      <c r="C646" s="136"/>
      <c r="D646" s="148"/>
      <c r="E646" s="136"/>
      <c r="F646" s="136"/>
      <c r="G646" s="136"/>
      <c r="H646" s="136"/>
      <c r="J646" s="136"/>
      <c r="K646" s="136"/>
      <c r="AE646" s="39" t="str">
        <f>IF(D646="","",IFERROR(VLOOKUP(D646,Projects!$A$2:$A$20000,1,FALSE),""))</f>
        <v/>
      </c>
      <c r="AF646" s="2" t="str">
        <f>IF(D646="","",IFERROR(MATCH(D646,Projects!$A:$A,0),""))</f>
        <v/>
      </c>
    </row>
    <row r="647" spans="2:32" x14ac:dyDescent="0.25">
      <c r="B647" s="24"/>
      <c r="C647" s="136"/>
      <c r="D647" s="148"/>
      <c r="E647" s="136"/>
      <c r="F647" s="136"/>
      <c r="G647" s="136"/>
      <c r="H647" s="136"/>
      <c r="J647" s="136"/>
      <c r="K647" s="136"/>
      <c r="AE647" s="39" t="str">
        <f>IF(D647="","",IFERROR(VLOOKUP(D647,Projects!$A$2:$A$20000,1,FALSE),""))</f>
        <v/>
      </c>
      <c r="AF647" s="2" t="str">
        <f>IF(D647="","",IFERROR(MATCH(D647,Projects!$A:$A,0),""))</f>
        <v/>
      </c>
    </row>
    <row r="648" spans="2:32" x14ac:dyDescent="0.25">
      <c r="B648" s="24"/>
      <c r="C648" s="136"/>
      <c r="D648" s="148"/>
      <c r="E648" s="136"/>
      <c r="F648" s="136"/>
      <c r="G648" s="136"/>
      <c r="H648" s="136"/>
      <c r="J648" s="136"/>
      <c r="K648" s="136"/>
      <c r="AE648" s="39" t="str">
        <f>IF(D648="","",IFERROR(VLOOKUP(D648,Projects!$A$2:$A$20000,1,FALSE),""))</f>
        <v/>
      </c>
      <c r="AF648" s="2" t="str">
        <f>IF(D648="","",IFERROR(MATCH(D648,Projects!$A:$A,0),""))</f>
        <v/>
      </c>
    </row>
    <row r="649" spans="2:32" x14ac:dyDescent="0.25">
      <c r="B649" s="24"/>
      <c r="C649" s="136"/>
      <c r="D649" s="148"/>
      <c r="E649" s="136"/>
      <c r="F649" s="136"/>
      <c r="G649" s="136"/>
      <c r="H649" s="136"/>
      <c r="J649" s="136"/>
      <c r="K649" s="136"/>
      <c r="AE649" s="39" t="str">
        <f>IF(D649="","",IFERROR(VLOOKUP(D649,Projects!$A$2:$A$20000,1,FALSE),""))</f>
        <v/>
      </c>
      <c r="AF649" s="2" t="str">
        <f>IF(D649="","",IFERROR(MATCH(D649,Projects!$A:$A,0),""))</f>
        <v/>
      </c>
    </row>
    <row r="650" spans="2:32" x14ac:dyDescent="0.25">
      <c r="B650" s="24"/>
      <c r="C650" s="136"/>
      <c r="D650" s="148"/>
      <c r="E650" s="136"/>
      <c r="F650" s="136"/>
      <c r="G650" s="136"/>
      <c r="H650" s="136"/>
      <c r="J650" s="136"/>
      <c r="K650" s="136"/>
      <c r="AE650" s="39" t="str">
        <f>IF(D650="","",IFERROR(VLOOKUP(D650,Projects!$A$2:$A$20000,1,FALSE),""))</f>
        <v/>
      </c>
      <c r="AF650" s="2" t="str">
        <f>IF(D650="","",IFERROR(MATCH(D650,Projects!$A:$A,0),""))</f>
        <v/>
      </c>
    </row>
    <row r="651" spans="2:32" x14ac:dyDescent="0.25">
      <c r="B651" s="24"/>
      <c r="C651" s="136"/>
      <c r="D651" s="148"/>
      <c r="E651" s="136"/>
      <c r="F651" s="136"/>
      <c r="G651" s="136"/>
      <c r="H651" s="136"/>
      <c r="J651" s="136"/>
      <c r="K651" s="136"/>
      <c r="AE651" s="39" t="str">
        <f>IF(D651="","",IFERROR(VLOOKUP(D651,Projects!$A$2:$A$20000,1,FALSE),""))</f>
        <v/>
      </c>
      <c r="AF651" s="2" t="str">
        <f>IF(D651="","",IFERROR(MATCH(D651,Projects!$A:$A,0),""))</f>
        <v/>
      </c>
    </row>
    <row r="652" spans="2:32" x14ac:dyDescent="0.25">
      <c r="B652" s="24"/>
      <c r="C652" s="136"/>
      <c r="D652" s="148"/>
      <c r="E652" s="136"/>
      <c r="F652" s="136"/>
      <c r="G652" s="136"/>
      <c r="H652" s="136"/>
      <c r="J652" s="136"/>
      <c r="K652" s="136"/>
      <c r="AE652" s="39" t="str">
        <f>IF(D652="","",IFERROR(VLOOKUP(D652,Projects!$A$2:$A$20000,1,FALSE),""))</f>
        <v/>
      </c>
      <c r="AF652" s="2" t="str">
        <f>IF(D652="","",IFERROR(MATCH(D652,Projects!$A:$A,0),""))</f>
        <v/>
      </c>
    </row>
    <row r="653" spans="2:32" x14ac:dyDescent="0.25">
      <c r="B653" s="24"/>
      <c r="C653" s="136"/>
      <c r="D653" s="148"/>
      <c r="E653" s="136"/>
      <c r="F653" s="136"/>
      <c r="G653" s="136"/>
      <c r="H653" s="136"/>
      <c r="J653" s="136"/>
      <c r="K653" s="136"/>
      <c r="AE653" s="39" t="str">
        <f>IF(D653="","",IFERROR(VLOOKUP(D653,Projects!$A$2:$A$20000,1,FALSE),""))</f>
        <v/>
      </c>
      <c r="AF653" s="2" t="str">
        <f>IF(D653="","",IFERROR(MATCH(D653,Projects!$A:$A,0),""))</f>
        <v/>
      </c>
    </row>
    <row r="654" spans="2:32" x14ac:dyDescent="0.25">
      <c r="B654" s="24"/>
      <c r="C654" s="136"/>
      <c r="D654" s="148"/>
      <c r="E654" s="136"/>
      <c r="F654" s="136"/>
      <c r="G654" s="136"/>
      <c r="H654" s="136"/>
      <c r="J654" s="136"/>
      <c r="K654" s="136"/>
      <c r="AE654" s="39" t="str">
        <f>IF(D654="","",IFERROR(VLOOKUP(D654,Projects!$A$2:$A$20000,1,FALSE),""))</f>
        <v/>
      </c>
      <c r="AF654" s="2" t="str">
        <f>IF(D654="","",IFERROR(MATCH(D654,Projects!$A:$A,0),""))</f>
        <v/>
      </c>
    </row>
    <row r="655" spans="2:32" x14ac:dyDescent="0.25">
      <c r="B655" s="24"/>
      <c r="C655" s="136"/>
      <c r="D655" s="148"/>
      <c r="E655" s="136"/>
      <c r="F655" s="136"/>
      <c r="G655" s="136"/>
      <c r="H655" s="136"/>
      <c r="J655" s="136"/>
      <c r="K655" s="136"/>
      <c r="AE655" s="39" t="str">
        <f>IF(D655="","",IFERROR(VLOOKUP(D655,Projects!$A$2:$A$20000,1,FALSE),""))</f>
        <v/>
      </c>
      <c r="AF655" s="2" t="str">
        <f>IF(D655="","",IFERROR(MATCH(D655,Projects!$A:$A,0),""))</f>
        <v/>
      </c>
    </row>
    <row r="656" spans="2:32" x14ac:dyDescent="0.25">
      <c r="B656" s="24"/>
      <c r="C656" s="136"/>
      <c r="D656" s="148"/>
      <c r="E656" s="136"/>
      <c r="F656" s="136"/>
      <c r="G656" s="136"/>
      <c r="H656" s="136"/>
      <c r="J656" s="136"/>
      <c r="K656" s="136"/>
      <c r="AE656" s="39" t="str">
        <f>IF(D656="","",IFERROR(VLOOKUP(D656,Projects!$A$2:$A$20000,1,FALSE),""))</f>
        <v/>
      </c>
      <c r="AF656" s="2" t="str">
        <f>IF(D656="","",IFERROR(MATCH(D656,Projects!$A:$A,0),""))</f>
        <v/>
      </c>
    </row>
    <row r="657" spans="2:32" x14ac:dyDescent="0.25">
      <c r="B657" s="24"/>
      <c r="C657" s="136"/>
      <c r="D657" s="148"/>
      <c r="E657" s="136"/>
      <c r="F657" s="136"/>
      <c r="G657" s="136"/>
      <c r="H657" s="136"/>
      <c r="J657" s="136"/>
      <c r="K657" s="136"/>
      <c r="AE657" s="39" t="str">
        <f>IF(D657="","",IFERROR(VLOOKUP(D657,Projects!$A$2:$A$20000,1,FALSE),""))</f>
        <v/>
      </c>
      <c r="AF657" s="2" t="str">
        <f>IF(D657="","",IFERROR(MATCH(D657,Projects!$A:$A,0),""))</f>
        <v/>
      </c>
    </row>
    <row r="658" spans="2:32" x14ac:dyDescent="0.25">
      <c r="B658" s="24"/>
      <c r="C658" s="136"/>
      <c r="D658" s="148"/>
      <c r="E658" s="136"/>
      <c r="F658" s="136"/>
      <c r="G658" s="136"/>
      <c r="H658" s="136"/>
      <c r="J658" s="136"/>
      <c r="K658" s="136"/>
      <c r="AE658" s="39" t="str">
        <f>IF(D658="","",IFERROR(VLOOKUP(D658,Projects!$A$2:$A$20000,1,FALSE),""))</f>
        <v/>
      </c>
      <c r="AF658" s="2" t="str">
        <f>IF(D658="","",IFERROR(MATCH(D658,Projects!$A:$A,0),""))</f>
        <v/>
      </c>
    </row>
    <row r="659" spans="2:32" x14ac:dyDescent="0.25">
      <c r="B659" s="24"/>
      <c r="C659" s="136"/>
      <c r="D659" s="148"/>
      <c r="E659" s="136"/>
      <c r="F659" s="136"/>
      <c r="G659" s="136"/>
      <c r="H659" s="136"/>
      <c r="J659" s="136"/>
      <c r="K659" s="136"/>
      <c r="AE659" s="39" t="str">
        <f>IF(D659="","",IFERROR(VLOOKUP(D659,Projects!$A$2:$A$20000,1,FALSE),""))</f>
        <v/>
      </c>
      <c r="AF659" s="2" t="str">
        <f>IF(D659="","",IFERROR(MATCH(D659,Projects!$A:$A,0),""))</f>
        <v/>
      </c>
    </row>
    <row r="660" spans="2:32" x14ac:dyDescent="0.25">
      <c r="B660" s="24"/>
      <c r="C660" s="136"/>
      <c r="D660" s="148"/>
      <c r="E660" s="136"/>
      <c r="F660" s="136"/>
      <c r="G660" s="136"/>
      <c r="H660" s="136"/>
      <c r="J660" s="136"/>
      <c r="K660" s="136"/>
      <c r="AE660" s="39" t="str">
        <f>IF(D660="","",IFERROR(VLOOKUP(D660,Projects!$A$2:$A$20000,1,FALSE),""))</f>
        <v/>
      </c>
      <c r="AF660" s="2" t="str">
        <f>IF(D660="","",IFERROR(MATCH(D660,Projects!$A:$A,0),""))</f>
        <v/>
      </c>
    </row>
    <row r="661" spans="2:32" x14ac:dyDescent="0.25">
      <c r="B661" s="24"/>
      <c r="C661" s="136"/>
      <c r="D661" s="148"/>
      <c r="E661" s="136"/>
      <c r="F661" s="136"/>
      <c r="G661" s="136"/>
      <c r="H661" s="136"/>
      <c r="J661" s="136"/>
      <c r="K661" s="136"/>
      <c r="AE661" s="39" t="str">
        <f>IF(D661="","",IFERROR(VLOOKUP(D661,Projects!$A$2:$A$20000,1,FALSE),""))</f>
        <v/>
      </c>
      <c r="AF661" s="2" t="str">
        <f>IF(D661="","",IFERROR(MATCH(D661,Projects!$A:$A,0),""))</f>
        <v/>
      </c>
    </row>
    <row r="662" spans="2:32" x14ac:dyDescent="0.25">
      <c r="B662" s="24"/>
      <c r="C662" s="136"/>
      <c r="D662" s="148"/>
      <c r="E662" s="136"/>
      <c r="F662" s="136"/>
      <c r="G662" s="136"/>
      <c r="H662" s="136"/>
      <c r="J662" s="136"/>
      <c r="K662" s="136"/>
      <c r="AE662" s="39" t="str">
        <f>IF(D662="","",IFERROR(VLOOKUP(D662,Projects!$A$2:$A$20000,1,FALSE),""))</f>
        <v/>
      </c>
      <c r="AF662" s="2" t="str">
        <f>IF(D662="","",IFERROR(MATCH(D662,Projects!$A:$A,0),""))</f>
        <v/>
      </c>
    </row>
    <row r="663" spans="2:32" x14ac:dyDescent="0.25">
      <c r="B663" s="24"/>
      <c r="C663" s="136"/>
      <c r="D663" s="148"/>
      <c r="E663" s="136"/>
      <c r="F663" s="136"/>
      <c r="G663" s="136"/>
      <c r="H663" s="136"/>
      <c r="J663" s="136"/>
      <c r="K663" s="136"/>
      <c r="AE663" s="39" t="str">
        <f>IF(D663="","",IFERROR(VLOOKUP(D663,Projects!$A$2:$A$20000,1,FALSE),""))</f>
        <v/>
      </c>
      <c r="AF663" s="2" t="str">
        <f>IF(D663="","",IFERROR(MATCH(D663,Projects!$A:$A,0),""))</f>
        <v/>
      </c>
    </row>
    <row r="664" spans="2:32" x14ac:dyDescent="0.25">
      <c r="B664" s="24"/>
      <c r="C664" s="136"/>
      <c r="D664" s="148"/>
      <c r="E664" s="136"/>
      <c r="F664" s="136"/>
      <c r="G664" s="136"/>
      <c r="H664" s="136"/>
      <c r="J664" s="136"/>
      <c r="K664" s="136"/>
      <c r="AE664" s="39" t="str">
        <f>IF(D664="","",IFERROR(VLOOKUP(D664,Projects!$A$2:$A$20000,1,FALSE),""))</f>
        <v/>
      </c>
      <c r="AF664" s="2" t="str">
        <f>IF(D664="","",IFERROR(MATCH(D664,Projects!$A:$A,0),""))</f>
        <v/>
      </c>
    </row>
    <row r="665" spans="2:32" x14ac:dyDescent="0.25">
      <c r="B665" s="24"/>
      <c r="C665" s="136"/>
      <c r="D665" s="148"/>
      <c r="E665" s="136"/>
      <c r="F665" s="136"/>
      <c r="G665" s="136"/>
      <c r="H665" s="136"/>
      <c r="J665" s="136"/>
      <c r="K665" s="136"/>
      <c r="AE665" s="39" t="str">
        <f>IF(D665="","",IFERROR(VLOOKUP(D665,Projects!$A$2:$A$20000,1,FALSE),""))</f>
        <v/>
      </c>
      <c r="AF665" s="2" t="str">
        <f>IF(D665="","",IFERROR(MATCH(D665,Projects!$A:$A,0),""))</f>
        <v/>
      </c>
    </row>
    <row r="666" spans="2:32" x14ac:dyDescent="0.25">
      <c r="B666" s="24"/>
      <c r="C666" s="136"/>
      <c r="D666" s="148"/>
      <c r="E666" s="136"/>
      <c r="F666" s="136"/>
      <c r="G666" s="136"/>
      <c r="H666" s="136"/>
      <c r="J666" s="136"/>
      <c r="K666" s="136"/>
      <c r="AE666" s="39" t="str">
        <f>IF(D666="","",IFERROR(VLOOKUP(D666,Projects!$A$2:$A$20000,1,FALSE),""))</f>
        <v/>
      </c>
      <c r="AF666" s="2" t="str">
        <f>IF(D666="","",IFERROR(MATCH(D666,Projects!$A:$A,0),""))</f>
        <v/>
      </c>
    </row>
    <row r="667" spans="2:32" x14ac:dyDescent="0.25">
      <c r="B667" s="24"/>
      <c r="C667" s="136"/>
      <c r="D667" s="148"/>
      <c r="E667" s="136"/>
      <c r="F667" s="136"/>
      <c r="G667" s="136"/>
      <c r="H667" s="136"/>
      <c r="J667" s="136"/>
      <c r="K667" s="136"/>
      <c r="AE667" s="39" t="str">
        <f>IF(D667="","",IFERROR(VLOOKUP(D667,Projects!$A$2:$A$20000,1,FALSE),""))</f>
        <v/>
      </c>
      <c r="AF667" s="2" t="str">
        <f>IF(D667="","",IFERROR(MATCH(D667,Projects!$A:$A,0),""))</f>
        <v/>
      </c>
    </row>
    <row r="668" spans="2:32" x14ac:dyDescent="0.25">
      <c r="B668" s="24"/>
      <c r="C668" s="136"/>
      <c r="D668" s="148"/>
      <c r="E668" s="136"/>
      <c r="F668" s="136"/>
      <c r="G668" s="136"/>
      <c r="H668" s="136"/>
      <c r="J668" s="136"/>
      <c r="K668" s="136"/>
      <c r="AE668" s="39" t="str">
        <f>IF(D668="","",IFERROR(VLOOKUP(D668,Projects!$A$2:$A$20000,1,FALSE),""))</f>
        <v/>
      </c>
      <c r="AF668" s="2" t="str">
        <f>IF(D668="","",IFERROR(MATCH(D668,Projects!$A:$A,0),""))</f>
        <v/>
      </c>
    </row>
    <row r="669" spans="2:32" x14ac:dyDescent="0.25">
      <c r="B669" s="24"/>
      <c r="C669" s="136"/>
      <c r="D669" s="148"/>
      <c r="E669" s="136"/>
      <c r="F669" s="136"/>
      <c r="G669" s="136"/>
      <c r="H669" s="136"/>
      <c r="J669" s="136"/>
      <c r="K669" s="136"/>
      <c r="AE669" s="39" t="str">
        <f>IF(D669="","",IFERROR(VLOOKUP(D669,Projects!$A$2:$A$20000,1,FALSE),""))</f>
        <v/>
      </c>
      <c r="AF669" s="2" t="str">
        <f>IF(D669="","",IFERROR(MATCH(D669,Projects!$A:$A,0),""))</f>
        <v/>
      </c>
    </row>
    <row r="670" spans="2:32" x14ac:dyDescent="0.25">
      <c r="B670" s="24"/>
      <c r="C670" s="136"/>
      <c r="D670" s="148"/>
      <c r="E670" s="136"/>
      <c r="F670" s="136"/>
      <c r="G670" s="136"/>
      <c r="H670" s="136"/>
      <c r="J670" s="136"/>
      <c r="K670" s="136"/>
      <c r="AE670" s="39" t="str">
        <f>IF(D670="","",IFERROR(VLOOKUP(D670,Projects!$A$2:$A$20000,1,FALSE),""))</f>
        <v/>
      </c>
      <c r="AF670" s="2" t="str">
        <f>IF(D670="","",IFERROR(MATCH(D670,Projects!$A:$A,0),""))</f>
        <v/>
      </c>
    </row>
    <row r="671" spans="2:32" x14ac:dyDescent="0.25">
      <c r="B671" s="24"/>
      <c r="C671" s="136"/>
      <c r="D671" s="148"/>
      <c r="E671" s="136"/>
      <c r="F671" s="136"/>
      <c r="G671" s="136"/>
      <c r="H671" s="136"/>
      <c r="J671" s="136"/>
      <c r="K671" s="136"/>
      <c r="AE671" s="39" t="str">
        <f>IF(D671="","",IFERROR(VLOOKUP(D671,Projects!$A$2:$A$20000,1,FALSE),""))</f>
        <v/>
      </c>
      <c r="AF671" s="2" t="str">
        <f>IF(D671="","",IFERROR(MATCH(D671,Projects!$A:$A,0),""))</f>
        <v/>
      </c>
    </row>
    <row r="672" spans="2:32" x14ac:dyDescent="0.25">
      <c r="B672" s="24"/>
      <c r="C672" s="136"/>
      <c r="D672" s="148"/>
      <c r="E672" s="136"/>
      <c r="F672" s="136"/>
      <c r="G672" s="136"/>
      <c r="H672" s="136"/>
      <c r="J672" s="136"/>
      <c r="K672" s="136"/>
      <c r="AE672" s="39" t="str">
        <f>IF(D672="","",IFERROR(VLOOKUP(D672,Projects!$A$2:$A$20000,1,FALSE),""))</f>
        <v/>
      </c>
      <c r="AF672" s="2" t="str">
        <f>IF(D672="","",IFERROR(MATCH(D672,Projects!$A:$A,0),""))</f>
        <v/>
      </c>
    </row>
    <row r="673" spans="2:32" x14ac:dyDescent="0.25">
      <c r="B673" s="24"/>
      <c r="C673" s="136"/>
      <c r="D673" s="148"/>
      <c r="E673" s="136"/>
      <c r="F673" s="136"/>
      <c r="G673" s="136"/>
      <c r="H673" s="136"/>
      <c r="J673" s="136"/>
      <c r="K673" s="136"/>
      <c r="AE673" s="39" t="str">
        <f>IF(D673="","",IFERROR(VLOOKUP(D673,Projects!$A$2:$A$20000,1,FALSE),""))</f>
        <v/>
      </c>
      <c r="AF673" s="2" t="str">
        <f>IF(D673="","",IFERROR(MATCH(D673,Projects!$A:$A,0),""))</f>
        <v/>
      </c>
    </row>
    <row r="674" spans="2:32" x14ac:dyDescent="0.25">
      <c r="B674" s="24"/>
      <c r="C674" s="136"/>
      <c r="D674" s="148"/>
      <c r="E674" s="136"/>
      <c r="F674" s="136"/>
      <c r="G674" s="136"/>
      <c r="H674" s="136"/>
      <c r="J674" s="136"/>
      <c r="K674" s="136"/>
      <c r="AE674" s="39" t="str">
        <f>IF(D674="","",IFERROR(VLOOKUP(D674,Projects!$A$2:$A$20000,1,FALSE),""))</f>
        <v/>
      </c>
      <c r="AF674" s="2" t="str">
        <f>IF(D674="","",IFERROR(MATCH(D674,Projects!$A:$A,0),""))</f>
        <v/>
      </c>
    </row>
    <row r="675" spans="2:32" x14ac:dyDescent="0.25">
      <c r="B675" s="24"/>
      <c r="C675" s="136"/>
      <c r="D675" s="148"/>
      <c r="E675" s="136"/>
      <c r="F675" s="136"/>
      <c r="G675" s="136"/>
      <c r="H675" s="136"/>
      <c r="J675" s="136"/>
      <c r="K675" s="136"/>
      <c r="AE675" s="39" t="str">
        <f>IF(D675="","",IFERROR(VLOOKUP(D675,Projects!$A$2:$A$20000,1,FALSE),""))</f>
        <v/>
      </c>
      <c r="AF675" s="2" t="str">
        <f>IF(D675="","",IFERROR(MATCH(D675,Projects!$A:$A,0),""))</f>
        <v/>
      </c>
    </row>
    <row r="676" spans="2:32" x14ac:dyDescent="0.25">
      <c r="B676" s="24"/>
      <c r="C676" s="136"/>
      <c r="D676" s="148"/>
      <c r="E676" s="136"/>
      <c r="F676" s="136"/>
      <c r="G676" s="136"/>
      <c r="H676" s="136"/>
      <c r="J676" s="136"/>
      <c r="K676" s="136"/>
      <c r="AE676" s="39" t="str">
        <f>IF(D676="","",IFERROR(VLOOKUP(D676,Projects!$A$2:$A$20000,1,FALSE),""))</f>
        <v/>
      </c>
      <c r="AF676" s="2" t="str">
        <f>IF(D676="","",IFERROR(MATCH(D676,Projects!$A:$A,0),""))</f>
        <v/>
      </c>
    </row>
    <row r="677" spans="2:32" x14ac:dyDescent="0.25">
      <c r="B677" s="24"/>
      <c r="C677" s="136"/>
      <c r="D677" s="148"/>
      <c r="E677" s="136"/>
      <c r="F677" s="136"/>
      <c r="G677" s="136"/>
      <c r="H677" s="136"/>
      <c r="J677" s="136"/>
      <c r="K677" s="136"/>
      <c r="AE677" s="39" t="str">
        <f>IF(D677="","",IFERROR(VLOOKUP(D677,Projects!$A$2:$A$20000,1,FALSE),""))</f>
        <v/>
      </c>
      <c r="AF677" s="2" t="str">
        <f>IF(D677="","",IFERROR(MATCH(D677,Projects!$A:$A,0),""))</f>
        <v/>
      </c>
    </row>
    <row r="678" spans="2:32" x14ac:dyDescent="0.25">
      <c r="B678" s="24"/>
      <c r="C678" s="136"/>
      <c r="D678" s="148"/>
      <c r="E678" s="136"/>
      <c r="F678" s="136"/>
      <c r="G678" s="136"/>
      <c r="H678" s="136"/>
      <c r="J678" s="136"/>
      <c r="K678" s="136"/>
      <c r="AE678" s="39" t="str">
        <f>IF(D678="","",IFERROR(VLOOKUP(D678,Projects!$A$2:$A$20000,1,FALSE),""))</f>
        <v/>
      </c>
      <c r="AF678" s="2" t="str">
        <f>IF(D678="","",IFERROR(MATCH(D678,Projects!$A:$A,0),""))</f>
        <v/>
      </c>
    </row>
    <row r="679" spans="2:32" x14ac:dyDescent="0.25">
      <c r="B679" s="24"/>
      <c r="C679" s="136"/>
      <c r="D679" s="148"/>
      <c r="E679" s="136"/>
      <c r="F679" s="136"/>
      <c r="G679" s="136"/>
      <c r="H679" s="136"/>
      <c r="J679" s="136"/>
      <c r="K679" s="136"/>
      <c r="AE679" s="39" t="str">
        <f>IF(D679="","",IFERROR(VLOOKUP(D679,Projects!$A$2:$A$20000,1,FALSE),""))</f>
        <v/>
      </c>
      <c r="AF679" s="2" t="str">
        <f>IF(D679="","",IFERROR(MATCH(D679,Projects!$A:$A,0),""))</f>
        <v/>
      </c>
    </row>
    <row r="680" spans="2:32" x14ac:dyDescent="0.25">
      <c r="B680" s="24"/>
      <c r="C680" s="136"/>
      <c r="D680" s="148"/>
      <c r="E680" s="136"/>
      <c r="F680" s="136"/>
      <c r="G680" s="136"/>
      <c r="H680" s="136"/>
      <c r="J680" s="136"/>
      <c r="K680" s="136"/>
      <c r="AE680" s="39" t="str">
        <f>IF(D680="","",IFERROR(VLOOKUP(D680,Projects!$A$2:$A$20000,1,FALSE),""))</f>
        <v/>
      </c>
      <c r="AF680" s="2" t="str">
        <f>IF(D680="","",IFERROR(MATCH(D680,Projects!$A:$A,0),""))</f>
        <v/>
      </c>
    </row>
    <row r="681" spans="2:32" x14ac:dyDescent="0.25">
      <c r="B681" s="24"/>
      <c r="C681" s="136"/>
      <c r="D681" s="148"/>
      <c r="E681" s="136"/>
      <c r="F681" s="136"/>
      <c r="G681" s="136"/>
      <c r="H681" s="136"/>
      <c r="J681" s="136"/>
      <c r="K681" s="136"/>
      <c r="AE681" s="39" t="str">
        <f>IF(D681="","",IFERROR(VLOOKUP(D681,Projects!$A$2:$A$20000,1,FALSE),""))</f>
        <v/>
      </c>
      <c r="AF681" s="2" t="str">
        <f>IF(D681="","",IFERROR(MATCH(D681,Projects!$A:$A,0),""))</f>
        <v/>
      </c>
    </row>
    <row r="682" spans="2:32" x14ac:dyDescent="0.25">
      <c r="B682" s="24"/>
      <c r="C682" s="136"/>
      <c r="D682" s="148"/>
      <c r="E682" s="136"/>
      <c r="F682" s="136"/>
      <c r="G682" s="136"/>
      <c r="H682" s="136"/>
      <c r="J682" s="136"/>
      <c r="K682" s="136"/>
      <c r="AE682" s="39" t="str">
        <f>IF(D682="","",IFERROR(VLOOKUP(D682,Projects!$A$2:$A$20000,1,FALSE),""))</f>
        <v/>
      </c>
      <c r="AF682" s="2" t="str">
        <f>IF(D682="","",IFERROR(MATCH(D682,Projects!$A:$A,0),""))</f>
        <v/>
      </c>
    </row>
    <row r="683" spans="2:32" x14ac:dyDescent="0.25">
      <c r="B683" s="24"/>
      <c r="C683" s="136"/>
      <c r="D683" s="148"/>
      <c r="E683" s="136"/>
      <c r="F683" s="136"/>
      <c r="G683" s="136"/>
      <c r="H683" s="136"/>
      <c r="J683" s="136"/>
      <c r="K683" s="136"/>
      <c r="AE683" s="39" t="str">
        <f>IF(D683="","",IFERROR(VLOOKUP(D683,Projects!$A$2:$A$20000,1,FALSE),""))</f>
        <v/>
      </c>
      <c r="AF683" s="2" t="str">
        <f>IF(D683="","",IFERROR(MATCH(D683,Projects!$A:$A,0),""))</f>
        <v/>
      </c>
    </row>
    <row r="684" spans="2:32" x14ac:dyDescent="0.25">
      <c r="B684" s="24"/>
      <c r="C684" s="136"/>
      <c r="D684" s="148"/>
      <c r="E684" s="136"/>
      <c r="F684" s="136"/>
      <c r="G684" s="136"/>
      <c r="H684" s="136"/>
      <c r="J684" s="136"/>
      <c r="K684" s="136"/>
      <c r="AE684" s="39" t="str">
        <f>IF(D684="","",IFERROR(VLOOKUP(D684,Projects!$A$2:$A$20000,1,FALSE),""))</f>
        <v/>
      </c>
      <c r="AF684" s="2" t="str">
        <f>IF(D684="","",IFERROR(MATCH(D684,Projects!$A:$A,0),""))</f>
        <v/>
      </c>
    </row>
    <row r="685" spans="2:32" x14ac:dyDescent="0.25">
      <c r="B685" s="24"/>
      <c r="C685" s="136"/>
      <c r="D685" s="148"/>
      <c r="E685" s="136"/>
      <c r="F685" s="136"/>
      <c r="G685" s="136"/>
      <c r="H685" s="136"/>
      <c r="J685" s="136"/>
      <c r="K685" s="136"/>
      <c r="AE685" s="39" t="str">
        <f>IF(D685="","",IFERROR(VLOOKUP(D685,Projects!$A$2:$A$20000,1,FALSE),""))</f>
        <v/>
      </c>
      <c r="AF685" s="2" t="str">
        <f>IF(D685="","",IFERROR(MATCH(D685,Projects!$A:$A,0),""))</f>
        <v/>
      </c>
    </row>
    <row r="686" spans="2:32" x14ac:dyDescent="0.25">
      <c r="B686" s="24"/>
      <c r="C686" s="136"/>
      <c r="D686" s="148"/>
      <c r="E686" s="136"/>
      <c r="F686" s="136"/>
      <c r="G686" s="136"/>
      <c r="H686" s="136"/>
      <c r="J686" s="136"/>
      <c r="K686" s="136"/>
      <c r="AE686" s="39" t="str">
        <f>IF(D686="","",IFERROR(VLOOKUP(D686,Projects!$A$2:$A$20000,1,FALSE),""))</f>
        <v/>
      </c>
      <c r="AF686" s="2" t="str">
        <f>IF(D686="","",IFERROR(MATCH(D686,Projects!$A:$A,0),""))</f>
        <v/>
      </c>
    </row>
    <row r="687" spans="2:32" x14ac:dyDescent="0.25">
      <c r="B687" s="24"/>
      <c r="C687" s="136"/>
      <c r="D687" s="148"/>
      <c r="E687" s="136"/>
      <c r="F687" s="136"/>
      <c r="G687" s="136"/>
      <c r="H687" s="136"/>
      <c r="J687" s="136"/>
      <c r="K687" s="136"/>
      <c r="AE687" s="39" t="str">
        <f>IF(D687="","",IFERROR(VLOOKUP(D687,Projects!$A$2:$A$20000,1,FALSE),""))</f>
        <v/>
      </c>
      <c r="AF687" s="2" t="str">
        <f>IF(D687="","",IFERROR(MATCH(D687,Projects!$A:$A,0),""))</f>
        <v/>
      </c>
    </row>
    <row r="688" spans="2:32" x14ac:dyDescent="0.25">
      <c r="B688" s="24"/>
      <c r="C688" s="136"/>
      <c r="D688" s="148"/>
      <c r="E688" s="136"/>
      <c r="F688" s="136"/>
      <c r="G688" s="136"/>
      <c r="H688" s="136"/>
      <c r="J688" s="136"/>
      <c r="K688" s="136"/>
      <c r="AE688" s="39" t="str">
        <f>IF(D688="","",IFERROR(VLOOKUP(D688,Projects!$A$2:$A$20000,1,FALSE),""))</f>
        <v/>
      </c>
      <c r="AF688" s="2" t="str">
        <f>IF(D688="","",IFERROR(MATCH(D688,Projects!$A:$A,0),""))</f>
        <v/>
      </c>
    </row>
    <row r="689" spans="2:32" x14ac:dyDescent="0.25">
      <c r="B689" s="24"/>
      <c r="C689" s="136"/>
      <c r="D689" s="148"/>
      <c r="E689" s="136"/>
      <c r="F689" s="136"/>
      <c r="G689" s="136"/>
      <c r="H689" s="136"/>
      <c r="J689" s="136"/>
      <c r="K689" s="136"/>
      <c r="AE689" s="39" t="str">
        <f>IF(D689="","",IFERROR(VLOOKUP(D689,Projects!$A$2:$A$20000,1,FALSE),""))</f>
        <v/>
      </c>
      <c r="AF689" s="2" t="str">
        <f>IF(D689="","",IFERROR(MATCH(D689,Projects!$A:$A,0),""))</f>
        <v/>
      </c>
    </row>
    <row r="690" spans="2:32" x14ac:dyDescent="0.25">
      <c r="B690" s="24"/>
      <c r="C690" s="136"/>
      <c r="D690" s="148"/>
      <c r="E690" s="136"/>
      <c r="F690" s="136"/>
      <c r="G690" s="136"/>
      <c r="H690" s="136"/>
      <c r="J690" s="136"/>
      <c r="K690" s="136"/>
      <c r="AE690" s="39" t="str">
        <f>IF(D690="","",IFERROR(VLOOKUP(D690,Projects!$A$2:$A$20000,1,FALSE),""))</f>
        <v/>
      </c>
      <c r="AF690" s="2" t="str">
        <f>IF(D690="","",IFERROR(MATCH(D690,Projects!$A:$A,0),""))</f>
        <v/>
      </c>
    </row>
    <row r="691" spans="2:32" x14ac:dyDescent="0.25">
      <c r="B691" s="24"/>
      <c r="C691" s="136"/>
      <c r="D691" s="148"/>
      <c r="E691" s="136"/>
      <c r="F691" s="136"/>
      <c r="G691" s="136"/>
      <c r="H691" s="136"/>
      <c r="J691" s="136"/>
      <c r="K691" s="136"/>
      <c r="AE691" s="39" t="str">
        <f>IF(D691="","",IFERROR(VLOOKUP(D691,Projects!$A$2:$A$20000,1,FALSE),""))</f>
        <v/>
      </c>
      <c r="AF691" s="2" t="str">
        <f>IF(D691="","",IFERROR(MATCH(D691,Projects!$A:$A,0),""))</f>
        <v/>
      </c>
    </row>
    <row r="692" spans="2:32" x14ac:dyDescent="0.25">
      <c r="B692" s="24"/>
      <c r="C692" s="136"/>
      <c r="D692" s="148"/>
      <c r="E692" s="136"/>
      <c r="F692" s="136"/>
      <c r="G692" s="136"/>
      <c r="H692" s="136"/>
      <c r="J692" s="136"/>
      <c r="K692" s="136"/>
      <c r="AE692" s="39" t="str">
        <f>IF(D692="","",IFERROR(VLOOKUP(D692,Projects!$A$2:$A$20000,1,FALSE),""))</f>
        <v/>
      </c>
      <c r="AF692" s="2" t="str">
        <f>IF(D692="","",IFERROR(MATCH(D692,Projects!$A:$A,0),""))</f>
        <v/>
      </c>
    </row>
    <row r="693" spans="2:32" x14ac:dyDescent="0.25">
      <c r="B693" s="24"/>
      <c r="C693" s="136"/>
      <c r="D693" s="148"/>
      <c r="E693" s="136"/>
      <c r="F693" s="136"/>
      <c r="G693" s="136"/>
      <c r="H693" s="136"/>
      <c r="J693" s="136"/>
      <c r="K693" s="136"/>
      <c r="AE693" s="39" t="str">
        <f>IF(D693="","",IFERROR(VLOOKUP(D693,Projects!$A$2:$A$20000,1,FALSE),""))</f>
        <v/>
      </c>
      <c r="AF693" s="2" t="str">
        <f>IF(D693="","",IFERROR(MATCH(D693,Projects!$A:$A,0),""))</f>
        <v/>
      </c>
    </row>
    <row r="694" spans="2:32" x14ac:dyDescent="0.25">
      <c r="B694" s="24"/>
      <c r="C694" s="136"/>
      <c r="D694" s="148"/>
      <c r="E694" s="136"/>
      <c r="F694" s="136"/>
      <c r="G694" s="136"/>
      <c r="H694" s="136"/>
      <c r="J694" s="136"/>
      <c r="K694" s="136"/>
      <c r="AE694" s="39" t="str">
        <f>IF(D694="","",IFERROR(VLOOKUP(D694,Projects!$A$2:$A$20000,1,FALSE),""))</f>
        <v/>
      </c>
      <c r="AF694" s="2" t="str">
        <f>IF(D694="","",IFERROR(MATCH(D694,Projects!$A:$A,0),""))</f>
        <v/>
      </c>
    </row>
    <row r="695" spans="2:32" x14ac:dyDescent="0.25">
      <c r="B695" s="24"/>
      <c r="C695" s="136"/>
      <c r="D695" s="148"/>
      <c r="E695" s="136"/>
      <c r="F695" s="136"/>
      <c r="G695" s="136"/>
      <c r="H695" s="136"/>
      <c r="J695" s="136"/>
      <c r="K695" s="136"/>
      <c r="AE695" s="39" t="str">
        <f>IF(D695="","",IFERROR(VLOOKUP(D695,Projects!$A$2:$A$20000,1,FALSE),""))</f>
        <v/>
      </c>
      <c r="AF695" s="2" t="str">
        <f>IF(D695="","",IFERROR(MATCH(D695,Projects!$A:$A,0),""))</f>
        <v/>
      </c>
    </row>
    <row r="696" spans="2:32" x14ac:dyDescent="0.25">
      <c r="B696" s="24"/>
      <c r="C696" s="136"/>
      <c r="D696" s="148"/>
      <c r="E696" s="136"/>
      <c r="F696" s="136"/>
      <c r="G696" s="136"/>
      <c r="H696" s="136"/>
      <c r="J696" s="136"/>
      <c r="K696" s="136"/>
      <c r="AE696" s="39" t="str">
        <f>IF(D696="","",IFERROR(VLOOKUP(D696,Projects!$A$2:$A$20000,1,FALSE),""))</f>
        <v/>
      </c>
      <c r="AF696" s="2" t="str">
        <f>IF(D696="","",IFERROR(MATCH(D696,Projects!$A:$A,0),""))</f>
        <v/>
      </c>
    </row>
    <row r="697" spans="2:32" x14ac:dyDescent="0.25">
      <c r="B697" s="24"/>
      <c r="C697" s="136"/>
      <c r="D697" s="148"/>
      <c r="E697" s="136"/>
      <c r="F697" s="136"/>
      <c r="G697" s="136"/>
      <c r="H697" s="136"/>
      <c r="J697" s="136"/>
      <c r="K697" s="136"/>
      <c r="AE697" s="39" t="str">
        <f>IF(D697="","",IFERROR(VLOOKUP(D697,Projects!$A$2:$A$20000,1,FALSE),""))</f>
        <v/>
      </c>
      <c r="AF697" s="2" t="str">
        <f>IF(D697="","",IFERROR(MATCH(D697,Projects!$A:$A,0),""))</f>
        <v/>
      </c>
    </row>
    <row r="698" spans="2:32" x14ac:dyDescent="0.25">
      <c r="B698" s="24"/>
      <c r="C698" s="136"/>
      <c r="D698" s="148"/>
      <c r="E698" s="136"/>
      <c r="F698" s="136"/>
      <c r="G698" s="136"/>
      <c r="H698" s="136"/>
      <c r="J698" s="136"/>
      <c r="K698" s="136"/>
      <c r="AE698" s="39" t="str">
        <f>IF(D698="","",IFERROR(VLOOKUP(D698,Projects!$A$2:$A$20000,1,FALSE),""))</f>
        <v/>
      </c>
      <c r="AF698" s="2" t="str">
        <f>IF(D698="","",IFERROR(MATCH(D698,Projects!$A:$A,0),""))</f>
        <v/>
      </c>
    </row>
    <row r="699" spans="2:32" x14ac:dyDescent="0.25">
      <c r="B699" s="24"/>
      <c r="C699" s="136"/>
      <c r="D699" s="148"/>
      <c r="E699" s="136"/>
      <c r="F699" s="136"/>
      <c r="G699" s="136"/>
      <c r="H699" s="136"/>
      <c r="J699" s="136"/>
      <c r="K699" s="136"/>
      <c r="AE699" s="39" t="str">
        <f>IF(D699="","",IFERROR(VLOOKUP(D699,Projects!$A$2:$A$20000,1,FALSE),""))</f>
        <v/>
      </c>
      <c r="AF699" s="2" t="str">
        <f>IF(D699="","",IFERROR(MATCH(D699,Projects!$A:$A,0),""))</f>
        <v/>
      </c>
    </row>
    <row r="700" spans="2:32" x14ac:dyDescent="0.25">
      <c r="B700" s="24"/>
      <c r="C700" s="136"/>
      <c r="D700" s="148"/>
      <c r="E700" s="136"/>
      <c r="F700" s="136"/>
      <c r="G700" s="136"/>
      <c r="H700" s="136"/>
      <c r="J700" s="136"/>
      <c r="K700" s="136"/>
      <c r="AE700" s="39" t="str">
        <f>IF(D700="","",IFERROR(VLOOKUP(D700,Projects!$A$2:$A$20000,1,FALSE),""))</f>
        <v/>
      </c>
      <c r="AF700" s="2" t="str">
        <f>IF(D700="","",IFERROR(MATCH(D700,Projects!$A:$A,0),""))</f>
        <v/>
      </c>
    </row>
    <row r="701" spans="2:32" x14ac:dyDescent="0.25">
      <c r="B701" s="24"/>
      <c r="C701" s="136"/>
      <c r="D701" s="148"/>
      <c r="E701" s="136"/>
      <c r="F701" s="136"/>
      <c r="G701" s="136"/>
      <c r="H701" s="136"/>
      <c r="J701" s="136"/>
      <c r="K701" s="136"/>
      <c r="AE701" s="39" t="str">
        <f>IF(D701="","",IFERROR(VLOOKUP(D701,Projects!$A$2:$A$20000,1,FALSE),""))</f>
        <v/>
      </c>
      <c r="AF701" s="2" t="str">
        <f>IF(D701="","",IFERROR(MATCH(D701,Projects!$A:$A,0),""))</f>
        <v/>
      </c>
    </row>
    <row r="702" spans="2:32" x14ac:dyDescent="0.25">
      <c r="B702" s="24"/>
      <c r="C702" s="136"/>
      <c r="D702" s="148"/>
      <c r="E702" s="136"/>
      <c r="F702" s="136"/>
      <c r="G702" s="136"/>
      <c r="H702" s="136"/>
      <c r="J702" s="136"/>
      <c r="K702" s="136"/>
      <c r="AE702" s="39" t="str">
        <f>IF(D702="","",IFERROR(VLOOKUP(D702,Projects!$A$2:$A$20000,1,FALSE),""))</f>
        <v/>
      </c>
      <c r="AF702" s="2" t="str">
        <f>IF(D702="","",IFERROR(MATCH(D702,Projects!$A:$A,0),""))</f>
        <v/>
      </c>
    </row>
    <row r="703" spans="2:32" x14ac:dyDescent="0.25">
      <c r="B703" s="24"/>
      <c r="C703" s="136"/>
      <c r="D703" s="148"/>
      <c r="E703" s="136"/>
      <c r="F703" s="136"/>
      <c r="G703" s="136"/>
      <c r="H703" s="136"/>
      <c r="J703" s="136"/>
      <c r="K703" s="136"/>
      <c r="AE703" s="39" t="str">
        <f>IF(D703="","",IFERROR(VLOOKUP(D703,Projects!$A$2:$A$20000,1,FALSE),""))</f>
        <v/>
      </c>
      <c r="AF703" s="2" t="str">
        <f>IF(D703="","",IFERROR(MATCH(D703,Projects!$A:$A,0),""))</f>
        <v/>
      </c>
    </row>
    <row r="704" spans="2:32" x14ac:dyDescent="0.25">
      <c r="B704" s="24"/>
      <c r="C704" s="136"/>
      <c r="D704" s="148"/>
      <c r="E704" s="136"/>
      <c r="F704" s="136"/>
      <c r="G704" s="136"/>
      <c r="H704" s="136"/>
      <c r="J704" s="136"/>
      <c r="K704" s="136"/>
      <c r="AE704" s="39" t="str">
        <f>IF(D704="","",IFERROR(VLOOKUP(D704,Projects!$A$2:$A$20000,1,FALSE),""))</f>
        <v/>
      </c>
      <c r="AF704" s="2" t="str">
        <f>IF(D704="","",IFERROR(MATCH(D704,Projects!$A:$A,0),""))</f>
        <v/>
      </c>
    </row>
    <row r="705" spans="2:32" x14ac:dyDescent="0.25">
      <c r="B705" s="24"/>
      <c r="C705" s="136"/>
      <c r="D705" s="148"/>
      <c r="E705" s="136"/>
      <c r="F705" s="136"/>
      <c r="G705" s="136"/>
      <c r="H705" s="136"/>
      <c r="J705" s="136"/>
      <c r="K705" s="136"/>
      <c r="AE705" s="39" t="str">
        <f>IF(D705="","",IFERROR(VLOOKUP(D705,Projects!$A$2:$A$20000,1,FALSE),""))</f>
        <v/>
      </c>
      <c r="AF705" s="2" t="str">
        <f>IF(D705="","",IFERROR(MATCH(D705,Projects!$A:$A,0),""))</f>
        <v/>
      </c>
    </row>
    <row r="706" spans="2:32" x14ac:dyDescent="0.25">
      <c r="B706" s="24"/>
      <c r="C706" s="136"/>
      <c r="D706" s="148"/>
      <c r="E706" s="136"/>
      <c r="F706" s="136"/>
      <c r="G706" s="136"/>
      <c r="H706" s="136"/>
      <c r="J706" s="136"/>
      <c r="K706" s="136"/>
      <c r="AE706" s="39" t="str">
        <f>IF(D706="","",IFERROR(VLOOKUP(D706,Projects!$A$2:$A$20000,1,FALSE),""))</f>
        <v/>
      </c>
      <c r="AF706" s="2" t="str">
        <f>IF(D706="","",IFERROR(MATCH(D706,Projects!$A:$A,0),""))</f>
        <v/>
      </c>
    </row>
    <row r="707" spans="2:32" x14ac:dyDescent="0.25">
      <c r="B707" s="24"/>
      <c r="C707" s="136"/>
      <c r="D707" s="148"/>
      <c r="E707" s="136"/>
      <c r="F707" s="136"/>
      <c r="G707" s="136"/>
      <c r="H707" s="136"/>
      <c r="J707" s="136"/>
      <c r="K707" s="136"/>
      <c r="AE707" s="39" t="str">
        <f>IF(D707="","",IFERROR(VLOOKUP(D707,Projects!$A$2:$A$20000,1,FALSE),""))</f>
        <v/>
      </c>
      <c r="AF707" s="2" t="str">
        <f>IF(D707="","",IFERROR(MATCH(D707,Projects!$A:$A,0),""))</f>
        <v/>
      </c>
    </row>
    <row r="708" spans="2:32" x14ac:dyDescent="0.25">
      <c r="B708" s="24"/>
      <c r="C708" s="136"/>
      <c r="D708" s="148"/>
      <c r="E708" s="136"/>
      <c r="F708" s="136"/>
      <c r="G708" s="136"/>
      <c r="H708" s="136"/>
      <c r="J708" s="136"/>
      <c r="K708" s="136"/>
      <c r="AE708" s="39" t="str">
        <f>IF(D708="","",IFERROR(VLOOKUP(D708,Projects!$A$2:$A$20000,1,FALSE),""))</f>
        <v/>
      </c>
      <c r="AF708" s="2" t="str">
        <f>IF(D708="","",IFERROR(MATCH(D708,Projects!$A:$A,0),""))</f>
        <v/>
      </c>
    </row>
    <row r="709" spans="2:32" x14ac:dyDescent="0.25">
      <c r="B709" s="24"/>
      <c r="C709" s="136"/>
      <c r="D709" s="148"/>
      <c r="E709" s="136"/>
      <c r="F709" s="136"/>
      <c r="G709" s="136"/>
      <c r="H709" s="136"/>
      <c r="J709" s="136"/>
      <c r="K709" s="136"/>
      <c r="AE709" s="39" t="str">
        <f>IF(D709="","",IFERROR(VLOOKUP(D709,Projects!$A$2:$A$20000,1,FALSE),""))</f>
        <v/>
      </c>
      <c r="AF709" s="2" t="str">
        <f>IF(D709="","",IFERROR(MATCH(D709,Projects!$A:$A,0),""))</f>
        <v/>
      </c>
    </row>
    <row r="710" spans="2:32" x14ac:dyDescent="0.25">
      <c r="B710" s="24"/>
      <c r="C710" s="136"/>
      <c r="D710" s="148"/>
      <c r="E710" s="136"/>
      <c r="F710" s="136"/>
      <c r="G710" s="136"/>
      <c r="H710" s="136"/>
      <c r="J710" s="136"/>
      <c r="K710" s="136"/>
      <c r="AE710" s="39" t="str">
        <f>IF(D710="","",IFERROR(VLOOKUP(D710,Projects!$A$2:$A$20000,1,FALSE),""))</f>
        <v/>
      </c>
      <c r="AF710" s="2" t="str">
        <f>IF(D710="","",IFERROR(MATCH(D710,Projects!$A:$A,0),""))</f>
        <v/>
      </c>
    </row>
    <row r="711" spans="2:32" x14ac:dyDescent="0.25">
      <c r="B711" s="24"/>
      <c r="C711" s="136"/>
      <c r="D711" s="148"/>
      <c r="E711" s="136"/>
      <c r="F711" s="136"/>
      <c r="G711" s="136"/>
      <c r="H711" s="136"/>
      <c r="J711" s="136"/>
      <c r="K711" s="136"/>
      <c r="AE711" s="39" t="str">
        <f>IF(D711="","",IFERROR(VLOOKUP(D711,Projects!$A$2:$A$20000,1,FALSE),""))</f>
        <v/>
      </c>
      <c r="AF711" s="2" t="str">
        <f>IF(D711="","",IFERROR(MATCH(D711,Projects!$A:$A,0),""))</f>
        <v/>
      </c>
    </row>
    <row r="712" spans="2:32" x14ac:dyDescent="0.25">
      <c r="B712" s="24"/>
      <c r="C712" s="136"/>
      <c r="D712" s="148"/>
      <c r="E712" s="136"/>
      <c r="F712" s="136"/>
      <c r="G712" s="136"/>
      <c r="H712" s="136"/>
      <c r="J712" s="136"/>
      <c r="K712" s="136"/>
      <c r="AE712" s="39" t="str">
        <f>IF(D712="","",IFERROR(VLOOKUP(D712,Projects!$A$2:$A$20000,1,FALSE),""))</f>
        <v/>
      </c>
      <c r="AF712" s="2" t="str">
        <f>IF(D712="","",IFERROR(MATCH(D712,Projects!$A:$A,0),""))</f>
        <v/>
      </c>
    </row>
    <row r="713" spans="2:32" x14ac:dyDescent="0.25">
      <c r="B713" s="24"/>
      <c r="C713" s="136"/>
      <c r="D713" s="148"/>
      <c r="E713" s="136"/>
      <c r="F713" s="136"/>
      <c r="G713" s="136"/>
      <c r="H713" s="136"/>
      <c r="J713" s="136"/>
      <c r="K713" s="136"/>
      <c r="AE713" s="39" t="str">
        <f>IF(D713="","",IFERROR(VLOOKUP(D713,Projects!$A$2:$A$20000,1,FALSE),""))</f>
        <v/>
      </c>
      <c r="AF713" s="2" t="str">
        <f>IF(D713="","",IFERROR(MATCH(D713,Projects!$A:$A,0),""))</f>
        <v/>
      </c>
    </row>
    <row r="714" spans="2:32" x14ac:dyDescent="0.25">
      <c r="B714" s="24"/>
      <c r="C714" s="136"/>
      <c r="D714" s="148"/>
      <c r="E714" s="136"/>
      <c r="F714" s="136"/>
      <c r="G714" s="136"/>
      <c r="H714" s="136"/>
      <c r="J714" s="136"/>
      <c r="K714" s="136"/>
      <c r="AE714" s="39" t="str">
        <f>IF(D714="","",IFERROR(VLOOKUP(D714,Projects!$A$2:$A$20000,1,FALSE),""))</f>
        <v/>
      </c>
      <c r="AF714" s="2" t="str">
        <f>IF(D714="","",IFERROR(MATCH(D714,Projects!$A:$A,0),""))</f>
        <v/>
      </c>
    </row>
    <row r="715" spans="2:32" x14ac:dyDescent="0.25">
      <c r="B715" s="24"/>
      <c r="C715" s="136"/>
      <c r="D715" s="148"/>
      <c r="E715" s="136"/>
      <c r="F715" s="136"/>
      <c r="G715" s="136"/>
      <c r="H715" s="136"/>
      <c r="J715" s="136"/>
      <c r="K715" s="136"/>
      <c r="AE715" s="39" t="str">
        <f>IF(D715="","",IFERROR(VLOOKUP(D715,Projects!$A$2:$A$20000,1,FALSE),""))</f>
        <v/>
      </c>
      <c r="AF715" s="2" t="str">
        <f>IF(D715="","",IFERROR(MATCH(D715,Projects!$A:$A,0),""))</f>
        <v/>
      </c>
    </row>
    <row r="716" spans="2:32" x14ac:dyDescent="0.25">
      <c r="B716" s="24"/>
      <c r="C716" s="136"/>
      <c r="D716" s="148"/>
      <c r="E716" s="136"/>
      <c r="F716" s="136"/>
      <c r="G716" s="136"/>
      <c r="H716" s="136"/>
      <c r="J716" s="136"/>
      <c r="K716" s="136"/>
      <c r="AE716" s="39" t="str">
        <f>IF(D716="","",IFERROR(VLOOKUP(D716,Projects!$A$2:$A$20000,1,FALSE),""))</f>
        <v/>
      </c>
      <c r="AF716" s="2" t="str">
        <f>IF(D716="","",IFERROR(MATCH(D716,Projects!$A:$A,0),""))</f>
        <v/>
      </c>
    </row>
    <row r="717" spans="2:32" x14ac:dyDescent="0.25">
      <c r="B717" s="24"/>
      <c r="C717" s="136"/>
      <c r="D717" s="148"/>
      <c r="E717" s="136"/>
      <c r="F717" s="136"/>
      <c r="G717" s="136"/>
      <c r="H717" s="136"/>
      <c r="J717" s="136"/>
      <c r="K717" s="136"/>
      <c r="AE717" s="39" t="str">
        <f>IF(D717="","",IFERROR(VLOOKUP(D717,Projects!$A$2:$A$20000,1,FALSE),""))</f>
        <v/>
      </c>
      <c r="AF717" s="2" t="str">
        <f>IF(D717="","",IFERROR(MATCH(D717,Projects!$A:$A,0),""))</f>
        <v/>
      </c>
    </row>
    <row r="718" spans="2:32" x14ac:dyDescent="0.25">
      <c r="B718" s="24"/>
      <c r="C718" s="136"/>
      <c r="D718" s="148"/>
      <c r="E718" s="136"/>
      <c r="F718" s="136"/>
      <c r="G718" s="136"/>
      <c r="H718" s="136"/>
      <c r="J718" s="136"/>
      <c r="K718" s="136"/>
      <c r="AE718" s="39" t="str">
        <f>IF(D718="","",IFERROR(VLOOKUP(D718,Projects!$A$2:$A$20000,1,FALSE),""))</f>
        <v/>
      </c>
      <c r="AF718" s="2" t="str">
        <f>IF(D718="","",IFERROR(MATCH(D718,Projects!$A:$A,0),""))</f>
        <v/>
      </c>
    </row>
    <row r="719" spans="2:32" x14ac:dyDescent="0.25">
      <c r="B719" s="24"/>
      <c r="C719" s="136"/>
      <c r="D719" s="148"/>
      <c r="E719" s="136"/>
      <c r="F719" s="136"/>
      <c r="G719" s="136"/>
      <c r="H719" s="136"/>
      <c r="J719" s="136"/>
      <c r="K719" s="136"/>
      <c r="AE719" s="39" t="str">
        <f>IF(D719="","",IFERROR(VLOOKUP(D719,Projects!$A$2:$A$20000,1,FALSE),""))</f>
        <v/>
      </c>
      <c r="AF719" s="2" t="str">
        <f>IF(D719="","",IFERROR(MATCH(D719,Projects!$A:$A,0),""))</f>
        <v/>
      </c>
    </row>
    <row r="720" spans="2:32" x14ac:dyDescent="0.25">
      <c r="B720" s="24"/>
      <c r="C720" s="136"/>
      <c r="D720" s="148"/>
      <c r="E720" s="136"/>
      <c r="F720" s="136"/>
      <c r="G720" s="136"/>
      <c r="H720" s="136"/>
      <c r="J720" s="136"/>
      <c r="K720" s="136"/>
      <c r="AE720" s="39" t="str">
        <f>IF(D720="","",IFERROR(VLOOKUP(D720,Projects!$A$2:$A$20000,1,FALSE),""))</f>
        <v/>
      </c>
      <c r="AF720" s="2" t="str">
        <f>IF(D720="","",IFERROR(MATCH(D720,Projects!$A:$A,0),""))</f>
        <v/>
      </c>
    </row>
    <row r="721" spans="2:32" x14ac:dyDescent="0.25">
      <c r="B721" s="24"/>
      <c r="C721" s="136"/>
      <c r="D721" s="148"/>
      <c r="E721" s="136"/>
      <c r="F721" s="136"/>
      <c r="G721" s="136"/>
      <c r="H721" s="136"/>
      <c r="J721" s="136"/>
      <c r="K721" s="136"/>
      <c r="AE721" s="39" t="str">
        <f>IF(D721="","",IFERROR(VLOOKUP(D721,Projects!$A$2:$A$20000,1,FALSE),""))</f>
        <v/>
      </c>
      <c r="AF721" s="2" t="str">
        <f>IF(D721="","",IFERROR(MATCH(D721,Projects!$A:$A,0),""))</f>
        <v/>
      </c>
    </row>
    <row r="722" spans="2:32" x14ac:dyDescent="0.25">
      <c r="B722" s="24"/>
      <c r="C722" s="136"/>
      <c r="D722" s="148"/>
      <c r="E722" s="136"/>
      <c r="F722" s="136"/>
      <c r="G722" s="136"/>
      <c r="H722" s="136"/>
      <c r="J722" s="136"/>
      <c r="K722" s="136"/>
      <c r="AE722" s="39" t="str">
        <f>IF(D722="","",IFERROR(VLOOKUP(D722,Projects!$A$2:$A$20000,1,FALSE),""))</f>
        <v/>
      </c>
      <c r="AF722" s="2" t="str">
        <f>IF(D722="","",IFERROR(MATCH(D722,Projects!$A:$A,0),""))</f>
        <v/>
      </c>
    </row>
    <row r="723" spans="2:32" x14ac:dyDescent="0.25">
      <c r="B723" s="24"/>
      <c r="C723" s="136"/>
      <c r="D723" s="148"/>
      <c r="E723" s="136"/>
      <c r="F723" s="136"/>
      <c r="G723" s="136"/>
      <c r="H723" s="136"/>
      <c r="J723" s="136"/>
      <c r="K723" s="136"/>
      <c r="AE723" s="39" t="str">
        <f>IF(D723="","",IFERROR(VLOOKUP(D723,Projects!$A$2:$A$20000,1,FALSE),""))</f>
        <v/>
      </c>
      <c r="AF723" s="2" t="str">
        <f>IF(D723="","",IFERROR(MATCH(D723,Projects!$A:$A,0),""))</f>
        <v/>
      </c>
    </row>
    <row r="724" spans="2:32" x14ac:dyDescent="0.25">
      <c r="B724" s="24"/>
      <c r="C724" s="136"/>
      <c r="D724" s="148"/>
      <c r="E724" s="136"/>
      <c r="F724" s="136"/>
      <c r="G724" s="136"/>
      <c r="H724" s="136"/>
      <c r="J724" s="136"/>
      <c r="K724" s="136"/>
      <c r="AE724" s="39" t="str">
        <f>IF(D724="","",IFERROR(VLOOKUP(D724,Projects!$A$2:$A$20000,1,FALSE),""))</f>
        <v/>
      </c>
      <c r="AF724" s="2" t="str">
        <f>IF(D724="","",IFERROR(MATCH(D724,Projects!$A:$A,0),""))</f>
        <v/>
      </c>
    </row>
    <row r="725" spans="2:32" x14ac:dyDescent="0.25">
      <c r="B725" s="24"/>
      <c r="C725" s="136"/>
      <c r="D725" s="148"/>
      <c r="E725" s="136"/>
      <c r="F725" s="136"/>
      <c r="G725" s="136"/>
      <c r="H725" s="136"/>
      <c r="J725" s="136"/>
      <c r="K725" s="136"/>
      <c r="AE725" s="39" t="str">
        <f>IF(D725="","",IFERROR(VLOOKUP(D725,Projects!$A$2:$A$20000,1,FALSE),""))</f>
        <v/>
      </c>
      <c r="AF725" s="2" t="str">
        <f>IF(D725="","",IFERROR(MATCH(D725,Projects!$A:$A,0),""))</f>
        <v/>
      </c>
    </row>
    <row r="726" spans="2:32" x14ac:dyDescent="0.25">
      <c r="B726" s="24"/>
      <c r="C726" s="136"/>
      <c r="D726" s="148"/>
      <c r="E726" s="136"/>
      <c r="F726" s="136"/>
      <c r="G726" s="136"/>
      <c r="H726" s="136"/>
      <c r="J726" s="136"/>
      <c r="K726" s="136"/>
      <c r="AE726" s="39" t="str">
        <f>IF(D726="","",IFERROR(VLOOKUP(D726,Projects!$A$2:$A$20000,1,FALSE),""))</f>
        <v/>
      </c>
      <c r="AF726" s="2" t="str">
        <f>IF(D726="","",IFERROR(MATCH(D726,Projects!$A:$A,0),""))</f>
        <v/>
      </c>
    </row>
    <row r="727" spans="2:32" x14ac:dyDescent="0.25">
      <c r="B727" s="24"/>
      <c r="C727" s="136"/>
      <c r="D727" s="148"/>
      <c r="E727" s="136"/>
      <c r="F727" s="136"/>
      <c r="G727" s="136"/>
      <c r="H727" s="136"/>
      <c r="J727" s="136"/>
      <c r="K727" s="136"/>
      <c r="AE727" s="39" t="str">
        <f>IF(D727="","",IFERROR(VLOOKUP(D727,Projects!$A$2:$A$20000,1,FALSE),""))</f>
        <v/>
      </c>
      <c r="AF727" s="2" t="str">
        <f>IF(D727="","",IFERROR(MATCH(D727,Projects!$A:$A,0),""))</f>
        <v/>
      </c>
    </row>
    <row r="728" spans="2:32" x14ac:dyDescent="0.25">
      <c r="B728" s="24"/>
      <c r="C728" s="136"/>
      <c r="D728" s="148"/>
      <c r="E728" s="136"/>
      <c r="F728" s="136"/>
      <c r="G728" s="136"/>
      <c r="H728" s="136"/>
      <c r="J728" s="136"/>
      <c r="K728" s="136"/>
      <c r="AE728" s="39" t="str">
        <f>IF(D728="","",IFERROR(VLOOKUP(D728,Projects!$A$2:$A$20000,1,FALSE),""))</f>
        <v/>
      </c>
      <c r="AF728" s="2" t="str">
        <f>IF(D728="","",IFERROR(MATCH(D728,Projects!$A:$A,0),""))</f>
        <v/>
      </c>
    </row>
    <row r="729" spans="2:32" x14ac:dyDescent="0.25">
      <c r="B729" s="24"/>
      <c r="C729" s="136"/>
      <c r="D729" s="148"/>
      <c r="E729" s="136"/>
      <c r="F729" s="136"/>
      <c r="G729" s="136"/>
      <c r="H729" s="136"/>
      <c r="J729" s="136"/>
      <c r="K729" s="136"/>
      <c r="AE729" s="39" t="str">
        <f>IF(D729="","",IFERROR(VLOOKUP(D729,Projects!$A$2:$A$20000,1,FALSE),""))</f>
        <v/>
      </c>
      <c r="AF729" s="2" t="str">
        <f>IF(D729="","",IFERROR(MATCH(D729,Projects!$A:$A,0),""))</f>
        <v/>
      </c>
    </row>
    <row r="730" spans="2:32" x14ac:dyDescent="0.25">
      <c r="B730" s="24"/>
      <c r="C730" s="136"/>
      <c r="D730" s="148"/>
      <c r="E730" s="136"/>
      <c r="F730" s="136"/>
      <c r="G730" s="136"/>
      <c r="H730" s="136"/>
      <c r="J730" s="136"/>
      <c r="K730" s="136"/>
      <c r="AE730" s="39" t="str">
        <f>IF(D730="","",IFERROR(VLOOKUP(D730,Projects!$A$2:$A$20000,1,FALSE),""))</f>
        <v/>
      </c>
      <c r="AF730" s="2" t="str">
        <f>IF(D730="","",IFERROR(MATCH(D730,Projects!$A:$A,0),""))</f>
        <v/>
      </c>
    </row>
    <row r="731" spans="2:32" x14ac:dyDescent="0.25">
      <c r="B731" s="24"/>
      <c r="C731" s="136"/>
      <c r="D731" s="148"/>
      <c r="E731" s="136"/>
      <c r="F731" s="136"/>
      <c r="G731" s="136"/>
      <c r="H731" s="136"/>
      <c r="J731" s="136"/>
      <c r="K731" s="136"/>
      <c r="AE731" s="39" t="str">
        <f>IF(D731="","",IFERROR(VLOOKUP(D731,Projects!$A$2:$A$20000,1,FALSE),""))</f>
        <v/>
      </c>
      <c r="AF731" s="2" t="str">
        <f>IF(D731="","",IFERROR(MATCH(D731,Projects!$A:$A,0),""))</f>
        <v/>
      </c>
    </row>
    <row r="732" spans="2:32" x14ac:dyDescent="0.25">
      <c r="B732" s="24"/>
      <c r="C732" s="136"/>
      <c r="D732" s="148"/>
      <c r="E732" s="136"/>
      <c r="F732" s="136"/>
      <c r="G732" s="136"/>
      <c r="H732" s="136"/>
      <c r="J732" s="136"/>
      <c r="K732" s="136"/>
      <c r="AE732" s="39" t="str">
        <f>IF(D732="","",IFERROR(VLOOKUP(D732,Projects!$A$2:$A$20000,1,FALSE),""))</f>
        <v/>
      </c>
      <c r="AF732" s="2" t="str">
        <f>IF(D732="","",IFERROR(MATCH(D732,Projects!$A:$A,0),""))</f>
        <v/>
      </c>
    </row>
    <row r="733" spans="2:32" x14ac:dyDescent="0.25">
      <c r="B733" s="24"/>
      <c r="C733" s="136"/>
      <c r="D733" s="148"/>
      <c r="E733" s="136"/>
      <c r="F733" s="136"/>
      <c r="G733" s="136"/>
      <c r="H733" s="136"/>
      <c r="J733" s="136"/>
      <c r="K733" s="136"/>
      <c r="AE733" s="39" t="str">
        <f>IF(D733="","",IFERROR(VLOOKUP(D733,Projects!$A$2:$A$20000,1,FALSE),""))</f>
        <v/>
      </c>
      <c r="AF733" s="2" t="str">
        <f>IF(D733="","",IFERROR(MATCH(D733,Projects!$A:$A,0),""))</f>
        <v/>
      </c>
    </row>
    <row r="734" spans="2:32" x14ac:dyDescent="0.25">
      <c r="B734" s="24"/>
      <c r="C734" s="136"/>
      <c r="D734" s="148"/>
      <c r="E734" s="136"/>
      <c r="F734" s="136"/>
      <c r="G734" s="136"/>
      <c r="H734" s="136"/>
      <c r="J734" s="136"/>
      <c r="K734" s="136"/>
      <c r="AE734" s="39" t="str">
        <f>IF(D734="","",IFERROR(VLOOKUP(D734,Projects!$A$2:$A$20000,1,FALSE),""))</f>
        <v/>
      </c>
      <c r="AF734" s="2" t="str">
        <f>IF(D734="","",IFERROR(MATCH(D734,Projects!$A:$A,0),""))</f>
        <v/>
      </c>
    </row>
    <row r="735" spans="2:32" x14ac:dyDescent="0.25">
      <c r="B735" s="24"/>
      <c r="C735" s="136"/>
      <c r="D735" s="148"/>
      <c r="E735" s="136"/>
      <c r="F735" s="136"/>
      <c r="G735" s="136"/>
      <c r="H735" s="136"/>
      <c r="J735" s="136"/>
      <c r="K735" s="136"/>
      <c r="AE735" s="39" t="str">
        <f>IF(D735="","",IFERROR(VLOOKUP(D735,Projects!$A$2:$A$20000,1,FALSE),""))</f>
        <v/>
      </c>
      <c r="AF735" s="2" t="str">
        <f>IF(D735="","",IFERROR(MATCH(D735,Projects!$A:$A,0),""))</f>
        <v/>
      </c>
    </row>
    <row r="736" spans="2:32" x14ac:dyDescent="0.25">
      <c r="B736" s="24"/>
      <c r="C736" s="136"/>
      <c r="D736" s="148"/>
      <c r="E736" s="136"/>
      <c r="F736" s="136"/>
      <c r="G736" s="136"/>
      <c r="H736" s="136"/>
      <c r="J736" s="136"/>
      <c r="K736" s="136"/>
      <c r="AE736" s="39" t="str">
        <f>IF(D736="","",IFERROR(VLOOKUP(D736,Projects!$A$2:$A$20000,1,FALSE),""))</f>
        <v/>
      </c>
      <c r="AF736" s="2" t="str">
        <f>IF(D736="","",IFERROR(MATCH(D736,Projects!$A:$A,0),""))</f>
        <v/>
      </c>
    </row>
    <row r="737" spans="2:32" x14ac:dyDescent="0.25">
      <c r="B737" s="24"/>
      <c r="C737" s="136"/>
      <c r="D737" s="148"/>
      <c r="E737" s="136"/>
      <c r="F737" s="136"/>
      <c r="G737" s="136"/>
      <c r="H737" s="136"/>
      <c r="J737" s="136"/>
      <c r="K737" s="136"/>
      <c r="AE737" s="39" t="str">
        <f>IF(D737="","",IFERROR(VLOOKUP(D737,Projects!$A$2:$A$20000,1,FALSE),""))</f>
        <v/>
      </c>
      <c r="AF737" s="2" t="str">
        <f>IF(D737="","",IFERROR(MATCH(D737,Projects!$A:$A,0),""))</f>
        <v/>
      </c>
    </row>
    <row r="738" spans="2:32" x14ac:dyDescent="0.25">
      <c r="B738" s="24"/>
      <c r="C738" s="136"/>
      <c r="D738" s="148"/>
      <c r="E738" s="136"/>
      <c r="F738" s="136"/>
      <c r="G738" s="136"/>
      <c r="H738" s="136"/>
      <c r="J738" s="136"/>
      <c r="K738" s="136"/>
      <c r="AE738" s="39" t="str">
        <f>IF(D738="","",IFERROR(VLOOKUP(D738,Projects!$A$2:$A$20000,1,FALSE),""))</f>
        <v/>
      </c>
      <c r="AF738" s="2" t="str">
        <f>IF(D738="","",IFERROR(MATCH(D738,Projects!$A:$A,0),""))</f>
        <v/>
      </c>
    </row>
    <row r="739" spans="2:32" x14ac:dyDescent="0.25">
      <c r="B739" s="24"/>
      <c r="C739" s="136"/>
      <c r="D739" s="148"/>
      <c r="E739" s="136"/>
      <c r="F739" s="136"/>
      <c r="G739" s="136"/>
      <c r="H739" s="136"/>
      <c r="J739" s="136"/>
      <c r="K739" s="136"/>
      <c r="AE739" s="39" t="str">
        <f>IF(D739="","",IFERROR(VLOOKUP(D739,Projects!$A$2:$A$20000,1,FALSE),""))</f>
        <v/>
      </c>
      <c r="AF739" s="2" t="str">
        <f>IF(D739="","",IFERROR(MATCH(D739,Projects!$A:$A,0),""))</f>
        <v/>
      </c>
    </row>
    <row r="740" spans="2:32" x14ac:dyDescent="0.25">
      <c r="B740" s="24"/>
      <c r="C740" s="136"/>
      <c r="D740" s="148"/>
      <c r="E740" s="136"/>
      <c r="F740" s="136"/>
      <c r="G740" s="136"/>
      <c r="H740" s="136"/>
      <c r="J740" s="136"/>
      <c r="K740" s="136"/>
      <c r="AE740" s="39" t="str">
        <f>IF(D740="","",IFERROR(VLOOKUP(D740,Projects!$A$2:$A$20000,1,FALSE),""))</f>
        <v/>
      </c>
      <c r="AF740" s="2" t="str">
        <f>IF(D740="","",IFERROR(MATCH(D740,Projects!$A:$A,0),""))</f>
        <v/>
      </c>
    </row>
    <row r="741" spans="2:32" x14ac:dyDescent="0.25">
      <c r="B741" s="24"/>
      <c r="C741" s="136"/>
      <c r="D741" s="148"/>
      <c r="E741" s="136"/>
      <c r="F741" s="136"/>
      <c r="G741" s="136"/>
      <c r="H741" s="136"/>
      <c r="J741" s="136"/>
      <c r="K741" s="136"/>
      <c r="AE741" s="39" t="str">
        <f>IF(D741="","",IFERROR(VLOOKUP(D741,Projects!$A$2:$A$20000,1,FALSE),""))</f>
        <v/>
      </c>
      <c r="AF741" s="2" t="str">
        <f>IF(D741="","",IFERROR(MATCH(D741,Projects!$A:$A,0),""))</f>
        <v/>
      </c>
    </row>
    <row r="742" spans="2:32" x14ac:dyDescent="0.25">
      <c r="B742" s="24"/>
      <c r="C742" s="136"/>
      <c r="D742" s="148"/>
      <c r="E742" s="136"/>
      <c r="F742" s="136"/>
      <c r="G742" s="136"/>
      <c r="H742" s="136"/>
      <c r="J742" s="136"/>
      <c r="K742" s="136"/>
      <c r="AE742" s="39" t="str">
        <f>IF(D742="","",IFERROR(VLOOKUP(D742,Projects!$A$2:$A$20000,1,FALSE),""))</f>
        <v/>
      </c>
      <c r="AF742" s="2" t="str">
        <f>IF(D742="","",IFERROR(MATCH(D742,Projects!$A:$A,0),""))</f>
        <v/>
      </c>
    </row>
    <row r="743" spans="2:32" x14ac:dyDescent="0.25">
      <c r="B743" s="24"/>
      <c r="C743" s="136"/>
      <c r="D743" s="148"/>
      <c r="E743" s="136"/>
      <c r="F743" s="136"/>
      <c r="G743" s="136"/>
      <c r="H743" s="136"/>
      <c r="J743" s="136"/>
      <c r="K743" s="136"/>
      <c r="AE743" s="39" t="str">
        <f>IF(D743="","",IFERROR(VLOOKUP(D743,Projects!$A$2:$A$20000,1,FALSE),""))</f>
        <v/>
      </c>
      <c r="AF743" s="2" t="str">
        <f>IF(D743="","",IFERROR(MATCH(D743,Projects!$A:$A,0),""))</f>
        <v/>
      </c>
    </row>
    <row r="744" spans="2:32" x14ac:dyDescent="0.25">
      <c r="B744" s="24"/>
      <c r="C744" s="136"/>
      <c r="D744" s="148"/>
      <c r="E744" s="136"/>
      <c r="F744" s="136"/>
      <c r="G744" s="136"/>
      <c r="H744" s="136"/>
      <c r="J744" s="136"/>
      <c r="K744" s="136"/>
      <c r="AE744" s="39" t="str">
        <f>IF(D744="","",IFERROR(VLOOKUP(D744,Projects!$A$2:$A$20000,1,FALSE),""))</f>
        <v/>
      </c>
      <c r="AF744" s="2" t="str">
        <f>IF(D744="","",IFERROR(MATCH(D744,Projects!$A:$A,0),""))</f>
        <v/>
      </c>
    </row>
    <row r="745" spans="2:32" x14ac:dyDescent="0.25">
      <c r="B745" s="24"/>
      <c r="C745" s="136"/>
      <c r="D745" s="148"/>
      <c r="E745" s="136"/>
      <c r="F745" s="136"/>
      <c r="G745" s="136"/>
      <c r="H745" s="136"/>
      <c r="J745" s="136"/>
      <c r="K745" s="136"/>
      <c r="AE745" s="39" t="str">
        <f>IF(D745="","",IFERROR(VLOOKUP(D745,Projects!$A$2:$A$20000,1,FALSE),""))</f>
        <v/>
      </c>
      <c r="AF745" s="2" t="str">
        <f>IF(D745="","",IFERROR(MATCH(D745,Projects!$A:$A,0),""))</f>
        <v/>
      </c>
    </row>
    <row r="746" spans="2:32" x14ac:dyDescent="0.25">
      <c r="B746" s="24"/>
      <c r="C746" s="136"/>
      <c r="D746" s="148"/>
      <c r="E746" s="136"/>
      <c r="F746" s="136"/>
      <c r="G746" s="136"/>
      <c r="H746" s="136"/>
      <c r="J746" s="136"/>
      <c r="K746" s="136"/>
      <c r="AE746" s="39" t="str">
        <f>IF(D746="","",IFERROR(VLOOKUP(D746,Projects!$A$2:$A$20000,1,FALSE),""))</f>
        <v/>
      </c>
      <c r="AF746" s="2" t="str">
        <f>IF(D746="","",IFERROR(MATCH(D746,Projects!$A:$A,0),""))</f>
        <v/>
      </c>
    </row>
    <row r="747" spans="2:32" x14ac:dyDescent="0.25">
      <c r="B747" s="24"/>
      <c r="C747" s="136"/>
      <c r="D747" s="148"/>
      <c r="E747" s="136"/>
      <c r="F747" s="136"/>
      <c r="G747" s="136"/>
      <c r="H747" s="136"/>
      <c r="J747" s="136"/>
      <c r="K747" s="136"/>
      <c r="AE747" s="39" t="str">
        <f>IF(D747="","",IFERROR(VLOOKUP(D747,Projects!$A$2:$A$20000,1,FALSE),""))</f>
        <v/>
      </c>
      <c r="AF747" s="2" t="str">
        <f>IF(D747="","",IFERROR(MATCH(D747,Projects!$A:$A,0),""))</f>
        <v/>
      </c>
    </row>
    <row r="748" spans="2:32" x14ac:dyDescent="0.25">
      <c r="B748" s="24"/>
      <c r="C748" s="136"/>
      <c r="D748" s="148"/>
      <c r="E748" s="136"/>
      <c r="F748" s="136"/>
      <c r="G748" s="136"/>
      <c r="H748" s="136"/>
      <c r="J748" s="136"/>
      <c r="K748" s="136"/>
      <c r="AE748" s="39" t="str">
        <f>IF(D748="","",IFERROR(VLOOKUP(D748,Projects!$A$2:$A$20000,1,FALSE),""))</f>
        <v/>
      </c>
      <c r="AF748" s="2" t="str">
        <f>IF(D748="","",IFERROR(MATCH(D748,Projects!$A:$A,0),""))</f>
        <v/>
      </c>
    </row>
    <row r="749" spans="2:32" x14ac:dyDescent="0.25">
      <c r="B749" s="24"/>
      <c r="C749" s="136"/>
      <c r="D749" s="148"/>
      <c r="E749" s="136"/>
      <c r="F749" s="136"/>
      <c r="G749" s="136"/>
      <c r="H749" s="136"/>
      <c r="J749" s="136"/>
      <c r="K749" s="136"/>
      <c r="AE749" s="39" t="str">
        <f>IF(D749="","",IFERROR(VLOOKUP(D749,Projects!$A$2:$A$20000,1,FALSE),""))</f>
        <v/>
      </c>
      <c r="AF749" s="2" t="str">
        <f>IF(D749="","",IFERROR(MATCH(D749,Projects!$A:$A,0),""))</f>
        <v/>
      </c>
    </row>
    <row r="750" spans="2:32" x14ac:dyDescent="0.25">
      <c r="B750" s="24"/>
      <c r="C750" s="136"/>
      <c r="D750" s="148"/>
      <c r="E750" s="136"/>
      <c r="F750" s="136"/>
      <c r="G750" s="136"/>
      <c r="H750" s="136"/>
      <c r="J750" s="136"/>
      <c r="K750" s="136"/>
      <c r="AE750" s="39" t="str">
        <f>IF(D750="","",IFERROR(VLOOKUP(D750,Projects!$A$2:$A$20000,1,FALSE),""))</f>
        <v/>
      </c>
      <c r="AF750" s="2" t="str">
        <f>IF(D750="","",IFERROR(MATCH(D750,Projects!$A:$A,0),""))</f>
        <v/>
      </c>
    </row>
    <row r="751" spans="2:32" x14ac:dyDescent="0.25">
      <c r="B751" s="24"/>
      <c r="C751" s="136"/>
      <c r="D751" s="148"/>
      <c r="E751" s="136"/>
      <c r="F751" s="136"/>
      <c r="G751" s="136"/>
      <c r="H751" s="136"/>
      <c r="J751" s="136"/>
      <c r="K751" s="136"/>
      <c r="AE751" s="39" t="str">
        <f>IF(D751="","",IFERROR(VLOOKUP(D751,Projects!$A$2:$A$20000,1,FALSE),""))</f>
        <v/>
      </c>
      <c r="AF751" s="2" t="str">
        <f>IF(D751="","",IFERROR(MATCH(D751,Projects!$A:$A,0),""))</f>
        <v/>
      </c>
    </row>
    <row r="752" spans="2:32" x14ac:dyDescent="0.25">
      <c r="B752" s="24"/>
      <c r="C752" s="136"/>
      <c r="D752" s="148"/>
      <c r="E752" s="136"/>
      <c r="F752" s="136"/>
      <c r="G752" s="136"/>
      <c r="H752" s="136"/>
      <c r="J752" s="136"/>
      <c r="K752" s="136"/>
      <c r="AE752" s="39" t="str">
        <f>IF(D752="","",IFERROR(VLOOKUP(D752,Projects!$A$2:$A$20000,1,FALSE),""))</f>
        <v/>
      </c>
      <c r="AF752" s="2" t="str">
        <f>IF(D752="","",IFERROR(MATCH(D752,Projects!$A:$A,0),""))</f>
        <v/>
      </c>
    </row>
    <row r="753" spans="2:32" x14ac:dyDescent="0.25">
      <c r="B753" s="24"/>
      <c r="C753" s="136"/>
      <c r="D753" s="148"/>
      <c r="E753" s="136"/>
      <c r="F753" s="136"/>
      <c r="G753" s="136"/>
      <c r="H753" s="136"/>
      <c r="J753" s="136"/>
      <c r="K753" s="136"/>
      <c r="AE753" s="39" t="str">
        <f>IF(D753="","",IFERROR(VLOOKUP(D753,Projects!$A$2:$A$20000,1,FALSE),""))</f>
        <v/>
      </c>
      <c r="AF753" s="2" t="str">
        <f>IF(D753="","",IFERROR(MATCH(D753,Projects!$A:$A,0),""))</f>
        <v/>
      </c>
    </row>
    <row r="754" spans="2:32" x14ac:dyDescent="0.25">
      <c r="B754" s="24"/>
      <c r="C754" s="136"/>
      <c r="D754" s="148"/>
      <c r="E754" s="136"/>
      <c r="F754" s="136"/>
      <c r="G754" s="136"/>
      <c r="H754" s="136"/>
      <c r="J754" s="136"/>
      <c r="K754" s="136"/>
      <c r="AE754" s="39" t="str">
        <f>IF(D754="","",IFERROR(VLOOKUP(D754,Projects!$A$2:$A$20000,1,FALSE),""))</f>
        <v/>
      </c>
      <c r="AF754" s="2" t="str">
        <f>IF(D754="","",IFERROR(MATCH(D754,Projects!$A:$A,0),""))</f>
        <v/>
      </c>
    </row>
    <row r="755" spans="2:32" x14ac:dyDescent="0.25">
      <c r="B755" s="24"/>
      <c r="C755" s="136"/>
      <c r="D755" s="148"/>
      <c r="E755" s="136"/>
      <c r="F755" s="136"/>
      <c r="G755" s="136"/>
      <c r="H755" s="136"/>
      <c r="J755" s="136"/>
      <c r="K755" s="136"/>
      <c r="AE755" s="39" t="str">
        <f>IF(D755="","",IFERROR(VLOOKUP(D755,Projects!$A$2:$A$20000,1,FALSE),""))</f>
        <v/>
      </c>
      <c r="AF755" s="2" t="str">
        <f>IF(D755="","",IFERROR(MATCH(D755,Projects!$A:$A,0),""))</f>
        <v/>
      </c>
    </row>
    <row r="756" spans="2:32" x14ac:dyDescent="0.25">
      <c r="B756" s="24"/>
      <c r="C756" s="136"/>
      <c r="D756" s="148"/>
      <c r="E756" s="136"/>
      <c r="F756" s="136"/>
      <c r="G756" s="136"/>
      <c r="H756" s="136"/>
      <c r="J756" s="136"/>
      <c r="K756" s="136"/>
      <c r="AE756" s="39" t="str">
        <f>IF(D756="","",IFERROR(VLOOKUP(D756,Projects!$A$2:$A$20000,1,FALSE),""))</f>
        <v/>
      </c>
      <c r="AF756" s="2" t="str">
        <f>IF(D756="","",IFERROR(MATCH(D756,Projects!$A:$A,0),""))</f>
        <v/>
      </c>
    </row>
    <row r="757" spans="2:32" x14ac:dyDescent="0.25">
      <c r="B757" s="24"/>
      <c r="C757" s="136"/>
      <c r="D757" s="148"/>
      <c r="E757" s="136"/>
      <c r="F757" s="136"/>
      <c r="G757" s="136"/>
      <c r="H757" s="136"/>
      <c r="J757" s="136"/>
      <c r="K757" s="136"/>
      <c r="AE757" s="39" t="str">
        <f>IF(D757="","",IFERROR(VLOOKUP(D757,Projects!$A$2:$A$20000,1,FALSE),""))</f>
        <v/>
      </c>
      <c r="AF757" s="2" t="str">
        <f>IF(D757="","",IFERROR(MATCH(D757,Projects!$A:$A,0),""))</f>
        <v/>
      </c>
    </row>
    <row r="758" spans="2:32" x14ac:dyDescent="0.25">
      <c r="B758" s="24"/>
      <c r="C758" s="136"/>
      <c r="D758" s="148"/>
      <c r="E758" s="136"/>
      <c r="F758" s="136"/>
      <c r="G758" s="136"/>
      <c r="H758" s="136"/>
      <c r="J758" s="136"/>
      <c r="K758" s="136"/>
      <c r="AE758" s="39" t="str">
        <f>IF(D758="","",IFERROR(VLOOKUP(D758,Projects!$A$2:$A$20000,1,FALSE),""))</f>
        <v/>
      </c>
      <c r="AF758" s="2" t="str">
        <f>IF(D758="","",IFERROR(MATCH(D758,Projects!$A:$A,0),""))</f>
        <v/>
      </c>
    </row>
    <row r="759" spans="2:32" x14ac:dyDescent="0.25">
      <c r="B759" s="24"/>
      <c r="C759" s="136"/>
      <c r="D759" s="148"/>
      <c r="E759" s="136"/>
      <c r="F759" s="136"/>
      <c r="G759" s="136"/>
      <c r="H759" s="136"/>
      <c r="J759" s="136"/>
      <c r="K759" s="136"/>
      <c r="AE759" s="39" t="str">
        <f>IF(D759="","",IFERROR(VLOOKUP(D759,Projects!$A$2:$A$20000,1,FALSE),""))</f>
        <v/>
      </c>
      <c r="AF759" s="2" t="str">
        <f>IF(D759="","",IFERROR(MATCH(D759,Projects!$A:$A,0),""))</f>
        <v/>
      </c>
    </row>
    <row r="760" spans="2:32" x14ac:dyDescent="0.25">
      <c r="B760" s="24"/>
      <c r="C760" s="136"/>
      <c r="D760" s="148"/>
      <c r="E760" s="136"/>
      <c r="F760" s="136"/>
      <c r="G760" s="136"/>
      <c r="H760" s="136"/>
      <c r="J760" s="136"/>
      <c r="K760" s="136"/>
      <c r="AE760" s="39" t="str">
        <f>IF(D760="","",IFERROR(VLOOKUP(D760,Projects!$A$2:$A$20000,1,FALSE),""))</f>
        <v/>
      </c>
      <c r="AF760" s="2" t="str">
        <f>IF(D760="","",IFERROR(MATCH(D760,Projects!$A:$A,0),""))</f>
        <v/>
      </c>
    </row>
    <row r="761" spans="2:32" x14ac:dyDescent="0.25">
      <c r="B761" s="24"/>
      <c r="C761" s="136"/>
      <c r="D761" s="148"/>
      <c r="E761" s="136"/>
      <c r="F761" s="136"/>
      <c r="G761" s="136"/>
      <c r="H761" s="136"/>
      <c r="J761" s="136"/>
      <c r="K761" s="136"/>
      <c r="AE761" s="39" t="str">
        <f>IF(D761="","",IFERROR(VLOOKUP(D761,Projects!$A$2:$A$20000,1,FALSE),""))</f>
        <v/>
      </c>
      <c r="AF761" s="2" t="str">
        <f>IF(D761="","",IFERROR(MATCH(D761,Projects!$A:$A,0),""))</f>
        <v/>
      </c>
    </row>
    <row r="762" spans="2:32" x14ac:dyDescent="0.25">
      <c r="B762" s="24"/>
      <c r="C762" s="136"/>
      <c r="D762" s="148"/>
      <c r="E762" s="136"/>
      <c r="F762" s="136"/>
      <c r="G762" s="136"/>
      <c r="H762" s="136"/>
      <c r="J762" s="136"/>
      <c r="K762" s="136"/>
      <c r="AE762" s="39" t="str">
        <f>IF(D762="","",IFERROR(VLOOKUP(D762,Projects!$A$2:$A$20000,1,FALSE),""))</f>
        <v/>
      </c>
      <c r="AF762" s="2" t="str">
        <f>IF(D762="","",IFERROR(MATCH(D762,Projects!$A:$A,0),""))</f>
        <v/>
      </c>
    </row>
    <row r="763" spans="2:32" x14ac:dyDescent="0.25">
      <c r="B763" s="24"/>
      <c r="C763" s="136"/>
      <c r="D763" s="148"/>
      <c r="E763" s="136"/>
      <c r="F763" s="136"/>
      <c r="G763" s="136"/>
      <c r="H763" s="136"/>
      <c r="J763" s="136"/>
      <c r="K763" s="136"/>
      <c r="AE763" s="39" t="str">
        <f>IF(D763="","",IFERROR(VLOOKUP(D763,Projects!$A$2:$A$20000,1,FALSE),""))</f>
        <v/>
      </c>
      <c r="AF763" s="2" t="str">
        <f>IF(D763="","",IFERROR(MATCH(D763,Projects!$A:$A,0),""))</f>
        <v/>
      </c>
    </row>
    <row r="764" spans="2:32" x14ac:dyDescent="0.25">
      <c r="B764" s="24"/>
      <c r="C764" s="136"/>
      <c r="D764" s="148"/>
      <c r="E764" s="136"/>
      <c r="F764" s="136"/>
      <c r="G764" s="136"/>
      <c r="H764" s="136"/>
      <c r="J764" s="136"/>
      <c r="K764" s="136"/>
      <c r="AE764" s="39" t="str">
        <f>IF(D764="","",IFERROR(VLOOKUP(D764,Projects!$A$2:$A$20000,1,FALSE),""))</f>
        <v/>
      </c>
      <c r="AF764" s="2" t="str">
        <f>IF(D764="","",IFERROR(MATCH(D764,Projects!$A:$A,0),""))</f>
        <v/>
      </c>
    </row>
    <row r="765" spans="2:32" x14ac:dyDescent="0.25">
      <c r="B765" s="24"/>
      <c r="C765" s="136"/>
      <c r="D765" s="148"/>
      <c r="E765" s="136"/>
      <c r="F765" s="136"/>
      <c r="G765" s="136"/>
      <c r="H765" s="136"/>
      <c r="J765" s="136"/>
      <c r="K765" s="136"/>
      <c r="AE765" s="39" t="str">
        <f>IF(D765="","",IFERROR(VLOOKUP(D765,Projects!$A$2:$A$20000,1,FALSE),""))</f>
        <v/>
      </c>
      <c r="AF765" s="2" t="str">
        <f>IF(D765="","",IFERROR(MATCH(D765,Projects!$A:$A,0),""))</f>
        <v/>
      </c>
    </row>
    <row r="766" spans="2:32" x14ac:dyDescent="0.25">
      <c r="B766" s="24"/>
      <c r="C766" s="136"/>
      <c r="D766" s="148"/>
      <c r="E766" s="136"/>
      <c r="F766" s="136"/>
      <c r="G766" s="136"/>
      <c r="H766" s="136"/>
      <c r="J766" s="136"/>
      <c r="K766" s="136"/>
      <c r="AE766" s="39" t="str">
        <f>IF(D766="","",IFERROR(VLOOKUP(D766,Projects!$A$2:$A$20000,1,FALSE),""))</f>
        <v/>
      </c>
      <c r="AF766" s="2" t="str">
        <f>IF(D766="","",IFERROR(MATCH(D766,Projects!$A:$A,0),""))</f>
        <v/>
      </c>
    </row>
    <row r="767" spans="2:32" x14ac:dyDescent="0.25">
      <c r="B767" s="24"/>
      <c r="C767" s="136"/>
      <c r="D767" s="148"/>
      <c r="E767" s="136"/>
      <c r="F767" s="136"/>
      <c r="G767" s="136"/>
      <c r="H767" s="136"/>
      <c r="J767" s="136"/>
      <c r="K767" s="136"/>
      <c r="AE767" s="39" t="str">
        <f>IF(D767="","",IFERROR(VLOOKUP(D767,Projects!$A$2:$A$20000,1,FALSE),""))</f>
        <v/>
      </c>
      <c r="AF767" s="2" t="str">
        <f>IF(D767="","",IFERROR(MATCH(D767,Projects!$A:$A,0),""))</f>
        <v/>
      </c>
    </row>
    <row r="768" spans="2:32" x14ac:dyDescent="0.25">
      <c r="B768" s="24"/>
      <c r="C768" s="136"/>
      <c r="D768" s="148"/>
      <c r="E768" s="136"/>
      <c r="F768" s="136"/>
      <c r="G768" s="136"/>
      <c r="H768" s="136"/>
      <c r="J768" s="136"/>
      <c r="K768" s="136"/>
      <c r="AE768" s="39" t="str">
        <f>IF(D768="","",IFERROR(VLOOKUP(D768,Projects!$A$2:$A$20000,1,FALSE),""))</f>
        <v/>
      </c>
      <c r="AF768" s="2" t="str">
        <f>IF(D768="","",IFERROR(MATCH(D768,Projects!$A:$A,0),""))</f>
        <v/>
      </c>
    </row>
    <row r="769" spans="2:32" x14ac:dyDescent="0.25">
      <c r="B769" s="24"/>
      <c r="C769" s="136"/>
      <c r="D769" s="148"/>
      <c r="E769" s="136"/>
      <c r="F769" s="136"/>
      <c r="G769" s="136"/>
      <c r="H769" s="136"/>
      <c r="J769" s="136"/>
      <c r="K769" s="136"/>
      <c r="AE769" s="39" t="str">
        <f>IF(D769="","",IFERROR(VLOOKUP(D769,Projects!$A$2:$A$20000,1,FALSE),""))</f>
        <v/>
      </c>
      <c r="AF769" s="2" t="str">
        <f>IF(D769="","",IFERROR(MATCH(D769,Projects!$A:$A,0),""))</f>
        <v/>
      </c>
    </row>
    <row r="770" spans="2:32" x14ac:dyDescent="0.25">
      <c r="B770" s="24"/>
      <c r="C770" s="136"/>
      <c r="D770" s="148"/>
      <c r="E770" s="136"/>
      <c r="F770" s="136"/>
      <c r="G770" s="136"/>
      <c r="H770" s="136"/>
      <c r="J770" s="136"/>
      <c r="K770" s="136"/>
      <c r="AE770" s="39" t="str">
        <f>IF(D770="","",IFERROR(VLOOKUP(D770,Projects!$A$2:$A$20000,1,FALSE),""))</f>
        <v/>
      </c>
      <c r="AF770" s="2" t="str">
        <f>IF(D770="","",IFERROR(MATCH(D770,Projects!$A:$A,0),""))</f>
        <v/>
      </c>
    </row>
    <row r="771" spans="2:32" x14ac:dyDescent="0.25">
      <c r="B771" s="24"/>
      <c r="C771" s="136"/>
      <c r="D771" s="148"/>
      <c r="E771" s="136"/>
      <c r="F771" s="136"/>
      <c r="G771" s="136"/>
      <c r="H771" s="136"/>
      <c r="J771" s="136"/>
      <c r="K771" s="136"/>
      <c r="AE771" s="39" t="str">
        <f>IF(D771="","",IFERROR(VLOOKUP(D771,Projects!$A$2:$A$20000,1,FALSE),""))</f>
        <v/>
      </c>
      <c r="AF771" s="2" t="str">
        <f>IF(D771="","",IFERROR(MATCH(D771,Projects!$A:$A,0),""))</f>
        <v/>
      </c>
    </row>
    <row r="772" spans="2:32" x14ac:dyDescent="0.25">
      <c r="B772" s="24"/>
      <c r="C772" s="136"/>
      <c r="D772" s="148"/>
      <c r="E772" s="136"/>
      <c r="F772" s="136"/>
      <c r="G772" s="136"/>
      <c r="H772" s="136"/>
      <c r="J772" s="136"/>
      <c r="K772" s="136"/>
      <c r="AE772" s="39" t="str">
        <f>IF(D772="","",IFERROR(VLOOKUP(D772,Projects!$A$2:$A$20000,1,FALSE),""))</f>
        <v/>
      </c>
      <c r="AF772" s="2" t="str">
        <f>IF(D772="","",IFERROR(MATCH(D772,Projects!$A:$A,0),""))</f>
        <v/>
      </c>
    </row>
    <row r="773" spans="2:32" x14ac:dyDescent="0.25">
      <c r="B773" s="24"/>
      <c r="C773" s="136"/>
      <c r="D773" s="148"/>
      <c r="E773" s="136"/>
      <c r="F773" s="136"/>
      <c r="G773" s="136"/>
      <c r="H773" s="136"/>
      <c r="J773" s="136"/>
      <c r="K773" s="136"/>
      <c r="AE773" s="39" t="str">
        <f>IF(D773="","",IFERROR(VLOOKUP(D773,Projects!$A$2:$A$20000,1,FALSE),""))</f>
        <v/>
      </c>
      <c r="AF773" s="2" t="str">
        <f>IF(D773="","",IFERROR(MATCH(D773,Projects!$A:$A,0),""))</f>
        <v/>
      </c>
    </row>
    <row r="774" spans="2:32" x14ac:dyDescent="0.25">
      <c r="B774" s="24"/>
      <c r="C774" s="136"/>
      <c r="D774" s="148"/>
      <c r="E774" s="136"/>
      <c r="F774" s="136"/>
      <c r="G774" s="136"/>
      <c r="H774" s="136"/>
      <c r="J774" s="136"/>
      <c r="K774" s="136"/>
      <c r="AE774" s="39" t="str">
        <f>IF(D774="","",IFERROR(VLOOKUP(D774,Projects!$A$2:$A$20000,1,FALSE),""))</f>
        <v/>
      </c>
      <c r="AF774" s="2" t="str">
        <f>IF(D774="","",IFERROR(MATCH(D774,Projects!$A:$A,0),""))</f>
        <v/>
      </c>
    </row>
    <row r="775" spans="2:32" x14ac:dyDescent="0.25">
      <c r="B775" s="24"/>
      <c r="C775" s="136"/>
      <c r="D775" s="148"/>
      <c r="E775" s="136"/>
      <c r="F775" s="136"/>
      <c r="G775" s="136"/>
      <c r="H775" s="136"/>
      <c r="J775" s="136"/>
      <c r="K775" s="136"/>
      <c r="AE775" s="39" t="str">
        <f>IF(D775="","",IFERROR(VLOOKUP(D775,Projects!$A$2:$A$20000,1,FALSE),""))</f>
        <v/>
      </c>
      <c r="AF775" s="2" t="str">
        <f>IF(D775="","",IFERROR(MATCH(D775,Projects!$A:$A,0),""))</f>
        <v/>
      </c>
    </row>
    <row r="776" spans="2:32" x14ac:dyDescent="0.25">
      <c r="B776" s="24"/>
      <c r="C776" s="136"/>
      <c r="D776" s="148"/>
      <c r="E776" s="136"/>
      <c r="F776" s="136"/>
      <c r="G776" s="136"/>
      <c r="H776" s="136"/>
      <c r="J776" s="136"/>
      <c r="K776" s="136"/>
      <c r="AE776" s="39" t="str">
        <f>IF(D776="","",IFERROR(VLOOKUP(D776,Projects!$A$2:$A$20000,1,FALSE),""))</f>
        <v/>
      </c>
      <c r="AF776" s="2" t="str">
        <f>IF(D776="","",IFERROR(MATCH(D776,Projects!$A:$A,0),""))</f>
        <v/>
      </c>
    </row>
    <row r="777" spans="2:32" x14ac:dyDescent="0.25">
      <c r="B777" s="24"/>
      <c r="C777" s="136"/>
      <c r="D777" s="148"/>
      <c r="E777" s="136"/>
      <c r="F777" s="136"/>
      <c r="G777" s="136"/>
      <c r="H777" s="136"/>
      <c r="J777" s="136"/>
      <c r="K777" s="136"/>
      <c r="AE777" s="39" t="str">
        <f>IF(D777="","",IFERROR(VLOOKUP(D777,Projects!$A$2:$A$20000,1,FALSE),""))</f>
        <v/>
      </c>
      <c r="AF777" s="2" t="str">
        <f>IF(D777="","",IFERROR(MATCH(D777,Projects!$A:$A,0),""))</f>
        <v/>
      </c>
    </row>
    <row r="778" spans="2:32" x14ac:dyDescent="0.25">
      <c r="B778" s="24"/>
      <c r="C778" s="136"/>
      <c r="D778" s="148"/>
      <c r="E778" s="136"/>
      <c r="F778" s="136"/>
      <c r="G778" s="136"/>
      <c r="H778" s="136"/>
      <c r="J778" s="136"/>
      <c r="K778" s="136"/>
      <c r="AE778" s="39" t="str">
        <f>IF(D778="","",IFERROR(VLOOKUP(D778,Projects!$A$2:$A$20000,1,FALSE),""))</f>
        <v/>
      </c>
      <c r="AF778" s="2" t="str">
        <f>IF(D778="","",IFERROR(MATCH(D778,Projects!$A:$A,0),""))</f>
        <v/>
      </c>
    </row>
    <row r="779" spans="2:32" x14ac:dyDescent="0.25">
      <c r="B779" s="24"/>
      <c r="C779" s="136"/>
      <c r="D779" s="148"/>
      <c r="E779" s="136"/>
      <c r="F779" s="136"/>
      <c r="G779" s="136"/>
      <c r="H779" s="136"/>
      <c r="J779" s="136"/>
      <c r="K779" s="136"/>
      <c r="AE779" s="39" t="str">
        <f>IF(D779="","",IFERROR(VLOOKUP(D779,Projects!$A$2:$A$20000,1,FALSE),""))</f>
        <v/>
      </c>
      <c r="AF779" s="2" t="str">
        <f>IF(D779="","",IFERROR(MATCH(D779,Projects!$A:$A,0),""))</f>
        <v/>
      </c>
    </row>
    <row r="780" spans="2:32" x14ac:dyDescent="0.25">
      <c r="B780" s="24"/>
      <c r="C780" s="136"/>
      <c r="D780" s="148"/>
      <c r="E780" s="136"/>
      <c r="F780" s="136"/>
      <c r="G780" s="136"/>
      <c r="H780" s="136"/>
      <c r="J780" s="136"/>
      <c r="K780" s="136"/>
      <c r="AE780" s="39" t="str">
        <f>IF(D780="","",IFERROR(VLOOKUP(D780,Projects!$A$2:$A$20000,1,FALSE),""))</f>
        <v/>
      </c>
      <c r="AF780" s="2" t="str">
        <f>IF(D780="","",IFERROR(MATCH(D780,Projects!$A:$A,0),""))</f>
        <v/>
      </c>
    </row>
    <row r="781" spans="2:32" x14ac:dyDescent="0.25">
      <c r="B781" s="24"/>
      <c r="C781" s="136"/>
      <c r="D781" s="148"/>
      <c r="E781" s="136"/>
      <c r="F781" s="136"/>
      <c r="G781" s="136"/>
      <c r="H781" s="136"/>
      <c r="J781" s="136"/>
      <c r="K781" s="136"/>
      <c r="AE781" s="39" t="str">
        <f>IF(D781="","",IFERROR(VLOOKUP(D781,Projects!$A$2:$A$20000,1,FALSE),""))</f>
        <v/>
      </c>
      <c r="AF781" s="2" t="str">
        <f>IF(D781="","",IFERROR(MATCH(D781,Projects!$A:$A,0),""))</f>
        <v/>
      </c>
    </row>
    <row r="782" spans="2:32" x14ac:dyDescent="0.25">
      <c r="B782" s="24"/>
      <c r="C782" s="136"/>
      <c r="D782" s="148"/>
      <c r="E782" s="136"/>
      <c r="F782" s="136"/>
      <c r="G782" s="136"/>
      <c r="H782" s="136"/>
      <c r="J782" s="136"/>
      <c r="K782" s="136"/>
      <c r="AE782" s="39" t="str">
        <f>IF(D782="","",IFERROR(VLOOKUP(D782,Projects!$A$2:$A$20000,1,FALSE),""))</f>
        <v/>
      </c>
      <c r="AF782" s="2" t="str">
        <f>IF(D782="","",IFERROR(MATCH(D782,Projects!$A:$A,0),""))</f>
        <v/>
      </c>
    </row>
    <row r="783" spans="2:32" x14ac:dyDescent="0.25">
      <c r="B783" s="24"/>
      <c r="C783" s="136"/>
      <c r="D783" s="148"/>
      <c r="E783" s="136"/>
      <c r="F783" s="136"/>
      <c r="G783" s="136"/>
      <c r="H783" s="136"/>
      <c r="J783" s="136"/>
      <c r="K783" s="136"/>
      <c r="AE783" s="39" t="str">
        <f>IF(D783="","",IFERROR(VLOOKUP(D783,Projects!$A$2:$A$20000,1,FALSE),""))</f>
        <v/>
      </c>
      <c r="AF783" s="2" t="str">
        <f>IF(D783="","",IFERROR(MATCH(D783,Projects!$A:$A,0),""))</f>
        <v/>
      </c>
    </row>
    <row r="784" spans="2:32" x14ac:dyDescent="0.25">
      <c r="B784" s="24"/>
      <c r="C784" s="136"/>
      <c r="D784" s="148"/>
      <c r="E784" s="136"/>
      <c r="F784" s="136"/>
      <c r="G784" s="136"/>
      <c r="H784" s="136"/>
      <c r="J784" s="136"/>
      <c r="K784" s="136"/>
      <c r="AE784" s="39" t="str">
        <f>IF(D784="","",IFERROR(VLOOKUP(D784,Projects!$A$2:$A$20000,1,FALSE),""))</f>
        <v/>
      </c>
      <c r="AF784" s="2" t="str">
        <f>IF(D784="","",IFERROR(MATCH(D784,Projects!$A:$A,0),""))</f>
        <v/>
      </c>
    </row>
    <row r="785" spans="2:32" x14ac:dyDescent="0.25">
      <c r="B785" s="24"/>
      <c r="C785" s="136"/>
      <c r="D785" s="148"/>
      <c r="E785" s="136"/>
      <c r="F785" s="136"/>
      <c r="G785" s="136"/>
      <c r="H785" s="136"/>
      <c r="J785" s="136"/>
      <c r="K785" s="136"/>
      <c r="AE785" s="39" t="str">
        <f>IF(D785="","",IFERROR(VLOOKUP(D785,Projects!$A$2:$A$20000,1,FALSE),""))</f>
        <v/>
      </c>
      <c r="AF785" s="2" t="str">
        <f>IF(D785="","",IFERROR(MATCH(D785,Projects!$A:$A,0),""))</f>
        <v/>
      </c>
    </row>
    <row r="786" spans="2:32" x14ac:dyDescent="0.25">
      <c r="B786" s="24"/>
      <c r="C786" s="136"/>
      <c r="D786" s="148"/>
      <c r="E786" s="136"/>
      <c r="F786" s="136"/>
      <c r="G786" s="136"/>
      <c r="H786" s="136"/>
      <c r="J786" s="136"/>
      <c r="K786" s="136"/>
      <c r="AE786" s="39" t="str">
        <f>IF(D786="","",IFERROR(VLOOKUP(D786,Projects!$A$2:$A$20000,1,FALSE),""))</f>
        <v/>
      </c>
      <c r="AF786" s="2" t="str">
        <f>IF(D786="","",IFERROR(MATCH(D786,Projects!$A:$A,0),""))</f>
        <v/>
      </c>
    </row>
    <row r="787" spans="2:32" x14ac:dyDescent="0.25">
      <c r="B787" s="24"/>
      <c r="C787" s="136"/>
      <c r="D787" s="148"/>
      <c r="E787" s="136"/>
      <c r="F787" s="136"/>
      <c r="G787" s="136"/>
      <c r="H787" s="136"/>
      <c r="J787" s="136"/>
      <c r="K787" s="136"/>
      <c r="AE787" s="39" t="str">
        <f>IF(D787="","",IFERROR(VLOOKUP(D787,Projects!$A$2:$A$20000,1,FALSE),""))</f>
        <v/>
      </c>
      <c r="AF787" s="2" t="str">
        <f>IF(D787="","",IFERROR(MATCH(D787,Projects!$A:$A,0),""))</f>
        <v/>
      </c>
    </row>
    <row r="788" spans="2:32" x14ac:dyDescent="0.25">
      <c r="B788" s="24"/>
      <c r="C788" s="136"/>
      <c r="D788" s="148"/>
      <c r="E788" s="136"/>
      <c r="F788" s="136"/>
      <c r="G788" s="136"/>
      <c r="H788" s="136"/>
      <c r="J788" s="136"/>
      <c r="K788" s="136"/>
      <c r="AE788" s="39" t="str">
        <f>IF(D788="","",IFERROR(VLOOKUP(D788,Projects!$A$2:$A$20000,1,FALSE),""))</f>
        <v/>
      </c>
      <c r="AF788" s="2" t="str">
        <f>IF(D788="","",IFERROR(MATCH(D788,Projects!$A:$A,0),""))</f>
        <v/>
      </c>
    </row>
    <row r="789" spans="2:32" x14ac:dyDescent="0.25">
      <c r="B789" s="24"/>
      <c r="C789" s="136"/>
      <c r="D789" s="148"/>
      <c r="E789" s="136"/>
      <c r="F789" s="136"/>
      <c r="G789" s="136"/>
      <c r="H789" s="136"/>
      <c r="J789" s="136"/>
      <c r="K789" s="136"/>
      <c r="AE789" s="39" t="str">
        <f>IF(D789="","",IFERROR(VLOOKUP(D789,Projects!$A$2:$A$20000,1,FALSE),""))</f>
        <v/>
      </c>
      <c r="AF789" s="2" t="str">
        <f>IF(D789="","",IFERROR(MATCH(D789,Projects!$A:$A,0),""))</f>
        <v/>
      </c>
    </row>
    <row r="790" spans="2:32" x14ac:dyDescent="0.25">
      <c r="B790" s="24"/>
      <c r="C790" s="136"/>
      <c r="D790" s="148"/>
      <c r="E790" s="136"/>
      <c r="F790" s="136"/>
      <c r="G790" s="136"/>
      <c r="H790" s="136"/>
      <c r="J790" s="136"/>
      <c r="K790" s="136"/>
      <c r="AE790" s="39" t="str">
        <f>IF(D790="","",IFERROR(VLOOKUP(D790,Projects!$A$2:$A$20000,1,FALSE),""))</f>
        <v/>
      </c>
      <c r="AF790" s="2" t="str">
        <f>IF(D790="","",IFERROR(MATCH(D790,Projects!$A:$A,0),""))</f>
        <v/>
      </c>
    </row>
    <row r="791" spans="2:32" x14ac:dyDescent="0.25">
      <c r="B791" s="24"/>
      <c r="C791" s="136"/>
      <c r="D791" s="148"/>
      <c r="E791" s="136"/>
      <c r="F791" s="136"/>
      <c r="G791" s="136"/>
      <c r="H791" s="136"/>
      <c r="J791" s="136"/>
      <c r="K791" s="136"/>
      <c r="AE791" s="39" t="str">
        <f>IF(D791="","",IFERROR(VLOOKUP(D791,Projects!$A$2:$A$20000,1,FALSE),""))</f>
        <v/>
      </c>
      <c r="AF791" s="2" t="str">
        <f>IF(D791="","",IFERROR(MATCH(D791,Projects!$A:$A,0),""))</f>
        <v/>
      </c>
    </row>
    <row r="792" spans="2:32" x14ac:dyDescent="0.25">
      <c r="B792" s="24"/>
      <c r="C792" s="136"/>
      <c r="D792" s="148"/>
      <c r="E792" s="136"/>
      <c r="F792" s="136"/>
      <c r="G792" s="136"/>
      <c r="H792" s="136"/>
      <c r="J792" s="136"/>
      <c r="K792" s="136"/>
      <c r="AE792" s="39" t="str">
        <f>IF(D792="","",IFERROR(VLOOKUP(D792,Projects!$A$2:$A$20000,1,FALSE),""))</f>
        <v/>
      </c>
      <c r="AF792" s="2" t="str">
        <f>IF(D792="","",IFERROR(MATCH(D792,Projects!$A:$A,0),""))</f>
        <v/>
      </c>
    </row>
    <row r="793" spans="2:32" x14ac:dyDescent="0.25">
      <c r="B793" s="24"/>
      <c r="C793" s="136"/>
      <c r="D793" s="148"/>
      <c r="E793" s="136"/>
      <c r="F793" s="136"/>
      <c r="G793" s="136"/>
      <c r="H793" s="136"/>
      <c r="J793" s="136"/>
      <c r="K793" s="136"/>
      <c r="AE793" s="39" t="str">
        <f>IF(D793="","",IFERROR(VLOOKUP(D793,Projects!$A$2:$A$20000,1,FALSE),""))</f>
        <v/>
      </c>
      <c r="AF793" s="2" t="str">
        <f>IF(D793="","",IFERROR(MATCH(D793,Projects!$A:$A,0),""))</f>
        <v/>
      </c>
    </row>
    <row r="794" spans="2:32" x14ac:dyDescent="0.25">
      <c r="B794" s="24"/>
      <c r="C794" s="136"/>
      <c r="D794" s="148"/>
      <c r="E794" s="136"/>
      <c r="F794" s="136"/>
      <c r="G794" s="136"/>
      <c r="H794" s="136"/>
      <c r="J794" s="136"/>
      <c r="K794" s="136"/>
      <c r="AE794" s="39" t="str">
        <f>IF(D794="","",IFERROR(VLOOKUP(D794,Projects!$A$2:$A$20000,1,FALSE),""))</f>
        <v/>
      </c>
      <c r="AF794" s="2" t="str">
        <f>IF(D794="","",IFERROR(MATCH(D794,Projects!$A:$A,0),""))</f>
        <v/>
      </c>
    </row>
    <row r="795" spans="2:32" x14ac:dyDescent="0.25">
      <c r="B795" s="24"/>
      <c r="C795" s="136"/>
      <c r="D795" s="148"/>
      <c r="E795" s="136"/>
      <c r="F795" s="136"/>
      <c r="G795" s="136"/>
      <c r="H795" s="136"/>
      <c r="J795" s="136"/>
      <c r="K795" s="136"/>
      <c r="AE795" s="39" t="str">
        <f>IF(D795="","",IFERROR(VLOOKUP(D795,Projects!$A$2:$A$20000,1,FALSE),""))</f>
        <v/>
      </c>
      <c r="AF795" s="2" t="str">
        <f>IF(D795="","",IFERROR(MATCH(D795,Projects!$A:$A,0),""))</f>
        <v/>
      </c>
    </row>
    <row r="796" spans="2:32" x14ac:dyDescent="0.25">
      <c r="B796" s="24"/>
      <c r="C796" s="136"/>
      <c r="D796" s="148"/>
      <c r="E796" s="136"/>
      <c r="F796" s="136"/>
      <c r="G796" s="136"/>
      <c r="H796" s="136"/>
      <c r="J796" s="136"/>
      <c r="K796" s="136"/>
      <c r="AE796" s="39" t="str">
        <f>IF(D796="","",IFERROR(VLOOKUP(D796,Projects!$A$2:$A$20000,1,FALSE),""))</f>
        <v/>
      </c>
      <c r="AF796" s="2" t="str">
        <f>IF(D796="","",IFERROR(MATCH(D796,Projects!$A:$A,0),""))</f>
        <v/>
      </c>
    </row>
    <row r="797" spans="2:32" x14ac:dyDescent="0.25">
      <c r="B797" s="24"/>
      <c r="C797" s="136"/>
      <c r="D797" s="148"/>
      <c r="E797" s="136"/>
      <c r="F797" s="136"/>
      <c r="G797" s="136"/>
      <c r="H797" s="136"/>
      <c r="J797" s="136"/>
      <c r="K797" s="136"/>
      <c r="AE797" s="39" t="str">
        <f>IF(D797="","",IFERROR(VLOOKUP(D797,Projects!$A$2:$A$20000,1,FALSE),""))</f>
        <v/>
      </c>
      <c r="AF797" s="2" t="str">
        <f>IF(D797="","",IFERROR(MATCH(D797,Projects!$A:$A,0),""))</f>
        <v/>
      </c>
    </row>
    <row r="798" spans="2:32" x14ac:dyDescent="0.25">
      <c r="B798" s="24"/>
      <c r="C798" s="136"/>
      <c r="D798" s="148"/>
      <c r="E798" s="136"/>
      <c r="F798" s="136"/>
      <c r="G798" s="136"/>
      <c r="H798" s="136"/>
      <c r="J798" s="136"/>
      <c r="K798" s="136"/>
      <c r="AE798" s="39" t="str">
        <f>IF(D798="","",IFERROR(VLOOKUP(D798,Projects!$A$2:$A$20000,1,FALSE),""))</f>
        <v/>
      </c>
      <c r="AF798" s="2" t="str">
        <f>IF(D798="","",IFERROR(MATCH(D798,Projects!$A:$A,0),""))</f>
        <v/>
      </c>
    </row>
    <row r="799" spans="2:32" x14ac:dyDescent="0.25">
      <c r="B799" s="24"/>
      <c r="C799" s="136"/>
      <c r="D799" s="148"/>
      <c r="E799" s="136"/>
      <c r="F799" s="136"/>
      <c r="G799" s="136"/>
      <c r="H799" s="136"/>
      <c r="J799" s="136"/>
      <c r="K799" s="136"/>
      <c r="AE799" s="39" t="str">
        <f>IF(D799="","",IFERROR(VLOOKUP(D799,Projects!$A$2:$A$20000,1,FALSE),""))</f>
        <v/>
      </c>
      <c r="AF799" s="2" t="str">
        <f>IF(D799="","",IFERROR(MATCH(D799,Projects!$A:$A,0),""))</f>
        <v/>
      </c>
    </row>
    <row r="800" spans="2:32" x14ac:dyDescent="0.25">
      <c r="B800" s="24"/>
      <c r="C800" s="136"/>
      <c r="D800" s="148"/>
      <c r="E800" s="136"/>
      <c r="F800" s="136"/>
      <c r="G800" s="136"/>
      <c r="H800" s="136"/>
      <c r="J800" s="136"/>
      <c r="K800" s="136"/>
      <c r="AE800" s="39" t="str">
        <f>IF(D800="","",IFERROR(VLOOKUP(D800,Projects!$A$2:$A$20000,1,FALSE),""))</f>
        <v/>
      </c>
      <c r="AF800" s="2" t="str">
        <f>IF(D800="","",IFERROR(MATCH(D800,Projects!$A:$A,0),""))</f>
        <v/>
      </c>
    </row>
    <row r="801" spans="2:32" x14ac:dyDescent="0.25">
      <c r="B801" s="24"/>
      <c r="C801" s="136"/>
      <c r="D801" s="148"/>
      <c r="E801" s="136"/>
      <c r="F801" s="136"/>
      <c r="G801" s="136"/>
      <c r="H801" s="136"/>
      <c r="J801" s="136"/>
      <c r="K801" s="136"/>
      <c r="AE801" s="39" t="str">
        <f>IF(D801="","",IFERROR(VLOOKUP(D801,Projects!$A$2:$A$20000,1,FALSE),""))</f>
        <v/>
      </c>
      <c r="AF801" s="2" t="str">
        <f>IF(D801="","",IFERROR(MATCH(D801,Projects!$A:$A,0),""))</f>
        <v/>
      </c>
    </row>
    <row r="802" spans="2:32" x14ac:dyDescent="0.25">
      <c r="B802" s="24"/>
      <c r="C802" s="136"/>
      <c r="D802" s="148"/>
      <c r="E802" s="136"/>
      <c r="F802" s="136"/>
      <c r="G802" s="136"/>
      <c r="H802" s="136"/>
      <c r="J802" s="136"/>
      <c r="K802" s="136"/>
      <c r="AE802" s="39" t="str">
        <f>IF(D802="","",IFERROR(VLOOKUP(D802,Projects!$A$2:$A$20000,1,FALSE),""))</f>
        <v/>
      </c>
      <c r="AF802" s="2" t="str">
        <f>IF(D802="","",IFERROR(MATCH(D802,Projects!$A:$A,0),""))</f>
        <v/>
      </c>
    </row>
    <row r="803" spans="2:32" x14ac:dyDescent="0.25">
      <c r="B803" s="24"/>
      <c r="C803" s="136"/>
      <c r="D803" s="148"/>
      <c r="E803" s="136"/>
      <c r="F803" s="136"/>
      <c r="G803" s="136"/>
      <c r="H803" s="136"/>
      <c r="J803" s="136"/>
      <c r="K803" s="136"/>
      <c r="AE803" s="39" t="str">
        <f>IF(D803="","",IFERROR(VLOOKUP(D803,Projects!$A$2:$A$20000,1,FALSE),""))</f>
        <v/>
      </c>
      <c r="AF803" s="2" t="str">
        <f>IF(D803="","",IFERROR(MATCH(D803,Projects!$A:$A,0),""))</f>
        <v/>
      </c>
    </row>
    <row r="804" spans="2:32" x14ac:dyDescent="0.25">
      <c r="B804" s="24"/>
      <c r="C804" s="136"/>
      <c r="D804" s="148"/>
      <c r="E804" s="136"/>
      <c r="F804" s="136"/>
      <c r="G804" s="136"/>
      <c r="H804" s="136"/>
      <c r="J804" s="136"/>
      <c r="K804" s="136"/>
      <c r="AE804" s="39" t="str">
        <f>IF(D804="","",IFERROR(VLOOKUP(D804,Projects!$A$2:$A$20000,1,FALSE),""))</f>
        <v/>
      </c>
      <c r="AF804" s="2" t="str">
        <f>IF(D804="","",IFERROR(MATCH(D804,Projects!$A:$A,0),""))</f>
        <v/>
      </c>
    </row>
    <row r="805" spans="2:32" x14ac:dyDescent="0.25">
      <c r="B805" s="24"/>
      <c r="C805" s="136"/>
      <c r="D805" s="148"/>
      <c r="E805" s="136"/>
      <c r="F805" s="136"/>
      <c r="G805" s="136"/>
      <c r="H805" s="136"/>
      <c r="J805" s="136"/>
      <c r="K805" s="136"/>
      <c r="AE805" s="39" t="str">
        <f>IF(D805="","",IFERROR(VLOOKUP(D805,Projects!$A$2:$A$20000,1,FALSE),""))</f>
        <v/>
      </c>
      <c r="AF805" s="2" t="str">
        <f>IF(D805="","",IFERROR(MATCH(D805,Projects!$A:$A,0),""))</f>
        <v/>
      </c>
    </row>
    <row r="806" spans="2:32" x14ac:dyDescent="0.25">
      <c r="B806" s="24"/>
      <c r="C806" s="136"/>
      <c r="D806" s="148"/>
      <c r="E806" s="136"/>
      <c r="F806" s="136"/>
      <c r="G806" s="136"/>
      <c r="H806" s="136"/>
      <c r="J806" s="136"/>
      <c r="K806" s="136"/>
      <c r="AE806" s="39" t="str">
        <f>IF(D806="","",IFERROR(VLOOKUP(D806,Projects!$A$2:$A$20000,1,FALSE),""))</f>
        <v/>
      </c>
      <c r="AF806" s="2" t="str">
        <f>IF(D806="","",IFERROR(MATCH(D806,Projects!$A:$A,0),""))</f>
        <v/>
      </c>
    </row>
    <row r="807" spans="2:32" x14ac:dyDescent="0.25">
      <c r="B807" s="24"/>
      <c r="C807" s="136"/>
      <c r="D807" s="148"/>
      <c r="E807" s="136"/>
      <c r="F807" s="136"/>
      <c r="G807" s="136"/>
      <c r="H807" s="136"/>
      <c r="J807" s="136"/>
      <c r="K807" s="136"/>
      <c r="AE807" s="39" t="str">
        <f>IF(D807="","",IFERROR(VLOOKUP(D807,Projects!$A$2:$A$20000,1,FALSE),""))</f>
        <v/>
      </c>
      <c r="AF807" s="2" t="str">
        <f>IF(D807="","",IFERROR(MATCH(D807,Projects!$A:$A,0),""))</f>
        <v/>
      </c>
    </row>
    <row r="808" spans="2:32" x14ac:dyDescent="0.25">
      <c r="B808" s="24"/>
      <c r="C808" s="136"/>
      <c r="D808" s="148"/>
      <c r="E808" s="136"/>
      <c r="F808" s="136"/>
      <c r="G808" s="136"/>
      <c r="H808" s="136"/>
      <c r="J808" s="136"/>
      <c r="K808" s="136"/>
      <c r="AE808" s="39" t="str">
        <f>IF(D808="","",IFERROR(VLOOKUP(D808,Projects!$A$2:$A$20000,1,FALSE),""))</f>
        <v/>
      </c>
      <c r="AF808" s="2" t="str">
        <f>IF(D808="","",IFERROR(MATCH(D808,Projects!$A:$A,0),""))</f>
        <v/>
      </c>
    </row>
    <row r="809" spans="2:32" x14ac:dyDescent="0.25">
      <c r="B809" s="24"/>
      <c r="C809" s="136"/>
      <c r="D809" s="148"/>
      <c r="E809" s="136"/>
      <c r="F809" s="136"/>
      <c r="G809" s="136"/>
      <c r="H809" s="136"/>
      <c r="J809" s="136"/>
      <c r="K809" s="136"/>
      <c r="AE809" s="39" t="str">
        <f>IF(D809="","",IFERROR(VLOOKUP(D809,Projects!$A$2:$A$20000,1,FALSE),""))</f>
        <v/>
      </c>
      <c r="AF809" s="2" t="str">
        <f>IF(D809="","",IFERROR(MATCH(D809,Projects!$A:$A,0),""))</f>
        <v/>
      </c>
    </row>
    <row r="810" spans="2:32" x14ac:dyDescent="0.25">
      <c r="B810" s="24"/>
      <c r="C810" s="136"/>
      <c r="D810" s="148"/>
      <c r="E810" s="136"/>
      <c r="F810" s="136"/>
      <c r="G810" s="136"/>
      <c r="H810" s="136"/>
      <c r="J810" s="136"/>
      <c r="K810" s="136"/>
      <c r="AE810" s="39" t="str">
        <f>IF(D810="","",IFERROR(VLOOKUP(D810,Projects!$A$2:$A$20000,1,FALSE),""))</f>
        <v/>
      </c>
      <c r="AF810" s="2" t="str">
        <f>IF(D810="","",IFERROR(MATCH(D810,Projects!$A:$A,0),""))</f>
        <v/>
      </c>
    </row>
    <row r="811" spans="2:32" x14ac:dyDescent="0.25">
      <c r="B811" s="24"/>
      <c r="C811" s="136"/>
      <c r="D811" s="148"/>
      <c r="E811" s="136"/>
      <c r="F811" s="136"/>
      <c r="G811" s="136"/>
      <c r="H811" s="136"/>
      <c r="J811" s="136"/>
      <c r="K811" s="136"/>
      <c r="AE811" s="39" t="str">
        <f>IF(D811="","",IFERROR(VLOOKUP(D811,Projects!$A$2:$A$20000,1,FALSE),""))</f>
        <v/>
      </c>
      <c r="AF811" s="2" t="str">
        <f>IF(D811="","",IFERROR(MATCH(D811,Projects!$A:$A,0),""))</f>
        <v/>
      </c>
    </row>
    <row r="812" spans="2:32" x14ac:dyDescent="0.25">
      <c r="B812" s="24"/>
      <c r="C812" s="136"/>
      <c r="D812" s="148"/>
      <c r="E812" s="136"/>
      <c r="F812" s="136"/>
      <c r="G812" s="136"/>
      <c r="H812" s="136"/>
      <c r="J812" s="136"/>
      <c r="K812" s="136"/>
      <c r="AE812" s="39" t="str">
        <f>IF(D812="","",IFERROR(VLOOKUP(D812,Projects!$A$2:$A$20000,1,FALSE),""))</f>
        <v/>
      </c>
      <c r="AF812" s="2" t="str">
        <f>IF(D812="","",IFERROR(MATCH(D812,Projects!$A:$A,0),""))</f>
        <v/>
      </c>
    </row>
    <row r="813" spans="2:32" x14ac:dyDescent="0.25">
      <c r="B813" s="24"/>
      <c r="C813" s="136"/>
      <c r="D813" s="148"/>
      <c r="E813" s="136"/>
      <c r="F813" s="136"/>
      <c r="G813" s="136"/>
      <c r="H813" s="136"/>
      <c r="J813" s="136"/>
      <c r="K813" s="136"/>
      <c r="AE813" s="39" t="str">
        <f>IF(D813="","",IFERROR(VLOOKUP(D813,Projects!$A$2:$A$20000,1,FALSE),""))</f>
        <v/>
      </c>
      <c r="AF813" s="2" t="str">
        <f>IF(D813="","",IFERROR(MATCH(D813,Projects!$A:$A,0),""))</f>
        <v/>
      </c>
    </row>
    <row r="814" spans="2:32" x14ac:dyDescent="0.25">
      <c r="B814" s="24"/>
      <c r="C814" s="136"/>
      <c r="D814" s="148"/>
      <c r="E814" s="136"/>
      <c r="F814" s="136"/>
      <c r="G814" s="136"/>
      <c r="H814" s="136"/>
      <c r="J814" s="136"/>
      <c r="K814" s="136"/>
      <c r="AE814" s="39" t="str">
        <f>IF(D814="","",IFERROR(VLOOKUP(D814,Projects!$A$2:$A$20000,1,FALSE),""))</f>
        <v/>
      </c>
      <c r="AF814" s="2" t="str">
        <f>IF(D814="","",IFERROR(MATCH(D814,Projects!$A:$A,0),""))</f>
        <v/>
      </c>
    </row>
    <row r="815" spans="2:32" x14ac:dyDescent="0.25">
      <c r="B815" s="24"/>
      <c r="C815" s="136"/>
      <c r="D815" s="148"/>
      <c r="E815" s="136"/>
      <c r="F815" s="136"/>
      <c r="G815" s="136"/>
      <c r="H815" s="136"/>
      <c r="J815" s="136"/>
      <c r="K815" s="136"/>
      <c r="AE815" s="39" t="str">
        <f>IF(D815="","",IFERROR(VLOOKUP(D815,Projects!$A$2:$A$20000,1,FALSE),""))</f>
        <v/>
      </c>
      <c r="AF815" s="2" t="str">
        <f>IF(D815="","",IFERROR(MATCH(D815,Projects!$A:$A,0),""))</f>
        <v/>
      </c>
    </row>
    <row r="816" spans="2:32" x14ac:dyDescent="0.25">
      <c r="B816" s="24"/>
      <c r="C816" s="136"/>
      <c r="D816" s="148"/>
      <c r="E816" s="136"/>
      <c r="F816" s="136"/>
      <c r="G816" s="136"/>
      <c r="H816" s="136"/>
      <c r="J816" s="136"/>
      <c r="K816" s="136"/>
      <c r="AE816" s="39" t="str">
        <f>IF(D816="","",IFERROR(VLOOKUP(D816,Projects!$A$2:$A$20000,1,FALSE),""))</f>
        <v/>
      </c>
      <c r="AF816" s="2" t="str">
        <f>IF(D816="","",IFERROR(MATCH(D816,Projects!$A:$A,0),""))</f>
        <v/>
      </c>
    </row>
    <row r="817" spans="2:32" x14ac:dyDescent="0.25">
      <c r="B817" s="24"/>
      <c r="C817" s="136"/>
      <c r="D817" s="148"/>
      <c r="E817" s="136"/>
      <c r="F817" s="136"/>
      <c r="G817" s="136"/>
      <c r="H817" s="136"/>
      <c r="J817" s="136"/>
      <c r="K817" s="136"/>
      <c r="AE817" s="39" t="str">
        <f>IF(D817="","",IFERROR(VLOOKUP(D817,Projects!$A$2:$A$20000,1,FALSE),""))</f>
        <v/>
      </c>
      <c r="AF817" s="2" t="str">
        <f>IF(D817="","",IFERROR(MATCH(D817,Projects!$A:$A,0),""))</f>
        <v/>
      </c>
    </row>
    <row r="818" spans="2:32" x14ac:dyDescent="0.25">
      <c r="B818" s="24"/>
      <c r="C818" s="136"/>
      <c r="D818" s="148"/>
      <c r="E818" s="136"/>
      <c r="F818" s="136"/>
      <c r="G818" s="136"/>
      <c r="H818" s="136"/>
      <c r="J818" s="136"/>
      <c r="K818" s="136"/>
      <c r="AE818" s="39" t="str">
        <f>IF(D818="","",IFERROR(VLOOKUP(D818,Projects!$A$2:$A$20000,1,FALSE),""))</f>
        <v/>
      </c>
      <c r="AF818" s="2" t="str">
        <f>IF(D818="","",IFERROR(MATCH(D818,Projects!$A:$A,0),""))</f>
        <v/>
      </c>
    </row>
    <row r="819" spans="2:32" x14ac:dyDescent="0.25">
      <c r="B819" s="24"/>
      <c r="C819" s="136"/>
      <c r="D819" s="148"/>
      <c r="E819" s="136"/>
      <c r="F819" s="136"/>
      <c r="G819" s="136"/>
      <c r="H819" s="136"/>
      <c r="J819" s="136"/>
      <c r="K819" s="136"/>
      <c r="AE819" s="39" t="str">
        <f>IF(D819="","",IFERROR(VLOOKUP(D819,Projects!$A$2:$A$20000,1,FALSE),""))</f>
        <v/>
      </c>
      <c r="AF819" s="2" t="str">
        <f>IF(D819="","",IFERROR(MATCH(D819,Projects!$A:$A,0),""))</f>
        <v/>
      </c>
    </row>
    <row r="820" spans="2:32" x14ac:dyDescent="0.25">
      <c r="B820" s="24"/>
      <c r="C820" s="136"/>
      <c r="D820" s="148"/>
      <c r="E820" s="136"/>
      <c r="F820" s="136"/>
      <c r="G820" s="136"/>
      <c r="H820" s="136"/>
      <c r="J820" s="136"/>
      <c r="K820" s="136"/>
      <c r="AE820" s="39" t="str">
        <f>IF(D820="","",IFERROR(VLOOKUP(D820,Projects!$A$2:$A$20000,1,FALSE),""))</f>
        <v/>
      </c>
      <c r="AF820" s="2" t="str">
        <f>IF(D820="","",IFERROR(MATCH(D820,Projects!$A:$A,0),""))</f>
        <v/>
      </c>
    </row>
    <row r="821" spans="2:32" x14ac:dyDescent="0.25">
      <c r="B821" s="24"/>
      <c r="C821" s="136"/>
      <c r="D821" s="148"/>
      <c r="E821" s="136"/>
      <c r="F821" s="136"/>
      <c r="G821" s="136"/>
      <c r="H821" s="136"/>
      <c r="J821" s="136"/>
      <c r="K821" s="136"/>
      <c r="AE821" s="39" t="str">
        <f>IF(D821="","",IFERROR(VLOOKUP(D821,Projects!$A$2:$A$20000,1,FALSE),""))</f>
        <v/>
      </c>
      <c r="AF821" s="2" t="str">
        <f>IF(D821="","",IFERROR(MATCH(D821,Projects!$A:$A,0),""))</f>
        <v/>
      </c>
    </row>
    <row r="822" spans="2:32" x14ac:dyDescent="0.25">
      <c r="B822" s="24"/>
      <c r="C822" s="136"/>
      <c r="D822" s="148"/>
      <c r="E822" s="136"/>
      <c r="F822" s="136"/>
      <c r="G822" s="136"/>
      <c r="H822" s="136"/>
      <c r="J822" s="136"/>
      <c r="K822" s="136"/>
      <c r="AE822" s="39" t="str">
        <f>IF(D822="","",IFERROR(VLOOKUP(D822,Projects!$A$2:$A$20000,1,FALSE),""))</f>
        <v/>
      </c>
      <c r="AF822" s="2" t="str">
        <f>IF(D822="","",IFERROR(MATCH(D822,Projects!$A:$A,0),""))</f>
        <v/>
      </c>
    </row>
    <row r="823" spans="2:32" x14ac:dyDescent="0.25">
      <c r="B823" s="24"/>
      <c r="C823" s="136"/>
      <c r="D823" s="148"/>
      <c r="E823" s="136"/>
      <c r="F823" s="136"/>
      <c r="G823" s="136"/>
      <c r="H823" s="136"/>
      <c r="J823" s="136"/>
      <c r="K823" s="136"/>
      <c r="AE823" s="39" t="str">
        <f>IF(D823="","",IFERROR(VLOOKUP(D823,Projects!$A$2:$A$20000,1,FALSE),""))</f>
        <v/>
      </c>
      <c r="AF823" s="2" t="str">
        <f>IF(D823="","",IFERROR(MATCH(D823,Projects!$A:$A,0),""))</f>
        <v/>
      </c>
    </row>
    <row r="824" spans="2:32" x14ac:dyDescent="0.25">
      <c r="B824" s="24"/>
      <c r="C824" s="136"/>
      <c r="D824" s="148"/>
      <c r="E824" s="136"/>
      <c r="F824" s="136"/>
      <c r="G824" s="136"/>
      <c r="H824" s="136"/>
      <c r="J824" s="136"/>
      <c r="K824" s="136"/>
      <c r="AE824" s="39" t="str">
        <f>IF(D824="","",IFERROR(VLOOKUP(D824,Projects!$A$2:$A$20000,1,FALSE),""))</f>
        <v/>
      </c>
      <c r="AF824" s="2" t="str">
        <f>IF(D824="","",IFERROR(MATCH(D824,Projects!$A:$A,0),""))</f>
        <v/>
      </c>
    </row>
    <row r="825" spans="2:32" x14ac:dyDescent="0.25">
      <c r="B825" s="24"/>
      <c r="C825" s="136"/>
      <c r="D825" s="148"/>
      <c r="E825" s="136"/>
      <c r="F825" s="136"/>
      <c r="G825" s="136"/>
      <c r="H825" s="136"/>
      <c r="J825" s="136"/>
      <c r="K825" s="136"/>
      <c r="AE825" s="39" t="str">
        <f>IF(D825="","",IFERROR(VLOOKUP(D825,Projects!$A$2:$A$20000,1,FALSE),""))</f>
        <v/>
      </c>
      <c r="AF825" s="2" t="str">
        <f>IF(D825="","",IFERROR(MATCH(D825,Projects!$A:$A,0),""))</f>
        <v/>
      </c>
    </row>
    <row r="826" spans="2:32" x14ac:dyDescent="0.25">
      <c r="B826" s="24"/>
      <c r="C826" s="136"/>
      <c r="D826" s="148"/>
      <c r="E826" s="136"/>
      <c r="F826" s="136"/>
      <c r="G826" s="136"/>
      <c r="H826" s="136"/>
      <c r="J826" s="136"/>
      <c r="K826" s="136"/>
      <c r="AE826" s="39" t="str">
        <f>IF(D826="","",IFERROR(VLOOKUP(D826,Projects!$A$2:$A$20000,1,FALSE),""))</f>
        <v/>
      </c>
      <c r="AF826" s="2" t="str">
        <f>IF(D826="","",IFERROR(MATCH(D826,Projects!$A:$A,0),""))</f>
        <v/>
      </c>
    </row>
    <row r="827" spans="2:32" x14ac:dyDescent="0.25">
      <c r="B827" s="24"/>
      <c r="C827" s="136"/>
      <c r="D827" s="148"/>
      <c r="E827" s="136"/>
      <c r="F827" s="136"/>
      <c r="G827" s="136"/>
      <c r="H827" s="136"/>
      <c r="J827" s="136"/>
      <c r="K827" s="136"/>
      <c r="AE827" s="39" t="str">
        <f>IF(D827="","",IFERROR(VLOOKUP(D827,Projects!$A$2:$A$20000,1,FALSE),""))</f>
        <v/>
      </c>
      <c r="AF827" s="2" t="str">
        <f>IF(D827="","",IFERROR(MATCH(D827,Projects!$A:$A,0),""))</f>
        <v/>
      </c>
    </row>
    <row r="828" spans="2:32" x14ac:dyDescent="0.25">
      <c r="B828" s="24"/>
      <c r="C828" s="136"/>
      <c r="D828" s="148"/>
      <c r="E828" s="136"/>
      <c r="F828" s="136"/>
      <c r="G828" s="136"/>
      <c r="H828" s="136"/>
      <c r="J828" s="136"/>
      <c r="K828" s="136"/>
      <c r="AE828" s="39" t="str">
        <f>IF(D828="","",IFERROR(VLOOKUP(D828,Projects!$A$2:$A$20000,1,FALSE),""))</f>
        <v/>
      </c>
      <c r="AF828" s="2" t="str">
        <f>IF(D828="","",IFERROR(MATCH(D828,Projects!$A:$A,0),""))</f>
        <v/>
      </c>
    </row>
    <row r="829" spans="2:32" x14ac:dyDescent="0.25">
      <c r="B829" s="24"/>
      <c r="C829" s="136"/>
      <c r="D829" s="148"/>
      <c r="E829" s="136"/>
      <c r="F829" s="136"/>
      <c r="G829" s="136"/>
      <c r="H829" s="136"/>
      <c r="J829" s="136"/>
      <c r="K829" s="136"/>
      <c r="AE829" s="39" t="str">
        <f>IF(D829="","",IFERROR(VLOOKUP(D829,Projects!$A$2:$A$20000,1,FALSE),""))</f>
        <v/>
      </c>
      <c r="AF829" s="2" t="str">
        <f>IF(D829="","",IFERROR(MATCH(D829,Projects!$A:$A,0),""))</f>
        <v/>
      </c>
    </row>
    <row r="830" spans="2:32" x14ac:dyDescent="0.25">
      <c r="B830" s="24"/>
      <c r="C830" s="136"/>
      <c r="D830" s="148"/>
      <c r="E830" s="136"/>
      <c r="F830" s="136"/>
      <c r="G830" s="136"/>
      <c r="H830" s="136"/>
      <c r="J830" s="136"/>
      <c r="K830" s="136"/>
      <c r="AE830" s="39" t="str">
        <f>IF(D830="","",IFERROR(VLOOKUP(D830,Projects!$A$2:$A$20000,1,FALSE),""))</f>
        <v/>
      </c>
      <c r="AF830" s="2" t="str">
        <f>IF(D830="","",IFERROR(MATCH(D830,Projects!$A:$A,0),""))</f>
        <v/>
      </c>
    </row>
    <row r="831" spans="2:32" x14ac:dyDescent="0.25">
      <c r="B831" s="24"/>
      <c r="C831" s="136"/>
      <c r="D831" s="148"/>
      <c r="E831" s="136"/>
      <c r="F831" s="136"/>
      <c r="G831" s="136"/>
      <c r="H831" s="136"/>
      <c r="J831" s="136"/>
      <c r="K831" s="136"/>
      <c r="AE831" s="39" t="str">
        <f>IF(D831="","",IFERROR(VLOOKUP(D831,Projects!$A$2:$A$20000,1,FALSE),""))</f>
        <v/>
      </c>
      <c r="AF831" s="2" t="str">
        <f>IF(D831="","",IFERROR(MATCH(D831,Projects!$A:$A,0),""))</f>
        <v/>
      </c>
    </row>
    <row r="832" spans="2:32" x14ac:dyDescent="0.25">
      <c r="B832" s="24"/>
      <c r="C832" s="136"/>
      <c r="D832" s="148"/>
      <c r="E832" s="136"/>
      <c r="F832" s="136"/>
      <c r="G832" s="136"/>
      <c r="H832" s="136"/>
      <c r="J832" s="136"/>
      <c r="K832" s="136"/>
      <c r="AE832" s="39" t="str">
        <f>IF(D832="","",IFERROR(VLOOKUP(D832,Projects!$A$2:$A$20000,1,FALSE),""))</f>
        <v/>
      </c>
      <c r="AF832" s="2" t="str">
        <f>IF(D832="","",IFERROR(MATCH(D832,Projects!$A:$A,0),""))</f>
        <v/>
      </c>
    </row>
    <row r="833" spans="2:32" x14ac:dyDescent="0.25">
      <c r="B833" s="24"/>
      <c r="C833" s="136"/>
      <c r="D833" s="148"/>
      <c r="E833" s="136"/>
      <c r="F833" s="136"/>
      <c r="G833" s="136"/>
      <c r="H833" s="136"/>
      <c r="J833" s="136"/>
      <c r="K833" s="136"/>
      <c r="AE833" s="39" t="str">
        <f>IF(D833="","",IFERROR(VLOOKUP(D833,Projects!$A$2:$A$20000,1,FALSE),""))</f>
        <v/>
      </c>
      <c r="AF833" s="2" t="str">
        <f>IF(D833="","",IFERROR(MATCH(D833,Projects!$A:$A,0),""))</f>
        <v/>
      </c>
    </row>
    <row r="834" spans="2:32" x14ac:dyDescent="0.25">
      <c r="B834" s="24"/>
      <c r="C834" s="136"/>
      <c r="D834" s="148"/>
      <c r="E834" s="136"/>
      <c r="F834" s="136"/>
      <c r="G834" s="136"/>
      <c r="H834" s="136"/>
      <c r="J834" s="136"/>
      <c r="K834" s="136"/>
      <c r="AE834" s="39" t="str">
        <f>IF(D834="","",IFERROR(VLOOKUP(D834,Projects!$A$2:$A$20000,1,FALSE),""))</f>
        <v/>
      </c>
      <c r="AF834" s="2" t="str">
        <f>IF(D834="","",IFERROR(MATCH(D834,Projects!$A:$A,0),""))</f>
        <v/>
      </c>
    </row>
    <row r="835" spans="2:32" x14ac:dyDescent="0.25">
      <c r="B835" s="24"/>
      <c r="C835" s="136"/>
      <c r="D835" s="148"/>
      <c r="E835" s="136"/>
      <c r="F835" s="136"/>
      <c r="G835" s="136"/>
      <c r="H835" s="136"/>
      <c r="J835" s="136"/>
      <c r="K835" s="136"/>
      <c r="AE835" s="39" t="str">
        <f>IF(D835="","",IFERROR(VLOOKUP(D835,Projects!$A$2:$A$20000,1,FALSE),""))</f>
        <v/>
      </c>
      <c r="AF835" s="2" t="str">
        <f>IF(D835="","",IFERROR(MATCH(D835,Projects!$A:$A,0),""))</f>
        <v/>
      </c>
    </row>
    <row r="836" spans="2:32" x14ac:dyDescent="0.25">
      <c r="B836" s="24"/>
      <c r="C836" s="136"/>
      <c r="D836" s="148"/>
      <c r="E836" s="136"/>
      <c r="F836" s="136"/>
      <c r="G836" s="136"/>
      <c r="H836" s="136"/>
      <c r="J836" s="136"/>
      <c r="K836" s="136"/>
      <c r="AE836" s="39" t="str">
        <f>IF(D836="","",IFERROR(VLOOKUP(D836,Projects!$A$2:$A$20000,1,FALSE),""))</f>
        <v/>
      </c>
      <c r="AF836" s="2" t="str">
        <f>IF(D836="","",IFERROR(MATCH(D836,Projects!$A:$A,0),""))</f>
        <v/>
      </c>
    </row>
    <row r="837" spans="2:32" x14ac:dyDescent="0.25">
      <c r="B837" s="24"/>
      <c r="C837" s="136"/>
      <c r="D837" s="148"/>
      <c r="E837" s="136"/>
      <c r="F837" s="136"/>
      <c r="G837" s="136"/>
      <c r="H837" s="136"/>
      <c r="J837" s="136"/>
      <c r="K837" s="136"/>
      <c r="AE837" s="39" t="str">
        <f>IF(D837="","",IFERROR(VLOOKUP(D837,Projects!$A$2:$A$20000,1,FALSE),""))</f>
        <v/>
      </c>
      <c r="AF837" s="2" t="str">
        <f>IF(D837="","",IFERROR(MATCH(D837,Projects!$A:$A,0),""))</f>
        <v/>
      </c>
    </row>
    <row r="838" spans="2:32" x14ac:dyDescent="0.25">
      <c r="B838" s="24"/>
      <c r="C838" s="136"/>
      <c r="D838" s="148"/>
      <c r="E838" s="136"/>
      <c r="F838" s="136"/>
      <c r="G838" s="136"/>
      <c r="H838" s="136"/>
      <c r="J838" s="136"/>
      <c r="K838" s="136"/>
      <c r="AE838" s="39" t="str">
        <f>IF(D838="","",IFERROR(VLOOKUP(D838,Projects!$A$2:$A$20000,1,FALSE),""))</f>
        <v/>
      </c>
      <c r="AF838" s="2" t="str">
        <f>IF(D838="","",IFERROR(MATCH(D838,Projects!$A:$A,0),""))</f>
        <v/>
      </c>
    </row>
    <row r="839" spans="2:32" x14ac:dyDescent="0.25">
      <c r="B839" s="24"/>
      <c r="C839" s="136"/>
      <c r="D839" s="148"/>
      <c r="E839" s="136"/>
      <c r="F839" s="136"/>
      <c r="G839" s="136"/>
      <c r="H839" s="136"/>
      <c r="J839" s="136"/>
      <c r="K839" s="136"/>
      <c r="AE839" s="39" t="str">
        <f>IF(D839="","",IFERROR(VLOOKUP(D839,Projects!$A$2:$A$20000,1,FALSE),""))</f>
        <v/>
      </c>
      <c r="AF839" s="2" t="str">
        <f>IF(D839="","",IFERROR(MATCH(D839,Projects!$A:$A,0),""))</f>
        <v/>
      </c>
    </row>
    <row r="840" spans="2:32" x14ac:dyDescent="0.25">
      <c r="B840" s="24"/>
      <c r="C840" s="136"/>
      <c r="D840" s="148"/>
      <c r="E840" s="136"/>
      <c r="F840" s="136"/>
      <c r="G840" s="136"/>
      <c r="H840" s="136"/>
      <c r="J840" s="136"/>
      <c r="K840" s="136"/>
      <c r="AE840" s="39" t="str">
        <f>IF(D840="","",IFERROR(VLOOKUP(D840,Projects!$A$2:$A$20000,1,FALSE),""))</f>
        <v/>
      </c>
      <c r="AF840" s="2" t="str">
        <f>IF(D840="","",IFERROR(MATCH(D840,Projects!$A:$A,0),""))</f>
        <v/>
      </c>
    </row>
    <row r="841" spans="2:32" x14ac:dyDescent="0.25">
      <c r="B841" s="24"/>
      <c r="C841" s="136"/>
      <c r="D841" s="148"/>
      <c r="E841" s="136"/>
      <c r="F841" s="136"/>
      <c r="G841" s="136"/>
      <c r="H841" s="136"/>
      <c r="J841" s="136"/>
      <c r="K841" s="136"/>
      <c r="AE841" s="39" t="str">
        <f>IF(D841="","",IFERROR(VLOOKUP(D841,Projects!$A$2:$A$20000,1,FALSE),""))</f>
        <v/>
      </c>
      <c r="AF841" s="2" t="str">
        <f>IF(D841="","",IFERROR(MATCH(D841,Projects!$A:$A,0),""))</f>
        <v/>
      </c>
    </row>
    <row r="842" spans="2:32" x14ac:dyDescent="0.25">
      <c r="B842" s="24"/>
      <c r="C842" s="136"/>
      <c r="D842" s="148"/>
      <c r="E842" s="136"/>
      <c r="F842" s="136"/>
      <c r="G842" s="136"/>
      <c r="H842" s="136"/>
      <c r="J842" s="136"/>
      <c r="K842" s="136"/>
      <c r="AE842" s="39" t="str">
        <f>IF(D842="","",IFERROR(VLOOKUP(D842,Projects!$A$2:$A$20000,1,FALSE),""))</f>
        <v/>
      </c>
      <c r="AF842" s="2" t="str">
        <f>IF(D842="","",IFERROR(MATCH(D842,Projects!$A:$A,0),""))</f>
        <v/>
      </c>
    </row>
    <row r="843" spans="2:32" x14ac:dyDescent="0.25">
      <c r="B843" s="24"/>
      <c r="C843" s="136"/>
      <c r="D843" s="148"/>
      <c r="E843" s="136"/>
      <c r="F843" s="136"/>
      <c r="G843" s="136"/>
      <c r="H843" s="136"/>
      <c r="J843" s="136"/>
      <c r="K843" s="136"/>
      <c r="AE843" s="39" t="str">
        <f>IF(D843="","",IFERROR(VLOOKUP(D843,Projects!$A$2:$A$20000,1,FALSE),""))</f>
        <v/>
      </c>
      <c r="AF843" s="2" t="str">
        <f>IF(D843="","",IFERROR(MATCH(D843,Projects!$A:$A,0),""))</f>
        <v/>
      </c>
    </row>
    <row r="844" spans="2:32" x14ac:dyDescent="0.25">
      <c r="B844" s="24"/>
      <c r="C844" s="136"/>
      <c r="D844" s="148"/>
      <c r="E844" s="136"/>
      <c r="F844" s="136"/>
      <c r="G844" s="136"/>
      <c r="H844" s="136"/>
      <c r="J844" s="136"/>
      <c r="K844" s="136"/>
      <c r="AE844" s="39" t="str">
        <f>IF(D844="","",IFERROR(VLOOKUP(D844,Projects!$A$2:$A$20000,1,FALSE),""))</f>
        <v/>
      </c>
      <c r="AF844" s="2" t="str">
        <f>IF(D844="","",IFERROR(MATCH(D844,Projects!$A:$A,0),""))</f>
        <v/>
      </c>
    </row>
    <row r="845" spans="2:32" x14ac:dyDescent="0.25">
      <c r="B845" s="24"/>
      <c r="C845" s="136"/>
      <c r="D845" s="148"/>
      <c r="E845" s="136"/>
      <c r="F845" s="136"/>
      <c r="G845" s="136"/>
      <c r="H845" s="136"/>
      <c r="J845" s="136"/>
      <c r="K845" s="136"/>
      <c r="AE845" s="39" t="str">
        <f>IF(D845="","",IFERROR(VLOOKUP(D845,Projects!$A$2:$A$20000,1,FALSE),""))</f>
        <v/>
      </c>
      <c r="AF845" s="2" t="str">
        <f>IF(D845="","",IFERROR(MATCH(D845,Projects!$A:$A,0),""))</f>
        <v/>
      </c>
    </row>
    <row r="846" spans="2:32" x14ac:dyDescent="0.25">
      <c r="B846" s="24"/>
      <c r="C846" s="136"/>
      <c r="D846" s="148"/>
      <c r="E846" s="136"/>
      <c r="F846" s="136"/>
      <c r="G846" s="136"/>
      <c r="H846" s="136"/>
      <c r="J846" s="136"/>
      <c r="K846" s="136"/>
      <c r="AE846" s="39" t="str">
        <f>IF(D846="","",IFERROR(VLOOKUP(D846,Projects!$A$2:$A$20000,1,FALSE),""))</f>
        <v/>
      </c>
      <c r="AF846" s="2" t="str">
        <f>IF(D846="","",IFERROR(MATCH(D846,Projects!$A:$A,0),""))</f>
        <v/>
      </c>
    </row>
    <row r="847" spans="2:32" x14ac:dyDescent="0.25">
      <c r="B847" s="24"/>
      <c r="C847" s="136"/>
      <c r="D847" s="148"/>
      <c r="E847" s="136"/>
      <c r="F847" s="136"/>
      <c r="G847" s="136"/>
      <c r="H847" s="136"/>
      <c r="J847" s="136"/>
      <c r="K847" s="136"/>
      <c r="AE847" s="39" t="str">
        <f>IF(D847="","",IFERROR(VLOOKUP(D847,Projects!$A$2:$A$20000,1,FALSE),""))</f>
        <v/>
      </c>
      <c r="AF847" s="2" t="str">
        <f>IF(D847="","",IFERROR(MATCH(D847,Projects!$A:$A,0),""))</f>
        <v/>
      </c>
    </row>
    <row r="848" spans="2:32" x14ac:dyDescent="0.25">
      <c r="B848" s="24"/>
      <c r="C848" s="136"/>
      <c r="D848" s="148"/>
      <c r="E848" s="136"/>
      <c r="F848" s="136"/>
      <c r="G848" s="136"/>
      <c r="H848" s="136"/>
      <c r="J848" s="136"/>
      <c r="K848" s="136"/>
      <c r="AE848" s="39" t="str">
        <f>IF(D848="","",IFERROR(VLOOKUP(D848,Projects!$A$2:$A$20000,1,FALSE),""))</f>
        <v/>
      </c>
      <c r="AF848" s="2" t="str">
        <f>IF(D848="","",IFERROR(MATCH(D848,Projects!$A:$A,0),""))</f>
        <v/>
      </c>
    </row>
    <row r="849" spans="2:32" x14ac:dyDescent="0.25">
      <c r="B849" s="24"/>
      <c r="C849" s="136"/>
      <c r="D849" s="148"/>
      <c r="E849" s="136"/>
      <c r="F849" s="136"/>
      <c r="G849" s="136"/>
      <c r="H849" s="136"/>
      <c r="J849" s="136"/>
      <c r="K849" s="136"/>
      <c r="AE849" s="39" t="str">
        <f>IF(D849="","",IFERROR(VLOOKUP(D849,Projects!$A$2:$A$20000,1,FALSE),""))</f>
        <v/>
      </c>
      <c r="AF849" s="2" t="str">
        <f>IF(D849="","",IFERROR(MATCH(D849,Projects!$A:$A,0),""))</f>
        <v/>
      </c>
    </row>
    <row r="850" spans="2:32" x14ac:dyDescent="0.25">
      <c r="B850" s="24"/>
      <c r="C850" s="136"/>
      <c r="D850" s="148"/>
      <c r="E850" s="136"/>
      <c r="F850" s="136"/>
      <c r="G850" s="136"/>
      <c r="H850" s="136"/>
      <c r="J850" s="136"/>
      <c r="K850" s="136"/>
      <c r="AE850" s="39" t="str">
        <f>IF(D850="","",IFERROR(VLOOKUP(D850,Projects!$A$2:$A$20000,1,FALSE),""))</f>
        <v/>
      </c>
      <c r="AF850" s="2" t="str">
        <f>IF(D850="","",IFERROR(MATCH(D850,Projects!$A:$A,0),""))</f>
        <v/>
      </c>
    </row>
    <row r="851" spans="2:32" x14ac:dyDescent="0.25">
      <c r="B851" s="24"/>
      <c r="C851" s="136"/>
      <c r="D851" s="148"/>
      <c r="E851" s="136"/>
      <c r="F851" s="136"/>
      <c r="G851" s="136"/>
      <c r="H851" s="136"/>
      <c r="J851" s="136"/>
      <c r="K851" s="136"/>
      <c r="AE851" s="39" t="str">
        <f>IF(D851="","",IFERROR(VLOOKUP(D851,Projects!$A$2:$A$20000,1,FALSE),""))</f>
        <v/>
      </c>
      <c r="AF851" s="2" t="str">
        <f>IF(D851="","",IFERROR(MATCH(D851,Projects!$A:$A,0),""))</f>
        <v/>
      </c>
    </row>
    <row r="852" spans="2:32" x14ac:dyDescent="0.25">
      <c r="B852" s="24"/>
      <c r="C852" s="136"/>
      <c r="D852" s="148"/>
      <c r="E852" s="136"/>
      <c r="F852" s="136"/>
      <c r="G852" s="136"/>
      <c r="H852" s="136"/>
      <c r="J852" s="136"/>
      <c r="K852" s="136"/>
      <c r="AE852" s="39" t="str">
        <f>IF(D852="","",IFERROR(VLOOKUP(D852,Projects!$A$2:$A$20000,1,FALSE),""))</f>
        <v/>
      </c>
      <c r="AF852" s="2" t="str">
        <f>IF(D852="","",IFERROR(MATCH(D852,Projects!$A:$A,0),""))</f>
        <v/>
      </c>
    </row>
    <row r="853" spans="2:32" x14ac:dyDescent="0.25">
      <c r="B853" s="24"/>
      <c r="C853" s="136"/>
      <c r="D853" s="148"/>
      <c r="E853" s="136"/>
      <c r="F853" s="136"/>
      <c r="G853" s="136"/>
      <c r="H853" s="136"/>
      <c r="J853" s="136"/>
      <c r="K853" s="136"/>
      <c r="AE853" s="39" t="str">
        <f>IF(D853="","",IFERROR(VLOOKUP(D853,Projects!$A$2:$A$20000,1,FALSE),""))</f>
        <v/>
      </c>
      <c r="AF853" s="2" t="str">
        <f>IF(D853="","",IFERROR(MATCH(D853,Projects!$A:$A,0),""))</f>
        <v/>
      </c>
    </row>
    <row r="854" spans="2:32" x14ac:dyDescent="0.25">
      <c r="B854" s="24"/>
      <c r="C854" s="136"/>
      <c r="D854" s="148"/>
      <c r="E854" s="136"/>
      <c r="F854" s="136"/>
      <c r="G854" s="136"/>
      <c r="H854" s="136"/>
      <c r="J854" s="136"/>
      <c r="K854" s="136"/>
      <c r="AE854" s="39" t="str">
        <f>IF(D854="","",IFERROR(VLOOKUP(D854,Projects!$A$2:$A$20000,1,FALSE),""))</f>
        <v/>
      </c>
      <c r="AF854" s="2" t="str">
        <f>IF(D854="","",IFERROR(MATCH(D854,Projects!$A:$A,0),""))</f>
        <v/>
      </c>
    </row>
    <row r="855" spans="2:32" x14ac:dyDescent="0.25">
      <c r="B855" s="24"/>
      <c r="C855" s="136"/>
      <c r="D855" s="148"/>
      <c r="E855" s="136"/>
      <c r="F855" s="136"/>
      <c r="G855" s="136"/>
      <c r="H855" s="136"/>
      <c r="J855" s="136"/>
      <c r="K855" s="136"/>
      <c r="AE855" s="39" t="str">
        <f>IF(D855="","",IFERROR(VLOOKUP(D855,Projects!$A$2:$A$20000,1,FALSE),""))</f>
        <v/>
      </c>
      <c r="AF855" s="2" t="str">
        <f>IF(D855="","",IFERROR(MATCH(D855,Projects!$A:$A,0),""))</f>
        <v/>
      </c>
    </row>
    <row r="856" spans="2:32" x14ac:dyDescent="0.25">
      <c r="B856" s="24"/>
      <c r="C856" s="136"/>
      <c r="D856" s="148"/>
      <c r="E856" s="136"/>
      <c r="F856" s="136"/>
      <c r="G856" s="136"/>
      <c r="H856" s="136"/>
      <c r="J856" s="136"/>
      <c r="K856" s="136"/>
      <c r="AE856" s="39" t="str">
        <f>IF(D856="","",IFERROR(VLOOKUP(D856,Projects!$A$2:$A$20000,1,FALSE),""))</f>
        <v/>
      </c>
      <c r="AF856" s="2" t="str">
        <f>IF(D856="","",IFERROR(MATCH(D856,Projects!$A:$A,0),""))</f>
        <v/>
      </c>
    </row>
    <row r="857" spans="2:32" x14ac:dyDescent="0.25">
      <c r="B857" s="24"/>
      <c r="C857" s="136"/>
      <c r="D857" s="148"/>
      <c r="E857" s="136"/>
      <c r="F857" s="136"/>
      <c r="G857" s="136"/>
      <c r="H857" s="136"/>
      <c r="J857" s="136"/>
      <c r="K857" s="136"/>
      <c r="AE857" s="39" t="str">
        <f>IF(D857="","",IFERROR(VLOOKUP(D857,Projects!$A$2:$A$20000,1,FALSE),""))</f>
        <v/>
      </c>
      <c r="AF857" s="2" t="str">
        <f>IF(D857="","",IFERROR(MATCH(D857,Projects!$A:$A,0),""))</f>
        <v/>
      </c>
    </row>
    <row r="858" spans="2:32" x14ac:dyDescent="0.25">
      <c r="B858" s="24"/>
      <c r="C858" s="136"/>
      <c r="D858" s="148"/>
      <c r="E858" s="136"/>
      <c r="F858" s="136"/>
      <c r="G858" s="136"/>
      <c r="H858" s="136"/>
      <c r="J858" s="136"/>
      <c r="K858" s="136"/>
      <c r="AE858" s="39" t="str">
        <f>IF(D858="","",IFERROR(VLOOKUP(D858,Projects!$A$2:$A$20000,1,FALSE),""))</f>
        <v/>
      </c>
      <c r="AF858" s="2" t="str">
        <f>IF(D858="","",IFERROR(MATCH(D858,Projects!$A:$A,0),""))</f>
        <v/>
      </c>
    </row>
    <row r="859" spans="2:32" x14ac:dyDescent="0.25">
      <c r="B859" s="24"/>
      <c r="C859" s="136"/>
      <c r="D859" s="148"/>
      <c r="E859" s="136"/>
      <c r="F859" s="136"/>
      <c r="G859" s="136"/>
      <c r="H859" s="136"/>
      <c r="J859" s="136"/>
      <c r="K859" s="136"/>
      <c r="AE859" s="39" t="str">
        <f>IF(D859="","",IFERROR(VLOOKUP(D859,Projects!$A$2:$A$20000,1,FALSE),""))</f>
        <v/>
      </c>
      <c r="AF859" s="2" t="str">
        <f>IF(D859="","",IFERROR(MATCH(D859,Projects!$A:$A,0),""))</f>
        <v/>
      </c>
    </row>
    <row r="860" spans="2:32" x14ac:dyDescent="0.25">
      <c r="B860" s="24"/>
      <c r="C860" s="136"/>
      <c r="D860" s="148"/>
      <c r="E860" s="136"/>
      <c r="F860" s="136"/>
      <c r="G860" s="136"/>
      <c r="H860" s="136"/>
      <c r="J860" s="136"/>
      <c r="K860" s="136"/>
      <c r="AE860" s="39" t="str">
        <f>IF(D860="","",IFERROR(VLOOKUP(D860,Projects!$A$2:$A$20000,1,FALSE),""))</f>
        <v/>
      </c>
      <c r="AF860" s="2" t="str">
        <f>IF(D860="","",IFERROR(MATCH(D860,Projects!$A:$A,0),""))</f>
        <v/>
      </c>
    </row>
    <row r="861" spans="2:32" x14ac:dyDescent="0.25">
      <c r="B861" s="24"/>
      <c r="C861" s="136"/>
      <c r="D861" s="148"/>
      <c r="E861" s="136"/>
      <c r="F861" s="136"/>
      <c r="G861" s="136"/>
      <c r="H861" s="136"/>
      <c r="J861" s="136"/>
      <c r="K861" s="136"/>
      <c r="AE861" s="39" t="str">
        <f>IF(D861="","",IFERROR(VLOOKUP(D861,Projects!$A$2:$A$20000,1,FALSE),""))</f>
        <v/>
      </c>
      <c r="AF861" s="2" t="str">
        <f>IF(D861="","",IFERROR(MATCH(D861,Projects!$A:$A,0),""))</f>
        <v/>
      </c>
    </row>
    <row r="862" spans="2:32" x14ac:dyDescent="0.25">
      <c r="B862" s="24"/>
      <c r="C862" s="136"/>
      <c r="D862" s="148"/>
      <c r="E862" s="136"/>
      <c r="F862" s="136"/>
      <c r="G862" s="136"/>
      <c r="H862" s="136"/>
      <c r="J862" s="136"/>
      <c r="K862" s="136"/>
      <c r="AE862" s="39" t="str">
        <f>IF(D862="","",IFERROR(VLOOKUP(D862,Projects!$A$2:$A$20000,1,FALSE),""))</f>
        <v/>
      </c>
      <c r="AF862" s="2" t="str">
        <f>IF(D862="","",IFERROR(MATCH(D862,Projects!$A:$A,0),""))</f>
        <v/>
      </c>
    </row>
    <row r="863" spans="2:32" x14ac:dyDescent="0.25">
      <c r="B863" s="24"/>
      <c r="C863" s="136"/>
      <c r="D863" s="148"/>
      <c r="E863" s="136"/>
      <c r="F863" s="136"/>
      <c r="G863" s="136"/>
      <c r="H863" s="136"/>
      <c r="J863" s="136"/>
      <c r="K863" s="136"/>
      <c r="AE863" s="39" t="str">
        <f>IF(D863="","",IFERROR(VLOOKUP(D863,Projects!$A$2:$A$20000,1,FALSE),""))</f>
        <v/>
      </c>
      <c r="AF863" s="2" t="str">
        <f>IF(D863="","",IFERROR(MATCH(D863,Projects!$A:$A,0),""))</f>
        <v/>
      </c>
    </row>
    <row r="864" spans="2:32" x14ac:dyDescent="0.25">
      <c r="B864" s="24"/>
      <c r="C864" s="136"/>
      <c r="D864" s="148"/>
      <c r="E864" s="136"/>
      <c r="F864" s="136"/>
      <c r="G864" s="136"/>
      <c r="H864" s="136"/>
      <c r="J864" s="136"/>
      <c r="K864" s="136"/>
      <c r="AE864" s="39" t="str">
        <f>IF(D864="","",IFERROR(VLOOKUP(D864,Projects!$A$2:$A$20000,1,FALSE),""))</f>
        <v/>
      </c>
      <c r="AF864" s="2" t="str">
        <f>IF(D864="","",IFERROR(MATCH(D864,Projects!$A:$A,0),""))</f>
        <v/>
      </c>
    </row>
    <row r="865" spans="2:32" x14ac:dyDescent="0.25">
      <c r="B865" s="24"/>
      <c r="C865" s="136"/>
      <c r="D865" s="148"/>
      <c r="E865" s="136"/>
      <c r="F865" s="136"/>
      <c r="G865" s="136"/>
      <c r="H865" s="136"/>
      <c r="J865" s="136"/>
      <c r="K865" s="136"/>
      <c r="AE865" s="39" t="str">
        <f>IF(D865="","",IFERROR(VLOOKUP(D865,Projects!$A$2:$A$20000,1,FALSE),""))</f>
        <v/>
      </c>
      <c r="AF865" s="2" t="str">
        <f>IF(D865="","",IFERROR(MATCH(D865,Projects!$A:$A,0),""))</f>
        <v/>
      </c>
    </row>
    <row r="866" spans="2:32" x14ac:dyDescent="0.25">
      <c r="B866" s="24"/>
      <c r="C866" s="136"/>
      <c r="D866" s="148"/>
      <c r="E866" s="136"/>
      <c r="F866" s="136"/>
      <c r="G866" s="136"/>
      <c r="H866" s="136"/>
      <c r="J866" s="136"/>
      <c r="K866" s="136"/>
      <c r="AE866" s="39" t="str">
        <f>IF(D866="","",IFERROR(VLOOKUP(D866,Projects!$A$2:$A$20000,1,FALSE),""))</f>
        <v/>
      </c>
      <c r="AF866" s="2" t="str">
        <f>IF(D866="","",IFERROR(MATCH(D866,Projects!$A:$A,0),""))</f>
        <v/>
      </c>
    </row>
    <row r="867" spans="2:32" x14ac:dyDescent="0.25">
      <c r="B867" s="24"/>
      <c r="C867" s="136"/>
      <c r="D867" s="148"/>
      <c r="E867" s="136"/>
      <c r="F867" s="136"/>
      <c r="G867" s="136"/>
      <c r="H867" s="136"/>
      <c r="J867" s="136"/>
      <c r="K867" s="136"/>
      <c r="AE867" s="39" t="str">
        <f>IF(D867="","",IFERROR(VLOOKUP(D867,Projects!$A$2:$A$20000,1,FALSE),""))</f>
        <v/>
      </c>
      <c r="AF867" s="2" t="str">
        <f>IF(D867="","",IFERROR(MATCH(D867,Projects!$A:$A,0),""))</f>
        <v/>
      </c>
    </row>
    <row r="868" spans="2:32" x14ac:dyDescent="0.25">
      <c r="B868" s="24"/>
      <c r="C868" s="136"/>
      <c r="D868" s="148"/>
      <c r="E868" s="136"/>
      <c r="F868" s="136"/>
      <c r="G868" s="136"/>
      <c r="H868" s="136"/>
      <c r="J868" s="136"/>
      <c r="K868" s="136"/>
      <c r="AE868" s="39" t="str">
        <f>IF(D868="","",IFERROR(VLOOKUP(D868,Projects!$A$2:$A$20000,1,FALSE),""))</f>
        <v/>
      </c>
      <c r="AF868" s="2" t="str">
        <f>IF(D868="","",IFERROR(MATCH(D868,Projects!$A:$A,0),""))</f>
        <v/>
      </c>
    </row>
    <row r="869" spans="2:32" x14ac:dyDescent="0.25">
      <c r="B869" s="24"/>
      <c r="C869" s="136"/>
      <c r="D869" s="148"/>
      <c r="E869" s="136"/>
      <c r="F869" s="136"/>
      <c r="G869" s="136"/>
      <c r="H869" s="136"/>
      <c r="J869" s="136"/>
      <c r="K869" s="136"/>
      <c r="AE869" s="39" t="str">
        <f>IF(D869="","",IFERROR(VLOOKUP(D869,Projects!$A$2:$A$20000,1,FALSE),""))</f>
        <v/>
      </c>
      <c r="AF869" s="2" t="str">
        <f>IF(D869="","",IFERROR(MATCH(D869,Projects!$A:$A,0),""))</f>
        <v/>
      </c>
    </row>
    <row r="870" spans="2:32" x14ac:dyDescent="0.25">
      <c r="B870" s="24"/>
      <c r="C870" s="136"/>
      <c r="D870" s="148"/>
      <c r="E870" s="136"/>
      <c r="F870" s="136"/>
      <c r="G870" s="136"/>
      <c r="H870" s="136"/>
      <c r="J870" s="136"/>
      <c r="K870" s="136"/>
      <c r="AE870" s="39" t="str">
        <f>IF(D870="","",IFERROR(VLOOKUP(D870,Projects!$A$2:$A$20000,1,FALSE),""))</f>
        <v/>
      </c>
      <c r="AF870" s="2" t="str">
        <f>IF(D870="","",IFERROR(MATCH(D870,Projects!$A:$A,0),""))</f>
        <v/>
      </c>
    </row>
    <row r="871" spans="2:32" x14ac:dyDescent="0.25">
      <c r="B871" s="24"/>
      <c r="C871" s="136"/>
      <c r="D871" s="148"/>
      <c r="E871" s="136"/>
      <c r="F871" s="136"/>
      <c r="G871" s="136"/>
      <c r="H871" s="136"/>
      <c r="J871" s="136"/>
      <c r="K871" s="136"/>
      <c r="AE871" s="39" t="str">
        <f>IF(D871="","",IFERROR(VLOOKUP(D871,Projects!$A$2:$A$20000,1,FALSE),""))</f>
        <v/>
      </c>
      <c r="AF871" s="2" t="str">
        <f>IF(D871="","",IFERROR(MATCH(D871,Projects!$A:$A,0),""))</f>
        <v/>
      </c>
    </row>
    <row r="872" spans="2:32" x14ac:dyDescent="0.25">
      <c r="B872" s="24"/>
      <c r="C872" s="136"/>
      <c r="D872" s="148"/>
      <c r="E872" s="136"/>
      <c r="F872" s="136"/>
      <c r="G872" s="136"/>
      <c r="H872" s="136"/>
      <c r="J872" s="136"/>
      <c r="K872" s="136"/>
      <c r="AE872" s="39" t="str">
        <f>IF(D872="","",IFERROR(VLOOKUP(D872,Projects!$A$2:$A$20000,1,FALSE),""))</f>
        <v/>
      </c>
      <c r="AF872" s="2" t="str">
        <f>IF(D872="","",IFERROR(MATCH(D872,Projects!$A:$A,0),""))</f>
        <v/>
      </c>
    </row>
    <row r="873" spans="2:32" x14ac:dyDescent="0.25">
      <c r="B873" s="24"/>
      <c r="C873" s="136"/>
      <c r="D873" s="148"/>
      <c r="E873" s="136"/>
      <c r="F873" s="136"/>
      <c r="G873" s="136"/>
      <c r="H873" s="136"/>
      <c r="J873" s="136"/>
      <c r="K873" s="136"/>
      <c r="AE873" s="39" t="str">
        <f>IF(D873="","",IFERROR(VLOOKUP(D873,Projects!$A$2:$A$20000,1,FALSE),""))</f>
        <v/>
      </c>
      <c r="AF873" s="2" t="str">
        <f>IF(D873="","",IFERROR(MATCH(D873,Projects!$A:$A,0),""))</f>
        <v/>
      </c>
    </row>
    <row r="874" spans="2:32" x14ac:dyDescent="0.25">
      <c r="B874" s="24"/>
      <c r="C874" s="136"/>
      <c r="D874" s="148"/>
      <c r="E874" s="136"/>
      <c r="F874" s="136"/>
      <c r="G874" s="136"/>
      <c r="H874" s="136"/>
      <c r="J874" s="136"/>
      <c r="K874" s="136"/>
      <c r="AE874" s="39" t="str">
        <f>IF(D874="","",IFERROR(VLOOKUP(D874,Projects!$A$2:$A$20000,1,FALSE),""))</f>
        <v/>
      </c>
      <c r="AF874" s="2" t="str">
        <f>IF(D874="","",IFERROR(MATCH(D874,Projects!$A:$A,0),""))</f>
        <v/>
      </c>
    </row>
    <row r="875" spans="2:32" x14ac:dyDescent="0.25">
      <c r="B875" s="24"/>
      <c r="C875" s="136"/>
      <c r="D875" s="148"/>
      <c r="E875" s="136"/>
      <c r="F875" s="136"/>
      <c r="G875" s="136"/>
      <c r="H875" s="136"/>
      <c r="J875" s="136"/>
      <c r="K875" s="136"/>
      <c r="AE875" s="39" t="str">
        <f>IF(D875="","",IFERROR(VLOOKUP(D875,Projects!$A$2:$A$20000,1,FALSE),""))</f>
        <v/>
      </c>
      <c r="AF875" s="2" t="str">
        <f>IF(D875="","",IFERROR(MATCH(D875,Projects!$A:$A,0),""))</f>
        <v/>
      </c>
    </row>
    <row r="876" spans="2:32" x14ac:dyDescent="0.25">
      <c r="B876" s="24"/>
      <c r="C876" s="136"/>
      <c r="D876" s="148"/>
      <c r="E876" s="136"/>
      <c r="F876" s="136"/>
      <c r="G876" s="136"/>
      <c r="H876" s="136"/>
      <c r="J876" s="136"/>
      <c r="K876" s="136"/>
      <c r="AE876" s="39" t="str">
        <f>IF(D876="","",IFERROR(VLOOKUP(D876,Projects!$A$2:$A$20000,1,FALSE),""))</f>
        <v/>
      </c>
      <c r="AF876" s="2" t="str">
        <f>IF(D876="","",IFERROR(MATCH(D876,Projects!$A:$A,0),""))</f>
        <v/>
      </c>
    </row>
    <row r="877" spans="2:32" x14ac:dyDescent="0.25">
      <c r="B877" s="24"/>
      <c r="C877" s="136"/>
      <c r="D877" s="148"/>
      <c r="E877" s="136"/>
      <c r="F877" s="136"/>
      <c r="G877" s="136"/>
      <c r="H877" s="136"/>
      <c r="J877" s="136"/>
      <c r="K877" s="136"/>
      <c r="AE877" s="39" t="str">
        <f>IF(D877="","",IFERROR(VLOOKUP(D877,Projects!$A$2:$A$20000,1,FALSE),""))</f>
        <v/>
      </c>
      <c r="AF877" s="2" t="str">
        <f>IF(D877="","",IFERROR(MATCH(D877,Projects!$A:$A,0),""))</f>
        <v/>
      </c>
    </row>
    <row r="878" spans="2:32" x14ac:dyDescent="0.25">
      <c r="B878" s="24"/>
      <c r="C878" s="136"/>
      <c r="D878" s="148"/>
      <c r="E878" s="136"/>
      <c r="F878" s="136"/>
      <c r="G878" s="136"/>
      <c r="H878" s="136"/>
      <c r="J878" s="136"/>
      <c r="K878" s="136"/>
      <c r="AE878" s="39" t="str">
        <f>IF(D878="","",IFERROR(VLOOKUP(D878,Projects!$A$2:$A$20000,1,FALSE),""))</f>
        <v/>
      </c>
      <c r="AF878" s="2" t="str">
        <f>IF(D878="","",IFERROR(MATCH(D878,Projects!$A:$A,0),""))</f>
        <v/>
      </c>
    </row>
    <row r="879" spans="2:32" x14ac:dyDescent="0.25">
      <c r="B879" s="24"/>
      <c r="C879" s="136"/>
      <c r="D879" s="148"/>
      <c r="E879" s="136"/>
      <c r="F879" s="136"/>
      <c r="G879" s="136"/>
      <c r="H879" s="136"/>
      <c r="J879" s="136"/>
      <c r="K879" s="136"/>
      <c r="AE879" s="39" t="str">
        <f>IF(D879="","",IFERROR(VLOOKUP(D879,Projects!$A$2:$A$20000,1,FALSE),""))</f>
        <v/>
      </c>
      <c r="AF879" s="2" t="str">
        <f>IF(D879="","",IFERROR(MATCH(D879,Projects!$A:$A,0),""))</f>
        <v/>
      </c>
    </row>
    <row r="880" spans="2:32" x14ac:dyDescent="0.25">
      <c r="B880" s="24"/>
      <c r="C880" s="136"/>
      <c r="D880" s="148"/>
      <c r="E880" s="136"/>
      <c r="F880" s="136"/>
      <c r="G880" s="136"/>
      <c r="H880" s="136"/>
      <c r="J880" s="136"/>
      <c r="K880" s="136"/>
      <c r="AE880" s="39" t="str">
        <f>IF(D880="","",IFERROR(VLOOKUP(D880,Projects!$A$2:$A$20000,1,FALSE),""))</f>
        <v/>
      </c>
      <c r="AF880" s="2" t="str">
        <f>IF(D880="","",IFERROR(MATCH(D880,Projects!$A:$A,0),""))</f>
        <v/>
      </c>
    </row>
    <row r="881" spans="2:32" x14ac:dyDescent="0.25">
      <c r="B881" s="24"/>
      <c r="C881" s="136"/>
      <c r="D881" s="148"/>
      <c r="E881" s="136"/>
      <c r="F881" s="136"/>
      <c r="G881" s="136"/>
      <c r="H881" s="136"/>
      <c r="J881" s="136"/>
      <c r="K881" s="136"/>
      <c r="AE881" s="39" t="str">
        <f>IF(D881="","",IFERROR(VLOOKUP(D881,Projects!$A$2:$A$20000,1,FALSE),""))</f>
        <v/>
      </c>
      <c r="AF881" s="2" t="str">
        <f>IF(D881="","",IFERROR(MATCH(D881,Projects!$A:$A,0),""))</f>
        <v/>
      </c>
    </row>
    <row r="882" spans="2:32" x14ac:dyDescent="0.25">
      <c r="B882" s="24"/>
      <c r="C882" s="136"/>
      <c r="D882" s="148"/>
      <c r="E882" s="136"/>
      <c r="F882" s="136"/>
      <c r="G882" s="136"/>
      <c r="H882" s="136"/>
      <c r="J882" s="136"/>
      <c r="K882" s="136"/>
      <c r="AE882" s="39" t="str">
        <f>IF(D882="","",IFERROR(VLOOKUP(D882,Projects!$A$2:$A$20000,1,FALSE),""))</f>
        <v/>
      </c>
      <c r="AF882" s="2" t="str">
        <f>IF(D882="","",IFERROR(MATCH(D882,Projects!$A:$A,0),""))</f>
        <v/>
      </c>
    </row>
    <row r="883" spans="2:32" x14ac:dyDescent="0.25">
      <c r="B883" s="24"/>
      <c r="C883" s="136"/>
      <c r="D883" s="148"/>
      <c r="E883" s="136"/>
      <c r="F883" s="136"/>
      <c r="G883" s="136"/>
      <c r="H883" s="136"/>
      <c r="J883" s="136"/>
      <c r="K883" s="136"/>
      <c r="AE883" s="39" t="str">
        <f>IF(D883="","",IFERROR(VLOOKUP(D883,Projects!$A$2:$A$20000,1,FALSE),""))</f>
        <v/>
      </c>
      <c r="AF883" s="2" t="str">
        <f>IF(D883="","",IFERROR(MATCH(D883,Projects!$A:$A,0),""))</f>
        <v/>
      </c>
    </row>
    <row r="884" spans="2:32" x14ac:dyDescent="0.25">
      <c r="B884" s="24"/>
      <c r="C884" s="136"/>
      <c r="D884" s="148"/>
      <c r="E884" s="136"/>
      <c r="F884" s="136"/>
      <c r="G884" s="136"/>
      <c r="H884" s="136"/>
      <c r="J884" s="136"/>
      <c r="K884" s="136"/>
      <c r="AE884" s="39" t="str">
        <f>IF(D884="","",IFERROR(VLOOKUP(D884,Projects!$A$2:$A$20000,1,FALSE),""))</f>
        <v/>
      </c>
      <c r="AF884" s="2" t="str">
        <f>IF(D884="","",IFERROR(MATCH(D884,Projects!$A:$A,0),""))</f>
        <v/>
      </c>
    </row>
    <row r="885" spans="2:32" x14ac:dyDescent="0.25">
      <c r="B885" s="24"/>
      <c r="C885" s="136"/>
      <c r="D885" s="148"/>
      <c r="E885" s="136"/>
      <c r="F885" s="136"/>
      <c r="G885" s="136"/>
      <c r="H885" s="136"/>
      <c r="J885" s="136"/>
      <c r="K885" s="136"/>
      <c r="AE885" s="39" t="str">
        <f>IF(D885="","",IFERROR(VLOOKUP(D885,Projects!$A$2:$A$20000,1,FALSE),""))</f>
        <v/>
      </c>
      <c r="AF885" s="2" t="str">
        <f>IF(D885="","",IFERROR(MATCH(D885,Projects!$A:$A,0),""))</f>
        <v/>
      </c>
    </row>
    <row r="886" spans="2:32" x14ac:dyDescent="0.25">
      <c r="B886" s="24"/>
      <c r="C886" s="136"/>
      <c r="D886" s="148"/>
      <c r="E886" s="136"/>
      <c r="F886" s="136"/>
      <c r="G886" s="136"/>
      <c r="H886" s="136"/>
      <c r="J886" s="136"/>
      <c r="K886" s="136"/>
      <c r="AE886" s="39" t="str">
        <f>IF(D886="","",IFERROR(VLOOKUP(D886,Projects!$A$2:$A$20000,1,FALSE),""))</f>
        <v/>
      </c>
      <c r="AF886" s="2" t="str">
        <f>IF(D886="","",IFERROR(MATCH(D886,Projects!$A:$A,0),""))</f>
        <v/>
      </c>
    </row>
    <row r="887" spans="2:32" x14ac:dyDescent="0.25">
      <c r="B887" s="24"/>
      <c r="C887" s="136"/>
      <c r="D887" s="148"/>
      <c r="E887" s="136"/>
      <c r="F887" s="136"/>
      <c r="G887" s="136"/>
      <c r="H887" s="136"/>
      <c r="J887" s="136"/>
      <c r="K887" s="136"/>
      <c r="AE887" s="39" t="str">
        <f>IF(D887="","",IFERROR(VLOOKUP(D887,Projects!$A$2:$A$20000,1,FALSE),""))</f>
        <v/>
      </c>
      <c r="AF887" s="2" t="str">
        <f>IF(D887="","",IFERROR(MATCH(D887,Projects!$A:$A,0),""))</f>
        <v/>
      </c>
    </row>
    <row r="888" spans="2:32" x14ac:dyDescent="0.25">
      <c r="B888" s="24"/>
      <c r="C888" s="136"/>
      <c r="D888" s="148"/>
      <c r="E888" s="136"/>
      <c r="F888" s="136"/>
      <c r="G888" s="136"/>
      <c r="H888" s="136"/>
      <c r="J888" s="136"/>
      <c r="K888" s="136"/>
      <c r="AE888" s="39" t="str">
        <f>IF(D888="","",IFERROR(VLOOKUP(D888,Projects!$A$2:$A$20000,1,FALSE),""))</f>
        <v/>
      </c>
      <c r="AF888" s="2" t="str">
        <f>IF(D888="","",IFERROR(MATCH(D888,Projects!$A:$A,0),""))</f>
        <v/>
      </c>
    </row>
    <row r="889" spans="2:32" x14ac:dyDescent="0.25">
      <c r="B889" s="24"/>
      <c r="C889" s="136"/>
      <c r="D889" s="148"/>
      <c r="E889" s="136"/>
      <c r="F889" s="136"/>
      <c r="G889" s="136"/>
      <c r="H889" s="136"/>
      <c r="J889" s="136"/>
      <c r="K889" s="136"/>
      <c r="AE889" s="39" t="str">
        <f>IF(D889="","",IFERROR(VLOOKUP(D889,Projects!$A$2:$A$20000,1,FALSE),""))</f>
        <v/>
      </c>
      <c r="AF889" s="2" t="str">
        <f>IF(D889="","",IFERROR(MATCH(D889,Projects!$A:$A,0),""))</f>
        <v/>
      </c>
    </row>
    <row r="890" spans="2:32" x14ac:dyDescent="0.25">
      <c r="B890" s="24"/>
      <c r="C890" s="136"/>
      <c r="D890" s="148"/>
      <c r="E890" s="136"/>
      <c r="F890" s="136"/>
      <c r="G890" s="136"/>
      <c r="H890" s="136"/>
      <c r="J890" s="136"/>
      <c r="K890" s="136"/>
      <c r="AE890" s="39" t="str">
        <f>IF(D890="","",IFERROR(VLOOKUP(D890,Projects!$A$2:$A$20000,1,FALSE),""))</f>
        <v/>
      </c>
      <c r="AF890" s="2" t="str">
        <f>IF(D890="","",IFERROR(MATCH(D890,Projects!$A:$A,0),""))</f>
        <v/>
      </c>
    </row>
    <row r="891" spans="2:32" x14ac:dyDescent="0.25">
      <c r="B891" s="24"/>
      <c r="C891" s="136"/>
      <c r="D891" s="148"/>
      <c r="E891" s="136"/>
      <c r="F891" s="136"/>
      <c r="G891" s="136"/>
      <c r="H891" s="136"/>
      <c r="J891" s="136"/>
      <c r="K891" s="136"/>
      <c r="AE891" s="39" t="str">
        <f>IF(D891="","",IFERROR(VLOOKUP(D891,Projects!$A$2:$A$20000,1,FALSE),""))</f>
        <v/>
      </c>
      <c r="AF891" s="2" t="str">
        <f>IF(D891="","",IFERROR(MATCH(D891,Projects!$A:$A,0),""))</f>
        <v/>
      </c>
    </row>
    <row r="892" spans="2:32" x14ac:dyDescent="0.25">
      <c r="B892" s="24"/>
      <c r="C892" s="136"/>
      <c r="D892" s="148"/>
      <c r="E892" s="136"/>
      <c r="F892" s="136"/>
      <c r="G892" s="136"/>
      <c r="H892" s="136"/>
      <c r="J892" s="136"/>
      <c r="K892" s="136"/>
      <c r="AE892" s="39" t="str">
        <f>IF(D892="","",IFERROR(VLOOKUP(D892,Projects!$A$2:$A$20000,1,FALSE),""))</f>
        <v/>
      </c>
      <c r="AF892" s="2" t="str">
        <f>IF(D892="","",IFERROR(MATCH(D892,Projects!$A:$A,0),""))</f>
        <v/>
      </c>
    </row>
    <row r="893" spans="2:32" x14ac:dyDescent="0.25">
      <c r="B893" s="24"/>
      <c r="C893" s="136"/>
      <c r="D893" s="148"/>
      <c r="E893" s="136"/>
      <c r="F893" s="136"/>
      <c r="G893" s="136"/>
      <c r="H893" s="136"/>
      <c r="J893" s="136"/>
      <c r="K893" s="136"/>
      <c r="AE893" s="39" t="str">
        <f>IF(D893="","",IFERROR(VLOOKUP(D893,Projects!$A$2:$A$20000,1,FALSE),""))</f>
        <v/>
      </c>
      <c r="AF893" s="2" t="str">
        <f>IF(D893="","",IFERROR(MATCH(D893,Projects!$A:$A,0),""))</f>
        <v/>
      </c>
    </row>
    <row r="894" spans="2:32" x14ac:dyDescent="0.25">
      <c r="B894" s="24"/>
      <c r="C894" s="136"/>
      <c r="D894" s="148"/>
      <c r="E894" s="136"/>
      <c r="F894" s="136"/>
      <c r="G894" s="136"/>
      <c r="H894" s="136"/>
      <c r="J894" s="136"/>
      <c r="K894" s="136"/>
      <c r="AE894" s="39" t="str">
        <f>IF(D894="","",IFERROR(VLOOKUP(D894,Projects!$A$2:$A$20000,1,FALSE),""))</f>
        <v/>
      </c>
      <c r="AF894" s="2" t="str">
        <f>IF(D894="","",IFERROR(MATCH(D894,Projects!$A:$A,0),""))</f>
        <v/>
      </c>
    </row>
    <row r="895" spans="2:32" x14ac:dyDescent="0.25">
      <c r="B895" s="24"/>
      <c r="C895" s="136"/>
      <c r="D895" s="148"/>
      <c r="E895" s="136"/>
      <c r="F895" s="136"/>
      <c r="G895" s="136"/>
      <c r="H895" s="136"/>
      <c r="J895" s="136"/>
      <c r="K895" s="136"/>
      <c r="AE895" s="39" t="str">
        <f>IF(D895="","",IFERROR(VLOOKUP(D895,Projects!$A$2:$A$20000,1,FALSE),""))</f>
        <v/>
      </c>
      <c r="AF895" s="2" t="str">
        <f>IF(D895="","",IFERROR(MATCH(D895,Projects!$A:$A,0),""))</f>
        <v/>
      </c>
    </row>
    <row r="896" spans="2:32" x14ac:dyDescent="0.25">
      <c r="B896" s="24"/>
      <c r="C896" s="136"/>
      <c r="D896" s="148"/>
      <c r="E896" s="136"/>
      <c r="F896" s="136"/>
      <c r="G896" s="136"/>
      <c r="H896" s="136"/>
      <c r="J896" s="136"/>
      <c r="K896" s="136"/>
      <c r="AE896" s="39" t="str">
        <f>IF(D896="","",IFERROR(VLOOKUP(D896,Projects!$A$2:$A$20000,1,FALSE),""))</f>
        <v/>
      </c>
      <c r="AF896" s="2" t="str">
        <f>IF(D896="","",IFERROR(MATCH(D896,Projects!$A:$A,0),""))</f>
        <v/>
      </c>
    </row>
    <row r="897" spans="2:32" x14ac:dyDescent="0.25">
      <c r="B897" s="24"/>
      <c r="C897" s="136"/>
      <c r="D897" s="148"/>
      <c r="E897" s="136"/>
      <c r="F897" s="136"/>
      <c r="G897" s="136"/>
      <c r="H897" s="136"/>
      <c r="J897" s="136"/>
      <c r="K897" s="136"/>
      <c r="AE897" s="39" t="str">
        <f>IF(D897="","",IFERROR(VLOOKUP(D897,Projects!$A$2:$A$20000,1,FALSE),""))</f>
        <v/>
      </c>
      <c r="AF897" s="2" t="str">
        <f>IF(D897="","",IFERROR(MATCH(D897,Projects!$A:$A,0),""))</f>
        <v/>
      </c>
    </row>
    <row r="898" spans="2:32" x14ac:dyDescent="0.25">
      <c r="B898" s="24"/>
      <c r="C898" s="136"/>
      <c r="D898" s="148"/>
      <c r="E898" s="136"/>
      <c r="F898" s="136"/>
      <c r="G898" s="136"/>
      <c r="H898" s="136"/>
      <c r="J898" s="136"/>
      <c r="K898" s="136"/>
      <c r="AE898" s="39" t="str">
        <f>IF(D898="","",IFERROR(VLOOKUP(D898,Projects!$A$2:$A$20000,1,FALSE),""))</f>
        <v/>
      </c>
      <c r="AF898" s="2" t="str">
        <f>IF(D898="","",IFERROR(MATCH(D898,Projects!$A:$A,0),""))</f>
        <v/>
      </c>
    </row>
    <row r="899" spans="2:32" x14ac:dyDescent="0.25">
      <c r="B899" s="24"/>
      <c r="C899" s="136"/>
      <c r="D899" s="148"/>
      <c r="E899" s="136"/>
      <c r="F899" s="136"/>
      <c r="G899" s="136"/>
      <c r="H899" s="136"/>
      <c r="J899" s="136"/>
      <c r="K899" s="136"/>
      <c r="AE899" s="39" t="str">
        <f>IF(D899="","",IFERROR(VLOOKUP(D899,Projects!$A$2:$A$20000,1,FALSE),""))</f>
        <v/>
      </c>
      <c r="AF899" s="2" t="str">
        <f>IF(D899="","",IFERROR(MATCH(D899,Projects!$A:$A,0),""))</f>
        <v/>
      </c>
    </row>
    <row r="900" spans="2:32" x14ac:dyDescent="0.25">
      <c r="B900" s="24"/>
      <c r="C900" s="136"/>
      <c r="D900" s="148"/>
      <c r="E900" s="136"/>
      <c r="F900" s="136"/>
      <c r="G900" s="136"/>
      <c r="H900" s="136"/>
      <c r="J900" s="136"/>
      <c r="K900" s="136"/>
      <c r="AE900" s="39" t="str">
        <f>IF(D900="","",IFERROR(VLOOKUP(D900,Projects!$A$2:$A$20000,1,FALSE),""))</f>
        <v/>
      </c>
      <c r="AF900" s="2" t="str">
        <f>IF(D900="","",IFERROR(MATCH(D900,Projects!$A:$A,0),""))</f>
        <v/>
      </c>
    </row>
    <row r="901" spans="2:32" x14ac:dyDescent="0.25">
      <c r="B901" s="24"/>
      <c r="C901" s="136"/>
      <c r="D901" s="148"/>
      <c r="E901" s="136"/>
      <c r="F901" s="136"/>
      <c r="G901" s="136"/>
      <c r="H901" s="136"/>
      <c r="J901" s="136"/>
      <c r="K901" s="136"/>
      <c r="AE901" s="39" t="str">
        <f>IF(D901="","",IFERROR(VLOOKUP(D901,Projects!$A$2:$A$20000,1,FALSE),""))</f>
        <v/>
      </c>
      <c r="AF901" s="2" t="str">
        <f>IF(D901="","",IFERROR(MATCH(D901,Projects!$A:$A,0),""))</f>
        <v/>
      </c>
    </row>
    <row r="902" spans="2:32" x14ac:dyDescent="0.25">
      <c r="B902" s="24"/>
      <c r="C902" s="136"/>
      <c r="D902" s="148"/>
      <c r="E902" s="136"/>
      <c r="F902" s="136"/>
      <c r="G902" s="136"/>
      <c r="H902" s="136"/>
      <c r="J902" s="136"/>
      <c r="K902" s="136"/>
      <c r="AE902" s="39" t="str">
        <f>IF(D902="","",IFERROR(VLOOKUP(D902,Projects!$A$2:$A$20000,1,FALSE),""))</f>
        <v/>
      </c>
      <c r="AF902" s="2" t="str">
        <f>IF(D902="","",IFERROR(MATCH(D902,Projects!$A:$A,0),""))</f>
        <v/>
      </c>
    </row>
    <row r="903" spans="2:32" x14ac:dyDescent="0.25">
      <c r="B903" s="24"/>
      <c r="C903" s="136"/>
      <c r="D903" s="148"/>
      <c r="E903" s="136"/>
      <c r="F903" s="136"/>
      <c r="G903" s="136"/>
      <c r="H903" s="136"/>
      <c r="J903" s="136"/>
      <c r="K903" s="136"/>
      <c r="AE903" s="39" t="str">
        <f>IF(D903="","",IFERROR(VLOOKUP(D903,Projects!$A$2:$A$20000,1,FALSE),""))</f>
        <v/>
      </c>
      <c r="AF903" s="2" t="str">
        <f>IF(D903="","",IFERROR(MATCH(D903,Projects!$A:$A,0),""))</f>
        <v/>
      </c>
    </row>
    <row r="904" spans="2:32" x14ac:dyDescent="0.25">
      <c r="B904" s="24"/>
      <c r="C904" s="136"/>
      <c r="D904" s="148"/>
      <c r="E904" s="136"/>
      <c r="F904" s="136"/>
      <c r="G904" s="136"/>
      <c r="H904" s="136"/>
      <c r="J904" s="136"/>
      <c r="K904" s="136"/>
      <c r="AE904" s="39" t="str">
        <f>IF(D904="","",IFERROR(VLOOKUP(D904,Projects!$A$2:$A$20000,1,FALSE),""))</f>
        <v/>
      </c>
      <c r="AF904" s="2" t="str">
        <f>IF(D904="","",IFERROR(MATCH(D904,Projects!$A:$A,0),""))</f>
        <v/>
      </c>
    </row>
    <row r="905" spans="2:32" x14ac:dyDescent="0.25">
      <c r="B905" s="24"/>
      <c r="C905" s="136"/>
      <c r="D905" s="148"/>
      <c r="E905" s="136"/>
      <c r="F905" s="136"/>
      <c r="G905" s="136"/>
      <c r="H905" s="136"/>
      <c r="J905" s="136"/>
      <c r="K905" s="136"/>
      <c r="AE905" s="39" t="str">
        <f>IF(D905="","",IFERROR(VLOOKUP(D905,Projects!$A$2:$A$20000,1,FALSE),""))</f>
        <v/>
      </c>
      <c r="AF905" s="2" t="str">
        <f>IF(D905="","",IFERROR(MATCH(D905,Projects!$A:$A,0),""))</f>
        <v/>
      </c>
    </row>
    <row r="906" spans="2:32" x14ac:dyDescent="0.25">
      <c r="B906" s="24"/>
      <c r="C906" s="136"/>
      <c r="D906" s="148"/>
      <c r="E906" s="136"/>
      <c r="F906" s="136"/>
      <c r="G906" s="136"/>
      <c r="H906" s="136"/>
      <c r="J906" s="136"/>
      <c r="K906" s="136"/>
      <c r="AE906" s="39" t="str">
        <f>IF(D906="","",IFERROR(VLOOKUP(D906,Projects!$A$2:$A$20000,1,FALSE),""))</f>
        <v/>
      </c>
      <c r="AF906" s="2" t="str">
        <f>IF(D906="","",IFERROR(MATCH(D906,Projects!$A:$A,0),""))</f>
        <v/>
      </c>
    </row>
    <row r="907" spans="2:32" x14ac:dyDescent="0.25">
      <c r="B907" s="24"/>
      <c r="C907" s="136"/>
      <c r="D907" s="148"/>
      <c r="E907" s="136"/>
      <c r="F907" s="136"/>
      <c r="G907" s="136"/>
      <c r="H907" s="136"/>
      <c r="J907" s="136"/>
      <c r="K907" s="136"/>
      <c r="AE907" s="39" t="str">
        <f>IF(D907="","",IFERROR(VLOOKUP(D907,Projects!$A$2:$A$20000,1,FALSE),""))</f>
        <v/>
      </c>
      <c r="AF907" s="2" t="str">
        <f>IF(D907="","",IFERROR(MATCH(D907,Projects!$A:$A,0),""))</f>
        <v/>
      </c>
    </row>
    <row r="908" spans="2:32" x14ac:dyDescent="0.25">
      <c r="B908" s="24"/>
      <c r="C908" s="136"/>
      <c r="D908" s="148"/>
      <c r="E908" s="136"/>
      <c r="F908" s="136"/>
      <c r="G908" s="136"/>
      <c r="H908" s="136"/>
      <c r="J908" s="136"/>
      <c r="K908" s="136"/>
      <c r="AE908" s="39" t="str">
        <f>IF(D908="","",IFERROR(VLOOKUP(D908,Projects!$A$2:$A$20000,1,FALSE),""))</f>
        <v/>
      </c>
      <c r="AF908" s="2" t="str">
        <f>IF(D908="","",IFERROR(MATCH(D908,Projects!$A:$A,0),""))</f>
        <v/>
      </c>
    </row>
    <row r="909" spans="2:32" x14ac:dyDescent="0.25">
      <c r="B909" s="24"/>
      <c r="C909" s="136"/>
      <c r="D909" s="148"/>
      <c r="E909" s="136"/>
      <c r="F909" s="136"/>
      <c r="G909" s="136"/>
      <c r="H909" s="136"/>
      <c r="J909" s="136"/>
      <c r="K909" s="136"/>
      <c r="AE909" s="39" t="str">
        <f>IF(D909="","",IFERROR(VLOOKUP(D909,Projects!$A$2:$A$20000,1,FALSE),""))</f>
        <v/>
      </c>
      <c r="AF909" s="2" t="str">
        <f>IF(D909="","",IFERROR(MATCH(D909,Projects!$A:$A,0),""))</f>
        <v/>
      </c>
    </row>
    <row r="910" spans="2:32" x14ac:dyDescent="0.25">
      <c r="B910" s="24"/>
      <c r="C910" s="136"/>
      <c r="D910" s="148"/>
      <c r="E910" s="136"/>
      <c r="F910" s="136"/>
      <c r="G910" s="136"/>
      <c r="H910" s="136"/>
      <c r="J910" s="136"/>
      <c r="K910" s="136"/>
      <c r="AE910" s="39" t="str">
        <f>IF(D910="","",IFERROR(VLOOKUP(D910,Projects!$A$2:$A$20000,1,FALSE),""))</f>
        <v/>
      </c>
      <c r="AF910" s="2" t="str">
        <f>IF(D910="","",IFERROR(MATCH(D910,Projects!$A:$A,0),""))</f>
        <v/>
      </c>
    </row>
    <row r="911" spans="2:32" x14ac:dyDescent="0.25">
      <c r="B911" s="24"/>
      <c r="C911" s="136"/>
      <c r="D911" s="148"/>
      <c r="E911" s="136"/>
      <c r="F911" s="136"/>
      <c r="G911" s="136"/>
      <c r="H911" s="136"/>
      <c r="J911" s="136"/>
      <c r="K911" s="136"/>
      <c r="AE911" s="39" t="str">
        <f>IF(D911="","",IFERROR(VLOOKUP(D911,Projects!$A$2:$A$20000,1,FALSE),""))</f>
        <v/>
      </c>
      <c r="AF911" s="2" t="str">
        <f>IF(D911="","",IFERROR(MATCH(D911,Projects!$A:$A,0),""))</f>
        <v/>
      </c>
    </row>
    <row r="912" spans="2:32" x14ac:dyDescent="0.25">
      <c r="B912" s="24"/>
      <c r="C912" s="136"/>
      <c r="D912" s="148"/>
      <c r="E912" s="136"/>
      <c r="F912" s="136"/>
      <c r="G912" s="136"/>
      <c r="H912" s="136"/>
      <c r="J912" s="136"/>
      <c r="K912" s="136"/>
      <c r="AE912" s="39" t="str">
        <f>IF(D912="","",IFERROR(VLOOKUP(D912,Projects!$A$2:$A$20000,1,FALSE),""))</f>
        <v/>
      </c>
      <c r="AF912" s="2" t="str">
        <f>IF(D912="","",IFERROR(MATCH(D912,Projects!$A:$A,0),""))</f>
        <v/>
      </c>
    </row>
    <row r="913" spans="2:32" x14ac:dyDescent="0.25">
      <c r="B913" s="24"/>
      <c r="C913" s="136"/>
      <c r="D913" s="148"/>
      <c r="E913" s="136"/>
      <c r="F913" s="136"/>
      <c r="G913" s="136"/>
      <c r="H913" s="136"/>
      <c r="J913" s="136"/>
      <c r="K913" s="136"/>
      <c r="AE913" s="39" t="str">
        <f>IF(D913="","",IFERROR(VLOOKUP(D913,Projects!$A$2:$A$20000,1,FALSE),""))</f>
        <v/>
      </c>
      <c r="AF913" s="2" t="str">
        <f>IF(D913="","",IFERROR(MATCH(D913,Projects!$A:$A,0),""))</f>
        <v/>
      </c>
    </row>
    <row r="914" spans="2:32" x14ac:dyDescent="0.25">
      <c r="B914" s="24"/>
      <c r="C914" s="136"/>
      <c r="D914" s="148"/>
      <c r="E914" s="136"/>
      <c r="F914" s="136"/>
      <c r="G914" s="136"/>
      <c r="H914" s="136"/>
      <c r="J914" s="136"/>
      <c r="K914" s="136"/>
      <c r="AE914" s="39" t="str">
        <f>IF(D914="","",IFERROR(VLOOKUP(D914,Projects!$A$2:$A$20000,1,FALSE),""))</f>
        <v/>
      </c>
      <c r="AF914" s="2" t="str">
        <f>IF(D914="","",IFERROR(MATCH(D914,Projects!$A:$A,0),""))</f>
        <v/>
      </c>
    </row>
    <row r="915" spans="2:32" x14ac:dyDescent="0.25">
      <c r="B915" s="24"/>
      <c r="C915" s="136"/>
      <c r="D915" s="148"/>
      <c r="E915" s="136"/>
      <c r="F915" s="136"/>
      <c r="G915" s="136"/>
      <c r="H915" s="136"/>
      <c r="J915" s="136"/>
      <c r="K915" s="136"/>
      <c r="AE915" s="39" t="str">
        <f>IF(D915="","",IFERROR(VLOOKUP(D915,Projects!$A$2:$A$20000,1,FALSE),""))</f>
        <v/>
      </c>
      <c r="AF915" s="2" t="str">
        <f>IF(D915="","",IFERROR(MATCH(D915,Projects!$A:$A,0),""))</f>
        <v/>
      </c>
    </row>
    <row r="916" spans="2:32" x14ac:dyDescent="0.25">
      <c r="B916" s="24"/>
      <c r="C916" s="136"/>
      <c r="D916" s="148"/>
      <c r="E916" s="136"/>
      <c r="F916" s="136"/>
      <c r="G916" s="136"/>
      <c r="H916" s="136"/>
      <c r="J916" s="136"/>
      <c r="K916" s="136"/>
      <c r="AE916" s="39" t="str">
        <f>IF(D916="","",IFERROR(VLOOKUP(D916,Projects!$A$2:$A$20000,1,FALSE),""))</f>
        <v/>
      </c>
      <c r="AF916" s="2" t="str">
        <f>IF(D916="","",IFERROR(MATCH(D916,Projects!$A:$A,0),""))</f>
        <v/>
      </c>
    </row>
    <row r="917" spans="2:32" x14ac:dyDescent="0.25">
      <c r="B917" s="24"/>
      <c r="C917" s="136"/>
      <c r="D917" s="148"/>
      <c r="E917" s="136"/>
      <c r="F917" s="136"/>
      <c r="G917" s="136"/>
      <c r="H917" s="136"/>
      <c r="J917" s="136"/>
      <c r="K917" s="136"/>
      <c r="AE917" s="39" t="str">
        <f>IF(D917="","",IFERROR(VLOOKUP(D917,Projects!$A$2:$A$20000,1,FALSE),""))</f>
        <v/>
      </c>
      <c r="AF917" s="2" t="str">
        <f>IF(D917="","",IFERROR(MATCH(D917,Projects!$A:$A,0),""))</f>
        <v/>
      </c>
    </row>
    <row r="918" spans="2:32" x14ac:dyDescent="0.25">
      <c r="B918" s="24"/>
      <c r="C918" s="136"/>
      <c r="D918" s="148"/>
      <c r="E918" s="136"/>
      <c r="F918" s="136"/>
      <c r="G918" s="136"/>
      <c r="H918" s="136"/>
      <c r="J918" s="136"/>
      <c r="K918" s="136"/>
      <c r="AE918" s="39" t="str">
        <f>IF(D918="","",IFERROR(VLOOKUP(D918,Projects!$A$2:$A$20000,1,FALSE),""))</f>
        <v/>
      </c>
      <c r="AF918" s="2" t="str">
        <f>IF(D918="","",IFERROR(MATCH(D918,Projects!$A:$A,0),""))</f>
        <v/>
      </c>
    </row>
    <row r="919" spans="2:32" x14ac:dyDescent="0.25">
      <c r="B919" s="24"/>
      <c r="C919" s="136"/>
      <c r="D919" s="148"/>
      <c r="E919" s="136"/>
      <c r="F919" s="136"/>
      <c r="G919" s="136"/>
      <c r="H919" s="136"/>
      <c r="J919" s="136"/>
      <c r="K919" s="136"/>
      <c r="AE919" s="39" t="str">
        <f>IF(D919="","",IFERROR(VLOOKUP(D919,Projects!$A$2:$A$20000,1,FALSE),""))</f>
        <v/>
      </c>
      <c r="AF919" s="2" t="str">
        <f>IF(D919="","",IFERROR(MATCH(D919,Projects!$A:$A,0),""))</f>
        <v/>
      </c>
    </row>
    <row r="920" spans="2:32" x14ac:dyDescent="0.25">
      <c r="B920" s="24"/>
      <c r="C920" s="136"/>
      <c r="D920" s="148"/>
      <c r="E920" s="136"/>
      <c r="F920" s="136"/>
      <c r="G920" s="136"/>
      <c r="H920" s="136"/>
      <c r="J920" s="136"/>
      <c r="K920" s="136"/>
      <c r="AE920" s="39" t="str">
        <f>IF(D920="","",IFERROR(VLOOKUP(D920,Projects!$A$2:$A$20000,1,FALSE),""))</f>
        <v/>
      </c>
      <c r="AF920" s="2" t="str">
        <f>IF(D920="","",IFERROR(MATCH(D920,Projects!$A:$A,0),""))</f>
        <v/>
      </c>
    </row>
    <row r="921" spans="2:32" x14ac:dyDescent="0.25">
      <c r="B921" s="24"/>
      <c r="C921" s="136"/>
      <c r="D921" s="148"/>
      <c r="E921" s="136"/>
      <c r="F921" s="136"/>
      <c r="G921" s="136"/>
      <c r="H921" s="136"/>
      <c r="J921" s="136"/>
      <c r="K921" s="136"/>
      <c r="AE921" s="39" t="str">
        <f>IF(D921="","",IFERROR(VLOOKUP(D921,Projects!$A$2:$A$20000,1,FALSE),""))</f>
        <v/>
      </c>
      <c r="AF921" s="2" t="str">
        <f>IF(D921="","",IFERROR(MATCH(D921,Projects!$A:$A,0),""))</f>
        <v/>
      </c>
    </row>
    <row r="922" spans="2:32" x14ac:dyDescent="0.25">
      <c r="B922" s="24"/>
      <c r="C922" s="136"/>
      <c r="D922" s="148"/>
      <c r="E922" s="136"/>
      <c r="F922" s="136"/>
      <c r="G922" s="136"/>
      <c r="H922" s="136"/>
      <c r="J922" s="136"/>
      <c r="K922" s="136"/>
      <c r="AE922" s="39" t="str">
        <f>IF(D922="","",IFERROR(VLOOKUP(D922,Projects!$A$2:$A$20000,1,FALSE),""))</f>
        <v/>
      </c>
      <c r="AF922" s="2" t="str">
        <f>IF(D922="","",IFERROR(MATCH(D922,Projects!$A:$A,0),""))</f>
        <v/>
      </c>
    </row>
    <row r="923" spans="2:32" x14ac:dyDescent="0.25">
      <c r="B923" s="24"/>
      <c r="C923" s="136"/>
      <c r="D923" s="148"/>
      <c r="E923" s="136"/>
      <c r="F923" s="136"/>
      <c r="G923" s="136"/>
      <c r="H923" s="136"/>
      <c r="J923" s="136"/>
      <c r="K923" s="136"/>
      <c r="AE923" s="39" t="str">
        <f>IF(D923="","",IFERROR(VLOOKUP(D923,Projects!$A$2:$A$20000,1,FALSE),""))</f>
        <v/>
      </c>
      <c r="AF923" s="2" t="str">
        <f>IF(D923="","",IFERROR(MATCH(D923,Projects!$A:$A,0),""))</f>
        <v/>
      </c>
    </row>
    <row r="924" spans="2:32" x14ac:dyDescent="0.25">
      <c r="B924" s="24"/>
      <c r="C924" s="136"/>
      <c r="D924" s="148"/>
      <c r="E924" s="136"/>
      <c r="F924" s="136"/>
      <c r="G924" s="136"/>
      <c r="H924" s="136"/>
      <c r="J924" s="136"/>
      <c r="K924" s="136"/>
      <c r="AE924" s="39" t="str">
        <f>IF(D924="","",IFERROR(VLOOKUP(D924,Projects!$A$2:$A$20000,1,FALSE),""))</f>
        <v/>
      </c>
      <c r="AF924" s="2" t="str">
        <f>IF(D924="","",IFERROR(MATCH(D924,Projects!$A:$A,0),""))</f>
        <v/>
      </c>
    </row>
    <row r="925" spans="2:32" x14ac:dyDescent="0.25">
      <c r="B925" s="24"/>
      <c r="C925" s="136"/>
      <c r="D925" s="148"/>
      <c r="E925" s="136"/>
      <c r="F925" s="136"/>
      <c r="G925" s="136"/>
      <c r="H925" s="136"/>
      <c r="J925" s="136"/>
      <c r="K925" s="136"/>
      <c r="AE925" s="39" t="str">
        <f>IF(D925="","",IFERROR(VLOOKUP(D925,Projects!$A$2:$A$20000,1,FALSE),""))</f>
        <v/>
      </c>
      <c r="AF925" s="2" t="str">
        <f>IF(D925="","",IFERROR(MATCH(D925,Projects!$A:$A,0),""))</f>
        <v/>
      </c>
    </row>
    <row r="926" spans="2:32" x14ac:dyDescent="0.25">
      <c r="B926" s="24"/>
      <c r="C926" s="136"/>
      <c r="D926" s="148"/>
      <c r="E926" s="136"/>
      <c r="F926" s="136"/>
      <c r="G926" s="136"/>
      <c r="H926" s="136"/>
      <c r="J926" s="136"/>
      <c r="K926" s="136"/>
      <c r="AE926" s="39" t="str">
        <f>IF(D926="","",IFERROR(VLOOKUP(D926,Projects!$A$2:$A$20000,1,FALSE),""))</f>
        <v/>
      </c>
      <c r="AF926" s="2" t="str">
        <f>IF(D926="","",IFERROR(MATCH(D926,Projects!$A:$A,0),""))</f>
        <v/>
      </c>
    </row>
    <row r="927" spans="2:32" x14ac:dyDescent="0.25">
      <c r="B927" s="24"/>
      <c r="C927" s="136"/>
      <c r="D927" s="148"/>
      <c r="E927" s="136"/>
      <c r="F927" s="136"/>
      <c r="G927" s="136"/>
      <c r="H927" s="136"/>
      <c r="J927" s="136"/>
      <c r="K927" s="136"/>
      <c r="AE927" s="39" t="str">
        <f>IF(D927="","",IFERROR(VLOOKUP(D927,Projects!$A$2:$A$20000,1,FALSE),""))</f>
        <v/>
      </c>
      <c r="AF927" s="2" t="str">
        <f>IF(D927="","",IFERROR(MATCH(D927,Projects!$A:$A,0),""))</f>
        <v/>
      </c>
    </row>
    <row r="928" spans="2:32" x14ac:dyDescent="0.25">
      <c r="B928" s="24"/>
      <c r="C928" s="136"/>
      <c r="D928" s="148"/>
      <c r="E928" s="136"/>
      <c r="F928" s="136"/>
      <c r="G928" s="136"/>
      <c r="H928" s="136"/>
      <c r="J928" s="136"/>
      <c r="K928" s="136"/>
      <c r="AE928" s="39" t="str">
        <f>IF(D928="","",IFERROR(VLOOKUP(D928,Projects!$A$2:$A$20000,1,FALSE),""))</f>
        <v/>
      </c>
      <c r="AF928" s="2" t="str">
        <f>IF(D928="","",IFERROR(MATCH(D928,Projects!$A:$A,0),""))</f>
        <v/>
      </c>
    </row>
    <row r="929" spans="2:32" x14ac:dyDescent="0.25">
      <c r="B929" s="24"/>
      <c r="C929" s="136"/>
      <c r="D929" s="148"/>
      <c r="E929" s="136"/>
      <c r="F929" s="136"/>
      <c r="G929" s="136"/>
      <c r="H929" s="136"/>
      <c r="J929" s="136"/>
      <c r="K929" s="136"/>
      <c r="AE929" s="39" t="str">
        <f>IF(D929="","",IFERROR(VLOOKUP(D929,Projects!$A$2:$A$20000,1,FALSE),""))</f>
        <v/>
      </c>
      <c r="AF929" s="2" t="str">
        <f>IF(D929="","",IFERROR(MATCH(D929,Projects!$A:$A,0),""))</f>
        <v/>
      </c>
    </row>
    <row r="930" spans="2:32" x14ac:dyDescent="0.25">
      <c r="B930" s="24"/>
      <c r="C930" s="136"/>
      <c r="D930" s="148"/>
      <c r="E930" s="136"/>
      <c r="F930" s="136"/>
      <c r="G930" s="136"/>
      <c r="H930" s="136"/>
      <c r="J930" s="136"/>
      <c r="K930" s="136"/>
      <c r="AE930" s="39" t="str">
        <f>IF(D930="","",IFERROR(VLOOKUP(D930,Projects!$A$2:$A$20000,1,FALSE),""))</f>
        <v/>
      </c>
      <c r="AF930" s="2" t="str">
        <f>IF(D930="","",IFERROR(MATCH(D930,Projects!$A:$A,0),""))</f>
        <v/>
      </c>
    </row>
    <row r="931" spans="2:32" x14ac:dyDescent="0.25">
      <c r="B931" s="24"/>
      <c r="C931" s="136"/>
      <c r="D931" s="148"/>
      <c r="E931" s="136"/>
      <c r="F931" s="136"/>
      <c r="G931" s="136"/>
      <c r="H931" s="136"/>
      <c r="J931" s="136"/>
      <c r="K931" s="136"/>
      <c r="AE931" s="39" t="str">
        <f>IF(D931="","",IFERROR(VLOOKUP(D931,Projects!$A$2:$A$20000,1,FALSE),""))</f>
        <v/>
      </c>
      <c r="AF931" s="2" t="str">
        <f>IF(D931="","",IFERROR(MATCH(D931,Projects!$A:$A,0),""))</f>
        <v/>
      </c>
    </row>
    <row r="932" spans="2:32" x14ac:dyDescent="0.25">
      <c r="B932" s="24"/>
      <c r="C932" s="136"/>
      <c r="D932" s="148"/>
      <c r="E932" s="136"/>
      <c r="F932" s="136"/>
      <c r="G932" s="136"/>
      <c r="H932" s="136"/>
      <c r="J932" s="136"/>
      <c r="K932" s="136"/>
      <c r="AE932" s="39" t="str">
        <f>IF(D932="","",IFERROR(VLOOKUP(D932,Projects!$A$2:$A$20000,1,FALSE),""))</f>
        <v/>
      </c>
      <c r="AF932" s="2" t="str">
        <f>IF(D932="","",IFERROR(MATCH(D932,Projects!$A:$A,0),""))</f>
        <v/>
      </c>
    </row>
    <row r="933" spans="2:32" x14ac:dyDescent="0.25">
      <c r="B933" s="24"/>
      <c r="C933" s="136"/>
      <c r="D933" s="148"/>
      <c r="E933" s="136"/>
      <c r="F933" s="136"/>
      <c r="G933" s="136"/>
      <c r="H933" s="136"/>
      <c r="J933" s="136"/>
      <c r="K933" s="136"/>
      <c r="AE933" s="39" t="str">
        <f>IF(D933="","",IFERROR(VLOOKUP(D933,Projects!$A$2:$A$20000,1,FALSE),""))</f>
        <v/>
      </c>
      <c r="AF933" s="2" t="str">
        <f>IF(D933="","",IFERROR(MATCH(D933,Projects!$A:$A,0),""))</f>
        <v/>
      </c>
    </row>
    <row r="934" spans="2:32" x14ac:dyDescent="0.25">
      <c r="B934" s="24"/>
      <c r="C934" s="136"/>
      <c r="D934" s="148"/>
      <c r="E934" s="136"/>
      <c r="F934" s="136"/>
      <c r="G934" s="136"/>
      <c r="H934" s="136"/>
      <c r="J934" s="136"/>
      <c r="K934" s="136"/>
      <c r="AE934" s="39" t="str">
        <f>IF(D934="","",IFERROR(VLOOKUP(D934,Projects!$A$2:$A$20000,1,FALSE),""))</f>
        <v/>
      </c>
      <c r="AF934" s="2" t="str">
        <f>IF(D934="","",IFERROR(MATCH(D934,Projects!$A:$A,0),""))</f>
        <v/>
      </c>
    </row>
    <row r="935" spans="2:32" x14ac:dyDescent="0.25">
      <c r="B935" s="24"/>
      <c r="C935" s="136"/>
      <c r="D935" s="148"/>
      <c r="E935" s="136"/>
      <c r="F935" s="136"/>
      <c r="G935" s="136"/>
      <c r="H935" s="136"/>
      <c r="J935" s="136"/>
      <c r="K935" s="136"/>
      <c r="AE935" s="39" t="str">
        <f>IF(D935="","",IFERROR(VLOOKUP(D935,Projects!$A$2:$A$20000,1,FALSE),""))</f>
        <v/>
      </c>
      <c r="AF935" s="2" t="str">
        <f>IF(D935="","",IFERROR(MATCH(D935,Projects!$A:$A,0),""))</f>
        <v/>
      </c>
    </row>
    <row r="936" spans="2:32" x14ac:dyDescent="0.25">
      <c r="B936" s="24"/>
      <c r="C936" s="136"/>
      <c r="D936" s="148"/>
      <c r="E936" s="136"/>
      <c r="F936" s="136"/>
      <c r="G936" s="136"/>
      <c r="H936" s="136"/>
      <c r="J936" s="136"/>
      <c r="K936" s="136"/>
      <c r="AE936" s="39" t="str">
        <f>IF(D936="","",IFERROR(VLOOKUP(D936,Projects!$A$2:$A$20000,1,FALSE),""))</f>
        <v/>
      </c>
      <c r="AF936" s="2" t="str">
        <f>IF(D936="","",IFERROR(MATCH(D936,Projects!$A:$A,0),""))</f>
        <v/>
      </c>
    </row>
    <row r="937" spans="2:32" x14ac:dyDescent="0.25">
      <c r="B937" s="24"/>
      <c r="C937" s="136"/>
      <c r="D937" s="148"/>
      <c r="E937" s="136"/>
      <c r="F937" s="136"/>
      <c r="G937" s="136"/>
      <c r="H937" s="136"/>
      <c r="J937" s="136"/>
      <c r="K937" s="136"/>
      <c r="AE937" s="39" t="str">
        <f>IF(D937="","",IFERROR(VLOOKUP(D937,Projects!$A$2:$A$20000,1,FALSE),""))</f>
        <v/>
      </c>
      <c r="AF937" s="2" t="str">
        <f>IF(D937="","",IFERROR(MATCH(D937,Projects!$A:$A,0),""))</f>
        <v/>
      </c>
    </row>
    <row r="938" spans="2:32" x14ac:dyDescent="0.25">
      <c r="B938" s="24"/>
      <c r="C938" s="136"/>
      <c r="D938" s="148"/>
      <c r="E938" s="136"/>
      <c r="F938" s="136"/>
      <c r="G938" s="136"/>
      <c r="H938" s="136"/>
      <c r="J938" s="136"/>
      <c r="K938" s="136"/>
      <c r="AE938" s="39" t="str">
        <f>IF(D938="","",IFERROR(VLOOKUP(D938,Projects!$A$2:$A$20000,1,FALSE),""))</f>
        <v/>
      </c>
      <c r="AF938" s="2" t="str">
        <f>IF(D938="","",IFERROR(MATCH(D938,Projects!$A:$A,0),""))</f>
        <v/>
      </c>
    </row>
    <row r="939" spans="2:32" x14ac:dyDescent="0.25">
      <c r="B939" s="24"/>
      <c r="C939" s="136"/>
      <c r="D939" s="148"/>
      <c r="E939" s="136"/>
      <c r="F939" s="136"/>
      <c r="G939" s="136"/>
      <c r="H939" s="136"/>
      <c r="J939" s="136"/>
      <c r="K939" s="136"/>
      <c r="AE939" s="39" t="str">
        <f>IF(D939="","",IFERROR(VLOOKUP(D939,Projects!$A$2:$A$20000,1,FALSE),""))</f>
        <v/>
      </c>
      <c r="AF939" s="2" t="str">
        <f>IF(D939="","",IFERROR(MATCH(D939,Projects!$A:$A,0),""))</f>
        <v/>
      </c>
    </row>
    <row r="940" spans="2:32" x14ac:dyDescent="0.25">
      <c r="B940" s="24"/>
      <c r="C940" s="136"/>
      <c r="D940" s="148"/>
      <c r="E940" s="136"/>
      <c r="F940" s="136"/>
      <c r="G940" s="136"/>
      <c r="H940" s="136"/>
      <c r="J940" s="136"/>
      <c r="K940" s="136"/>
      <c r="AE940" s="39" t="str">
        <f>IF(D940="","",IFERROR(VLOOKUP(D940,Projects!$A$2:$A$20000,1,FALSE),""))</f>
        <v/>
      </c>
      <c r="AF940" s="2" t="str">
        <f>IF(D940="","",IFERROR(MATCH(D940,Projects!$A:$A,0),""))</f>
        <v/>
      </c>
    </row>
    <row r="941" spans="2:32" x14ac:dyDescent="0.25">
      <c r="B941" s="24"/>
      <c r="C941" s="136"/>
      <c r="D941" s="148"/>
      <c r="E941" s="136"/>
      <c r="F941" s="136"/>
      <c r="G941" s="136"/>
      <c r="H941" s="136"/>
      <c r="J941" s="136"/>
      <c r="K941" s="136"/>
      <c r="AE941" s="39" t="str">
        <f>IF(D941="","",IFERROR(VLOOKUP(D941,Projects!$A$2:$A$20000,1,FALSE),""))</f>
        <v/>
      </c>
      <c r="AF941" s="2" t="str">
        <f>IF(D941="","",IFERROR(MATCH(D941,Projects!$A:$A,0),""))</f>
        <v/>
      </c>
    </row>
    <row r="942" spans="2:32" x14ac:dyDescent="0.25">
      <c r="B942" s="24"/>
      <c r="C942" s="136"/>
      <c r="D942" s="148"/>
      <c r="E942" s="136"/>
      <c r="F942" s="136"/>
      <c r="G942" s="136"/>
      <c r="H942" s="136"/>
      <c r="J942" s="136"/>
      <c r="K942" s="136"/>
      <c r="AE942" s="39" t="str">
        <f>IF(D942="","",IFERROR(VLOOKUP(D942,Projects!$A$2:$A$20000,1,FALSE),""))</f>
        <v/>
      </c>
      <c r="AF942" s="2" t="str">
        <f>IF(D942="","",IFERROR(MATCH(D942,Projects!$A:$A,0),""))</f>
        <v/>
      </c>
    </row>
    <row r="943" spans="2:32" x14ac:dyDescent="0.25">
      <c r="B943" s="24"/>
      <c r="C943" s="136"/>
      <c r="D943" s="148"/>
      <c r="E943" s="136"/>
      <c r="F943" s="136"/>
      <c r="G943" s="136"/>
      <c r="H943" s="136"/>
      <c r="J943" s="136"/>
      <c r="K943" s="136"/>
      <c r="AE943" s="39" t="str">
        <f>IF(D943="","",IFERROR(VLOOKUP(D943,Projects!$A$2:$A$20000,1,FALSE),""))</f>
        <v/>
      </c>
      <c r="AF943" s="2" t="str">
        <f>IF(D943="","",IFERROR(MATCH(D943,Projects!$A:$A,0),""))</f>
        <v/>
      </c>
    </row>
    <row r="944" spans="2:32" x14ac:dyDescent="0.25">
      <c r="B944" s="24"/>
      <c r="C944" s="136"/>
      <c r="D944" s="148"/>
      <c r="E944" s="136"/>
      <c r="F944" s="136"/>
      <c r="G944" s="136"/>
      <c r="H944" s="136"/>
      <c r="J944" s="136"/>
      <c r="K944" s="136"/>
      <c r="AE944" s="39" t="str">
        <f>IF(D944="","",IFERROR(VLOOKUP(D944,Projects!$A$2:$A$20000,1,FALSE),""))</f>
        <v/>
      </c>
      <c r="AF944" s="2" t="str">
        <f>IF(D944="","",IFERROR(MATCH(D944,Projects!$A:$A,0),""))</f>
        <v/>
      </c>
    </row>
    <row r="945" spans="2:32" x14ac:dyDescent="0.25">
      <c r="B945" s="24"/>
      <c r="C945" s="136"/>
      <c r="D945" s="148"/>
      <c r="E945" s="136"/>
      <c r="F945" s="136"/>
      <c r="G945" s="136"/>
      <c r="H945" s="136"/>
      <c r="J945" s="136"/>
      <c r="K945" s="136"/>
      <c r="AE945" s="39" t="str">
        <f>IF(D945="","",IFERROR(VLOOKUP(D945,Projects!$A$2:$A$20000,1,FALSE),""))</f>
        <v/>
      </c>
      <c r="AF945" s="2" t="str">
        <f>IF(D945="","",IFERROR(MATCH(D945,Projects!$A:$A,0),""))</f>
        <v/>
      </c>
    </row>
    <row r="946" spans="2:32" x14ac:dyDescent="0.25">
      <c r="B946" s="24"/>
      <c r="C946" s="136"/>
      <c r="D946" s="148"/>
      <c r="E946" s="136"/>
      <c r="F946" s="136"/>
      <c r="G946" s="136"/>
      <c r="H946" s="136"/>
      <c r="J946" s="136"/>
      <c r="K946" s="136"/>
      <c r="AE946" s="39" t="str">
        <f>IF(D946="","",IFERROR(VLOOKUP(D946,Projects!$A$2:$A$20000,1,FALSE),""))</f>
        <v/>
      </c>
      <c r="AF946" s="2" t="str">
        <f>IF(D946="","",IFERROR(MATCH(D946,Projects!$A:$A,0),""))</f>
        <v/>
      </c>
    </row>
    <row r="947" spans="2:32" x14ac:dyDescent="0.25">
      <c r="B947" s="24"/>
      <c r="C947" s="136"/>
      <c r="D947" s="148"/>
      <c r="E947" s="136"/>
      <c r="F947" s="136"/>
      <c r="G947" s="136"/>
      <c r="H947" s="136"/>
      <c r="J947" s="136"/>
      <c r="K947" s="136"/>
      <c r="AE947" s="39" t="str">
        <f>IF(D947="","",IFERROR(VLOOKUP(D947,Projects!$A$2:$A$20000,1,FALSE),""))</f>
        <v/>
      </c>
      <c r="AF947" s="2" t="str">
        <f>IF(D947="","",IFERROR(MATCH(D947,Projects!$A:$A,0),""))</f>
        <v/>
      </c>
    </row>
    <row r="948" spans="2:32" x14ac:dyDescent="0.25">
      <c r="B948" s="24"/>
      <c r="C948" s="136"/>
      <c r="D948" s="148"/>
      <c r="E948" s="136"/>
      <c r="F948" s="136"/>
      <c r="G948" s="136"/>
      <c r="H948" s="136"/>
      <c r="J948" s="136"/>
      <c r="K948" s="136"/>
      <c r="AE948" s="39" t="str">
        <f>IF(D948="","",IFERROR(VLOOKUP(D948,Projects!$A$2:$A$20000,1,FALSE),""))</f>
        <v/>
      </c>
      <c r="AF948" s="2" t="str">
        <f>IF(D948="","",IFERROR(MATCH(D948,Projects!$A:$A,0),""))</f>
        <v/>
      </c>
    </row>
    <row r="949" spans="2:32" x14ac:dyDescent="0.25">
      <c r="B949" s="24"/>
      <c r="C949" s="136"/>
      <c r="D949" s="148"/>
      <c r="E949" s="136"/>
      <c r="F949" s="136"/>
      <c r="G949" s="136"/>
      <c r="H949" s="136"/>
      <c r="J949" s="136"/>
      <c r="K949" s="136"/>
      <c r="AE949" s="39" t="str">
        <f>IF(D949="","",IFERROR(VLOOKUP(D949,Projects!$A$2:$A$20000,1,FALSE),""))</f>
        <v/>
      </c>
      <c r="AF949" s="2" t="str">
        <f>IF(D949="","",IFERROR(MATCH(D949,Projects!$A:$A,0),""))</f>
        <v/>
      </c>
    </row>
    <row r="950" spans="2:32" x14ac:dyDescent="0.25">
      <c r="B950" s="24"/>
      <c r="C950" s="136"/>
      <c r="D950" s="148"/>
      <c r="E950" s="136"/>
      <c r="F950" s="136"/>
      <c r="G950" s="136"/>
      <c r="H950" s="136"/>
      <c r="J950" s="136"/>
      <c r="K950" s="136"/>
      <c r="AE950" s="39" t="str">
        <f>IF(D950="","",IFERROR(VLOOKUP(D950,Projects!$A$2:$A$20000,1,FALSE),""))</f>
        <v/>
      </c>
      <c r="AF950" s="2" t="str">
        <f>IF(D950="","",IFERROR(MATCH(D950,Projects!$A:$A,0),""))</f>
        <v/>
      </c>
    </row>
    <row r="951" spans="2:32" x14ac:dyDescent="0.25">
      <c r="B951" s="24"/>
      <c r="C951" s="136"/>
      <c r="D951" s="148"/>
      <c r="E951" s="136"/>
      <c r="F951" s="136"/>
      <c r="G951" s="136"/>
      <c r="H951" s="136"/>
      <c r="J951" s="136"/>
      <c r="K951" s="136"/>
      <c r="AE951" s="39" t="str">
        <f>IF(D951="","",IFERROR(VLOOKUP(D951,Projects!$A$2:$A$20000,1,FALSE),""))</f>
        <v/>
      </c>
      <c r="AF951" s="2" t="str">
        <f>IF(D951="","",IFERROR(MATCH(D951,Projects!$A:$A,0),""))</f>
        <v/>
      </c>
    </row>
    <row r="952" spans="2:32" x14ac:dyDescent="0.25">
      <c r="B952" s="24"/>
      <c r="C952" s="136"/>
      <c r="D952" s="148"/>
      <c r="E952" s="136"/>
      <c r="F952" s="136"/>
      <c r="G952" s="136"/>
      <c r="H952" s="136"/>
      <c r="J952" s="136"/>
      <c r="K952" s="136"/>
      <c r="AE952" s="39" t="str">
        <f>IF(D952="","",IFERROR(VLOOKUP(D952,Projects!$A$2:$A$20000,1,FALSE),""))</f>
        <v/>
      </c>
      <c r="AF952" s="2" t="str">
        <f>IF(D952="","",IFERROR(MATCH(D952,Projects!$A:$A,0),""))</f>
        <v/>
      </c>
    </row>
    <row r="953" spans="2:32" x14ac:dyDescent="0.25">
      <c r="B953" s="24"/>
      <c r="C953" s="136"/>
      <c r="D953" s="148"/>
      <c r="E953" s="136"/>
      <c r="F953" s="136"/>
      <c r="G953" s="136"/>
      <c r="H953" s="136"/>
      <c r="J953" s="136"/>
      <c r="K953" s="136"/>
      <c r="AE953" s="39" t="str">
        <f>IF(D953="","",IFERROR(VLOOKUP(D953,Projects!$A$2:$A$20000,1,FALSE),""))</f>
        <v/>
      </c>
      <c r="AF953" s="2" t="str">
        <f>IF(D953="","",IFERROR(MATCH(D953,Projects!$A:$A,0),""))</f>
        <v/>
      </c>
    </row>
    <row r="954" spans="2:32" x14ac:dyDescent="0.25">
      <c r="B954" s="24"/>
      <c r="C954" s="136"/>
      <c r="D954" s="148"/>
      <c r="E954" s="136"/>
      <c r="F954" s="136"/>
      <c r="G954" s="136"/>
      <c r="H954" s="136"/>
      <c r="J954" s="136"/>
      <c r="K954" s="136"/>
      <c r="AE954" s="39" t="str">
        <f>IF(D954="","",IFERROR(VLOOKUP(D954,Projects!$A$2:$A$20000,1,FALSE),""))</f>
        <v/>
      </c>
      <c r="AF954" s="2" t="str">
        <f>IF(D954="","",IFERROR(MATCH(D954,Projects!$A:$A,0),""))</f>
        <v/>
      </c>
    </row>
    <row r="955" spans="2:32" x14ac:dyDescent="0.25">
      <c r="B955" s="24"/>
      <c r="C955" s="136"/>
      <c r="D955" s="148"/>
      <c r="E955" s="136"/>
      <c r="F955" s="136"/>
      <c r="G955" s="136"/>
      <c r="H955" s="136"/>
      <c r="J955" s="136"/>
      <c r="K955" s="136"/>
      <c r="AE955" s="39" t="str">
        <f>IF(D955="","",IFERROR(VLOOKUP(D955,Projects!$A$2:$A$20000,1,FALSE),""))</f>
        <v/>
      </c>
      <c r="AF955" s="2" t="str">
        <f>IF(D955="","",IFERROR(MATCH(D955,Projects!$A:$A,0),""))</f>
        <v/>
      </c>
    </row>
    <row r="956" spans="2:32" x14ac:dyDescent="0.25">
      <c r="B956" s="24"/>
      <c r="C956" s="136"/>
      <c r="D956" s="148"/>
      <c r="E956" s="136"/>
      <c r="F956" s="136"/>
      <c r="G956" s="136"/>
      <c r="H956" s="136"/>
      <c r="J956" s="136"/>
      <c r="K956" s="136"/>
      <c r="AE956" s="39" t="str">
        <f>IF(D956="","",IFERROR(VLOOKUP(D956,Projects!$A$2:$A$20000,1,FALSE),""))</f>
        <v/>
      </c>
      <c r="AF956" s="2" t="str">
        <f>IF(D956="","",IFERROR(MATCH(D956,Projects!$A:$A,0),""))</f>
        <v/>
      </c>
    </row>
    <row r="957" spans="2:32" x14ac:dyDescent="0.25">
      <c r="B957" s="24"/>
      <c r="C957" s="136"/>
      <c r="D957" s="148"/>
      <c r="E957" s="136"/>
      <c r="F957" s="136"/>
      <c r="G957" s="136"/>
      <c r="H957" s="136"/>
      <c r="J957" s="136"/>
      <c r="K957" s="136"/>
      <c r="AE957" s="39" t="str">
        <f>IF(D957="","",IFERROR(VLOOKUP(D957,Projects!$A$2:$A$20000,1,FALSE),""))</f>
        <v/>
      </c>
      <c r="AF957" s="2" t="str">
        <f>IF(D957="","",IFERROR(MATCH(D957,Projects!$A:$A,0),""))</f>
        <v/>
      </c>
    </row>
    <row r="958" spans="2:32" x14ac:dyDescent="0.25">
      <c r="B958" s="24"/>
      <c r="C958" s="136"/>
      <c r="D958" s="148"/>
      <c r="E958" s="136"/>
      <c r="F958" s="136"/>
      <c r="G958" s="136"/>
      <c r="H958" s="136"/>
      <c r="J958" s="136"/>
      <c r="K958" s="136"/>
      <c r="AE958" s="39" t="str">
        <f>IF(D958="","",IFERROR(VLOOKUP(D958,Projects!$A$2:$A$20000,1,FALSE),""))</f>
        <v/>
      </c>
      <c r="AF958" s="2" t="str">
        <f>IF(D958="","",IFERROR(MATCH(D958,Projects!$A:$A,0),""))</f>
        <v/>
      </c>
    </row>
    <row r="959" spans="2:32" x14ac:dyDescent="0.25">
      <c r="B959" s="24"/>
      <c r="C959" s="136"/>
      <c r="D959" s="148"/>
      <c r="E959" s="136"/>
      <c r="F959" s="136"/>
      <c r="G959" s="136"/>
      <c r="H959" s="136"/>
      <c r="J959" s="136"/>
      <c r="K959" s="136"/>
      <c r="AE959" s="39" t="str">
        <f>IF(D959="","",IFERROR(VLOOKUP(D959,Projects!$A$2:$A$20000,1,FALSE),""))</f>
        <v/>
      </c>
      <c r="AF959" s="2" t="str">
        <f>IF(D959="","",IFERROR(MATCH(D959,Projects!$A:$A,0),""))</f>
        <v/>
      </c>
    </row>
    <row r="960" spans="2:32" x14ac:dyDescent="0.25">
      <c r="B960" s="24"/>
      <c r="C960" s="136"/>
      <c r="D960" s="148"/>
      <c r="E960" s="136"/>
      <c r="F960" s="136"/>
      <c r="G960" s="136"/>
      <c r="H960" s="136"/>
      <c r="J960" s="136"/>
      <c r="K960" s="136"/>
      <c r="AE960" s="39" t="str">
        <f>IF(D960="","",IFERROR(VLOOKUP(D960,Projects!$A$2:$A$20000,1,FALSE),""))</f>
        <v/>
      </c>
      <c r="AF960" s="2" t="str">
        <f>IF(D960="","",IFERROR(MATCH(D960,Projects!$A:$A,0),""))</f>
        <v/>
      </c>
    </row>
    <row r="961" spans="2:32" x14ac:dyDescent="0.25">
      <c r="B961" s="24"/>
      <c r="C961" s="136"/>
      <c r="D961" s="148"/>
      <c r="E961" s="136"/>
      <c r="F961" s="136"/>
      <c r="G961" s="136"/>
      <c r="H961" s="136"/>
      <c r="J961" s="136"/>
      <c r="K961" s="136"/>
      <c r="AE961" s="39" t="str">
        <f>IF(D961="","",IFERROR(VLOOKUP(D961,Projects!$A$2:$A$20000,1,FALSE),""))</f>
        <v/>
      </c>
      <c r="AF961" s="2" t="str">
        <f>IF(D961="","",IFERROR(MATCH(D961,Projects!$A:$A,0),""))</f>
        <v/>
      </c>
    </row>
    <row r="962" spans="2:32" x14ac:dyDescent="0.25">
      <c r="B962" s="24"/>
      <c r="C962" s="136"/>
      <c r="D962" s="148"/>
      <c r="E962" s="136"/>
      <c r="F962" s="136"/>
      <c r="G962" s="136"/>
      <c r="H962" s="136"/>
      <c r="J962" s="136"/>
      <c r="K962" s="136"/>
      <c r="AE962" s="39" t="str">
        <f>IF(D962="","",IFERROR(VLOOKUP(D962,Projects!$A$2:$A$20000,1,FALSE),""))</f>
        <v/>
      </c>
      <c r="AF962" s="2" t="str">
        <f>IF(D962="","",IFERROR(MATCH(D962,Projects!$A:$A,0),""))</f>
        <v/>
      </c>
    </row>
    <row r="963" spans="2:32" x14ac:dyDescent="0.25">
      <c r="B963" s="24"/>
      <c r="C963" s="136"/>
      <c r="D963" s="148"/>
      <c r="E963" s="136"/>
      <c r="F963" s="136"/>
      <c r="G963" s="136"/>
      <c r="H963" s="136"/>
      <c r="J963" s="136"/>
      <c r="K963" s="136"/>
      <c r="AE963" s="39" t="str">
        <f>IF(D963="","",IFERROR(VLOOKUP(D963,Projects!$A$2:$A$20000,1,FALSE),""))</f>
        <v/>
      </c>
      <c r="AF963" s="2" t="str">
        <f>IF(D963="","",IFERROR(MATCH(D963,Projects!$A:$A,0),""))</f>
        <v/>
      </c>
    </row>
    <row r="964" spans="2:32" x14ac:dyDescent="0.25">
      <c r="B964" s="24"/>
      <c r="C964" s="136"/>
      <c r="D964" s="148"/>
      <c r="E964" s="136"/>
      <c r="F964" s="136"/>
      <c r="G964" s="136"/>
      <c r="H964" s="136"/>
      <c r="J964" s="136"/>
      <c r="K964" s="136"/>
      <c r="AE964" s="39" t="str">
        <f>IF(D964="","",IFERROR(VLOOKUP(D964,Projects!$A$2:$A$20000,1,FALSE),""))</f>
        <v/>
      </c>
      <c r="AF964" s="2" t="str">
        <f>IF(D964="","",IFERROR(MATCH(D964,Projects!$A:$A,0),""))</f>
        <v/>
      </c>
    </row>
    <row r="965" spans="2:32" x14ac:dyDescent="0.25">
      <c r="B965" s="24"/>
      <c r="C965" s="136"/>
      <c r="D965" s="148"/>
      <c r="E965" s="136"/>
      <c r="F965" s="136"/>
      <c r="G965" s="136"/>
      <c r="H965" s="136"/>
      <c r="J965" s="136"/>
      <c r="K965" s="136"/>
      <c r="AE965" s="39" t="str">
        <f>IF(D965="","",IFERROR(VLOOKUP(D965,Projects!$A$2:$A$20000,1,FALSE),""))</f>
        <v/>
      </c>
      <c r="AF965" s="2" t="str">
        <f>IF(D965="","",IFERROR(MATCH(D965,Projects!$A:$A,0),""))</f>
        <v/>
      </c>
    </row>
    <row r="966" spans="2:32" x14ac:dyDescent="0.25">
      <c r="B966" s="24"/>
      <c r="C966" s="136"/>
      <c r="D966" s="148"/>
      <c r="E966" s="136"/>
      <c r="F966" s="136"/>
      <c r="G966" s="136"/>
      <c r="H966" s="136"/>
      <c r="J966" s="136"/>
      <c r="K966" s="136"/>
      <c r="AE966" s="39" t="str">
        <f>IF(D966="","",IFERROR(VLOOKUP(D966,Projects!$A$2:$A$20000,1,FALSE),""))</f>
        <v/>
      </c>
      <c r="AF966" s="2" t="str">
        <f>IF(D966="","",IFERROR(MATCH(D966,Projects!$A:$A,0),""))</f>
        <v/>
      </c>
    </row>
    <row r="967" spans="2:32" x14ac:dyDescent="0.25">
      <c r="B967" s="24"/>
      <c r="C967" s="136"/>
      <c r="D967" s="148"/>
      <c r="E967" s="136"/>
      <c r="F967" s="136"/>
      <c r="G967" s="136"/>
      <c r="H967" s="136"/>
      <c r="J967" s="136"/>
      <c r="K967" s="136"/>
      <c r="AE967" s="39" t="str">
        <f>IF(D967="","",IFERROR(VLOOKUP(D967,Projects!$A$2:$A$20000,1,FALSE),""))</f>
        <v/>
      </c>
      <c r="AF967" s="2" t="str">
        <f>IF(D967="","",IFERROR(MATCH(D967,Projects!$A:$A,0),""))</f>
        <v/>
      </c>
    </row>
    <row r="968" spans="2:32" x14ac:dyDescent="0.25">
      <c r="B968" s="24"/>
      <c r="C968" s="136"/>
      <c r="D968" s="148"/>
      <c r="E968" s="136"/>
      <c r="F968" s="136"/>
      <c r="G968" s="136"/>
      <c r="H968" s="136"/>
      <c r="J968" s="136"/>
      <c r="K968" s="136"/>
      <c r="AE968" s="39" t="str">
        <f>IF(D968="","",IFERROR(VLOOKUP(D968,Projects!$A$2:$A$20000,1,FALSE),""))</f>
        <v/>
      </c>
      <c r="AF968" s="2" t="str">
        <f>IF(D968="","",IFERROR(MATCH(D968,Projects!$A:$A,0),""))</f>
        <v/>
      </c>
    </row>
    <row r="969" spans="2:32" x14ac:dyDescent="0.25">
      <c r="B969" s="24"/>
      <c r="C969" s="136"/>
      <c r="D969" s="148"/>
      <c r="E969" s="136"/>
      <c r="F969" s="136"/>
      <c r="G969" s="136"/>
      <c r="H969" s="136"/>
      <c r="J969" s="136"/>
      <c r="K969" s="136"/>
      <c r="AE969" s="39" t="str">
        <f>IF(D969="","",IFERROR(VLOOKUP(D969,Projects!$A$2:$A$20000,1,FALSE),""))</f>
        <v/>
      </c>
      <c r="AF969" s="2" t="str">
        <f>IF(D969="","",IFERROR(MATCH(D969,Projects!$A:$A,0),""))</f>
        <v/>
      </c>
    </row>
    <row r="970" spans="2:32" x14ac:dyDescent="0.25">
      <c r="B970" s="24"/>
      <c r="C970" s="136"/>
      <c r="D970" s="148"/>
      <c r="E970" s="136"/>
      <c r="F970" s="136"/>
      <c r="G970" s="136"/>
      <c r="H970" s="136"/>
      <c r="J970" s="136"/>
      <c r="K970" s="136"/>
      <c r="AE970" s="39" t="str">
        <f>IF(D970="","",IFERROR(VLOOKUP(D970,Projects!$A$2:$A$20000,1,FALSE),""))</f>
        <v/>
      </c>
      <c r="AF970" s="2" t="str">
        <f>IF(D970="","",IFERROR(MATCH(D970,Projects!$A:$A,0),""))</f>
        <v/>
      </c>
    </row>
    <row r="971" spans="2:32" x14ac:dyDescent="0.25">
      <c r="B971" s="24"/>
      <c r="C971" s="136"/>
      <c r="D971" s="148"/>
      <c r="E971" s="136"/>
      <c r="F971" s="136"/>
      <c r="G971" s="136"/>
      <c r="H971" s="136"/>
      <c r="J971" s="136"/>
      <c r="K971" s="136"/>
      <c r="AE971" s="39" t="str">
        <f>IF(D971="","",IFERROR(VLOOKUP(D971,Projects!$A$2:$A$20000,1,FALSE),""))</f>
        <v/>
      </c>
      <c r="AF971" s="2" t="str">
        <f>IF(D971="","",IFERROR(MATCH(D971,Projects!$A:$A,0),""))</f>
        <v/>
      </c>
    </row>
    <row r="972" spans="2:32" x14ac:dyDescent="0.25">
      <c r="B972" s="24"/>
      <c r="C972" s="136"/>
      <c r="D972" s="148"/>
      <c r="E972" s="136"/>
      <c r="F972" s="136"/>
      <c r="G972" s="136"/>
      <c r="H972" s="136"/>
      <c r="J972" s="136"/>
      <c r="K972" s="136"/>
      <c r="AE972" s="39" t="str">
        <f>IF(D972="","",IFERROR(VLOOKUP(D972,Projects!$A$2:$A$20000,1,FALSE),""))</f>
        <v/>
      </c>
      <c r="AF972" s="2" t="str">
        <f>IF(D972="","",IFERROR(MATCH(D972,Projects!$A:$A,0),""))</f>
        <v/>
      </c>
    </row>
    <row r="973" spans="2:32" x14ac:dyDescent="0.25">
      <c r="B973" s="24"/>
      <c r="C973" s="136"/>
      <c r="D973" s="148"/>
      <c r="E973" s="136"/>
      <c r="F973" s="136"/>
      <c r="G973" s="136"/>
      <c r="H973" s="136"/>
      <c r="J973" s="136"/>
      <c r="K973" s="136"/>
      <c r="AE973" s="39" t="str">
        <f>IF(D973="","",IFERROR(VLOOKUP(D973,Projects!$A$2:$A$20000,1,FALSE),""))</f>
        <v/>
      </c>
      <c r="AF973" s="2" t="str">
        <f>IF(D973="","",IFERROR(MATCH(D973,Projects!$A:$A,0),""))</f>
        <v/>
      </c>
    </row>
    <row r="974" spans="2:32" x14ac:dyDescent="0.25">
      <c r="B974" s="24"/>
      <c r="C974" s="136"/>
      <c r="D974" s="148"/>
      <c r="E974" s="136"/>
      <c r="F974" s="136"/>
      <c r="G974" s="136"/>
      <c r="H974" s="136"/>
      <c r="J974" s="136"/>
      <c r="K974" s="136"/>
      <c r="AE974" s="39" t="str">
        <f>IF(D974="","",IFERROR(VLOOKUP(D974,Projects!$A$2:$A$20000,1,FALSE),""))</f>
        <v/>
      </c>
      <c r="AF974" s="2" t="str">
        <f>IF(D974="","",IFERROR(MATCH(D974,Projects!$A:$A,0),""))</f>
        <v/>
      </c>
    </row>
    <row r="975" spans="2:32" x14ac:dyDescent="0.25">
      <c r="B975" s="24"/>
      <c r="C975" s="136"/>
      <c r="D975" s="148"/>
      <c r="E975" s="136"/>
      <c r="F975" s="136"/>
      <c r="G975" s="136"/>
      <c r="H975" s="136"/>
      <c r="J975" s="136"/>
      <c r="K975" s="136"/>
      <c r="AE975" s="39" t="str">
        <f>IF(D975="","",IFERROR(VLOOKUP(D975,Projects!$A$2:$A$20000,1,FALSE),""))</f>
        <v/>
      </c>
      <c r="AF975" s="2" t="str">
        <f>IF(D975="","",IFERROR(MATCH(D975,Projects!$A:$A,0),""))</f>
        <v/>
      </c>
    </row>
    <row r="976" spans="2:32" x14ac:dyDescent="0.25">
      <c r="B976" s="24"/>
      <c r="C976" s="136"/>
      <c r="D976" s="148"/>
      <c r="E976" s="136"/>
      <c r="F976" s="136"/>
      <c r="G976" s="136"/>
      <c r="H976" s="136"/>
      <c r="J976" s="136"/>
      <c r="K976" s="136"/>
      <c r="AE976" s="39" t="str">
        <f>IF(D976="","",IFERROR(VLOOKUP(D976,Projects!$A$2:$A$20000,1,FALSE),""))</f>
        <v/>
      </c>
      <c r="AF976" s="2" t="str">
        <f>IF(D976="","",IFERROR(MATCH(D976,Projects!$A:$A,0),""))</f>
        <v/>
      </c>
    </row>
    <row r="977" spans="2:32" x14ac:dyDescent="0.25">
      <c r="B977" s="24"/>
      <c r="C977" s="136"/>
      <c r="D977" s="148"/>
      <c r="E977" s="136"/>
      <c r="F977" s="136"/>
      <c r="G977" s="136"/>
      <c r="H977" s="136"/>
      <c r="J977" s="136"/>
      <c r="K977" s="136"/>
      <c r="AE977" s="39" t="str">
        <f>IF(D977="","",IFERROR(VLOOKUP(D977,Projects!$A$2:$A$20000,1,FALSE),""))</f>
        <v/>
      </c>
      <c r="AF977" s="2" t="str">
        <f>IF(D977="","",IFERROR(MATCH(D977,Projects!$A:$A,0),""))</f>
        <v/>
      </c>
    </row>
    <row r="978" spans="2:32" x14ac:dyDescent="0.25">
      <c r="B978" s="24"/>
      <c r="C978" s="136"/>
      <c r="D978" s="148"/>
      <c r="E978" s="136"/>
      <c r="F978" s="136"/>
      <c r="G978" s="136"/>
      <c r="H978" s="136"/>
      <c r="J978" s="136"/>
      <c r="K978" s="136"/>
      <c r="AE978" s="39" t="str">
        <f>IF(D978="","",IFERROR(VLOOKUP(D978,Projects!$A$2:$A$20000,1,FALSE),""))</f>
        <v/>
      </c>
      <c r="AF978" s="2" t="str">
        <f>IF(D978="","",IFERROR(MATCH(D978,Projects!$A:$A,0),""))</f>
        <v/>
      </c>
    </row>
    <row r="979" spans="2:32" x14ac:dyDescent="0.25">
      <c r="B979" s="24"/>
      <c r="C979" s="136"/>
      <c r="D979" s="148"/>
      <c r="E979" s="136"/>
      <c r="F979" s="136"/>
      <c r="G979" s="136"/>
      <c r="H979" s="136"/>
      <c r="J979" s="136"/>
      <c r="K979" s="136"/>
      <c r="AE979" s="39" t="str">
        <f>IF(D979="","",IFERROR(VLOOKUP(D979,Projects!$A$2:$A$20000,1,FALSE),""))</f>
        <v/>
      </c>
      <c r="AF979" s="2" t="str">
        <f>IF(D979="","",IFERROR(MATCH(D979,Projects!$A:$A,0),""))</f>
        <v/>
      </c>
    </row>
    <row r="980" spans="2:32" x14ac:dyDescent="0.25">
      <c r="B980" s="24"/>
      <c r="C980" s="136"/>
      <c r="D980" s="148"/>
      <c r="E980" s="136"/>
      <c r="F980" s="136"/>
      <c r="G980" s="136"/>
      <c r="H980" s="136"/>
      <c r="J980" s="136"/>
      <c r="K980" s="136"/>
      <c r="AE980" s="39" t="str">
        <f>IF(D980="","",IFERROR(VLOOKUP(D980,Projects!$A$2:$A$20000,1,FALSE),""))</f>
        <v/>
      </c>
      <c r="AF980" s="2" t="str">
        <f>IF(D980="","",IFERROR(MATCH(D980,Projects!$A:$A,0),""))</f>
        <v/>
      </c>
    </row>
    <row r="981" spans="2:32" x14ac:dyDescent="0.25">
      <c r="B981" s="24"/>
      <c r="C981" s="136"/>
      <c r="D981" s="148"/>
      <c r="E981" s="136"/>
      <c r="F981" s="136"/>
      <c r="G981" s="136"/>
      <c r="H981" s="136"/>
      <c r="J981" s="136"/>
      <c r="K981" s="136"/>
      <c r="AE981" s="39" t="str">
        <f>IF(D981="","",IFERROR(VLOOKUP(D981,Projects!$A$2:$A$20000,1,FALSE),""))</f>
        <v/>
      </c>
      <c r="AF981" s="2" t="str">
        <f>IF(D981="","",IFERROR(MATCH(D981,Projects!$A:$A,0),""))</f>
        <v/>
      </c>
    </row>
    <row r="982" spans="2:32" x14ac:dyDescent="0.25">
      <c r="B982" s="24"/>
      <c r="C982" s="136"/>
      <c r="D982" s="148"/>
      <c r="E982" s="136"/>
      <c r="F982" s="136"/>
      <c r="G982" s="136"/>
      <c r="H982" s="136"/>
      <c r="J982" s="136"/>
      <c r="K982" s="136"/>
      <c r="AE982" s="39" t="str">
        <f>IF(D982="","",IFERROR(VLOOKUP(D982,Projects!$A$2:$A$20000,1,FALSE),""))</f>
        <v/>
      </c>
      <c r="AF982" s="2" t="str">
        <f>IF(D982="","",IFERROR(MATCH(D982,Projects!$A:$A,0),""))</f>
        <v/>
      </c>
    </row>
    <row r="983" spans="2:32" x14ac:dyDescent="0.25">
      <c r="B983" s="24"/>
      <c r="C983" s="136"/>
      <c r="D983" s="148"/>
      <c r="E983" s="136"/>
      <c r="F983" s="136"/>
      <c r="G983" s="136"/>
      <c r="H983" s="136"/>
      <c r="J983" s="136"/>
      <c r="K983" s="136"/>
      <c r="AE983" s="39" t="str">
        <f>IF(D983="","",IFERROR(VLOOKUP(D983,Projects!$A$2:$A$20000,1,FALSE),""))</f>
        <v/>
      </c>
      <c r="AF983" s="2" t="str">
        <f>IF(D983="","",IFERROR(MATCH(D983,Projects!$A:$A,0),""))</f>
        <v/>
      </c>
    </row>
    <row r="984" spans="2:32" x14ac:dyDescent="0.25">
      <c r="B984" s="24"/>
      <c r="C984" s="136"/>
      <c r="D984" s="148"/>
      <c r="E984" s="136"/>
      <c r="F984" s="136"/>
      <c r="G984" s="136"/>
      <c r="H984" s="136"/>
      <c r="J984" s="136"/>
      <c r="K984" s="136"/>
      <c r="AE984" s="39" t="str">
        <f>IF(D984="","",IFERROR(VLOOKUP(D984,Projects!$A$2:$A$20000,1,FALSE),""))</f>
        <v/>
      </c>
      <c r="AF984" s="2" t="str">
        <f>IF(D984="","",IFERROR(MATCH(D984,Projects!$A:$A,0),""))</f>
        <v/>
      </c>
    </row>
    <row r="985" spans="2:32" x14ac:dyDescent="0.25">
      <c r="B985" s="24"/>
      <c r="C985" s="136"/>
      <c r="D985" s="148"/>
      <c r="E985" s="136"/>
      <c r="F985" s="136"/>
      <c r="G985" s="136"/>
      <c r="H985" s="136"/>
      <c r="J985" s="136"/>
      <c r="K985" s="136"/>
      <c r="AE985" s="39" t="str">
        <f>IF(D985="","",IFERROR(VLOOKUP(D985,Projects!$A$2:$A$20000,1,FALSE),""))</f>
        <v/>
      </c>
      <c r="AF985" s="2" t="str">
        <f>IF(D985="","",IFERROR(MATCH(D985,Projects!$A:$A,0),""))</f>
        <v/>
      </c>
    </row>
    <row r="986" spans="2:32" x14ac:dyDescent="0.25">
      <c r="B986" s="24"/>
      <c r="C986" s="136"/>
      <c r="D986" s="148"/>
      <c r="E986" s="136"/>
      <c r="F986" s="136"/>
      <c r="G986" s="136"/>
      <c r="H986" s="136"/>
      <c r="J986" s="136"/>
      <c r="K986" s="136"/>
      <c r="AE986" s="39" t="str">
        <f>IF(D986="","",IFERROR(VLOOKUP(D986,Projects!$A$2:$A$20000,1,FALSE),""))</f>
        <v/>
      </c>
      <c r="AF986" s="2" t="str">
        <f>IF(D986="","",IFERROR(MATCH(D986,Projects!$A:$A,0),""))</f>
        <v/>
      </c>
    </row>
    <row r="987" spans="2:32" x14ac:dyDescent="0.25">
      <c r="B987" s="24"/>
      <c r="C987" s="136"/>
      <c r="D987" s="148"/>
      <c r="E987" s="136"/>
      <c r="F987" s="136"/>
      <c r="G987" s="136"/>
      <c r="H987" s="136"/>
      <c r="J987" s="136"/>
      <c r="K987" s="136"/>
      <c r="AE987" s="39" t="str">
        <f>IF(D987="","",IFERROR(VLOOKUP(D987,Projects!$A$2:$A$20000,1,FALSE),""))</f>
        <v/>
      </c>
      <c r="AF987" s="2" t="str">
        <f>IF(D987="","",IFERROR(MATCH(D987,Projects!$A:$A,0),""))</f>
        <v/>
      </c>
    </row>
    <row r="988" spans="2:32" x14ac:dyDescent="0.25">
      <c r="B988" s="24"/>
      <c r="C988" s="136"/>
      <c r="D988" s="148"/>
      <c r="E988" s="136"/>
      <c r="F988" s="136"/>
      <c r="G988" s="136"/>
      <c r="H988" s="136"/>
      <c r="J988" s="136"/>
      <c r="K988" s="136"/>
      <c r="AE988" s="39" t="str">
        <f>IF(D988="","",IFERROR(VLOOKUP(D988,Projects!$A$2:$A$20000,1,FALSE),""))</f>
        <v/>
      </c>
      <c r="AF988" s="2" t="str">
        <f>IF(D988="","",IFERROR(MATCH(D988,Projects!$A:$A,0),""))</f>
        <v/>
      </c>
    </row>
    <row r="989" spans="2:32" x14ac:dyDescent="0.25">
      <c r="B989" s="24"/>
      <c r="C989" s="136"/>
      <c r="D989" s="148"/>
      <c r="E989" s="136"/>
      <c r="F989" s="136"/>
      <c r="G989" s="136"/>
      <c r="H989" s="136"/>
      <c r="J989" s="136"/>
      <c r="K989" s="136"/>
      <c r="AE989" s="39" t="str">
        <f>IF(D989="","",IFERROR(VLOOKUP(D989,Projects!$A$2:$A$20000,1,FALSE),""))</f>
        <v/>
      </c>
      <c r="AF989" s="2" t="str">
        <f>IF(D989="","",IFERROR(MATCH(D989,Projects!$A:$A,0),""))</f>
        <v/>
      </c>
    </row>
    <row r="990" spans="2:32" x14ac:dyDescent="0.25">
      <c r="B990" s="24"/>
      <c r="C990" s="136"/>
      <c r="D990" s="148"/>
      <c r="E990" s="136"/>
      <c r="F990" s="136"/>
      <c r="G990" s="136"/>
      <c r="H990" s="136"/>
      <c r="J990" s="136"/>
      <c r="K990" s="136"/>
      <c r="AE990" s="39" t="str">
        <f>IF(D990="","",IFERROR(VLOOKUP(D990,Projects!$A$2:$A$20000,1,FALSE),""))</f>
        <v/>
      </c>
      <c r="AF990" s="2" t="str">
        <f>IF(D990="","",IFERROR(MATCH(D990,Projects!$A:$A,0),""))</f>
        <v/>
      </c>
    </row>
    <row r="991" spans="2:32" x14ac:dyDescent="0.25">
      <c r="B991" s="24"/>
      <c r="C991" s="136"/>
      <c r="D991" s="148"/>
      <c r="E991" s="136"/>
      <c r="F991" s="136"/>
      <c r="G991" s="136"/>
      <c r="H991" s="136"/>
      <c r="J991" s="136"/>
      <c r="K991" s="136"/>
      <c r="AE991" s="39" t="str">
        <f>IF(D991="","",IFERROR(VLOOKUP(D991,Projects!$A$2:$A$20000,1,FALSE),""))</f>
        <v/>
      </c>
      <c r="AF991" s="2" t="str">
        <f>IF(D991="","",IFERROR(MATCH(D991,Projects!$A:$A,0),""))</f>
        <v/>
      </c>
    </row>
    <row r="992" spans="2:32" x14ac:dyDescent="0.25">
      <c r="B992" s="24"/>
      <c r="C992" s="136"/>
      <c r="D992" s="148"/>
      <c r="E992" s="136"/>
      <c r="F992" s="136"/>
      <c r="G992" s="136"/>
      <c r="H992" s="136"/>
      <c r="J992" s="136"/>
      <c r="K992" s="136"/>
      <c r="AE992" s="39" t="str">
        <f>IF(D992="","",IFERROR(VLOOKUP(D992,Projects!$A$2:$A$20000,1,FALSE),""))</f>
        <v/>
      </c>
      <c r="AF992" s="2" t="str">
        <f>IF(D992="","",IFERROR(MATCH(D992,Projects!$A:$A,0),""))</f>
        <v/>
      </c>
    </row>
    <row r="993" spans="2:32" x14ac:dyDescent="0.25">
      <c r="B993" s="24"/>
      <c r="C993" s="136"/>
      <c r="D993" s="148"/>
      <c r="E993" s="136"/>
      <c r="F993" s="136"/>
      <c r="G993" s="136"/>
      <c r="H993" s="136"/>
      <c r="J993" s="136"/>
      <c r="K993" s="136"/>
      <c r="AE993" s="39" t="str">
        <f>IF(D993="","",IFERROR(VLOOKUP(D993,Projects!$A$2:$A$20000,1,FALSE),""))</f>
        <v/>
      </c>
      <c r="AF993" s="2" t="str">
        <f>IF(D993="","",IFERROR(MATCH(D993,Projects!$A:$A,0),""))</f>
        <v/>
      </c>
    </row>
    <row r="994" spans="2:32" x14ac:dyDescent="0.25">
      <c r="B994" s="24"/>
      <c r="C994" s="136"/>
      <c r="D994" s="148"/>
      <c r="E994" s="136"/>
      <c r="F994" s="136"/>
      <c r="G994" s="136"/>
      <c r="H994" s="136"/>
      <c r="J994" s="136"/>
      <c r="K994" s="136"/>
      <c r="AE994" s="39" t="str">
        <f>IF(D994="","",IFERROR(VLOOKUP(D994,Projects!$A$2:$A$20000,1,FALSE),""))</f>
        <v/>
      </c>
      <c r="AF994" s="2" t="str">
        <f>IF(D994="","",IFERROR(MATCH(D994,Projects!$A:$A,0),""))</f>
        <v/>
      </c>
    </row>
    <row r="995" spans="2:32" x14ac:dyDescent="0.25">
      <c r="B995" s="24"/>
      <c r="C995" s="136"/>
      <c r="D995" s="148"/>
      <c r="E995" s="136"/>
      <c r="F995" s="136"/>
      <c r="G995" s="136"/>
      <c r="H995" s="136"/>
      <c r="J995" s="136"/>
      <c r="K995" s="136"/>
      <c r="AE995" s="39" t="str">
        <f>IF(D995="","",IFERROR(VLOOKUP(D995,Projects!$A$2:$A$20000,1,FALSE),""))</f>
        <v/>
      </c>
      <c r="AF995" s="2" t="str">
        <f>IF(D995="","",IFERROR(MATCH(D995,Projects!$A:$A,0),""))</f>
        <v/>
      </c>
    </row>
    <row r="996" spans="2:32" x14ac:dyDescent="0.25">
      <c r="B996" s="24"/>
      <c r="C996" s="136"/>
      <c r="D996" s="148"/>
      <c r="E996" s="136"/>
      <c r="F996" s="136"/>
      <c r="G996" s="136"/>
      <c r="H996" s="136"/>
      <c r="J996" s="136"/>
      <c r="K996" s="136"/>
      <c r="AE996" s="39" t="str">
        <f>IF(D996="","",IFERROR(VLOOKUP(D996,Projects!$A$2:$A$20000,1,FALSE),""))</f>
        <v/>
      </c>
      <c r="AF996" s="2" t="str">
        <f>IF(D996="","",IFERROR(MATCH(D996,Projects!$A:$A,0),""))</f>
        <v/>
      </c>
    </row>
    <row r="997" spans="2:32" x14ac:dyDescent="0.25">
      <c r="B997" s="24"/>
      <c r="C997" s="136"/>
      <c r="D997" s="148"/>
      <c r="E997" s="136"/>
      <c r="F997" s="136"/>
      <c r="G997" s="136"/>
      <c r="H997" s="136"/>
      <c r="J997" s="136"/>
      <c r="K997" s="136"/>
      <c r="AE997" s="39" t="str">
        <f>IF(D997="","",IFERROR(VLOOKUP(D997,Projects!$A$2:$A$20000,1,FALSE),""))</f>
        <v/>
      </c>
      <c r="AF997" s="2" t="str">
        <f>IF(D997="","",IFERROR(MATCH(D997,Projects!$A:$A,0),""))</f>
        <v/>
      </c>
    </row>
    <row r="998" spans="2:32" x14ac:dyDescent="0.25">
      <c r="B998" s="24"/>
      <c r="C998" s="136"/>
      <c r="D998" s="148"/>
      <c r="E998" s="136"/>
      <c r="F998" s="136"/>
      <c r="G998" s="136"/>
      <c r="H998" s="136"/>
      <c r="J998" s="136"/>
      <c r="K998" s="136"/>
      <c r="AE998" s="39" t="str">
        <f>IF(D998="","",IFERROR(VLOOKUP(D998,Projects!$A$2:$A$20000,1,FALSE),""))</f>
        <v/>
      </c>
      <c r="AF998" s="2" t="str">
        <f>IF(D998="","",IFERROR(MATCH(D998,Projects!$A:$A,0),""))</f>
        <v/>
      </c>
    </row>
    <row r="999" spans="2:32" x14ac:dyDescent="0.25">
      <c r="B999" s="24"/>
      <c r="C999" s="136"/>
      <c r="D999" s="148"/>
      <c r="E999" s="136"/>
      <c r="F999" s="136"/>
      <c r="G999" s="136"/>
      <c r="H999" s="136"/>
      <c r="J999" s="136"/>
      <c r="K999" s="136"/>
      <c r="AE999" s="39" t="str">
        <f>IF(D999="","",IFERROR(VLOOKUP(D999,Projects!$A$2:$A$20000,1,FALSE),""))</f>
        <v/>
      </c>
      <c r="AF999" s="2" t="str">
        <f>IF(D999="","",IFERROR(MATCH(D999,Projects!$A:$A,0),""))</f>
        <v/>
      </c>
    </row>
    <row r="1000" spans="2:32" x14ac:dyDescent="0.25">
      <c r="B1000" s="24"/>
      <c r="C1000" s="136"/>
      <c r="D1000" s="148"/>
      <c r="E1000" s="136"/>
      <c r="F1000" s="136"/>
      <c r="G1000" s="136"/>
      <c r="H1000" s="136"/>
      <c r="J1000" s="136"/>
      <c r="K1000" s="136"/>
      <c r="AE1000" s="39" t="str">
        <f>IF(D1000="","",IFERROR(VLOOKUP(D1000,Projects!$A$2:$A$20000,1,FALSE),""))</f>
        <v/>
      </c>
      <c r="AF1000" s="2" t="str">
        <f>IF(D1000="","",IFERROR(MATCH(D1000,Projects!$A:$A,0),""))</f>
        <v/>
      </c>
    </row>
    <row r="1001" spans="2:32" x14ac:dyDescent="0.25">
      <c r="B1001" s="24"/>
      <c r="C1001" s="136"/>
      <c r="D1001" s="148"/>
      <c r="E1001" s="136"/>
      <c r="F1001" s="136"/>
      <c r="G1001" s="136"/>
      <c r="H1001" s="136"/>
      <c r="J1001" s="136"/>
      <c r="K1001" s="136"/>
      <c r="AE1001" s="39" t="str">
        <f>IF(D1001="","",IFERROR(VLOOKUP(D1001,Projects!$A$2:$A$20000,1,FALSE),""))</f>
        <v/>
      </c>
      <c r="AF1001" s="2" t="str">
        <f>IF(D1001="","",IFERROR(MATCH(D1001,Projects!$A:$A,0),""))</f>
        <v/>
      </c>
    </row>
    <row r="1002" spans="2:32" x14ac:dyDescent="0.25">
      <c r="B1002" s="24"/>
      <c r="C1002" s="136"/>
      <c r="D1002" s="148"/>
      <c r="E1002" s="136"/>
      <c r="F1002" s="136"/>
      <c r="G1002" s="136"/>
      <c r="H1002" s="136"/>
      <c r="J1002" s="136"/>
      <c r="K1002" s="136"/>
      <c r="AE1002" s="39" t="str">
        <f>IF(D1002="","",IFERROR(VLOOKUP(D1002,Projects!$A$2:$A$20000,1,FALSE),""))</f>
        <v/>
      </c>
      <c r="AF1002" s="2" t="str">
        <f>IF(D1002="","",IFERROR(MATCH(D1002,Projects!$A:$A,0),""))</f>
        <v/>
      </c>
    </row>
    <row r="1003" spans="2:32" x14ac:dyDescent="0.25">
      <c r="B1003" s="24"/>
      <c r="C1003" s="136"/>
      <c r="D1003" s="148"/>
      <c r="E1003" s="136"/>
      <c r="F1003" s="136"/>
      <c r="G1003" s="136"/>
      <c r="H1003" s="136"/>
      <c r="J1003" s="136"/>
      <c r="K1003" s="136"/>
      <c r="AE1003" s="39" t="str">
        <f>IF(D1003="","",IFERROR(VLOOKUP(D1003,Projects!$A$2:$A$20000,1,FALSE),""))</f>
        <v/>
      </c>
      <c r="AF1003" s="2" t="str">
        <f>IF(D1003="","",IFERROR(MATCH(D1003,Projects!$A:$A,0),""))</f>
        <v/>
      </c>
    </row>
    <row r="1004" spans="2:32" x14ac:dyDescent="0.25">
      <c r="B1004" s="24"/>
      <c r="C1004" s="136"/>
      <c r="D1004" s="148"/>
      <c r="E1004" s="136"/>
      <c r="F1004" s="136"/>
      <c r="G1004" s="136"/>
      <c r="H1004" s="136"/>
      <c r="J1004" s="136"/>
      <c r="K1004" s="136"/>
      <c r="AE1004" s="39" t="str">
        <f>IF(D1004="","",IFERROR(VLOOKUP(D1004,Projects!$A$2:$A$20000,1,FALSE),""))</f>
        <v/>
      </c>
      <c r="AF1004" s="2" t="str">
        <f>IF(D1004="","",IFERROR(MATCH(D1004,Projects!$A:$A,0),""))</f>
        <v/>
      </c>
    </row>
    <row r="1005" spans="2:32" x14ac:dyDescent="0.25">
      <c r="B1005" s="24"/>
      <c r="C1005" s="136"/>
      <c r="D1005" s="148"/>
      <c r="E1005" s="136"/>
      <c r="F1005" s="136"/>
      <c r="G1005" s="136"/>
      <c r="H1005" s="136"/>
      <c r="J1005" s="136"/>
      <c r="K1005" s="136"/>
      <c r="AE1005" s="39" t="str">
        <f>IF(D1005="","",IFERROR(VLOOKUP(D1005,Projects!$A$2:$A$20000,1,FALSE),""))</f>
        <v/>
      </c>
      <c r="AF1005" s="2" t="str">
        <f>IF(D1005="","",IFERROR(MATCH(D1005,Projects!$A:$A,0),""))</f>
        <v/>
      </c>
    </row>
    <row r="1006" spans="2:32" x14ac:dyDescent="0.25">
      <c r="B1006" s="24"/>
      <c r="C1006" s="136"/>
      <c r="D1006" s="148"/>
      <c r="E1006" s="136"/>
      <c r="F1006" s="136"/>
      <c r="G1006" s="136"/>
      <c r="H1006" s="136"/>
      <c r="J1006" s="136"/>
      <c r="K1006" s="136"/>
      <c r="AE1006" s="39" t="str">
        <f>IF(D1006="","",IFERROR(VLOOKUP(D1006,Projects!$A$2:$A$20000,1,FALSE),""))</f>
        <v/>
      </c>
      <c r="AF1006" s="2" t="str">
        <f>IF(D1006="","",IFERROR(MATCH(D1006,Projects!$A:$A,0),""))</f>
        <v/>
      </c>
    </row>
    <row r="1007" spans="2:32" x14ac:dyDescent="0.25">
      <c r="B1007" s="24"/>
      <c r="C1007" s="136"/>
      <c r="D1007" s="148"/>
      <c r="E1007" s="136"/>
      <c r="F1007" s="136"/>
      <c r="G1007" s="136"/>
      <c r="H1007" s="136"/>
      <c r="J1007" s="136"/>
      <c r="K1007" s="136"/>
      <c r="AE1007" s="39" t="str">
        <f>IF(D1007="","",IFERROR(VLOOKUP(D1007,Projects!$A$2:$A$20000,1,FALSE),""))</f>
        <v/>
      </c>
      <c r="AF1007" s="2" t="str">
        <f>IF(D1007="","",IFERROR(MATCH(D1007,Projects!$A:$A,0),""))</f>
        <v/>
      </c>
    </row>
    <row r="1008" spans="2:32" x14ac:dyDescent="0.25">
      <c r="B1008" s="24"/>
      <c r="C1008" s="136"/>
      <c r="D1008" s="148"/>
      <c r="E1008" s="136"/>
      <c r="F1008" s="136"/>
      <c r="G1008" s="136"/>
      <c r="H1008" s="136"/>
      <c r="J1008" s="136"/>
      <c r="K1008" s="136"/>
      <c r="AE1008" s="39" t="str">
        <f>IF(D1008="","",IFERROR(VLOOKUP(D1008,Projects!$A$2:$A$20000,1,FALSE),""))</f>
        <v/>
      </c>
      <c r="AF1008" s="2" t="str">
        <f>IF(D1008="","",IFERROR(MATCH(D1008,Projects!$A:$A,0),""))</f>
        <v/>
      </c>
    </row>
    <row r="1009" spans="2:32" x14ac:dyDescent="0.25">
      <c r="B1009" s="24"/>
      <c r="C1009" s="136"/>
      <c r="D1009" s="148"/>
      <c r="E1009" s="136"/>
      <c r="F1009" s="136"/>
      <c r="G1009" s="136"/>
      <c r="H1009" s="136"/>
      <c r="J1009" s="136"/>
      <c r="K1009" s="136"/>
      <c r="AE1009" s="39" t="str">
        <f>IF(D1009="","",IFERROR(VLOOKUP(D1009,Projects!$A$2:$A$20000,1,FALSE),""))</f>
        <v/>
      </c>
      <c r="AF1009" s="2" t="str">
        <f>IF(D1009="","",IFERROR(MATCH(D1009,Projects!$A:$A,0),""))</f>
        <v/>
      </c>
    </row>
    <row r="1010" spans="2:32" x14ac:dyDescent="0.25">
      <c r="B1010" s="24"/>
      <c r="C1010" s="136"/>
      <c r="D1010" s="148"/>
      <c r="E1010" s="136"/>
      <c r="F1010" s="136"/>
      <c r="G1010" s="136"/>
      <c r="H1010" s="136"/>
      <c r="J1010" s="136"/>
      <c r="K1010" s="136"/>
      <c r="AE1010" s="39" t="str">
        <f>IF(D1010="","",IFERROR(VLOOKUP(D1010,Projects!$A$2:$A$20000,1,FALSE),""))</f>
        <v/>
      </c>
      <c r="AF1010" s="2" t="str">
        <f>IF(D1010="","",IFERROR(MATCH(D1010,Projects!$A:$A,0),""))</f>
        <v/>
      </c>
    </row>
    <row r="1011" spans="2:32" x14ac:dyDescent="0.25">
      <c r="B1011" s="24"/>
      <c r="C1011" s="136"/>
      <c r="D1011" s="148"/>
      <c r="E1011" s="136"/>
      <c r="F1011" s="136"/>
      <c r="G1011" s="136"/>
      <c r="H1011" s="136"/>
      <c r="J1011" s="136"/>
      <c r="K1011" s="136"/>
      <c r="AE1011" s="39" t="str">
        <f>IF(D1011="","",IFERROR(VLOOKUP(D1011,Projects!$A$2:$A$20000,1,FALSE),""))</f>
        <v/>
      </c>
      <c r="AF1011" s="2" t="str">
        <f>IF(D1011="","",IFERROR(MATCH(D1011,Projects!$A:$A,0),""))</f>
        <v/>
      </c>
    </row>
    <row r="1012" spans="2:32" x14ac:dyDescent="0.25">
      <c r="B1012" s="24"/>
      <c r="C1012" s="136"/>
      <c r="D1012" s="148"/>
      <c r="E1012" s="136"/>
      <c r="F1012" s="136"/>
      <c r="G1012" s="136"/>
      <c r="H1012" s="136"/>
      <c r="J1012" s="136"/>
      <c r="K1012" s="136"/>
      <c r="AE1012" s="39" t="str">
        <f>IF(D1012="","",IFERROR(VLOOKUP(D1012,Projects!$A$2:$A$20000,1,FALSE),""))</f>
        <v/>
      </c>
      <c r="AF1012" s="2" t="str">
        <f>IF(D1012="","",IFERROR(MATCH(D1012,Projects!$A:$A,0),""))</f>
        <v/>
      </c>
    </row>
    <row r="1013" spans="2:32" x14ac:dyDescent="0.25">
      <c r="B1013" s="24"/>
      <c r="C1013" s="136"/>
      <c r="D1013" s="148"/>
      <c r="E1013" s="136"/>
      <c r="F1013" s="136"/>
      <c r="G1013" s="136"/>
      <c r="H1013" s="136"/>
      <c r="J1013" s="136"/>
      <c r="K1013" s="136"/>
      <c r="AE1013" s="39" t="str">
        <f>IF(D1013="","",IFERROR(VLOOKUP(D1013,Projects!$A$2:$A$20000,1,FALSE),""))</f>
        <v/>
      </c>
      <c r="AF1013" s="2" t="str">
        <f>IF(D1013="","",IFERROR(MATCH(D1013,Projects!$A:$A,0),""))</f>
        <v/>
      </c>
    </row>
    <row r="1014" spans="2:32" x14ac:dyDescent="0.25">
      <c r="B1014" s="24"/>
      <c r="C1014" s="136"/>
      <c r="D1014" s="148"/>
      <c r="E1014" s="136"/>
      <c r="F1014" s="136"/>
      <c r="G1014" s="136"/>
      <c r="H1014" s="136"/>
      <c r="J1014" s="136"/>
      <c r="K1014" s="136"/>
      <c r="AE1014" s="39" t="str">
        <f>IF(D1014="","",IFERROR(VLOOKUP(D1014,Projects!$A$2:$A$20000,1,FALSE),""))</f>
        <v/>
      </c>
      <c r="AF1014" s="2" t="str">
        <f>IF(D1014="","",IFERROR(MATCH(D1014,Projects!$A:$A,0),""))</f>
        <v/>
      </c>
    </row>
    <row r="1015" spans="2:32" x14ac:dyDescent="0.25">
      <c r="B1015" s="24"/>
      <c r="C1015" s="136"/>
      <c r="D1015" s="148"/>
      <c r="E1015" s="136"/>
      <c r="F1015" s="136"/>
      <c r="G1015" s="136"/>
      <c r="H1015" s="136"/>
      <c r="J1015" s="136"/>
      <c r="K1015" s="136"/>
      <c r="AE1015" s="39" t="str">
        <f>IF(D1015="","",IFERROR(VLOOKUP(D1015,Projects!$A$2:$A$20000,1,FALSE),""))</f>
        <v/>
      </c>
      <c r="AF1015" s="2" t="str">
        <f>IF(D1015="","",IFERROR(MATCH(D1015,Projects!$A:$A,0),""))</f>
        <v/>
      </c>
    </row>
    <row r="1016" spans="2:32" x14ac:dyDescent="0.25">
      <c r="B1016" s="24"/>
      <c r="C1016" s="136"/>
      <c r="D1016" s="148"/>
      <c r="E1016" s="136"/>
      <c r="F1016" s="136"/>
      <c r="G1016" s="136"/>
      <c r="H1016" s="136"/>
      <c r="J1016" s="136"/>
      <c r="K1016" s="136"/>
      <c r="AE1016" s="39" t="str">
        <f>IF(D1016="","",IFERROR(VLOOKUP(D1016,Projects!$A$2:$A$20000,1,FALSE),""))</f>
        <v/>
      </c>
      <c r="AF1016" s="2" t="str">
        <f>IF(D1016="","",IFERROR(MATCH(D1016,Projects!$A:$A,0),""))</f>
        <v/>
      </c>
    </row>
    <row r="1017" spans="2:32" x14ac:dyDescent="0.25">
      <c r="B1017" s="24"/>
      <c r="C1017" s="136"/>
      <c r="D1017" s="148"/>
      <c r="E1017" s="136"/>
      <c r="F1017" s="136"/>
      <c r="G1017" s="136"/>
      <c r="H1017" s="136"/>
      <c r="J1017" s="136"/>
      <c r="K1017" s="136"/>
      <c r="AE1017" s="39" t="str">
        <f>IF(D1017="","",IFERROR(VLOOKUP(D1017,Projects!$A$2:$A$20000,1,FALSE),""))</f>
        <v/>
      </c>
      <c r="AF1017" s="2" t="str">
        <f>IF(D1017="","",IFERROR(MATCH(D1017,Projects!$A:$A,0),""))</f>
        <v/>
      </c>
    </row>
    <row r="1018" spans="2:32" x14ac:dyDescent="0.25">
      <c r="B1018" s="24"/>
      <c r="C1018" s="136"/>
      <c r="D1018" s="148"/>
      <c r="E1018" s="136"/>
      <c r="F1018" s="136"/>
      <c r="G1018" s="136"/>
      <c r="H1018" s="136"/>
      <c r="J1018" s="136"/>
      <c r="K1018" s="136"/>
      <c r="AE1018" s="39" t="str">
        <f>IF(D1018="","",IFERROR(VLOOKUP(D1018,Projects!$A$2:$A$20000,1,FALSE),""))</f>
        <v/>
      </c>
      <c r="AF1018" s="2" t="str">
        <f>IF(D1018="","",IFERROR(MATCH(D1018,Projects!$A:$A,0),""))</f>
        <v/>
      </c>
    </row>
    <row r="1019" spans="2:32" x14ac:dyDescent="0.25">
      <c r="B1019" s="24"/>
      <c r="C1019" s="136"/>
      <c r="D1019" s="148"/>
      <c r="E1019" s="136"/>
      <c r="F1019" s="136"/>
      <c r="G1019" s="136"/>
      <c r="H1019" s="136"/>
      <c r="J1019" s="136"/>
      <c r="K1019" s="136"/>
      <c r="AE1019" s="39" t="str">
        <f>IF(D1019="","",IFERROR(VLOOKUP(D1019,Projects!$A$2:$A$20000,1,FALSE),""))</f>
        <v/>
      </c>
      <c r="AF1019" s="2" t="str">
        <f>IF(D1019="","",IFERROR(MATCH(D1019,Projects!$A:$A,0),""))</f>
        <v/>
      </c>
    </row>
    <row r="1020" spans="2:32" x14ac:dyDescent="0.25">
      <c r="B1020" s="24"/>
      <c r="C1020" s="136"/>
      <c r="D1020" s="148"/>
      <c r="E1020" s="136"/>
      <c r="F1020" s="136"/>
      <c r="G1020" s="136"/>
      <c r="H1020" s="136"/>
      <c r="J1020" s="136"/>
      <c r="K1020" s="136"/>
      <c r="AE1020" s="39" t="str">
        <f>IF(D1020="","",IFERROR(VLOOKUP(D1020,Projects!$A$2:$A$20000,1,FALSE),""))</f>
        <v/>
      </c>
      <c r="AF1020" s="2" t="str">
        <f>IF(D1020="","",IFERROR(MATCH(D1020,Projects!$A:$A,0),""))</f>
        <v/>
      </c>
    </row>
    <row r="1021" spans="2:32" x14ac:dyDescent="0.25">
      <c r="B1021" s="24"/>
      <c r="C1021" s="136"/>
      <c r="D1021" s="148"/>
      <c r="E1021" s="136"/>
      <c r="F1021" s="136"/>
      <c r="G1021" s="136"/>
      <c r="H1021" s="136"/>
      <c r="J1021" s="136"/>
      <c r="K1021" s="136"/>
      <c r="AE1021" s="39" t="str">
        <f>IF(D1021="","",IFERROR(VLOOKUP(D1021,Projects!$A$2:$A$20000,1,FALSE),""))</f>
        <v/>
      </c>
      <c r="AF1021" s="2" t="str">
        <f>IF(D1021="","",IFERROR(MATCH(D1021,Projects!$A:$A,0),""))</f>
        <v/>
      </c>
    </row>
    <row r="1022" spans="2:32" x14ac:dyDescent="0.25">
      <c r="B1022" s="24"/>
      <c r="C1022" s="136"/>
      <c r="D1022" s="148"/>
      <c r="E1022" s="136"/>
      <c r="F1022" s="136"/>
      <c r="G1022" s="136"/>
      <c r="H1022" s="136"/>
      <c r="J1022" s="136"/>
      <c r="K1022" s="136"/>
      <c r="AE1022" s="39" t="str">
        <f>IF(D1022="","",IFERROR(VLOOKUP(D1022,Projects!$A$2:$A$20000,1,FALSE),""))</f>
        <v/>
      </c>
      <c r="AF1022" s="2" t="str">
        <f>IF(D1022="","",IFERROR(MATCH(D1022,Projects!$A:$A,0),""))</f>
        <v/>
      </c>
    </row>
    <row r="1023" spans="2:32" x14ac:dyDescent="0.25">
      <c r="B1023" s="24"/>
      <c r="C1023" s="136"/>
      <c r="D1023" s="148"/>
      <c r="E1023" s="136"/>
      <c r="F1023" s="136"/>
      <c r="G1023" s="136"/>
      <c r="H1023" s="136"/>
      <c r="J1023" s="136"/>
      <c r="K1023" s="136"/>
      <c r="AE1023" s="39" t="str">
        <f>IF(D1023="","",IFERROR(VLOOKUP(D1023,Projects!$A$2:$A$20000,1,FALSE),""))</f>
        <v/>
      </c>
      <c r="AF1023" s="2" t="str">
        <f>IF(D1023="","",IFERROR(MATCH(D1023,Projects!$A:$A,0),""))</f>
        <v/>
      </c>
    </row>
    <row r="1024" spans="2:32" x14ac:dyDescent="0.25">
      <c r="B1024" s="24"/>
      <c r="C1024" s="136"/>
      <c r="D1024" s="148"/>
      <c r="E1024" s="136"/>
      <c r="F1024" s="136"/>
      <c r="G1024" s="136"/>
      <c r="H1024" s="136"/>
      <c r="J1024" s="136"/>
      <c r="K1024" s="136"/>
      <c r="AE1024" s="39" t="str">
        <f>IF(D1024="","",IFERROR(VLOOKUP(D1024,Projects!$A$2:$A$20000,1,FALSE),""))</f>
        <v/>
      </c>
      <c r="AF1024" s="2" t="str">
        <f>IF(D1024="","",IFERROR(MATCH(D1024,Projects!$A:$A,0),""))</f>
        <v/>
      </c>
    </row>
    <row r="1025" spans="2:32" x14ac:dyDescent="0.25">
      <c r="B1025" s="24"/>
      <c r="C1025" s="136"/>
      <c r="D1025" s="148"/>
      <c r="E1025" s="136"/>
      <c r="F1025" s="136"/>
      <c r="G1025" s="136"/>
      <c r="H1025" s="136"/>
      <c r="J1025" s="136"/>
      <c r="K1025" s="136"/>
      <c r="AE1025" s="39" t="str">
        <f>IF(D1025="","",IFERROR(VLOOKUP(D1025,Projects!$A$2:$A$20000,1,FALSE),""))</f>
        <v/>
      </c>
      <c r="AF1025" s="2" t="str">
        <f>IF(D1025="","",IFERROR(MATCH(D1025,Projects!$A:$A,0),""))</f>
        <v/>
      </c>
    </row>
    <row r="1026" spans="2:32" x14ac:dyDescent="0.25">
      <c r="B1026" s="24"/>
      <c r="C1026" s="136"/>
      <c r="D1026" s="148"/>
      <c r="E1026" s="136"/>
      <c r="F1026" s="136"/>
      <c r="G1026" s="136"/>
      <c r="H1026" s="136"/>
      <c r="J1026" s="136"/>
      <c r="K1026" s="136"/>
      <c r="AE1026" s="39" t="str">
        <f>IF(D1026="","",IFERROR(VLOOKUP(D1026,Projects!$A$2:$A$20000,1,FALSE),""))</f>
        <v/>
      </c>
      <c r="AF1026" s="2" t="str">
        <f>IF(D1026="","",IFERROR(MATCH(D1026,Projects!$A:$A,0),""))</f>
        <v/>
      </c>
    </row>
    <row r="1027" spans="2:32" x14ac:dyDescent="0.25">
      <c r="B1027" s="24"/>
      <c r="C1027" s="136"/>
      <c r="D1027" s="148"/>
      <c r="E1027" s="136"/>
      <c r="F1027" s="136"/>
      <c r="G1027" s="136"/>
      <c r="H1027" s="136"/>
      <c r="J1027" s="136"/>
      <c r="K1027" s="136"/>
      <c r="AE1027" s="39" t="str">
        <f>IF(D1027="","",IFERROR(VLOOKUP(D1027,Projects!$A$2:$A$20000,1,FALSE),""))</f>
        <v/>
      </c>
      <c r="AF1027" s="2" t="str">
        <f>IF(D1027="","",IFERROR(MATCH(D1027,Projects!$A:$A,0),""))</f>
        <v/>
      </c>
    </row>
    <row r="1028" spans="2:32" x14ac:dyDescent="0.25">
      <c r="B1028" s="24"/>
      <c r="C1028" s="136"/>
      <c r="D1028" s="148"/>
      <c r="E1028" s="136"/>
      <c r="F1028" s="136"/>
      <c r="G1028" s="136"/>
      <c r="H1028" s="136"/>
      <c r="J1028" s="136"/>
      <c r="K1028" s="136"/>
      <c r="AE1028" s="39" t="str">
        <f>IF(D1028="","",IFERROR(VLOOKUP(D1028,Projects!$A$2:$A$20000,1,FALSE),""))</f>
        <v/>
      </c>
      <c r="AF1028" s="2" t="str">
        <f>IF(D1028="","",IFERROR(MATCH(D1028,Projects!$A:$A,0),""))</f>
        <v/>
      </c>
    </row>
    <row r="1029" spans="2:32" x14ac:dyDescent="0.25">
      <c r="B1029" s="24"/>
      <c r="C1029" s="136"/>
      <c r="D1029" s="148"/>
      <c r="E1029" s="136"/>
      <c r="F1029" s="136"/>
      <c r="G1029" s="136"/>
      <c r="H1029" s="136"/>
      <c r="J1029" s="136"/>
      <c r="K1029" s="136"/>
      <c r="AE1029" s="39" t="str">
        <f>IF(D1029="","",IFERROR(VLOOKUP(D1029,Projects!$A$2:$A$20000,1,FALSE),""))</f>
        <v/>
      </c>
      <c r="AF1029" s="2" t="str">
        <f>IF(D1029="","",IFERROR(MATCH(D1029,Projects!$A:$A,0),""))</f>
        <v/>
      </c>
    </row>
    <row r="1030" spans="2:32" x14ac:dyDescent="0.25">
      <c r="B1030" s="24"/>
      <c r="C1030" s="136"/>
      <c r="D1030" s="148"/>
      <c r="E1030" s="136"/>
      <c r="F1030" s="136"/>
      <c r="G1030" s="136"/>
      <c r="H1030" s="136"/>
      <c r="J1030" s="136"/>
      <c r="K1030" s="136"/>
      <c r="AE1030" s="39" t="str">
        <f>IF(D1030="","",IFERROR(VLOOKUP(D1030,Projects!$A$2:$A$20000,1,FALSE),""))</f>
        <v/>
      </c>
      <c r="AF1030" s="2" t="str">
        <f>IF(D1030="","",IFERROR(MATCH(D1030,Projects!$A:$A,0),""))</f>
        <v/>
      </c>
    </row>
    <row r="1031" spans="2:32" x14ac:dyDescent="0.25">
      <c r="B1031" s="24"/>
      <c r="C1031" s="136"/>
      <c r="D1031" s="148"/>
      <c r="E1031" s="136"/>
      <c r="F1031" s="136"/>
      <c r="G1031" s="136"/>
      <c r="H1031" s="136"/>
      <c r="J1031" s="136"/>
      <c r="K1031" s="136"/>
      <c r="AE1031" s="39" t="str">
        <f>IF(D1031="","",IFERROR(VLOOKUP(D1031,Projects!$A$2:$A$20000,1,FALSE),""))</f>
        <v/>
      </c>
      <c r="AF1031" s="2" t="str">
        <f>IF(D1031="","",IFERROR(MATCH(D1031,Projects!$A:$A,0),""))</f>
        <v/>
      </c>
    </row>
    <row r="1032" spans="2:32" x14ac:dyDescent="0.25">
      <c r="B1032" s="24"/>
      <c r="C1032" s="136"/>
      <c r="D1032" s="148"/>
      <c r="E1032" s="136"/>
      <c r="F1032" s="136"/>
      <c r="G1032" s="136"/>
      <c r="H1032" s="136"/>
      <c r="J1032" s="136"/>
      <c r="K1032" s="136"/>
      <c r="AE1032" s="39" t="str">
        <f>IF(D1032="","",IFERROR(VLOOKUP(D1032,Projects!$A$2:$A$20000,1,FALSE),""))</f>
        <v/>
      </c>
      <c r="AF1032" s="2" t="str">
        <f>IF(D1032="","",IFERROR(MATCH(D1032,Projects!$A:$A,0),""))</f>
        <v/>
      </c>
    </row>
    <row r="1033" spans="2:32" x14ac:dyDescent="0.25">
      <c r="B1033" s="24"/>
      <c r="C1033" s="136"/>
      <c r="D1033" s="148"/>
      <c r="E1033" s="136"/>
      <c r="F1033" s="136"/>
      <c r="G1033" s="136"/>
      <c r="H1033" s="136"/>
      <c r="J1033" s="136"/>
      <c r="K1033" s="136"/>
      <c r="AE1033" s="39" t="str">
        <f>IF(D1033="","",IFERROR(VLOOKUP(D1033,Projects!$A$2:$A$20000,1,FALSE),""))</f>
        <v/>
      </c>
      <c r="AF1033" s="2" t="str">
        <f>IF(D1033="","",IFERROR(MATCH(D1033,Projects!$A:$A,0),""))</f>
        <v/>
      </c>
    </row>
    <row r="1034" spans="2:32" x14ac:dyDescent="0.25">
      <c r="B1034" s="24"/>
      <c r="C1034" s="136"/>
      <c r="D1034" s="148"/>
      <c r="E1034" s="136"/>
      <c r="F1034" s="136"/>
      <c r="G1034" s="136"/>
      <c r="H1034" s="136"/>
      <c r="J1034" s="136"/>
      <c r="K1034" s="136"/>
      <c r="AE1034" s="39" t="str">
        <f>IF(D1034="","",IFERROR(VLOOKUP(D1034,Projects!$A$2:$A$20000,1,FALSE),""))</f>
        <v/>
      </c>
      <c r="AF1034" s="2" t="str">
        <f>IF(D1034="","",IFERROR(MATCH(D1034,Projects!$A:$A,0),""))</f>
        <v/>
      </c>
    </row>
    <row r="1035" spans="2:32" x14ac:dyDescent="0.25">
      <c r="B1035" s="24"/>
      <c r="C1035" s="136"/>
      <c r="D1035" s="148"/>
      <c r="E1035" s="136"/>
      <c r="F1035" s="136"/>
      <c r="G1035" s="136"/>
      <c r="H1035" s="136"/>
      <c r="J1035" s="136"/>
      <c r="K1035" s="136"/>
      <c r="AE1035" s="39" t="str">
        <f>IF(D1035="","",IFERROR(VLOOKUP(D1035,Projects!$A$2:$A$20000,1,FALSE),""))</f>
        <v/>
      </c>
      <c r="AF1035" s="2" t="str">
        <f>IF(D1035="","",IFERROR(MATCH(D1035,Projects!$A:$A,0),""))</f>
        <v/>
      </c>
    </row>
    <row r="1036" spans="2:32" x14ac:dyDescent="0.25">
      <c r="B1036" s="24"/>
      <c r="C1036" s="136"/>
      <c r="D1036" s="148"/>
      <c r="E1036" s="136"/>
      <c r="F1036" s="136"/>
      <c r="G1036" s="136"/>
      <c r="H1036" s="136"/>
      <c r="J1036" s="136"/>
      <c r="K1036" s="136"/>
      <c r="AE1036" s="39" t="str">
        <f>IF(D1036="","",IFERROR(VLOOKUP(D1036,Projects!$A$2:$A$20000,1,FALSE),""))</f>
        <v/>
      </c>
      <c r="AF1036" s="2" t="str">
        <f>IF(D1036="","",IFERROR(MATCH(D1036,Projects!$A:$A,0),""))</f>
        <v/>
      </c>
    </row>
    <row r="1037" spans="2:32" x14ac:dyDescent="0.25">
      <c r="B1037" s="24"/>
      <c r="C1037" s="136"/>
      <c r="D1037" s="148"/>
      <c r="E1037" s="136"/>
      <c r="F1037" s="136"/>
      <c r="G1037" s="136"/>
      <c r="H1037" s="136"/>
      <c r="J1037" s="136"/>
      <c r="K1037" s="136"/>
      <c r="AE1037" s="39" t="str">
        <f>IF(D1037="","",IFERROR(VLOOKUP(D1037,Projects!$A$2:$A$20000,1,FALSE),""))</f>
        <v/>
      </c>
      <c r="AF1037" s="2" t="str">
        <f>IF(D1037="","",IFERROR(MATCH(D1037,Projects!$A:$A,0),""))</f>
        <v/>
      </c>
    </row>
    <row r="1038" spans="2:32" x14ac:dyDescent="0.25">
      <c r="B1038" s="24"/>
      <c r="C1038" s="136"/>
      <c r="D1038" s="148"/>
      <c r="E1038" s="136"/>
      <c r="F1038" s="136"/>
      <c r="G1038" s="136"/>
      <c r="H1038" s="136"/>
      <c r="J1038" s="136"/>
      <c r="K1038" s="136"/>
      <c r="AE1038" s="39" t="str">
        <f>IF(D1038="","",IFERROR(VLOOKUP(D1038,Projects!$A$2:$A$20000,1,FALSE),""))</f>
        <v/>
      </c>
      <c r="AF1038" s="2" t="str">
        <f>IF(D1038="","",IFERROR(MATCH(D1038,Projects!$A:$A,0),""))</f>
        <v/>
      </c>
    </row>
    <row r="1039" spans="2:32" x14ac:dyDescent="0.25">
      <c r="B1039" s="24"/>
      <c r="C1039" s="136"/>
      <c r="D1039" s="148"/>
      <c r="E1039" s="136"/>
      <c r="F1039" s="136"/>
      <c r="G1039" s="136"/>
      <c r="H1039" s="136"/>
      <c r="J1039" s="136"/>
      <c r="K1039" s="136"/>
      <c r="AE1039" s="39" t="str">
        <f>IF(D1039="","",IFERROR(VLOOKUP(D1039,Projects!$A$2:$A$20000,1,FALSE),""))</f>
        <v/>
      </c>
      <c r="AF1039" s="2" t="str">
        <f>IF(D1039="","",IFERROR(MATCH(D1039,Projects!$A:$A,0),""))</f>
        <v/>
      </c>
    </row>
    <row r="1040" spans="2:32" x14ac:dyDescent="0.25">
      <c r="B1040" s="24"/>
      <c r="C1040" s="136"/>
      <c r="D1040" s="148"/>
      <c r="E1040" s="136"/>
      <c r="F1040" s="136"/>
      <c r="G1040" s="136"/>
      <c r="H1040" s="136"/>
      <c r="J1040" s="136"/>
      <c r="K1040" s="136"/>
      <c r="AE1040" s="39" t="str">
        <f>IF(D1040="","",IFERROR(VLOOKUP(D1040,Projects!$A$2:$A$20000,1,FALSE),""))</f>
        <v/>
      </c>
      <c r="AF1040" s="2" t="str">
        <f>IF(D1040="","",IFERROR(MATCH(D1040,Projects!$A:$A,0),""))</f>
        <v/>
      </c>
    </row>
    <row r="1041" spans="2:32" x14ac:dyDescent="0.25">
      <c r="B1041" s="24"/>
      <c r="C1041" s="136"/>
      <c r="D1041" s="148"/>
      <c r="E1041" s="136"/>
      <c r="F1041" s="136"/>
      <c r="G1041" s="136"/>
      <c r="H1041" s="136"/>
      <c r="J1041" s="136"/>
      <c r="K1041" s="136"/>
      <c r="AE1041" s="39" t="str">
        <f>IF(D1041="","",IFERROR(VLOOKUP(D1041,Projects!$A$2:$A$20000,1,FALSE),""))</f>
        <v/>
      </c>
      <c r="AF1041" s="2" t="str">
        <f>IF(D1041="","",IFERROR(MATCH(D1041,Projects!$A:$A,0),""))</f>
        <v/>
      </c>
    </row>
    <row r="1042" spans="2:32" x14ac:dyDescent="0.25">
      <c r="B1042" s="24"/>
      <c r="C1042" s="136"/>
      <c r="D1042" s="148"/>
      <c r="E1042" s="136"/>
      <c r="F1042" s="136"/>
      <c r="G1042" s="136"/>
      <c r="H1042" s="136"/>
      <c r="J1042" s="136"/>
      <c r="K1042" s="136"/>
      <c r="AE1042" s="39" t="str">
        <f>IF(D1042="","",IFERROR(VLOOKUP(D1042,Projects!$A$2:$A$20000,1,FALSE),""))</f>
        <v/>
      </c>
      <c r="AF1042" s="2" t="str">
        <f>IF(D1042="","",IFERROR(MATCH(D1042,Projects!$A:$A,0),""))</f>
        <v/>
      </c>
    </row>
    <row r="1043" spans="2:32" x14ac:dyDescent="0.25">
      <c r="B1043" s="24"/>
      <c r="C1043" s="136"/>
      <c r="D1043" s="148"/>
      <c r="E1043" s="136"/>
      <c r="F1043" s="136"/>
      <c r="G1043" s="136"/>
      <c r="H1043" s="136"/>
      <c r="J1043" s="136"/>
      <c r="K1043" s="136"/>
      <c r="AE1043" s="39" t="str">
        <f>IF(D1043="","",IFERROR(VLOOKUP(D1043,Projects!$A$2:$A$20000,1,FALSE),""))</f>
        <v/>
      </c>
      <c r="AF1043" s="2" t="str">
        <f>IF(D1043="","",IFERROR(MATCH(D1043,Projects!$A:$A,0),""))</f>
        <v/>
      </c>
    </row>
    <row r="1044" spans="2:32" x14ac:dyDescent="0.25">
      <c r="B1044" s="24"/>
      <c r="C1044" s="136"/>
      <c r="D1044" s="148"/>
      <c r="E1044" s="136"/>
      <c r="F1044" s="136"/>
      <c r="G1044" s="136"/>
      <c r="H1044" s="136"/>
      <c r="J1044" s="136"/>
      <c r="K1044" s="136"/>
      <c r="AE1044" s="39" t="str">
        <f>IF(D1044="","",IFERROR(VLOOKUP(D1044,Projects!$A$2:$A$20000,1,FALSE),""))</f>
        <v/>
      </c>
      <c r="AF1044" s="2" t="str">
        <f>IF(D1044="","",IFERROR(MATCH(D1044,Projects!$A:$A,0),""))</f>
        <v/>
      </c>
    </row>
    <row r="1045" spans="2:32" x14ac:dyDescent="0.25">
      <c r="B1045" s="24"/>
      <c r="C1045" s="136"/>
      <c r="D1045" s="148"/>
      <c r="E1045" s="136"/>
      <c r="F1045" s="136"/>
      <c r="G1045" s="136"/>
      <c r="H1045" s="136"/>
      <c r="J1045" s="136"/>
      <c r="K1045" s="136"/>
      <c r="AE1045" s="39" t="str">
        <f>IF(D1045="","",IFERROR(VLOOKUP(D1045,Projects!$A$2:$A$20000,1,FALSE),""))</f>
        <v/>
      </c>
      <c r="AF1045" s="2" t="str">
        <f>IF(D1045="","",IFERROR(MATCH(D1045,Projects!$A:$A,0),""))</f>
        <v/>
      </c>
    </row>
    <row r="1046" spans="2:32" x14ac:dyDescent="0.25">
      <c r="B1046" s="24"/>
      <c r="C1046" s="136"/>
      <c r="D1046" s="148"/>
      <c r="E1046" s="136"/>
      <c r="F1046" s="136"/>
      <c r="G1046" s="136"/>
      <c r="H1046" s="136"/>
      <c r="J1046" s="136"/>
      <c r="K1046" s="136"/>
      <c r="AE1046" s="39" t="str">
        <f>IF(D1046="","",IFERROR(VLOOKUP(D1046,Projects!$A$2:$A$20000,1,FALSE),""))</f>
        <v/>
      </c>
      <c r="AF1046" s="2" t="str">
        <f>IF(D1046="","",IFERROR(MATCH(D1046,Projects!$A:$A,0),""))</f>
        <v/>
      </c>
    </row>
    <row r="1047" spans="2:32" x14ac:dyDescent="0.25">
      <c r="B1047" s="24"/>
      <c r="C1047" s="136"/>
      <c r="D1047" s="148"/>
      <c r="E1047" s="136"/>
      <c r="F1047" s="136"/>
      <c r="G1047" s="136"/>
      <c r="H1047" s="136"/>
      <c r="J1047" s="136"/>
      <c r="K1047" s="136"/>
      <c r="AE1047" s="39" t="str">
        <f>IF(D1047="","",IFERROR(VLOOKUP(D1047,Projects!$A$2:$A$20000,1,FALSE),""))</f>
        <v/>
      </c>
      <c r="AF1047" s="2" t="str">
        <f>IF(D1047="","",IFERROR(MATCH(D1047,Projects!$A:$A,0),""))</f>
        <v/>
      </c>
    </row>
    <row r="1048" spans="2:32" x14ac:dyDescent="0.25">
      <c r="B1048" s="24"/>
      <c r="C1048" s="136"/>
      <c r="D1048" s="148"/>
      <c r="E1048" s="136"/>
      <c r="F1048" s="136"/>
      <c r="G1048" s="136"/>
      <c r="H1048" s="136"/>
      <c r="J1048" s="136"/>
      <c r="K1048" s="136"/>
      <c r="AE1048" s="39" t="str">
        <f>IF(D1048="","",IFERROR(VLOOKUP(D1048,Projects!$A$2:$A$20000,1,FALSE),""))</f>
        <v/>
      </c>
      <c r="AF1048" s="2" t="str">
        <f>IF(D1048="","",IFERROR(MATCH(D1048,Projects!$A:$A,0),""))</f>
        <v/>
      </c>
    </row>
    <row r="1049" spans="2:32" x14ac:dyDescent="0.25">
      <c r="B1049" s="24"/>
      <c r="C1049" s="136"/>
      <c r="D1049" s="148"/>
      <c r="E1049" s="136"/>
      <c r="F1049" s="136"/>
      <c r="G1049" s="136"/>
      <c r="H1049" s="136"/>
      <c r="J1049" s="136"/>
      <c r="K1049" s="136"/>
      <c r="AE1049" s="39" t="str">
        <f>IF(D1049="","",IFERROR(VLOOKUP(D1049,Projects!$A$2:$A$20000,1,FALSE),""))</f>
        <v/>
      </c>
      <c r="AF1049" s="2" t="str">
        <f>IF(D1049="","",IFERROR(MATCH(D1049,Projects!$A:$A,0),""))</f>
        <v/>
      </c>
    </row>
    <row r="1050" spans="2:32" x14ac:dyDescent="0.25">
      <c r="B1050" s="24"/>
      <c r="C1050" s="136"/>
      <c r="D1050" s="148"/>
      <c r="E1050" s="136"/>
      <c r="F1050" s="136"/>
      <c r="G1050" s="136"/>
      <c r="H1050" s="136"/>
      <c r="J1050" s="136"/>
      <c r="K1050" s="136"/>
      <c r="AE1050" s="39" t="str">
        <f>IF(D1050="","",IFERROR(VLOOKUP(D1050,Projects!$A$2:$A$20000,1,FALSE),""))</f>
        <v/>
      </c>
      <c r="AF1050" s="2" t="str">
        <f>IF(D1050="","",IFERROR(MATCH(D1050,Projects!$A:$A,0),""))</f>
        <v/>
      </c>
    </row>
    <row r="1051" spans="2:32" x14ac:dyDescent="0.25">
      <c r="B1051" s="24"/>
      <c r="C1051" s="136"/>
      <c r="D1051" s="148"/>
      <c r="E1051" s="136"/>
      <c r="F1051" s="136"/>
      <c r="G1051" s="136"/>
      <c r="H1051" s="136"/>
      <c r="J1051" s="136"/>
      <c r="K1051" s="136"/>
      <c r="AE1051" s="39" t="str">
        <f>IF(D1051="","",IFERROR(VLOOKUP(D1051,Projects!$A$2:$A$20000,1,FALSE),""))</f>
        <v/>
      </c>
      <c r="AF1051" s="2" t="str">
        <f>IF(D1051="","",IFERROR(MATCH(D1051,Projects!$A:$A,0),""))</f>
        <v/>
      </c>
    </row>
    <row r="1052" spans="2:32" x14ac:dyDescent="0.25">
      <c r="B1052" s="24"/>
      <c r="C1052" s="136"/>
      <c r="D1052" s="148"/>
      <c r="E1052" s="136"/>
      <c r="F1052" s="136"/>
      <c r="G1052" s="136"/>
      <c r="H1052" s="136"/>
      <c r="J1052" s="136"/>
      <c r="K1052" s="136"/>
      <c r="AE1052" s="39" t="str">
        <f>IF(D1052="","",IFERROR(VLOOKUP(D1052,Projects!$A$2:$A$20000,1,FALSE),""))</f>
        <v/>
      </c>
      <c r="AF1052" s="2" t="str">
        <f>IF(D1052="","",IFERROR(MATCH(D1052,Projects!$A:$A,0),""))</f>
        <v/>
      </c>
    </row>
    <row r="1053" spans="2:32" x14ac:dyDescent="0.25">
      <c r="B1053" s="24"/>
      <c r="C1053" s="136"/>
      <c r="D1053" s="148"/>
      <c r="E1053" s="136"/>
      <c r="F1053" s="136"/>
      <c r="G1053" s="136"/>
      <c r="H1053" s="136"/>
      <c r="J1053" s="136"/>
      <c r="K1053" s="136"/>
      <c r="AE1053" s="39" t="str">
        <f>IF(D1053="","",IFERROR(VLOOKUP(D1053,Projects!$A$2:$A$20000,1,FALSE),""))</f>
        <v/>
      </c>
      <c r="AF1053" s="2" t="str">
        <f>IF(D1053="","",IFERROR(MATCH(D1053,Projects!$A:$A,0),""))</f>
        <v/>
      </c>
    </row>
    <row r="1054" spans="2:32" x14ac:dyDescent="0.25">
      <c r="B1054" s="24"/>
      <c r="C1054" s="136"/>
      <c r="D1054" s="148"/>
      <c r="E1054" s="136"/>
      <c r="F1054" s="136"/>
      <c r="G1054" s="136"/>
      <c r="H1054" s="136"/>
      <c r="J1054" s="136"/>
      <c r="K1054" s="136"/>
      <c r="AE1054" s="39" t="str">
        <f>IF(D1054="","",IFERROR(VLOOKUP(D1054,Projects!$A$2:$A$20000,1,FALSE),""))</f>
        <v/>
      </c>
      <c r="AF1054" s="2" t="str">
        <f>IF(D1054="","",IFERROR(MATCH(D1054,Projects!$A:$A,0),""))</f>
        <v/>
      </c>
    </row>
    <row r="1055" spans="2:32" x14ac:dyDescent="0.25">
      <c r="B1055" s="24"/>
      <c r="C1055" s="136"/>
      <c r="D1055" s="148"/>
      <c r="E1055" s="136"/>
      <c r="F1055" s="136"/>
      <c r="G1055" s="136"/>
      <c r="H1055" s="136"/>
      <c r="J1055" s="136"/>
      <c r="K1055" s="136"/>
      <c r="AE1055" s="39" t="str">
        <f>IF(D1055="","",IFERROR(VLOOKUP(D1055,Projects!$A$2:$A$20000,1,FALSE),""))</f>
        <v/>
      </c>
      <c r="AF1055" s="2" t="str">
        <f>IF(D1055="","",IFERROR(MATCH(D1055,Projects!$A:$A,0),""))</f>
        <v/>
      </c>
    </row>
    <row r="1056" spans="2:32" x14ac:dyDescent="0.25">
      <c r="B1056" s="24"/>
      <c r="C1056" s="136"/>
      <c r="D1056" s="148"/>
      <c r="E1056" s="136"/>
      <c r="F1056" s="136"/>
      <c r="G1056" s="136"/>
      <c r="H1056" s="136"/>
      <c r="J1056" s="136"/>
      <c r="K1056" s="136"/>
      <c r="AE1056" s="39" t="str">
        <f>IF(D1056="","",IFERROR(VLOOKUP(D1056,Projects!$A$2:$A$20000,1,FALSE),""))</f>
        <v/>
      </c>
      <c r="AF1056" s="2" t="str">
        <f>IF(D1056="","",IFERROR(MATCH(D1056,Projects!$A:$A,0),""))</f>
        <v/>
      </c>
    </row>
    <row r="1057" spans="2:32" x14ac:dyDescent="0.25">
      <c r="B1057" s="24"/>
      <c r="C1057" s="136"/>
      <c r="D1057" s="148"/>
      <c r="E1057" s="136"/>
      <c r="F1057" s="136"/>
      <c r="G1057" s="136"/>
      <c r="H1057" s="136"/>
      <c r="J1057" s="136"/>
      <c r="K1057" s="136"/>
      <c r="AE1057" s="39" t="str">
        <f>IF(D1057="","",IFERROR(VLOOKUP(D1057,Projects!$A$2:$A$20000,1,FALSE),""))</f>
        <v/>
      </c>
      <c r="AF1057" s="2" t="str">
        <f>IF(D1057="","",IFERROR(MATCH(D1057,Projects!$A:$A,0),""))</f>
        <v/>
      </c>
    </row>
    <row r="1058" spans="2:32" x14ac:dyDescent="0.25">
      <c r="B1058" s="24"/>
      <c r="C1058" s="136"/>
      <c r="D1058" s="148"/>
      <c r="E1058" s="136"/>
      <c r="F1058" s="136"/>
      <c r="G1058" s="136"/>
      <c r="H1058" s="136"/>
      <c r="J1058" s="136"/>
      <c r="K1058" s="136"/>
      <c r="AE1058" s="39" t="str">
        <f>IF(D1058="","",IFERROR(VLOOKUP(D1058,Projects!$A$2:$A$20000,1,FALSE),""))</f>
        <v/>
      </c>
      <c r="AF1058" s="2" t="str">
        <f>IF(D1058="","",IFERROR(MATCH(D1058,Projects!$A:$A,0),""))</f>
        <v/>
      </c>
    </row>
    <row r="1059" spans="2:32" x14ac:dyDescent="0.25">
      <c r="B1059" s="24"/>
      <c r="C1059" s="136"/>
      <c r="D1059" s="148"/>
      <c r="E1059" s="136"/>
      <c r="F1059" s="136"/>
      <c r="G1059" s="136"/>
      <c r="H1059" s="136"/>
      <c r="J1059" s="136"/>
      <c r="K1059" s="136"/>
      <c r="AE1059" s="39" t="str">
        <f>IF(D1059="","",IFERROR(VLOOKUP(D1059,Projects!$A$2:$A$20000,1,FALSE),""))</f>
        <v/>
      </c>
      <c r="AF1059" s="2" t="str">
        <f>IF(D1059="","",IFERROR(MATCH(D1059,Projects!$A:$A,0),""))</f>
        <v/>
      </c>
    </row>
    <row r="1060" spans="2:32" x14ac:dyDescent="0.25">
      <c r="B1060" s="24"/>
      <c r="C1060" s="136"/>
      <c r="D1060" s="148"/>
      <c r="E1060" s="136"/>
      <c r="F1060" s="136"/>
      <c r="G1060" s="136"/>
      <c r="H1060" s="136"/>
      <c r="J1060" s="136"/>
      <c r="K1060" s="136"/>
      <c r="AE1060" s="39" t="str">
        <f>IF(D1060="","",IFERROR(VLOOKUP(D1060,Projects!$A$2:$A$20000,1,FALSE),""))</f>
        <v/>
      </c>
      <c r="AF1060" s="2" t="str">
        <f>IF(D1060="","",IFERROR(MATCH(D1060,Projects!$A:$A,0),""))</f>
        <v/>
      </c>
    </row>
    <row r="1061" spans="2:32" x14ac:dyDescent="0.25">
      <c r="B1061" s="24"/>
      <c r="C1061" s="136"/>
      <c r="D1061" s="148"/>
      <c r="E1061" s="136"/>
      <c r="F1061" s="136"/>
      <c r="G1061" s="136"/>
      <c r="H1061" s="136"/>
      <c r="J1061" s="136"/>
      <c r="K1061" s="136"/>
      <c r="AE1061" s="39" t="str">
        <f>IF(D1061="","",IFERROR(VLOOKUP(D1061,Projects!$A$2:$A$20000,1,FALSE),""))</f>
        <v/>
      </c>
      <c r="AF1061" s="2" t="str">
        <f>IF(D1061="","",IFERROR(MATCH(D1061,Projects!$A:$A,0),""))</f>
        <v/>
      </c>
    </row>
    <row r="1062" spans="2:32" x14ac:dyDescent="0.25">
      <c r="B1062" s="24"/>
      <c r="C1062" s="136"/>
      <c r="D1062" s="148"/>
      <c r="E1062" s="136"/>
      <c r="F1062" s="136"/>
      <c r="G1062" s="136"/>
      <c r="H1062" s="136"/>
      <c r="J1062" s="136"/>
      <c r="K1062" s="136"/>
      <c r="AE1062" s="39" t="str">
        <f>IF(D1062="","",IFERROR(VLOOKUP(D1062,Projects!$A$2:$A$20000,1,FALSE),""))</f>
        <v/>
      </c>
      <c r="AF1062" s="2" t="str">
        <f>IF(D1062="","",IFERROR(MATCH(D1062,Projects!$A:$A,0),""))</f>
        <v/>
      </c>
    </row>
    <row r="1063" spans="2:32" x14ac:dyDescent="0.25">
      <c r="B1063" s="24"/>
      <c r="C1063" s="136"/>
      <c r="D1063" s="148"/>
      <c r="E1063" s="136"/>
      <c r="F1063" s="136"/>
      <c r="G1063" s="136"/>
      <c r="H1063" s="136"/>
      <c r="J1063" s="136"/>
      <c r="K1063" s="136"/>
      <c r="AE1063" s="39" t="str">
        <f>IF(D1063="","",IFERROR(VLOOKUP(D1063,Projects!$A$2:$A$20000,1,FALSE),""))</f>
        <v/>
      </c>
      <c r="AF1063" s="2" t="str">
        <f>IF(D1063="","",IFERROR(MATCH(D1063,Projects!$A:$A,0),""))</f>
        <v/>
      </c>
    </row>
    <row r="1064" spans="2:32" x14ac:dyDescent="0.25">
      <c r="B1064" s="24"/>
      <c r="C1064" s="136"/>
      <c r="D1064" s="148"/>
      <c r="E1064" s="136"/>
      <c r="F1064" s="136"/>
      <c r="G1064" s="136"/>
      <c r="H1064" s="136"/>
      <c r="J1064" s="136"/>
      <c r="K1064" s="136"/>
      <c r="AE1064" s="39" t="str">
        <f>IF(D1064="","",IFERROR(VLOOKUP(D1064,Projects!$A$2:$A$20000,1,FALSE),""))</f>
        <v/>
      </c>
      <c r="AF1064" s="2" t="str">
        <f>IF(D1064="","",IFERROR(MATCH(D1064,Projects!$A:$A,0),""))</f>
        <v/>
      </c>
    </row>
    <row r="1065" spans="2:32" x14ac:dyDescent="0.25">
      <c r="B1065" s="24"/>
      <c r="C1065" s="136"/>
      <c r="D1065" s="148"/>
      <c r="E1065" s="136"/>
      <c r="F1065" s="136"/>
      <c r="G1065" s="136"/>
      <c r="H1065" s="136"/>
      <c r="J1065" s="136"/>
      <c r="K1065" s="136"/>
      <c r="AE1065" s="39" t="str">
        <f>IF(D1065="","",IFERROR(VLOOKUP(D1065,Projects!$A$2:$A$20000,1,FALSE),""))</f>
        <v/>
      </c>
      <c r="AF1065" s="2" t="str">
        <f>IF(D1065="","",IFERROR(MATCH(D1065,Projects!$A:$A,0),""))</f>
        <v/>
      </c>
    </row>
    <row r="1066" spans="2:32" x14ac:dyDescent="0.25">
      <c r="B1066" s="24"/>
      <c r="C1066" s="136"/>
      <c r="D1066" s="148"/>
      <c r="E1066" s="136"/>
      <c r="F1066" s="136"/>
      <c r="G1066" s="136"/>
      <c r="H1066" s="136"/>
      <c r="J1066" s="136"/>
      <c r="K1066" s="136"/>
      <c r="AE1066" s="39" t="str">
        <f>IF(D1066="","",IFERROR(VLOOKUP(D1066,Projects!$A$2:$A$20000,1,FALSE),""))</f>
        <v/>
      </c>
      <c r="AF1066" s="2" t="str">
        <f>IF(D1066="","",IFERROR(MATCH(D1066,Projects!$A:$A,0),""))</f>
        <v/>
      </c>
    </row>
    <row r="1067" spans="2:32" x14ac:dyDescent="0.25">
      <c r="B1067" s="24"/>
      <c r="C1067" s="136"/>
      <c r="D1067" s="148"/>
      <c r="E1067" s="136"/>
      <c r="F1067" s="136"/>
      <c r="G1067" s="136"/>
      <c r="H1067" s="136"/>
      <c r="J1067" s="136"/>
      <c r="K1067" s="136"/>
      <c r="AE1067" s="39" t="str">
        <f>IF(D1067="","",IFERROR(VLOOKUP(D1067,Projects!$A$2:$A$20000,1,FALSE),""))</f>
        <v/>
      </c>
      <c r="AF1067" s="2" t="str">
        <f>IF(D1067="","",IFERROR(MATCH(D1067,Projects!$A:$A,0),""))</f>
        <v/>
      </c>
    </row>
    <row r="1068" spans="2:32" x14ac:dyDescent="0.25">
      <c r="B1068" s="24"/>
      <c r="C1068" s="136"/>
      <c r="D1068" s="148"/>
      <c r="E1068" s="136"/>
      <c r="F1068" s="136"/>
      <c r="G1068" s="136"/>
      <c r="H1068" s="136"/>
      <c r="J1068" s="136"/>
      <c r="K1068" s="136"/>
      <c r="AE1068" s="39" t="str">
        <f>IF(D1068="","",IFERROR(VLOOKUP(D1068,Projects!$A$2:$A$20000,1,FALSE),""))</f>
        <v/>
      </c>
      <c r="AF1068" s="2" t="str">
        <f>IF(D1068="","",IFERROR(MATCH(D1068,Projects!$A:$A,0),""))</f>
        <v/>
      </c>
    </row>
    <row r="1069" spans="2:32" x14ac:dyDescent="0.25">
      <c r="B1069" s="24"/>
      <c r="C1069" s="136"/>
      <c r="D1069" s="148"/>
      <c r="E1069" s="136"/>
      <c r="F1069" s="136"/>
      <c r="G1069" s="136"/>
      <c r="H1069" s="136"/>
      <c r="J1069" s="136"/>
      <c r="K1069" s="136"/>
      <c r="AE1069" s="39" t="str">
        <f>IF(D1069="","",IFERROR(VLOOKUP(D1069,Projects!$A$2:$A$20000,1,FALSE),""))</f>
        <v/>
      </c>
      <c r="AF1069" s="2" t="str">
        <f>IF(D1069="","",IFERROR(MATCH(D1069,Projects!$A:$A,0),""))</f>
        <v/>
      </c>
    </row>
    <row r="1070" spans="2:32" x14ac:dyDescent="0.25">
      <c r="B1070" s="24"/>
      <c r="C1070" s="136"/>
      <c r="D1070" s="148"/>
      <c r="E1070" s="136"/>
      <c r="F1070" s="136"/>
      <c r="G1070" s="136"/>
      <c r="H1070" s="136"/>
      <c r="J1070" s="136"/>
      <c r="K1070" s="136"/>
      <c r="AE1070" s="39" t="str">
        <f>IF(D1070="","",IFERROR(VLOOKUP(D1070,Projects!$A$2:$A$20000,1,FALSE),""))</f>
        <v/>
      </c>
      <c r="AF1070" s="2" t="str">
        <f>IF(D1070="","",IFERROR(MATCH(D1070,Projects!$A:$A,0),""))</f>
        <v/>
      </c>
    </row>
    <row r="1071" spans="2:32" x14ac:dyDescent="0.25">
      <c r="B1071" s="24"/>
      <c r="C1071" s="136"/>
      <c r="D1071" s="148"/>
      <c r="E1071" s="136"/>
      <c r="F1071" s="136"/>
      <c r="G1071" s="136"/>
      <c r="H1071" s="136"/>
      <c r="J1071" s="136"/>
      <c r="K1071" s="136"/>
      <c r="AE1071" s="39" t="str">
        <f>IF(D1071="","",IFERROR(VLOOKUP(D1071,Projects!$A$2:$A$20000,1,FALSE),""))</f>
        <v/>
      </c>
      <c r="AF1071" s="2" t="str">
        <f>IF(D1071="","",IFERROR(MATCH(D1071,Projects!$A:$A,0),""))</f>
        <v/>
      </c>
    </row>
    <row r="1072" spans="2:32" x14ac:dyDescent="0.25">
      <c r="B1072" s="24"/>
      <c r="C1072" s="136"/>
      <c r="D1072" s="148"/>
      <c r="E1072" s="136"/>
      <c r="F1072" s="136"/>
      <c r="G1072" s="136"/>
      <c r="H1072" s="136"/>
      <c r="J1072" s="136"/>
      <c r="K1072" s="136"/>
      <c r="AE1072" s="39" t="str">
        <f>IF(D1072="","",IFERROR(VLOOKUP(D1072,Projects!$A$2:$A$20000,1,FALSE),""))</f>
        <v/>
      </c>
      <c r="AF1072" s="2" t="str">
        <f>IF(D1072="","",IFERROR(MATCH(D1072,Projects!$A:$A,0),""))</f>
        <v/>
      </c>
    </row>
    <row r="1073" spans="2:32" x14ac:dyDescent="0.25">
      <c r="B1073" s="24"/>
      <c r="C1073" s="136"/>
      <c r="D1073" s="148"/>
      <c r="E1073" s="136"/>
      <c r="F1073" s="136"/>
      <c r="G1073" s="136"/>
      <c r="H1073" s="136"/>
      <c r="J1073" s="136"/>
      <c r="K1073" s="136"/>
      <c r="AE1073" s="39" t="str">
        <f>IF(D1073="","",IFERROR(VLOOKUP(D1073,Projects!$A$2:$A$20000,1,FALSE),""))</f>
        <v/>
      </c>
      <c r="AF1073" s="2" t="str">
        <f>IF(D1073="","",IFERROR(MATCH(D1073,Projects!$A:$A,0),""))</f>
        <v/>
      </c>
    </row>
    <row r="1074" spans="2:32" x14ac:dyDescent="0.25">
      <c r="B1074" s="24"/>
      <c r="C1074" s="136"/>
      <c r="D1074" s="148"/>
      <c r="E1074" s="136"/>
      <c r="F1074" s="136"/>
      <c r="G1074" s="136"/>
      <c r="H1074" s="136"/>
      <c r="J1074" s="136"/>
      <c r="K1074" s="136"/>
      <c r="AE1074" s="39" t="str">
        <f>IF(D1074="","",IFERROR(VLOOKUP(D1074,Projects!$A$2:$A$20000,1,FALSE),""))</f>
        <v/>
      </c>
      <c r="AF1074" s="2" t="str">
        <f>IF(D1074="","",IFERROR(MATCH(D1074,Projects!$A:$A,0),""))</f>
        <v/>
      </c>
    </row>
    <row r="1075" spans="2:32" x14ac:dyDescent="0.25">
      <c r="B1075" s="24"/>
      <c r="C1075" s="136"/>
      <c r="D1075" s="148"/>
      <c r="E1075" s="136"/>
      <c r="F1075" s="136"/>
      <c r="G1075" s="136"/>
      <c r="H1075" s="136"/>
      <c r="J1075" s="136"/>
      <c r="K1075" s="136"/>
      <c r="AE1075" s="39" t="str">
        <f>IF(D1075="","",IFERROR(VLOOKUP(D1075,Projects!$A$2:$A$20000,1,FALSE),""))</f>
        <v/>
      </c>
      <c r="AF1075" s="2" t="str">
        <f>IF(D1075="","",IFERROR(MATCH(D1075,Projects!$A:$A,0),""))</f>
        <v/>
      </c>
    </row>
    <row r="1076" spans="2:32" x14ac:dyDescent="0.25">
      <c r="B1076" s="24"/>
      <c r="C1076" s="136"/>
      <c r="D1076" s="148"/>
      <c r="E1076" s="136"/>
      <c r="F1076" s="136"/>
      <c r="G1076" s="136"/>
      <c r="H1076" s="136"/>
      <c r="J1076" s="136"/>
      <c r="K1076" s="136"/>
      <c r="AE1076" s="39" t="str">
        <f>IF(D1076="","",IFERROR(VLOOKUP(D1076,Projects!$A$2:$A$20000,1,FALSE),""))</f>
        <v/>
      </c>
      <c r="AF1076" s="2" t="str">
        <f>IF(D1076="","",IFERROR(MATCH(D1076,Projects!$A:$A,0),""))</f>
        <v/>
      </c>
    </row>
    <row r="1077" spans="2:32" x14ac:dyDescent="0.25">
      <c r="B1077" s="24"/>
      <c r="C1077" s="136"/>
      <c r="D1077" s="148"/>
      <c r="E1077" s="136"/>
      <c r="F1077" s="136"/>
      <c r="G1077" s="136"/>
      <c r="H1077" s="136"/>
      <c r="J1077" s="136"/>
      <c r="K1077" s="136"/>
      <c r="AE1077" s="39" t="str">
        <f>IF(D1077="","",IFERROR(VLOOKUP(D1077,Projects!$A$2:$A$20000,1,FALSE),""))</f>
        <v/>
      </c>
      <c r="AF1077" s="2" t="str">
        <f>IF(D1077="","",IFERROR(MATCH(D1077,Projects!$A:$A,0),""))</f>
        <v/>
      </c>
    </row>
    <row r="1078" spans="2:32" x14ac:dyDescent="0.25">
      <c r="B1078" s="24"/>
      <c r="C1078" s="136"/>
      <c r="D1078" s="148"/>
      <c r="E1078" s="136"/>
      <c r="F1078" s="136"/>
      <c r="G1078" s="136"/>
      <c r="H1078" s="136"/>
      <c r="J1078" s="136"/>
      <c r="K1078" s="136"/>
      <c r="AE1078" s="39" t="str">
        <f>IF(D1078="","",IFERROR(VLOOKUP(D1078,Projects!$A$2:$A$20000,1,FALSE),""))</f>
        <v/>
      </c>
      <c r="AF1078" s="2" t="str">
        <f>IF(D1078="","",IFERROR(MATCH(D1078,Projects!$A:$A,0),""))</f>
        <v/>
      </c>
    </row>
    <row r="1079" spans="2:32" x14ac:dyDescent="0.25">
      <c r="B1079" s="24"/>
      <c r="C1079" s="136"/>
      <c r="D1079" s="148"/>
      <c r="E1079" s="136"/>
      <c r="F1079" s="136"/>
      <c r="G1079" s="136"/>
      <c r="H1079" s="136"/>
      <c r="J1079" s="136"/>
      <c r="K1079" s="136"/>
      <c r="AE1079" s="39" t="str">
        <f>IF(D1079="","",IFERROR(VLOOKUP(D1079,Projects!$A$2:$A$20000,1,FALSE),""))</f>
        <v/>
      </c>
      <c r="AF1079" s="2" t="str">
        <f>IF(D1079="","",IFERROR(MATCH(D1079,Projects!$A:$A,0),""))</f>
        <v/>
      </c>
    </row>
    <row r="1080" spans="2:32" x14ac:dyDescent="0.25">
      <c r="B1080" s="24"/>
      <c r="C1080" s="136"/>
      <c r="D1080" s="148"/>
      <c r="E1080" s="136"/>
      <c r="F1080" s="136"/>
      <c r="G1080" s="136"/>
      <c r="H1080" s="136"/>
      <c r="J1080" s="136"/>
      <c r="K1080" s="136"/>
      <c r="AE1080" s="39" t="str">
        <f>IF(D1080="","",IFERROR(VLOOKUP(D1080,Projects!$A$2:$A$20000,1,FALSE),""))</f>
        <v/>
      </c>
      <c r="AF1080" s="2" t="str">
        <f>IF(D1080="","",IFERROR(MATCH(D1080,Projects!$A:$A,0),""))</f>
        <v/>
      </c>
    </row>
    <row r="1081" spans="2:32" x14ac:dyDescent="0.25">
      <c r="B1081" s="24"/>
      <c r="C1081" s="136"/>
      <c r="D1081" s="148"/>
      <c r="E1081" s="136"/>
      <c r="F1081" s="136"/>
      <c r="G1081" s="136"/>
      <c r="H1081" s="136"/>
      <c r="J1081" s="136"/>
      <c r="K1081" s="136"/>
      <c r="AE1081" s="39" t="str">
        <f>IF(D1081="","",IFERROR(VLOOKUP(D1081,Projects!$A$2:$A$20000,1,FALSE),""))</f>
        <v/>
      </c>
      <c r="AF1081" s="2" t="str">
        <f>IF(D1081="","",IFERROR(MATCH(D1081,Projects!$A:$A,0),""))</f>
        <v/>
      </c>
    </row>
    <row r="1082" spans="2:32" x14ac:dyDescent="0.25">
      <c r="B1082" s="24"/>
      <c r="C1082" s="136"/>
      <c r="D1082" s="148"/>
      <c r="E1082" s="136"/>
      <c r="F1082" s="136"/>
      <c r="G1082" s="136"/>
      <c r="H1082" s="136"/>
      <c r="J1082" s="136"/>
      <c r="K1082" s="136"/>
      <c r="AE1082" s="39" t="str">
        <f>IF(D1082="","",IFERROR(VLOOKUP(D1082,Projects!$A$2:$A$20000,1,FALSE),""))</f>
        <v/>
      </c>
      <c r="AF1082" s="2" t="str">
        <f>IF(D1082="","",IFERROR(MATCH(D1082,Projects!$A:$A,0),""))</f>
        <v/>
      </c>
    </row>
    <row r="1083" spans="2:32" x14ac:dyDescent="0.25">
      <c r="B1083" s="24"/>
      <c r="C1083" s="136"/>
      <c r="D1083" s="148"/>
      <c r="E1083" s="136"/>
      <c r="F1083" s="136"/>
      <c r="G1083" s="136"/>
      <c r="H1083" s="136"/>
      <c r="J1083" s="136"/>
      <c r="K1083" s="136"/>
      <c r="AE1083" s="39" t="str">
        <f>IF(D1083="","",IFERROR(VLOOKUP(D1083,Projects!$A$2:$A$20000,1,FALSE),""))</f>
        <v/>
      </c>
      <c r="AF1083" s="2" t="str">
        <f>IF(D1083="","",IFERROR(MATCH(D1083,Projects!$A:$A,0),""))</f>
        <v/>
      </c>
    </row>
    <row r="1084" spans="2:32" x14ac:dyDescent="0.25">
      <c r="B1084" s="24"/>
      <c r="C1084" s="136"/>
      <c r="D1084" s="148"/>
      <c r="E1084" s="136"/>
      <c r="F1084" s="136"/>
      <c r="G1084" s="136"/>
      <c r="H1084" s="136"/>
      <c r="J1084" s="136"/>
      <c r="K1084" s="136"/>
      <c r="AE1084" s="39" t="str">
        <f>IF(D1084="","",IFERROR(VLOOKUP(D1084,Projects!$A$2:$A$20000,1,FALSE),""))</f>
        <v/>
      </c>
      <c r="AF1084" s="2" t="str">
        <f>IF(D1084="","",IFERROR(MATCH(D1084,Projects!$A:$A,0),""))</f>
        <v/>
      </c>
    </row>
    <row r="1085" spans="2:32" x14ac:dyDescent="0.25">
      <c r="B1085" s="24"/>
      <c r="C1085" s="136"/>
      <c r="D1085" s="148"/>
      <c r="E1085" s="136"/>
      <c r="F1085" s="136"/>
      <c r="G1085" s="136"/>
      <c r="H1085" s="136"/>
      <c r="J1085" s="136"/>
      <c r="K1085" s="136"/>
      <c r="AE1085" s="39" t="str">
        <f>IF(D1085="","",IFERROR(VLOOKUP(D1085,Projects!$A$2:$A$20000,1,FALSE),""))</f>
        <v/>
      </c>
      <c r="AF1085" s="2" t="str">
        <f>IF(D1085="","",IFERROR(MATCH(D1085,Projects!$A:$A,0),""))</f>
        <v/>
      </c>
    </row>
    <row r="1086" spans="2:32" x14ac:dyDescent="0.25">
      <c r="B1086" s="24"/>
      <c r="C1086" s="136"/>
      <c r="D1086" s="148"/>
      <c r="E1086" s="136"/>
      <c r="F1086" s="136"/>
      <c r="G1086" s="136"/>
      <c r="H1086" s="136"/>
      <c r="J1086" s="136"/>
      <c r="K1086" s="136"/>
      <c r="AE1086" s="39" t="str">
        <f>IF(D1086="","",IFERROR(VLOOKUP(D1086,Projects!$A$2:$A$20000,1,FALSE),""))</f>
        <v/>
      </c>
      <c r="AF1086" s="2" t="str">
        <f>IF(D1086="","",IFERROR(MATCH(D1086,Projects!$A:$A,0),""))</f>
        <v/>
      </c>
    </row>
    <row r="1087" spans="2:32" x14ac:dyDescent="0.25">
      <c r="B1087" s="24"/>
      <c r="C1087" s="136"/>
      <c r="D1087" s="148"/>
      <c r="E1087" s="136"/>
      <c r="F1087" s="136"/>
      <c r="G1087" s="136"/>
      <c r="H1087" s="136"/>
      <c r="J1087" s="136"/>
      <c r="K1087" s="136"/>
      <c r="AE1087" s="39" t="str">
        <f>IF(D1087="","",IFERROR(VLOOKUP(D1087,Projects!$A$2:$A$20000,1,FALSE),""))</f>
        <v/>
      </c>
      <c r="AF1087" s="2" t="str">
        <f>IF(D1087="","",IFERROR(MATCH(D1087,Projects!$A:$A,0),""))</f>
        <v/>
      </c>
    </row>
    <row r="1088" spans="2:32" x14ac:dyDescent="0.25">
      <c r="B1088" s="24"/>
      <c r="C1088" s="136"/>
      <c r="D1088" s="148"/>
      <c r="E1088" s="136"/>
      <c r="F1088" s="136"/>
      <c r="G1088" s="136"/>
      <c r="H1088" s="136"/>
      <c r="J1088" s="136"/>
      <c r="K1088" s="136"/>
      <c r="AE1088" s="39" t="str">
        <f>IF(D1088="","",IFERROR(VLOOKUP(D1088,Projects!$A$2:$A$20000,1,FALSE),""))</f>
        <v/>
      </c>
      <c r="AF1088" s="2" t="str">
        <f>IF(D1088="","",IFERROR(MATCH(D1088,Projects!$A:$A,0),""))</f>
        <v/>
      </c>
    </row>
    <row r="1089" spans="2:32" x14ac:dyDescent="0.25">
      <c r="B1089" s="24"/>
      <c r="C1089" s="136"/>
      <c r="D1089" s="148"/>
      <c r="E1089" s="136"/>
      <c r="F1089" s="136"/>
      <c r="G1089" s="136"/>
      <c r="H1089" s="136"/>
      <c r="J1089" s="136"/>
      <c r="K1089" s="136"/>
      <c r="AE1089" s="39" t="str">
        <f>IF(D1089="","",IFERROR(VLOOKUP(D1089,Projects!$A$2:$A$20000,1,FALSE),""))</f>
        <v/>
      </c>
      <c r="AF1089" s="2" t="str">
        <f>IF(D1089="","",IFERROR(MATCH(D1089,Projects!$A:$A,0),""))</f>
        <v/>
      </c>
    </row>
    <row r="1090" spans="2:32" x14ac:dyDescent="0.25">
      <c r="B1090" s="24"/>
      <c r="C1090" s="136"/>
      <c r="D1090" s="148"/>
      <c r="E1090" s="136"/>
      <c r="F1090" s="136"/>
      <c r="G1090" s="136"/>
      <c r="H1090" s="136"/>
      <c r="J1090" s="136"/>
      <c r="K1090" s="136"/>
      <c r="AE1090" s="39" t="str">
        <f>IF(D1090="","",IFERROR(VLOOKUP(D1090,Projects!$A$2:$A$20000,1,FALSE),""))</f>
        <v/>
      </c>
      <c r="AF1090" s="2" t="str">
        <f>IF(D1090="","",IFERROR(MATCH(D1090,Projects!$A:$A,0),""))</f>
        <v/>
      </c>
    </row>
    <row r="1091" spans="2:32" x14ac:dyDescent="0.25">
      <c r="B1091" s="24"/>
      <c r="C1091" s="136"/>
      <c r="D1091" s="148"/>
      <c r="E1091" s="136"/>
      <c r="F1091" s="136"/>
      <c r="G1091" s="136"/>
      <c r="H1091" s="136"/>
      <c r="J1091" s="136"/>
      <c r="K1091" s="136"/>
      <c r="AE1091" s="39" t="str">
        <f>IF(D1091="","",IFERROR(VLOOKUP(D1091,Projects!$A$2:$A$20000,1,FALSE),""))</f>
        <v/>
      </c>
      <c r="AF1091" s="2" t="str">
        <f>IF(D1091="","",IFERROR(MATCH(D1091,Projects!$A:$A,0),""))</f>
        <v/>
      </c>
    </row>
    <row r="1092" spans="2:32" x14ac:dyDescent="0.25">
      <c r="B1092" s="24"/>
      <c r="C1092" s="136"/>
      <c r="D1092" s="148"/>
      <c r="E1092" s="136"/>
      <c r="F1092" s="136"/>
      <c r="G1092" s="136"/>
      <c r="H1092" s="136"/>
      <c r="J1092" s="136"/>
      <c r="K1092" s="136"/>
      <c r="AE1092" s="39" t="str">
        <f>IF(D1092="","",IFERROR(VLOOKUP(D1092,Projects!$A$2:$A$20000,1,FALSE),""))</f>
        <v/>
      </c>
      <c r="AF1092" s="2" t="str">
        <f>IF(D1092="","",IFERROR(MATCH(D1092,Projects!$A:$A,0),""))</f>
        <v/>
      </c>
    </row>
    <row r="1093" spans="2:32" x14ac:dyDescent="0.25">
      <c r="B1093" s="24"/>
      <c r="C1093" s="136"/>
      <c r="D1093" s="148"/>
      <c r="E1093" s="136"/>
      <c r="F1093" s="136"/>
      <c r="G1093" s="136"/>
      <c r="H1093" s="136"/>
      <c r="J1093" s="136"/>
      <c r="K1093" s="136"/>
      <c r="AE1093" s="39" t="str">
        <f>IF(D1093="","",IFERROR(VLOOKUP(D1093,Projects!$A$2:$A$20000,1,FALSE),""))</f>
        <v/>
      </c>
      <c r="AF1093" s="2" t="str">
        <f>IF(D1093="","",IFERROR(MATCH(D1093,Projects!$A:$A,0),""))</f>
        <v/>
      </c>
    </row>
    <row r="1094" spans="2:32" x14ac:dyDescent="0.25">
      <c r="B1094" s="24"/>
      <c r="C1094" s="136"/>
      <c r="D1094" s="148"/>
      <c r="E1094" s="136"/>
      <c r="F1094" s="136"/>
      <c r="G1094" s="136"/>
      <c r="H1094" s="136"/>
      <c r="J1094" s="136"/>
      <c r="K1094" s="136"/>
      <c r="AE1094" s="39" t="str">
        <f>IF(D1094="","",IFERROR(VLOOKUP(D1094,Projects!$A$2:$A$20000,1,FALSE),""))</f>
        <v/>
      </c>
      <c r="AF1094" s="2" t="str">
        <f>IF(D1094="","",IFERROR(MATCH(D1094,Projects!$A:$A,0),""))</f>
        <v/>
      </c>
    </row>
    <row r="1095" spans="2:32" x14ac:dyDescent="0.25">
      <c r="B1095" s="24"/>
      <c r="C1095" s="136"/>
      <c r="D1095" s="148"/>
      <c r="E1095" s="136"/>
      <c r="F1095" s="136"/>
      <c r="G1095" s="136"/>
      <c r="H1095" s="136"/>
      <c r="J1095" s="136"/>
      <c r="K1095" s="136"/>
      <c r="AE1095" s="39" t="str">
        <f>IF(D1095="","",IFERROR(VLOOKUP(D1095,Projects!$A$2:$A$20000,1,FALSE),""))</f>
        <v/>
      </c>
      <c r="AF1095" s="2" t="str">
        <f>IF(D1095="","",IFERROR(MATCH(D1095,Projects!$A:$A,0),""))</f>
        <v/>
      </c>
    </row>
    <row r="1096" spans="2:32" x14ac:dyDescent="0.25">
      <c r="B1096" s="24"/>
      <c r="C1096" s="136"/>
      <c r="D1096" s="148"/>
      <c r="E1096" s="136"/>
      <c r="F1096" s="136"/>
      <c r="G1096" s="136"/>
      <c r="H1096" s="136"/>
      <c r="J1096" s="136"/>
      <c r="K1096" s="136"/>
      <c r="AE1096" s="39" t="str">
        <f>IF(D1096="","",IFERROR(VLOOKUP(D1096,Projects!$A$2:$A$20000,1,FALSE),""))</f>
        <v/>
      </c>
      <c r="AF1096" s="2" t="str">
        <f>IF(D1096="","",IFERROR(MATCH(D1096,Projects!$A:$A,0),""))</f>
        <v/>
      </c>
    </row>
    <row r="1097" spans="2:32" x14ac:dyDescent="0.25">
      <c r="B1097" s="24"/>
      <c r="C1097" s="136"/>
      <c r="D1097" s="148"/>
      <c r="E1097" s="136"/>
      <c r="F1097" s="136"/>
      <c r="G1097" s="136"/>
      <c r="H1097" s="136"/>
      <c r="J1097" s="136"/>
      <c r="K1097" s="136"/>
      <c r="AE1097" s="39" t="str">
        <f>IF(D1097="","",IFERROR(VLOOKUP(D1097,Projects!$A$2:$A$20000,1,FALSE),""))</f>
        <v/>
      </c>
      <c r="AF1097" s="2" t="str">
        <f>IF(D1097="","",IFERROR(MATCH(D1097,Projects!$A:$A,0),""))</f>
        <v/>
      </c>
    </row>
    <row r="1098" spans="2:32" x14ac:dyDescent="0.25">
      <c r="B1098" s="24"/>
      <c r="C1098" s="136"/>
      <c r="D1098" s="148"/>
      <c r="E1098" s="136"/>
      <c r="F1098" s="136"/>
      <c r="G1098" s="136"/>
      <c r="H1098" s="136"/>
      <c r="J1098" s="136"/>
      <c r="K1098" s="136"/>
      <c r="AE1098" s="39" t="str">
        <f>IF(D1098="","",IFERROR(VLOOKUP(D1098,Projects!$A$2:$A$20000,1,FALSE),""))</f>
        <v/>
      </c>
      <c r="AF1098" s="2" t="str">
        <f>IF(D1098="","",IFERROR(MATCH(D1098,Projects!$A:$A,0),""))</f>
        <v/>
      </c>
    </row>
    <row r="1099" spans="2:32" x14ac:dyDescent="0.25">
      <c r="B1099" s="24"/>
      <c r="C1099" s="136"/>
      <c r="D1099" s="148"/>
      <c r="E1099" s="136"/>
      <c r="F1099" s="136"/>
      <c r="G1099" s="136"/>
      <c r="H1099" s="136"/>
      <c r="J1099" s="136"/>
      <c r="K1099" s="136"/>
      <c r="AE1099" s="39" t="str">
        <f>IF(D1099="","",IFERROR(VLOOKUP(D1099,Projects!$A$2:$A$20000,1,FALSE),""))</f>
        <v/>
      </c>
      <c r="AF1099" s="2" t="str">
        <f>IF(D1099="","",IFERROR(MATCH(D1099,Projects!$A:$A,0),""))</f>
        <v/>
      </c>
    </row>
    <row r="1100" spans="2:32" x14ac:dyDescent="0.25">
      <c r="B1100" s="24"/>
      <c r="C1100" s="136"/>
      <c r="D1100" s="148"/>
      <c r="E1100" s="136"/>
      <c r="F1100" s="136"/>
      <c r="G1100" s="136"/>
      <c r="H1100" s="136"/>
      <c r="J1100" s="136"/>
      <c r="K1100" s="136"/>
      <c r="AE1100" s="39" t="str">
        <f>IF(D1100="","",IFERROR(VLOOKUP(D1100,Projects!$A$2:$A$20000,1,FALSE),""))</f>
        <v/>
      </c>
      <c r="AF1100" s="2" t="str">
        <f>IF(D1100="","",IFERROR(MATCH(D1100,Projects!$A:$A,0),""))</f>
        <v/>
      </c>
    </row>
    <row r="1101" spans="2:32" x14ac:dyDescent="0.25">
      <c r="B1101" s="24"/>
      <c r="C1101" s="136"/>
      <c r="D1101" s="148"/>
      <c r="E1101" s="136"/>
      <c r="F1101" s="136"/>
      <c r="G1101" s="136"/>
      <c r="H1101" s="136"/>
      <c r="J1101" s="136"/>
      <c r="K1101" s="136"/>
      <c r="AE1101" s="39" t="str">
        <f>IF(D1101="","",IFERROR(VLOOKUP(D1101,Projects!$A$2:$A$20000,1,FALSE),""))</f>
        <v/>
      </c>
      <c r="AF1101" s="2" t="str">
        <f>IF(D1101="","",IFERROR(MATCH(D1101,Projects!$A:$A,0),""))</f>
        <v/>
      </c>
    </row>
    <row r="1102" spans="2:32" x14ac:dyDescent="0.25">
      <c r="B1102" s="24"/>
      <c r="C1102" s="136"/>
      <c r="D1102" s="148"/>
      <c r="E1102" s="136"/>
      <c r="F1102" s="136"/>
      <c r="G1102" s="136"/>
      <c r="H1102" s="136"/>
      <c r="J1102" s="136"/>
      <c r="K1102" s="136"/>
      <c r="AE1102" s="39" t="str">
        <f>IF(D1102="","",IFERROR(VLOOKUP(D1102,Projects!$A$2:$A$20000,1,FALSE),""))</f>
        <v/>
      </c>
      <c r="AF1102" s="2" t="str">
        <f>IF(D1102="","",IFERROR(MATCH(D1102,Projects!$A:$A,0),""))</f>
        <v/>
      </c>
    </row>
    <row r="1103" spans="2:32" x14ac:dyDescent="0.25">
      <c r="B1103" s="24"/>
      <c r="C1103" s="136"/>
      <c r="D1103" s="148"/>
      <c r="E1103" s="136"/>
      <c r="F1103" s="136"/>
      <c r="G1103" s="136"/>
      <c r="H1103" s="136"/>
      <c r="J1103" s="136"/>
      <c r="K1103" s="136"/>
      <c r="AE1103" s="39" t="str">
        <f>IF(D1103="","",IFERROR(VLOOKUP(D1103,Projects!$A$2:$A$20000,1,FALSE),""))</f>
        <v/>
      </c>
      <c r="AF1103" s="2" t="str">
        <f>IF(D1103="","",IFERROR(MATCH(D1103,Projects!$A:$A,0),""))</f>
        <v/>
      </c>
    </row>
    <row r="1104" spans="2:32" x14ac:dyDescent="0.25">
      <c r="B1104" s="24"/>
      <c r="C1104" s="136"/>
      <c r="D1104" s="148"/>
      <c r="E1104" s="136"/>
      <c r="F1104" s="136"/>
      <c r="G1104" s="136"/>
      <c r="H1104" s="136"/>
      <c r="J1104" s="136"/>
      <c r="K1104" s="136"/>
      <c r="AE1104" s="39" t="str">
        <f>IF(D1104="","",IFERROR(VLOOKUP(D1104,Projects!$A$2:$A$20000,1,FALSE),""))</f>
        <v/>
      </c>
      <c r="AF1104" s="2" t="str">
        <f>IF(D1104="","",IFERROR(MATCH(D1104,Projects!$A:$A,0),""))</f>
        <v/>
      </c>
    </row>
    <row r="1105" spans="2:32" x14ac:dyDescent="0.25">
      <c r="B1105" s="24"/>
      <c r="C1105" s="136"/>
      <c r="D1105" s="148"/>
      <c r="E1105" s="136"/>
      <c r="F1105" s="136"/>
      <c r="G1105" s="136"/>
      <c r="H1105" s="136"/>
      <c r="J1105" s="136"/>
      <c r="K1105" s="136"/>
      <c r="AE1105" s="39" t="str">
        <f>IF(D1105="","",IFERROR(VLOOKUP(D1105,Projects!$A$2:$A$20000,1,FALSE),""))</f>
        <v/>
      </c>
      <c r="AF1105" s="2" t="str">
        <f>IF(D1105="","",IFERROR(MATCH(D1105,Projects!$A:$A,0),""))</f>
        <v/>
      </c>
    </row>
    <row r="1106" spans="2:32" x14ac:dyDescent="0.25">
      <c r="B1106" s="24"/>
      <c r="C1106" s="136"/>
      <c r="D1106" s="148"/>
      <c r="E1106" s="136"/>
      <c r="F1106" s="136"/>
      <c r="G1106" s="136"/>
      <c r="H1106" s="136"/>
      <c r="J1106" s="136"/>
      <c r="K1106" s="136"/>
      <c r="AE1106" s="39" t="str">
        <f>IF(D1106="","",IFERROR(VLOOKUP(D1106,Projects!$A$2:$A$20000,1,FALSE),""))</f>
        <v/>
      </c>
      <c r="AF1106" s="2" t="str">
        <f>IF(D1106="","",IFERROR(MATCH(D1106,Projects!$A:$A,0),""))</f>
        <v/>
      </c>
    </row>
    <row r="1107" spans="2:32" x14ac:dyDescent="0.25">
      <c r="B1107" s="24"/>
      <c r="C1107" s="136"/>
      <c r="D1107" s="148"/>
      <c r="E1107" s="136"/>
      <c r="F1107" s="136"/>
      <c r="G1107" s="136"/>
      <c r="H1107" s="136"/>
      <c r="J1107" s="136"/>
      <c r="K1107" s="136"/>
      <c r="AE1107" s="39" t="str">
        <f>IF(D1107="","",IFERROR(VLOOKUP(D1107,Projects!$A$2:$A$20000,1,FALSE),""))</f>
        <v/>
      </c>
      <c r="AF1107" s="2" t="str">
        <f>IF(D1107="","",IFERROR(MATCH(D1107,Projects!$A:$A,0),""))</f>
        <v/>
      </c>
    </row>
    <row r="1108" spans="2:32" x14ac:dyDescent="0.25">
      <c r="B1108" s="24"/>
      <c r="C1108" s="136"/>
      <c r="D1108" s="148"/>
      <c r="E1108" s="136"/>
      <c r="F1108" s="136"/>
      <c r="G1108" s="136"/>
      <c r="H1108" s="136"/>
      <c r="J1108" s="136"/>
      <c r="K1108" s="136"/>
      <c r="AE1108" s="39" t="str">
        <f>IF(D1108="","",IFERROR(VLOOKUP(D1108,Projects!$A$2:$A$20000,1,FALSE),""))</f>
        <v/>
      </c>
      <c r="AF1108" s="2" t="str">
        <f>IF(D1108="","",IFERROR(MATCH(D1108,Projects!$A:$A,0),""))</f>
        <v/>
      </c>
    </row>
    <row r="1109" spans="2:32" x14ac:dyDescent="0.25">
      <c r="B1109" s="24"/>
      <c r="C1109" s="136"/>
      <c r="D1109" s="148"/>
      <c r="E1109" s="136"/>
      <c r="F1109" s="136"/>
      <c r="G1109" s="136"/>
      <c r="H1109" s="136"/>
      <c r="J1109" s="136"/>
      <c r="K1109" s="136"/>
      <c r="AE1109" s="39" t="str">
        <f>IF(D1109="","",IFERROR(VLOOKUP(D1109,Projects!$A$2:$A$20000,1,FALSE),""))</f>
        <v/>
      </c>
      <c r="AF1109" s="2" t="str">
        <f>IF(D1109="","",IFERROR(MATCH(D1109,Projects!$A:$A,0),""))</f>
        <v/>
      </c>
    </row>
    <row r="1110" spans="2:32" x14ac:dyDescent="0.25">
      <c r="B1110" s="24"/>
      <c r="C1110" s="136"/>
      <c r="D1110" s="148"/>
      <c r="E1110" s="136"/>
      <c r="F1110" s="136"/>
      <c r="G1110" s="136"/>
      <c r="H1110" s="136"/>
      <c r="J1110" s="136"/>
      <c r="K1110" s="136"/>
      <c r="AE1110" s="39" t="str">
        <f>IF(D1110="","",IFERROR(VLOOKUP(D1110,Projects!$A$2:$A$20000,1,FALSE),""))</f>
        <v/>
      </c>
      <c r="AF1110" s="2" t="str">
        <f>IF(D1110="","",IFERROR(MATCH(D1110,Projects!$A:$A,0),""))</f>
        <v/>
      </c>
    </row>
    <row r="1111" spans="2:32" x14ac:dyDescent="0.25">
      <c r="B1111" s="24"/>
      <c r="C1111" s="136"/>
      <c r="D1111" s="148"/>
      <c r="E1111" s="136"/>
      <c r="F1111" s="136"/>
      <c r="G1111" s="136"/>
      <c r="H1111" s="136"/>
      <c r="J1111" s="136"/>
      <c r="K1111" s="136"/>
      <c r="AE1111" s="39" t="str">
        <f>IF(D1111="","",IFERROR(VLOOKUP(D1111,Projects!$A$2:$A$20000,1,FALSE),""))</f>
        <v/>
      </c>
      <c r="AF1111" s="2" t="str">
        <f>IF(D1111="","",IFERROR(MATCH(D1111,Projects!$A:$A,0),""))</f>
        <v/>
      </c>
    </row>
    <row r="1112" spans="2:32" x14ac:dyDescent="0.25">
      <c r="B1112" s="24"/>
      <c r="C1112" s="136"/>
      <c r="D1112" s="148"/>
      <c r="E1112" s="136"/>
      <c r="F1112" s="136"/>
      <c r="G1112" s="136"/>
      <c r="H1112" s="136"/>
      <c r="J1112" s="136"/>
      <c r="K1112" s="136"/>
      <c r="AE1112" s="39" t="str">
        <f>IF(D1112="","",IFERROR(VLOOKUP(D1112,Projects!$A$2:$A$20000,1,FALSE),""))</f>
        <v/>
      </c>
      <c r="AF1112" s="2" t="str">
        <f>IF(D1112="","",IFERROR(MATCH(D1112,Projects!$A:$A,0),""))</f>
        <v/>
      </c>
    </row>
    <row r="1113" spans="2:32" x14ac:dyDescent="0.25">
      <c r="B1113" s="24"/>
      <c r="C1113" s="136"/>
      <c r="D1113" s="148"/>
      <c r="E1113" s="136"/>
      <c r="F1113" s="136"/>
      <c r="G1113" s="136"/>
      <c r="H1113" s="136"/>
      <c r="J1113" s="136"/>
      <c r="K1113" s="136"/>
      <c r="AE1113" s="39" t="str">
        <f>IF(D1113="","",IFERROR(VLOOKUP(D1113,Projects!$A$2:$A$20000,1,FALSE),""))</f>
        <v/>
      </c>
      <c r="AF1113" s="2" t="str">
        <f>IF(D1113="","",IFERROR(MATCH(D1113,Projects!$A:$A,0),""))</f>
        <v/>
      </c>
    </row>
    <row r="1114" spans="2:32" x14ac:dyDescent="0.25">
      <c r="B1114" s="24"/>
      <c r="C1114" s="136"/>
      <c r="D1114" s="148"/>
      <c r="E1114" s="136"/>
      <c r="F1114" s="136"/>
      <c r="G1114" s="136"/>
      <c r="H1114" s="136"/>
      <c r="J1114" s="136"/>
      <c r="K1114" s="136"/>
      <c r="AE1114" s="39" t="str">
        <f>IF(D1114="","",IFERROR(VLOOKUP(D1114,Projects!$A$2:$A$20000,1,FALSE),""))</f>
        <v/>
      </c>
      <c r="AF1114" s="2" t="str">
        <f>IF(D1114="","",IFERROR(MATCH(D1114,Projects!$A:$A,0),""))</f>
        <v/>
      </c>
    </row>
    <row r="1115" spans="2:32" x14ac:dyDescent="0.25">
      <c r="B1115" s="24"/>
      <c r="C1115" s="136"/>
      <c r="D1115" s="148"/>
      <c r="E1115" s="136"/>
      <c r="F1115" s="136"/>
      <c r="G1115" s="136"/>
      <c r="H1115" s="136"/>
      <c r="J1115" s="136"/>
      <c r="K1115" s="136"/>
      <c r="AE1115" s="39" t="str">
        <f>IF(D1115="","",IFERROR(VLOOKUP(D1115,Projects!$A$2:$A$20000,1,FALSE),""))</f>
        <v/>
      </c>
      <c r="AF1115" s="2" t="str">
        <f>IF(D1115="","",IFERROR(MATCH(D1115,Projects!$A:$A,0),""))</f>
        <v/>
      </c>
    </row>
    <row r="1116" spans="2:32" x14ac:dyDescent="0.25">
      <c r="B1116" s="24"/>
      <c r="C1116" s="136"/>
      <c r="D1116" s="148"/>
      <c r="E1116" s="136"/>
      <c r="F1116" s="136"/>
      <c r="G1116" s="136"/>
      <c r="H1116" s="136"/>
      <c r="J1116" s="136"/>
      <c r="K1116" s="136"/>
      <c r="AE1116" s="39" t="str">
        <f>IF(D1116="","",IFERROR(VLOOKUP(D1116,Projects!$A$2:$A$20000,1,FALSE),""))</f>
        <v/>
      </c>
      <c r="AF1116" s="2" t="str">
        <f>IF(D1116="","",IFERROR(MATCH(D1116,Projects!$A:$A,0),""))</f>
        <v/>
      </c>
    </row>
    <row r="1117" spans="2:32" x14ac:dyDescent="0.25">
      <c r="B1117" s="24"/>
      <c r="C1117" s="136"/>
      <c r="D1117" s="148"/>
      <c r="E1117" s="136"/>
      <c r="F1117" s="136"/>
      <c r="G1117" s="136"/>
      <c r="H1117" s="136"/>
      <c r="J1117" s="136"/>
      <c r="K1117" s="136"/>
      <c r="AE1117" s="39" t="str">
        <f>IF(D1117="","",IFERROR(VLOOKUP(D1117,Projects!$A$2:$A$20000,1,FALSE),""))</f>
        <v/>
      </c>
      <c r="AF1117" s="2" t="str">
        <f>IF(D1117="","",IFERROR(MATCH(D1117,Projects!$A:$A,0),""))</f>
        <v/>
      </c>
    </row>
    <row r="1118" spans="2:32" x14ac:dyDescent="0.25">
      <c r="B1118" s="24"/>
      <c r="C1118" s="136"/>
      <c r="D1118" s="148"/>
      <c r="E1118" s="136"/>
      <c r="F1118" s="136"/>
      <c r="G1118" s="136"/>
      <c r="H1118" s="136"/>
      <c r="J1118" s="136"/>
      <c r="K1118" s="136"/>
      <c r="AE1118" s="39" t="str">
        <f>IF(D1118="","",IFERROR(VLOOKUP(D1118,Projects!$A$2:$A$20000,1,FALSE),""))</f>
        <v/>
      </c>
      <c r="AF1118" s="2" t="str">
        <f>IF(D1118="","",IFERROR(MATCH(D1118,Projects!$A:$A,0),""))</f>
        <v/>
      </c>
    </row>
    <row r="1119" spans="2:32" x14ac:dyDescent="0.25">
      <c r="B1119" s="24"/>
      <c r="C1119" s="136"/>
      <c r="D1119" s="148"/>
      <c r="E1119" s="136"/>
      <c r="F1119" s="136"/>
      <c r="G1119" s="136"/>
      <c r="H1119" s="136"/>
      <c r="J1119" s="136"/>
      <c r="K1119" s="136"/>
      <c r="AE1119" s="39" t="str">
        <f>IF(D1119="","",IFERROR(VLOOKUP(D1119,Projects!$A$2:$A$20000,1,FALSE),""))</f>
        <v/>
      </c>
      <c r="AF1119" s="2" t="str">
        <f>IF(D1119="","",IFERROR(MATCH(D1119,Projects!$A:$A,0),""))</f>
        <v/>
      </c>
    </row>
    <row r="1120" spans="2:32" x14ac:dyDescent="0.25">
      <c r="B1120" s="24"/>
      <c r="C1120" s="136"/>
      <c r="D1120" s="148"/>
      <c r="E1120" s="136"/>
      <c r="F1120" s="136"/>
      <c r="G1120" s="136"/>
      <c r="H1120" s="136"/>
      <c r="J1120" s="136"/>
      <c r="K1120" s="136"/>
      <c r="AE1120" s="39" t="str">
        <f>IF(D1120="","",IFERROR(VLOOKUP(D1120,Projects!$A$2:$A$20000,1,FALSE),""))</f>
        <v/>
      </c>
      <c r="AF1120" s="2" t="str">
        <f>IF(D1120="","",IFERROR(MATCH(D1120,Projects!$A:$A,0),""))</f>
        <v/>
      </c>
    </row>
    <row r="1121" spans="2:32" x14ac:dyDescent="0.25">
      <c r="B1121" s="24"/>
      <c r="C1121" s="136"/>
      <c r="D1121" s="148"/>
      <c r="E1121" s="136"/>
      <c r="F1121" s="136"/>
      <c r="G1121" s="136"/>
      <c r="H1121" s="136"/>
      <c r="J1121" s="136"/>
      <c r="K1121" s="136"/>
      <c r="AE1121" s="39" t="str">
        <f>IF(D1121="","",IFERROR(VLOOKUP(D1121,Projects!$A$2:$A$20000,1,FALSE),""))</f>
        <v/>
      </c>
      <c r="AF1121" s="2" t="str">
        <f>IF(D1121="","",IFERROR(MATCH(D1121,Projects!$A:$A,0),""))</f>
        <v/>
      </c>
    </row>
    <row r="1122" spans="2:32" x14ac:dyDescent="0.25">
      <c r="B1122" s="24"/>
      <c r="C1122" s="136"/>
      <c r="D1122" s="148"/>
      <c r="E1122" s="136"/>
      <c r="F1122" s="136"/>
      <c r="G1122" s="136"/>
      <c r="H1122" s="136"/>
      <c r="J1122" s="136"/>
      <c r="K1122" s="136"/>
      <c r="AE1122" s="39" t="str">
        <f>IF(D1122="","",IFERROR(VLOOKUP(D1122,Projects!$A$2:$A$20000,1,FALSE),""))</f>
        <v/>
      </c>
      <c r="AF1122" s="2" t="str">
        <f>IF(D1122="","",IFERROR(MATCH(D1122,Projects!$A:$A,0),""))</f>
        <v/>
      </c>
    </row>
    <row r="1123" spans="2:32" x14ac:dyDescent="0.25">
      <c r="B1123" s="24"/>
      <c r="C1123" s="136"/>
      <c r="D1123" s="148"/>
      <c r="E1123" s="136"/>
      <c r="F1123" s="136"/>
      <c r="G1123" s="136"/>
      <c r="H1123" s="136"/>
      <c r="J1123" s="136"/>
      <c r="K1123" s="136"/>
      <c r="AE1123" s="39" t="str">
        <f>IF(D1123="","",IFERROR(VLOOKUP(D1123,Projects!$A$2:$A$20000,1,FALSE),""))</f>
        <v/>
      </c>
      <c r="AF1123" s="2" t="str">
        <f>IF(D1123="","",IFERROR(MATCH(D1123,Projects!$A:$A,0),""))</f>
        <v/>
      </c>
    </row>
    <row r="1124" spans="2:32" x14ac:dyDescent="0.25">
      <c r="B1124" s="24"/>
      <c r="C1124" s="136"/>
      <c r="D1124" s="148"/>
      <c r="E1124" s="136"/>
      <c r="F1124" s="136"/>
      <c r="G1124" s="136"/>
      <c r="H1124" s="136"/>
      <c r="J1124" s="136"/>
      <c r="K1124" s="136"/>
      <c r="AE1124" s="39" t="str">
        <f>IF(D1124="","",IFERROR(VLOOKUP(D1124,Projects!$A$2:$A$20000,1,FALSE),""))</f>
        <v/>
      </c>
      <c r="AF1124" s="2" t="str">
        <f>IF(D1124="","",IFERROR(MATCH(D1124,Projects!$A:$A,0),""))</f>
        <v/>
      </c>
    </row>
    <row r="1125" spans="2:32" x14ac:dyDescent="0.25">
      <c r="B1125" s="24"/>
      <c r="C1125" s="136"/>
      <c r="D1125" s="148"/>
      <c r="E1125" s="136"/>
      <c r="F1125" s="136"/>
      <c r="G1125" s="136"/>
      <c r="H1125" s="136"/>
      <c r="J1125" s="136"/>
      <c r="K1125" s="136"/>
      <c r="AE1125" s="39" t="str">
        <f>IF(D1125="","",IFERROR(VLOOKUP(D1125,Projects!$A$2:$A$20000,1,FALSE),""))</f>
        <v/>
      </c>
      <c r="AF1125" s="2" t="str">
        <f>IF(D1125="","",IFERROR(MATCH(D1125,Projects!$A:$A,0),""))</f>
        <v/>
      </c>
    </row>
    <row r="1126" spans="2:32" x14ac:dyDescent="0.25">
      <c r="B1126" s="24"/>
      <c r="C1126" s="136"/>
      <c r="D1126" s="148"/>
      <c r="E1126" s="136"/>
      <c r="F1126" s="136"/>
      <c r="G1126" s="136"/>
      <c r="H1126" s="136"/>
      <c r="J1126" s="136"/>
      <c r="K1126" s="136"/>
      <c r="AE1126" s="39" t="str">
        <f>IF(D1126="","",IFERROR(VLOOKUP(D1126,Projects!$A$2:$A$20000,1,FALSE),""))</f>
        <v/>
      </c>
      <c r="AF1126" s="2" t="str">
        <f>IF(D1126="","",IFERROR(MATCH(D1126,Projects!$A:$A,0),""))</f>
        <v/>
      </c>
    </row>
    <row r="1127" spans="2:32" x14ac:dyDescent="0.25">
      <c r="B1127" s="24"/>
      <c r="C1127" s="136"/>
      <c r="D1127" s="148"/>
      <c r="E1127" s="136"/>
      <c r="F1127" s="136"/>
      <c r="G1127" s="136"/>
      <c r="H1127" s="136"/>
      <c r="J1127" s="136"/>
      <c r="K1127" s="136"/>
      <c r="AE1127" s="39" t="str">
        <f>IF(D1127="","",IFERROR(VLOOKUP(D1127,Projects!$A$2:$A$20000,1,FALSE),""))</f>
        <v/>
      </c>
      <c r="AF1127" s="2" t="str">
        <f>IF(D1127="","",IFERROR(MATCH(D1127,Projects!$A:$A,0),""))</f>
        <v/>
      </c>
    </row>
    <row r="1128" spans="2:32" x14ac:dyDescent="0.25">
      <c r="B1128" s="24"/>
      <c r="C1128" s="136"/>
      <c r="D1128" s="148"/>
      <c r="E1128" s="136"/>
      <c r="F1128" s="136"/>
      <c r="G1128" s="136"/>
      <c r="H1128" s="136"/>
      <c r="J1128" s="136"/>
      <c r="K1128" s="136"/>
      <c r="AE1128" s="39" t="str">
        <f>IF(D1128="","",IFERROR(VLOOKUP(D1128,Projects!$A$2:$A$20000,1,FALSE),""))</f>
        <v/>
      </c>
      <c r="AF1128" s="2" t="str">
        <f>IF(D1128="","",IFERROR(MATCH(D1128,Projects!$A:$A,0),""))</f>
        <v/>
      </c>
    </row>
    <row r="1129" spans="2:32" x14ac:dyDescent="0.25">
      <c r="B1129" s="24"/>
      <c r="C1129" s="136"/>
      <c r="D1129" s="148"/>
      <c r="E1129" s="136"/>
      <c r="F1129" s="136"/>
      <c r="G1129" s="136"/>
      <c r="H1129" s="136"/>
      <c r="J1129" s="136"/>
      <c r="K1129" s="136"/>
      <c r="AE1129" s="39" t="str">
        <f>IF(D1129="","",IFERROR(VLOOKUP(D1129,Projects!$A$2:$A$20000,1,FALSE),""))</f>
        <v/>
      </c>
      <c r="AF1129" s="2" t="str">
        <f>IF(D1129="","",IFERROR(MATCH(D1129,Projects!$A:$A,0),""))</f>
        <v/>
      </c>
    </row>
    <row r="1130" spans="2:32" x14ac:dyDescent="0.25">
      <c r="B1130" s="24"/>
      <c r="C1130" s="136"/>
      <c r="D1130" s="148"/>
      <c r="E1130" s="136"/>
      <c r="F1130" s="136"/>
      <c r="G1130" s="136"/>
      <c r="H1130" s="136"/>
      <c r="J1130" s="136"/>
      <c r="K1130" s="136"/>
      <c r="AE1130" s="39" t="str">
        <f>IF(D1130="","",IFERROR(VLOOKUP(D1130,Projects!$A$2:$A$20000,1,FALSE),""))</f>
        <v/>
      </c>
      <c r="AF1130" s="2" t="str">
        <f>IF(D1130="","",IFERROR(MATCH(D1130,Projects!$A:$A,0),""))</f>
        <v/>
      </c>
    </row>
    <row r="1131" spans="2:32" x14ac:dyDescent="0.25">
      <c r="B1131" s="24"/>
      <c r="C1131" s="136"/>
      <c r="D1131" s="148"/>
      <c r="E1131" s="136"/>
      <c r="F1131" s="136"/>
      <c r="G1131" s="136"/>
      <c r="H1131" s="136"/>
      <c r="J1131" s="136"/>
      <c r="K1131" s="136"/>
      <c r="AE1131" s="39" t="str">
        <f>IF(D1131="","",IFERROR(VLOOKUP(D1131,Projects!$A$2:$A$20000,1,FALSE),""))</f>
        <v/>
      </c>
      <c r="AF1131" s="2" t="str">
        <f>IF(D1131="","",IFERROR(MATCH(D1131,Projects!$A:$A,0),""))</f>
        <v/>
      </c>
    </row>
    <row r="1132" spans="2:32" x14ac:dyDescent="0.25">
      <c r="B1132" s="24"/>
      <c r="C1132" s="136"/>
      <c r="D1132" s="148"/>
      <c r="E1132" s="136"/>
      <c r="F1132" s="136"/>
      <c r="G1132" s="136"/>
      <c r="H1132" s="136"/>
      <c r="J1132" s="136"/>
      <c r="K1132" s="136"/>
      <c r="AE1132" s="39" t="str">
        <f>IF(D1132="","",IFERROR(VLOOKUP(D1132,Projects!$A$2:$A$20000,1,FALSE),""))</f>
        <v/>
      </c>
      <c r="AF1132" s="2" t="str">
        <f>IF(D1132="","",IFERROR(MATCH(D1132,Projects!$A:$A,0),""))</f>
        <v/>
      </c>
    </row>
    <row r="1133" spans="2:32" x14ac:dyDescent="0.25">
      <c r="B1133" s="24"/>
      <c r="C1133" s="136"/>
      <c r="D1133" s="148"/>
      <c r="E1133" s="136"/>
      <c r="F1133" s="136"/>
      <c r="G1133" s="136"/>
      <c r="H1133" s="136"/>
      <c r="J1133" s="136"/>
      <c r="K1133" s="136"/>
      <c r="AE1133" s="39" t="str">
        <f>IF(D1133="","",IFERROR(VLOOKUP(D1133,Projects!$A$2:$A$20000,1,FALSE),""))</f>
        <v/>
      </c>
      <c r="AF1133" s="2" t="str">
        <f>IF(D1133="","",IFERROR(MATCH(D1133,Projects!$A:$A,0),""))</f>
        <v/>
      </c>
    </row>
    <row r="1134" spans="2:32" x14ac:dyDescent="0.25">
      <c r="B1134" s="24"/>
      <c r="C1134" s="136"/>
      <c r="D1134" s="148"/>
      <c r="E1134" s="136"/>
      <c r="F1134" s="136"/>
      <c r="G1134" s="136"/>
      <c r="H1134" s="136"/>
      <c r="J1134" s="136"/>
      <c r="K1134" s="136"/>
      <c r="AE1134" s="39" t="str">
        <f>IF(D1134="","",IFERROR(VLOOKUP(D1134,Projects!$A$2:$A$20000,1,FALSE),""))</f>
        <v/>
      </c>
      <c r="AF1134" s="2" t="str">
        <f>IF(D1134="","",IFERROR(MATCH(D1134,Projects!$A:$A,0),""))</f>
        <v/>
      </c>
    </row>
    <row r="1135" spans="2:32" x14ac:dyDescent="0.25">
      <c r="B1135" s="24"/>
      <c r="C1135" s="136"/>
      <c r="D1135" s="148"/>
      <c r="E1135" s="136"/>
      <c r="F1135" s="136"/>
      <c r="G1135" s="136"/>
      <c r="H1135" s="136"/>
      <c r="J1135" s="136"/>
      <c r="K1135" s="136"/>
      <c r="AE1135" s="39" t="str">
        <f>IF(D1135="","",IFERROR(VLOOKUP(D1135,Projects!$A$2:$A$20000,1,FALSE),""))</f>
        <v/>
      </c>
      <c r="AF1135" s="2" t="str">
        <f>IF(D1135="","",IFERROR(MATCH(D1135,Projects!$A:$A,0),""))</f>
        <v/>
      </c>
    </row>
    <row r="1136" spans="2:32" x14ac:dyDescent="0.25">
      <c r="B1136" s="24"/>
      <c r="C1136" s="136"/>
      <c r="D1136" s="148"/>
      <c r="E1136" s="136"/>
      <c r="F1136" s="136"/>
      <c r="G1136" s="136"/>
      <c r="H1136" s="136"/>
      <c r="J1136" s="136"/>
      <c r="K1136" s="136"/>
      <c r="AE1136" s="39" t="str">
        <f>IF(D1136="","",IFERROR(VLOOKUP(D1136,Projects!$A$2:$A$20000,1,FALSE),""))</f>
        <v/>
      </c>
      <c r="AF1136" s="2" t="str">
        <f>IF(D1136="","",IFERROR(MATCH(D1136,Projects!$A:$A,0),""))</f>
        <v/>
      </c>
    </row>
    <row r="1137" spans="2:32" x14ac:dyDescent="0.25">
      <c r="B1137" s="24"/>
      <c r="C1137" s="136"/>
      <c r="D1137" s="148"/>
      <c r="E1137" s="136"/>
      <c r="F1137" s="136"/>
      <c r="G1137" s="136"/>
      <c r="H1137" s="136"/>
      <c r="J1137" s="136"/>
      <c r="K1137" s="136"/>
      <c r="AE1137" s="39" t="str">
        <f>IF(D1137="","",IFERROR(VLOOKUP(D1137,Projects!$A$2:$A$20000,1,FALSE),""))</f>
        <v/>
      </c>
      <c r="AF1137" s="2" t="str">
        <f>IF(D1137="","",IFERROR(MATCH(D1137,Projects!$A:$A,0),""))</f>
        <v/>
      </c>
    </row>
    <row r="1138" spans="2:32" x14ac:dyDescent="0.25">
      <c r="B1138" s="24"/>
      <c r="C1138" s="136"/>
      <c r="D1138" s="148"/>
      <c r="E1138" s="136"/>
      <c r="F1138" s="136"/>
      <c r="G1138" s="136"/>
      <c r="H1138" s="136"/>
      <c r="J1138" s="136"/>
      <c r="K1138" s="136"/>
      <c r="AE1138" s="39" t="str">
        <f>IF(D1138="","",IFERROR(VLOOKUP(D1138,Projects!$A$2:$A$20000,1,FALSE),""))</f>
        <v/>
      </c>
      <c r="AF1138" s="2" t="str">
        <f>IF(D1138="","",IFERROR(MATCH(D1138,Projects!$A:$A,0),""))</f>
        <v/>
      </c>
    </row>
    <row r="1139" spans="2:32" x14ac:dyDescent="0.25">
      <c r="B1139" s="24"/>
      <c r="C1139" s="136"/>
      <c r="D1139" s="148"/>
      <c r="E1139" s="136"/>
      <c r="F1139" s="136"/>
      <c r="G1139" s="136"/>
      <c r="H1139" s="136"/>
      <c r="J1139" s="136"/>
      <c r="K1139" s="136"/>
      <c r="AE1139" s="39" t="str">
        <f>IF(D1139="","",IFERROR(VLOOKUP(D1139,Projects!$A$2:$A$20000,1,FALSE),""))</f>
        <v/>
      </c>
      <c r="AF1139" s="2" t="str">
        <f>IF(D1139="","",IFERROR(MATCH(D1139,Projects!$A:$A,0),""))</f>
        <v/>
      </c>
    </row>
    <row r="1140" spans="2:32" x14ac:dyDescent="0.25">
      <c r="B1140" s="24"/>
      <c r="C1140" s="136"/>
      <c r="D1140" s="148"/>
      <c r="E1140" s="136"/>
      <c r="F1140" s="136"/>
      <c r="G1140" s="136"/>
      <c r="H1140" s="136"/>
      <c r="J1140" s="136"/>
      <c r="K1140" s="136"/>
      <c r="AE1140" s="39" t="str">
        <f>IF(D1140="","",IFERROR(VLOOKUP(D1140,Projects!$A$2:$A$20000,1,FALSE),""))</f>
        <v/>
      </c>
      <c r="AF1140" s="2" t="str">
        <f>IF(D1140="","",IFERROR(MATCH(D1140,Projects!$A:$A,0),""))</f>
        <v/>
      </c>
    </row>
    <row r="1141" spans="2:32" x14ac:dyDescent="0.25">
      <c r="B1141" s="24"/>
      <c r="C1141" s="136"/>
      <c r="D1141" s="148"/>
      <c r="E1141" s="136"/>
      <c r="F1141" s="136"/>
      <c r="G1141" s="136"/>
      <c r="H1141" s="136"/>
      <c r="J1141" s="136"/>
      <c r="K1141" s="136"/>
      <c r="AE1141" s="39" t="str">
        <f>IF(D1141="","",IFERROR(VLOOKUP(D1141,Projects!$A$2:$A$20000,1,FALSE),""))</f>
        <v/>
      </c>
      <c r="AF1141" s="2" t="str">
        <f>IF(D1141="","",IFERROR(MATCH(D1141,Projects!$A:$A,0),""))</f>
        <v/>
      </c>
    </row>
    <row r="1142" spans="2:32" x14ac:dyDescent="0.25">
      <c r="B1142" s="24"/>
      <c r="C1142" s="136"/>
      <c r="D1142" s="148"/>
      <c r="E1142" s="136"/>
      <c r="F1142" s="136"/>
      <c r="G1142" s="136"/>
      <c r="H1142" s="136"/>
      <c r="J1142" s="136"/>
      <c r="K1142" s="136"/>
      <c r="AE1142" s="39" t="str">
        <f>IF(D1142="","",IFERROR(VLOOKUP(D1142,Projects!$A$2:$A$20000,1,FALSE),""))</f>
        <v/>
      </c>
      <c r="AF1142" s="2" t="str">
        <f>IF(D1142="","",IFERROR(MATCH(D1142,Projects!$A:$A,0),""))</f>
        <v/>
      </c>
    </row>
    <row r="1143" spans="2:32" x14ac:dyDescent="0.25">
      <c r="B1143" s="24"/>
      <c r="C1143" s="136"/>
      <c r="D1143" s="148"/>
      <c r="E1143" s="136"/>
      <c r="F1143" s="136"/>
      <c r="G1143" s="136"/>
      <c r="H1143" s="136"/>
      <c r="J1143" s="136"/>
      <c r="K1143" s="136"/>
      <c r="AE1143" s="39" t="str">
        <f>IF(D1143="","",IFERROR(VLOOKUP(D1143,Projects!$A$2:$A$20000,1,FALSE),""))</f>
        <v/>
      </c>
      <c r="AF1143" s="2" t="str">
        <f>IF(D1143="","",IFERROR(MATCH(D1143,Projects!$A:$A,0),""))</f>
        <v/>
      </c>
    </row>
    <row r="1144" spans="2:32" x14ac:dyDescent="0.25">
      <c r="B1144" s="24"/>
      <c r="C1144" s="136"/>
      <c r="D1144" s="148"/>
      <c r="E1144" s="136"/>
      <c r="F1144" s="136"/>
      <c r="G1144" s="136"/>
      <c r="H1144" s="136"/>
      <c r="J1144" s="136"/>
      <c r="K1144" s="136"/>
      <c r="AE1144" s="39" t="str">
        <f>IF(D1144="","",IFERROR(VLOOKUP(D1144,Projects!$A$2:$A$20000,1,FALSE),""))</f>
        <v/>
      </c>
      <c r="AF1144" s="2" t="str">
        <f>IF(D1144="","",IFERROR(MATCH(D1144,Projects!$A:$A,0),""))</f>
        <v/>
      </c>
    </row>
    <row r="1145" spans="2:32" x14ac:dyDescent="0.25">
      <c r="B1145" s="24"/>
      <c r="C1145" s="136"/>
      <c r="D1145" s="148"/>
      <c r="E1145" s="136"/>
      <c r="F1145" s="136"/>
      <c r="G1145" s="136"/>
      <c r="H1145" s="136"/>
      <c r="J1145" s="136"/>
      <c r="K1145" s="136"/>
      <c r="AE1145" s="39" t="str">
        <f>IF(D1145="","",IFERROR(VLOOKUP(D1145,Projects!$A$2:$A$20000,1,FALSE),""))</f>
        <v/>
      </c>
      <c r="AF1145" s="2" t="str">
        <f>IF(D1145="","",IFERROR(MATCH(D1145,Projects!$A:$A,0),""))</f>
        <v/>
      </c>
    </row>
    <row r="1146" spans="2:32" x14ac:dyDescent="0.25">
      <c r="B1146" s="24"/>
      <c r="C1146" s="136"/>
      <c r="D1146" s="148"/>
      <c r="E1146" s="136"/>
      <c r="F1146" s="136"/>
      <c r="G1146" s="136"/>
      <c r="H1146" s="136"/>
      <c r="J1146" s="136"/>
      <c r="K1146" s="136"/>
      <c r="AE1146" s="39" t="str">
        <f>IF(D1146="","",IFERROR(VLOOKUP(D1146,Projects!$A$2:$A$20000,1,FALSE),""))</f>
        <v/>
      </c>
      <c r="AF1146" s="2" t="str">
        <f>IF(D1146="","",IFERROR(MATCH(D1146,Projects!$A:$A,0),""))</f>
        <v/>
      </c>
    </row>
    <row r="1147" spans="2:32" x14ac:dyDescent="0.25">
      <c r="B1147" s="24"/>
      <c r="C1147" s="136"/>
      <c r="D1147" s="148"/>
      <c r="E1147" s="136"/>
      <c r="F1147" s="136"/>
      <c r="G1147" s="136"/>
      <c r="H1147" s="136"/>
      <c r="J1147" s="136"/>
      <c r="K1147" s="136"/>
      <c r="AE1147" s="39" t="str">
        <f>IF(D1147="","",IFERROR(VLOOKUP(D1147,Projects!$A$2:$A$20000,1,FALSE),""))</f>
        <v/>
      </c>
      <c r="AF1147" s="2" t="str">
        <f>IF(D1147="","",IFERROR(MATCH(D1147,Projects!$A:$A,0),""))</f>
        <v/>
      </c>
    </row>
    <row r="1148" spans="2:32" x14ac:dyDescent="0.25">
      <c r="B1148" s="24"/>
      <c r="C1148" s="136"/>
      <c r="D1148" s="148"/>
      <c r="E1148" s="136"/>
      <c r="F1148" s="136"/>
      <c r="G1148" s="136"/>
      <c r="H1148" s="136"/>
      <c r="J1148" s="136"/>
      <c r="K1148" s="136"/>
      <c r="AE1148" s="39" t="str">
        <f>IF(D1148="","",IFERROR(VLOOKUP(D1148,Projects!$A$2:$A$20000,1,FALSE),""))</f>
        <v/>
      </c>
      <c r="AF1148" s="2" t="str">
        <f>IF(D1148="","",IFERROR(MATCH(D1148,Projects!$A:$A,0),""))</f>
        <v/>
      </c>
    </row>
    <row r="1149" spans="2:32" x14ac:dyDescent="0.25">
      <c r="B1149" s="24"/>
      <c r="C1149" s="136"/>
      <c r="D1149" s="148"/>
      <c r="E1149" s="136"/>
      <c r="F1149" s="136"/>
      <c r="G1149" s="136"/>
      <c r="H1149" s="136"/>
      <c r="J1149" s="136"/>
      <c r="K1149" s="136"/>
      <c r="AE1149" s="39" t="str">
        <f>IF(D1149="","",IFERROR(VLOOKUP(D1149,Projects!$A$2:$A$20000,1,FALSE),""))</f>
        <v/>
      </c>
      <c r="AF1149" s="2" t="str">
        <f>IF(D1149="","",IFERROR(MATCH(D1149,Projects!$A:$A,0),""))</f>
        <v/>
      </c>
    </row>
    <row r="1150" spans="2:32" x14ac:dyDescent="0.25">
      <c r="B1150" s="24"/>
      <c r="C1150" s="136"/>
      <c r="D1150" s="148"/>
      <c r="E1150" s="136"/>
      <c r="F1150" s="136"/>
      <c r="G1150" s="136"/>
      <c r="H1150" s="136"/>
      <c r="J1150" s="136"/>
      <c r="K1150" s="136"/>
      <c r="AE1150" s="39" t="str">
        <f>IF(D1150="","",IFERROR(VLOOKUP(D1150,Projects!$A$2:$A$20000,1,FALSE),""))</f>
        <v/>
      </c>
      <c r="AF1150" s="2" t="str">
        <f>IF(D1150="","",IFERROR(MATCH(D1150,Projects!$A:$A,0),""))</f>
        <v/>
      </c>
    </row>
    <row r="1151" spans="2:32" x14ac:dyDescent="0.25">
      <c r="B1151" s="24"/>
      <c r="C1151" s="136"/>
      <c r="D1151" s="148"/>
      <c r="E1151" s="136"/>
      <c r="F1151" s="136"/>
      <c r="G1151" s="136"/>
      <c r="H1151" s="136"/>
      <c r="J1151" s="136"/>
      <c r="K1151" s="136"/>
      <c r="AE1151" s="39" t="str">
        <f>IF(D1151="","",IFERROR(VLOOKUP(D1151,Projects!$A$2:$A$20000,1,FALSE),""))</f>
        <v/>
      </c>
      <c r="AF1151" s="2" t="str">
        <f>IF(D1151="","",IFERROR(MATCH(D1151,Projects!$A:$A,0),""))</f>
        <v/>
      </c>
    </row>
    <row r="1152" spans="2:32" x14ac:dyDescent="0.25">
      <c r="B1152" s="24"/>
      <c r="C1152" s="136"/>
      <c r="D1152" s="148"/>
      <c r="E1152" s="136"/>
      <c r="F1152" s="136"/>
      <c r="G1152" s="136"/>
      <c r="H1152" s="136"/>
      <c r="J1152" s="136"/>
      <c r="K1152" s="136"/>
      <c r="AE1152" s="39" t="str">
        <f>IF(D1152="","",IFERROR(VLOOKUP(D1152,Projects!$A$2:$A$20000,1,FALSE),""))</f>
        <v/>
      </c>
      <c r="AF1152" s="2" t="str">
        <f>IF(D1152="","",IFERROR(MATCH(D1152,Projects!$A:$A,0),""))</f>
        <v/>
      </c>
    </row>
    <row r="1153" spans="2:32" x14ac:dyDescent="0.25">
      <c r="B1153" s="24"/>
      <c r="C1153" s="136"/>
      <c r="D1153" s="148"/>
      <c r="E1153" s="136"/>
      <c r="F1153" s="136"/>
      <c r="G1153" s="136"/>
      <c r="H1153" s="136"/>
      <c r="J1153" s="136"/>
      <c r="K1153" s="136"/>
      <c r="AE1153" s="39" t="str">
        <f>IF(D1153="","",IFERROR(VLOOKUP(D1153,Projects!$A$2:$A$20000,1,FALSE),""))</f>
        <v/>
      </c>
      <c r="AF1153" s="2" t="str">
        <f>IF(D1153="","",IFERROR(MATCH(D1153,Projects!$A:$A,0),""))</f>
        <v/>
      </c>
    </row>
    <row r="1154" spans="2:32" x14ac:dyDescent="0.25">
      <c r="B1154" s="24"/>
      <c r="C1154" s="136"/>
      <c r="D1154" s="148"/>
      <c r="E1154" s="136"/>
      <c r="F1154" s="136"/>
      <c r="G1154" s="136"/>
      <c r="H1154" s="136"/>
      <c r="J1154" s="136"/>
      <c r="K1154" s="136"/>
      <c r="AE1154" s="39" t="str">
        <f>IF(D1154="","",IFERROR(VLOOKUP(D1154,Projects!$A$2:$A$20000,1,FALSE),""))</f>
        <v/>
      </c>
      <c r="AF1154" s="2" t="str">
        <f>IF(D1154="","",IFERROR(MATCH(D1154,Projects!$A:$A,0),""))</f>
        <v/>
      </c>
    </row>
    <row r="1155" spans="2:32" x14ac:dyDescent="0.25">
      <c r="B1155" s="24"/>
      <c r="C1155" s="136"/>
      <c r="D1155" s="148"/>
      <c r="E1155" s="136"/>
      <c r="F1155" s="136"/>
      <c r="G1155" s="136"/>
      <c r="H1155" s="136"/>
      <c r="J1155" s="136"/>
      <c r="K1155" s="136"/>
      <c r="AE1155" s="39" t="str">
        <f>IF(D1155="","",IFERROR(VLOOKUP(D1155,Projects!$A$2:$A$20000,1,FALSE),""))</f>
        <v/>
      </c>
      <c r="AF1155" s="2" t="str">
        <f>IF(D1155="","",IFERROR(MATCH(D1155,Projects!$A:$A,0),""))</f>
        <v/>
      </c>
    </row>
    <row r="1156" spans="2:32" x14ac:dyDescent="0.25">
      <c r="B1156" s="24"/>
      <c r="C1156" s="136"/>
      <c r="D1156" s="148"/>
      <c r="E1156" s="136"/>
      <c r="F1156" s="136"/>
      <c r="G1156" s="136"/>
      <c r="H1156" s="136"/>
      <c r="J1156" s="136"/>
      <c r="K1156" s="136"/>
      <c r="AE1156" s="39" t="str">
        <f>IF(D1156="","",IFERROR(VLOOKUP(D1156,Projects!$A$2:$A$20000,1,FALSE),""))</f>
        <v/>
      </c>
      <c r="AF1156" s="2" t="str">
        <f>IF(D1156="","",IFERROR(MATCH(D1156,Projects!$A:$A,0),""))</f>
        <v/>
      </c>
    </row>
    <row r="1157" spans="2:32" x14ac:dyDescent="0.25">
      <c r="B1157" s="24"/>
      <c r="C1157" s="136"/>
      <c r="D1157" s="148"/>
      <c r="E1157" s="136"/>
      <c r="F1157" s="136"/>
      <c r="G1157" s="136"/>
      <c r="H1157" s="136"/>
      <c r="J1157" s="136"/>
      <c r="K1157" s="136"/>
      <c r="AE1157" s="39" t="str">
        <f>IF(D1157="","",IFERROR(VLOOKUP(D1157,Projects!$A$2:$A$20000,1,FALSE),""))</f>
        <v/>
      </c>
      <c r="AF1157" s="2" t="str">
        <f>IF(D1157="","",IFERROR(MATCH(D1157,Projects!$A:$A,0),""))</f>
        <v/>
      </c>
    </row>
    <row r="1158" spans="2:32" x14ac:dyDescent="0.25">
      <c r="B1158" s="24"/>
      <c r="C1158" s="136"/>
      <c r="D1158" s="148"/>
      <c r="E1158" s="136"/>
      <c r="F1158" s="136"/>
      <c r="G1158" s="136"/>
      <c r="H1158" s="136"/>
      <c r="J1158" s="136"/>
      <c r="K1158" s="136"/>
      <c r="AE1158" s="39" t="str">
        <f>IF(D1158="","",IFERROR(VLOOKUP(D1158,Projects!$A$2:$A$20000,1,FALSE),""))</f>
        <v/>
      </c>
      <c r="AF1158" s="2" t="str">
        <f>IF(D1158="","",IFERROR(MATCH(D1158,Projects!$A:$A,0),""))</f>
        <v/>
      </c>
    </row>
    <row r="1159" spans="2:32" x14ac:dyDescent="0.25">
      <c r="B1159" s="24"/>
      <c r="C1159" s="136"/>
      <c r="D1159" s="148"/>
      <c r="E1159" s="136"/>
      <c r="F1159" s="136"/>
      <c r="G1159" s="136"/>
      <c r="H1159" s="136"/>
      <c r="J1159" s="136"/>
      <c r="K1159" s="136"/>
      <c r="AE1159" s="39" t="str">
        <f>IF(D1159="","",IFERROR(VLOOKUP(D1159,Projects!$A$2:$A$20000,1,FALSE),""))</f>
        <v/>
      </c>
      <c r="AF1159" s="2" t="str">
        <f>IF(D1159="","",IFERROR(MATCH(D1159,Projects!$A:$A,0),""))</f>
        <v/>
      </c>
    </row>
    <row r="1160" spans="2:32" x14ac:dyDescent="0.25">
      <c r="B1160" s="24"/>
      <c r="C1160" s="136"/>
      <c r="D1160" s="148"/>
      <c r="E1160" s="136"/>
      <c r="F1160" s="136"/>
      <c r="G1160" s="136"/>
      <c r="H1160" s="136"/>
      <c r="J1160" s="136"/>
      <c r="K1160" s="136"/>
      <c r="AE1160" s="39" t="str">
        <f>IF(D1160="","",IFERROR(VLOOKUP(D1160,Projects!$A$2:$A$20000,1,FALSE),""))</f>
        <v/>
      </c>
      <c r="AF1160" s="2" t="str">
        <f>IF(D1160="","",IFERROR(MATCH(D1160,Projects!$A:$A,0),""))</f>
        <v/>
      </c>
    </row>
    <row r="1161" spans="2:32" x14ac:dyDescent="0.25">
      <c r="B1161" s="24"/>
      <c r="C1161" s="136"/>
      <c r="D1161" s="148"/>
      <c r="E1161" s="136"/>
      <c r="F1161" s="136"/>
      <c r="G1161" s="136"/>
      <c r="H1161" s="136"/>
      <c r="J1161" s="136"/>
      <c r="K1161" s="136"/>
      <c r="AE1161" s="39" t="str">
        <f>IF(D1161="","",IFERROR(VLOOKUP(D1161,Projects!$A$2:$A$20000,1,FALSE),""))</f>
        <v/>
      </c>
      <c r="AF1161" s="2" t="str">
        <f>IF(D1161="","",IFERROR(MATCH(D1161,Projects!$A:$A,0),""))</f>
        <v/>
      </c>
    </row>
    <row r="1162" spans="2:32" x14ac:dyDescent="0.25">
      <c r="B1162" s="24"/>
      <c r="C1162" s="136"/>
      <c r="D1162" s="148"/>
      <c r="E1162" s="136"/>
      <c r="F1162" s="136"/>
      <c r="G1162" s="136"/>
      <c r="H1162" s="136"/>
      <c r="J1162" s="136"/>
      <c r="K1162" s="136"/>
      <c r="AE1162" s="39" t="str">
        <f>IF(D1162="","",IFERROR(VLOOKUP(D1162,Projects!$A$2:$A$20000,1,FALSE),""))</f>
        <v/>
      </c>
      <c r="AF1162" s="2" t="str">
        <f>IF(D1162="","",IFERROR(MATCH(D1162,Projects!$A:$A,0),""))</f>
        <v/>
      </c>
    </row>
    <row r="1163" spans="2:32" x14ac:dyDescent="0.25">
      <c r="B1163" s="24"/>
      <c r="C1163" s="136"/>
      <c r="D1163" s="148"/>
      <c r="E1163" s="136"/>
      <c r="F1163" s="136"/>
      <c r="G1163" s="136"/>
      <c r="H1163" s="136"/>
      <c r="J1163" s="136"/>
      <c r="K1163" s="136"/>
      <c r="AE1163" s="39" t="str">
        <f>IF(D1163="","",IFERROR(VLOOKUP(D1163,Projects!$A$2:$A$20000,1,FALSE),""))</f>
        <v/>
      </c>
      <c r="AF1163" s="2" t="str">
        <f>IF(D1163="","",IFERROR(MATCH(D1163,Projects!$A:$A,0),""))</f>
        <v/>
      </c>
    </row>
    <row r="1164" spans="2:32" x14ac:dyDescent="0.25">
      <c r="B1164" s="24"/>
      <c r="C1164" s="136"/>
      <c r="D1164" s="148"/>
      <c r="E1164" s="136"/>
      <c r="F1164" s="136"/>
      <c r="G1164" s="136"/>
      <c r="H1164" s="136"/>
      <c r="J1164" s="136"/>
      <c r="K1164" s="136"/>
      <c r="AE1164" s="39" t="str">
        <f>IF(D1164="","",IFERROR(VLOOKUP(D1164,Projects!$A$2:$A$20000,1,FALSE),""))</f>
        <v/>
      </c>
      <c r="AF1164" s="2" t="str">
        <f>IF(D1164="","",IFERROR(MATCH(D1164,Projects!$A:$A,0),""))</f>
        <v/>
      </c>
    </row>
    <row r="1165" spans="2:32" x14ac:dyDescent="0.25">
      <c r="B1165" s="24"/>
      <c r="C1165" s="136"/>
      <c r="D1165" s="148"/>
      <c r="E1165" s="136"/>
      <c r="F1165" s="136"/>
      <c r="G1165" s="136"/>
      <c r="H1165" s="136"/>
      <c r="J1165" s="136"/>
      <c r="K1165" s="136"/>
      <c r="AE1165" s="39" t="str">
        <f>IF(D1165="","",IFERROR(VLOOKUP(D1165,Projects!$A$2:$A$20000,1,FALSE),""))</f>
        <v/>
      </c>
      <c r="AF1165" s="2" t="str">
        <f>IF(D1165="","",IFERROR(MATCH(D1165,Projects!$A:$A,0),""))</f>
        <v/>
      </c>
    </row>
    <row r="1166" spans="2:32" x14ac:dyDescent="0.25">
      <c r="B1166" s="24"/>
      <c r="C1166" s="136"/>
      <c r="D1166" s="148"/>
      <c r="E1166" s="136"/>
      <c r="F1166" s="136"/>
      <c r="G1166" s="136"/>
      <c r="H1166" s="136"/>
      <c r="J1166" s="136"/>
      <c r="K1166" s="136"/>
      <c r="AE1166" s="39" t="str">
        <f>IF(D1166="","",IFERROR(VLOOKUP(D1166,Projects!$A$2:$A$20000,1,FALSE),""))</f>
        <v/>
      </c>
      <c r="AF1166" s="2" t="str">
        <f>IF(D1166="","",IFERROR(MATCH(D1166,Projects!$A:$A,0),""))</f>
        <v/>
      </c>
    </row>
    <row r="1167" spans="2:32" x14ac:dyDescent="0.25">
      <c r="B1167" s="24"/>
      <c r="C1167" s="136"/>
      <c r="D1167" s="148"/>
      <c r="E1167" s="136"/>
      <c r="F1167" s="136"/>
      <c r="G1167" s="136"/>
      <c r="H1167" s="136"/>
      <c r="J1167" s="136"/>
      <c r="K1167" s="136"/>
      <c r="AE1167" s="39" t="str">
        <f>IF(D1167="","",IFERROR(VLOOKUP(D1167,Projects!$A$2:$A$20000,1,FALSE),""))</f>
        <v/>
      </c>
      <c r="AF1167" s="2" t="str">
        <f>IF(D1167="","",IFERROR(MATCH(D1167,Projects!$A:$A,0),""))</f>
        <v/>
      </c>
    </row>
    <row r="1168" spans="2:32" x14ac:dyDescent="0.25">
      <c r="B1168" s="24"/>
      <c r="C1168" s="136"/>
      <c r="D1168" s="148"/>
      <c r="E1168" s="136"/>
      <c r="F1168" s="136"/>
      <c r="G1168" s="136"/>
      <c r="H1168" s="136"/>
      <c r="J1168" s="136"/>
      <c r="K1168" s="136"/>
      <c r="AE1168" s="39" t="str">
        <f>IF(D1168="","",IFERROR(VLOOKUP(D1168,Projects!$A$2:$A$20000,1,FALSE),""))</f>
        <v/>
      </c>
      <c r="AF1168" s="2" t="str">
        <f>IF(D1168="","",IFERROR(MATCH(D1168,Projects!$A:$A,0),""))</f>
        <v/>
      </c>
    </row>
    <row r="1169" spans="2:32" x14ac:dyDescent="0.25">
      <c r="B1169" s="24"/>
      <c r="C1169" s="136"/>
      <c r="D1169" s="148"/>
      <c r="E1169" s="136"/>
      <c r="F1169" s="136"/>
      <c r="G1169" s="136"/>
      <c r="H1169" s="136"/>
      <c r="J1169" s="136"/>
      <c r="K1169" s="136"/>
      <c r="AE1169" s="39" t="str">
        <f>IF(D1169="","",IFERROR(VLOOKUP(D1169,Projects!$A$2:$A$20000,1,FALSE),""))</f>
        <v/>
      </c>
      <c r="AF1169" s="2" t="str">
        <f>IF(D1169="","",IFERROR(MATCH(D1169,Projects!$A:$A,0),""))</f>
        <v/>
      </c>
    </row>
    <row r="1170" spans="2:32" x14ac:dyDescent="0.25">
      <c r="B1170" s="24"/>
      <c r="C1170" s="136"/>
      <c r="D1170" s="148"/>
      <c r="E1170" s="136"/>
      <c r="F1170" s="136"/>
      <c r="G1170" s="136"/>
      <c r="H1170" s="136"/>
      <c r="J1170" s="136"/>
      <c r="K1170" s="136"/>
      <c r="AE1170" s="39" t="str">
        <f>IF(D1170="","",IFERROR(VLOOKUP(D1170,Projects!$A$2:$A$20000,1,FALSE),""))</f>
        <v/>
      </c>
      <c r="AF1170" s="2" t="str">
        <f>IF(D1170="","",IFERROR(MATCH(D1170,Projects!$A:$A,0),""))</f>
        <v/>
      </c>
    </row>
    <row r="1171" spans="2:32" x14ac:dyDescent="0.25">
      <c r="B1171" s="24"/>
      <c r="C1171" s="136"/>
      <c r="D1171" s="148"/>
      <c r="E1171" s="136"/>
      <c r="F1171" s="136"/>
      <c r="G1171" s="136"/>
      <c r="H1171" s="136"/>
      <c r="J1171" s="136"/>
      <c r="K1171" s="136"/>
      <c r="AE1171" s="39" t="str">
        <f>IF(D1171="","",IFERROR(VLOOKUP(D1171,Projects!$A$2:$A$20000,1,FALSE),""))</f>
        <v/>
      </c>
      <c r="AF1171" s="2" t="str">
        <f>IF(D1171="","",IFERROR(MATCH(D1171,Projects!$A:$A,0),""))</f>
        <v/>
      </c>
    </row>
    <row r="1172" spans="2:32" x14ac:dyDescent="0.25">
      <c r="B1172" s="24"/>
      <c r="C1172" s="136"/>
      <c r="D1172" s="148"/>
      <c r="E1172" s="136"/>
      <c r="F1172" s="136"/>
      <c r="G1172" s="136"/>
      <c r="H1172" s="136"/>
      <c r="J1172" s="136"/>
      <c r="K1172" s="136"/>
      <c r="AE1172" s="39" t="str">
        <f>IF(D1172="","",IFERROR(VLOOKUP(D1172,Projects!$A$2:$A$20000,1,FALSE),""))</f>
        <v/>
      </c>
      <c r="AF1172" s="2" t="str">
        <f>IF(D1172="","",IFERROR(MATCH(D1172,Projects!$A:$A,0),""))</f>
        <v/>
      </c>
    </row>
    <row r="1173" spans="2:32" x14ac:dyDescent="0.25">
      <c r="B1173" s="24"/>
      <c r="C1173" s="136"/>
      <c r="D1173" s="148"/>
      <c r="E1173" s="136"/>
      <c r="F1173" s="136"/>
      <c r="G1173" s="136"/>
      <c r="H1173" s="136"/>
      <c r="J1173" s="136"/>
      <c r="K1173" s="136"/>
      <c r="AE1173" s="39" t="str">
        <f>IF(D1173="","",IFERROR(VLOOKUP(D1173,Projects!$A$2:$A$20000,1,FALSE),""))</f>
        <v/>
      </c>
      <c r="AF1173" s="2" t="str">
        <f>IF(D1173="","",IFERROR(MATCH(D1173,Projects!$A:$A,0),""))</f>
        <v/>
      </c>
    </row>
    <row r="1174" spans="2:32" x14ac:dyDescent="0.25">
      <c r="B1174" s="24"/>
      <c r="C1174" s="136"/>
      <c r="D1174" s="148"/>
      <c r="E1174" s="136"/>
      <c r="F1174" s="136"/>
      <c r="G1174" s="136"/>
      <c r="H1174" s="136"/>
      <c r="J1174" s="136"/>
      <c r="K1174" s="136"/>
      <c r="AE1174" s="39" t="str">
        <f>IF(D1174="","",IFERROR(VLOOKUP(D1174,Projects!$A$2:$A$20000,1,FALSE),""))</f>
        <v/>
      </c>
      <c r="AF1174" s="2" t="str">
        <f>IF(D1174="","",IFERROR(MATCH(D1174,Projects!$A:$A,0),""))</f>
        <v/>
      </c>
    </row>
    <row r="1175" spans="2:32" x14ac:dyDescent="0.25">
      <c r="B1175" s="24"/>
      <c r="C1175" s="136"/>
      <c r="D1175" s="148"/>
      <c r="E1175" s="136"/>
      <c r="F1175" s="136"/>
      <c r="G1175" s="136"/>
      <c r="H1175" s="136"/>
      <c r="J1175" s="136"/>
      <c r="K1175" s="136"/>
      <c r="AE1175" s="39" t="str">
        <f>IF(D1175="","",IFERROR(VLOOKUP(D1175,Projects!$A$2:$A$20000,1,FALSE),""))</f>
        <v/>
      </c>
      <c r="AF1175" s="2" t="str">
        <f>IF(D1175="","",IFERROR(MATCH(D1175,Projects!$A:$A,0),""))</f>
        <v/>
      </c>
    </row>
    <row r="1176" spans="2:32" x14ac:dyDescent="0.25">
      <c r="B1176" s="24"/>
      <c r="C1176" s="136"/>
      <c r="D1176" s="148"/>
      <c r="E1176" s="136"/>
      <c r="F1176" s="136"/>
      <c r="G1176" s="136"/>
      <c r="H1176" s="136"/>
      <c r="J1176" s="136"/>
      <c r="K1176" s="136"/>
      <c r="AE1176" s="39" t="str">
        <f>IF(D1176="","",IFERROR(VLOOKUP(D1176,Projects!$A$2:$A$20000,1,FALSE),""))</f>
        <v/>
      </c>
      <c r="AF1176" s="2" t="str">
        <f>IF(D1176="","",IFERROR(MATCH(D1176,Projects!$A:$A,0),""))</f>
        <v/>
      </c>
    </row>
    <row r="1177" spans="2:32" x14ac:dyDescent="0.25">
      <c r="B1177" s="24"/>
      <c r="C1177" s="136"/>
      <c r="D1177" s="148"/>
      <c r="E1177" s="136"/>
      <c r="F1177" s="136"/>
      <c r="G1177" s="136"/>
      <c r="H1177" s="136"/>
      <c r="J1177" s="136"/>
      <c r="K1177" s="136"/>
      <c r="AE1177" s="39" t="str">
        <f>IF(D1177="","",IFERROR(VLOOKUP(D1177,Projects!$A$2:$A$20000,1,FALSE),""))</f>
        <v/>
      </c>
      <c r="AF1177" s="2" t="str">
        <f>IF(D1177="","",IFERROR(MATCH(D1177,Projects!$A:$A,0),""))</f>
        <v/>
      </c>
    </row>
    <row r="1178" spans="2:32" x14ac:dyDescent="0.25">
      <c r="B1178" s="24"/>
      <c r="C1178" s="136"/>
      <c r="D1178" s="148"/>
      <c r="E1178" s="136"/>
      <c r="F1178" s="136"/>
      <c r="G1178" s="136"/>
      <c r="H1178" s="136"/>
      <c r="J1178" s="136"/>
      <c r="K1178" s="136"/>
      <c r="AE1178" s="39" t="str">
        <f>IF(D1178="","",IFERROR(VLOOKUP(D1178,Projects!$A$2:$A$20000,1,FALSE),""))</f>
        <v/>
      </c>
      <c r="AF1178" s="2" t="str">
        <f>IF(D1178="","",IFERROR(MATCH(D1178,Projects!$A:$A,0),""))</f>
        <v/>
      </c>
    </row>
    <row r="1179" spans="2:32" x14ac:dyDescent="0.25">
      <c r="B1179" s="24"/>
      <c r="C1179" s="136"/>
      <c r="D1179" s="148"/>
      <c r="E1179" s="136"/>
      <c r="F1179" s="136"/>
      <c r="G1179" s="136"/>
      <c r="H1179" s="136"/>
      <c r="J1179" s="136"/>
      <c r="K1179" s="136"/>
      <c r="AE1179" s="39" t="str">
        <f>IF(D1179="","",IFERROR(VLOOKUP(D1179,Projects!$A$2:$A$20000,1,FALSE),""))</f>
        <v/>
      </c>
      <c r="AF1179" s="2" t="str">
        <f>IF(D1179="","",IFERROR(MATCH(D1179,Projects!$A:$A,0),""))</f>
        <v/>
      </c>
    </row>
    <row r="1180" spans="2:32" x14ac:dyDescent="0.25">
      <c r="B1180" s="24"/>
      <c r="C1180" s="136"/>
      <c r="D1180" s="148"/>
      <c r="E1180" s="136"/>
      <c r="F1180" s="136"/>
      <c r="G1180" s="136"/>
      <c r="H1180" s="136"/>
      <c r="J1180" s="136"/>
      <c r="K1180" s="136"/>
      <c r="AE1180" s="39" t="str">
        <f>IF(D1180="","",IFERROR(VLOOKUP(D1180,Projects!$A$2:$A$20000,1,FALSE),""))</f>
        <v/>
      </c>
      <c r="AF1180" s="2" t="str">
        <f>IF(D1180="","",IFERROR(MATCH(D1180,Projects!$A:$A,0),""))</f>
        <v/>
      </c>
    </row>
    <row r="1181" spans="2:32" x14ac:dyDescent="0.25">
      <c r="B1181" s="24"/>
      <c r="C1181" s="136"/>
      <c r="D1181" s="148"/>
      <c r="E1181" s="136"/>
      <c r="F1181" s="136"/>
      <c r="G1181" s="136"/>
      <c r="H1181" s="136"/>
      <c r="J1181" s="136"/>
      <c r="K1181" s="136"/>
      <c r="AE1181" s="39" t="str">
        <f>IF(D1181="","",IFERROR(VLOOKUP(D1181,Projects!$A$2:$A$20000,1,FALSE),""))</f>
        <v/>
      </c>
      <c r="AF1181" s="2" t="str">
        <f>IF(D1181="","",IFERROR(MATCH(D1181,Projects!$A:$A,0),""))</f>
        <v/>
      </c>
    </row>
    <row r="1182" spans="2:32" x14ac:dyDescent="0.25">
      <c r="B1182" s="24"/>
      <c r="C1182" s="136"/>
      <c r="D1182" s="148"/>
      <c r="E1182" s="136"/>
      <c r="F1182" s="136"/>
      <c r="G1182" s="136"/>
      <c r="H1182" s="136"/>
      <c r="J1182" s="136"/>
      <c r="K1182" s="136"/>
      <c r="AE1182" s="39" t="str">
        <f>IF(D1182="","",IFERROR(VLOOKUP(D1182,Projects!$A$2:$A$20000,1,FALSE),""))</f>
        <v/>
      </c>
      <c r="AF1182" s="2" t="str">
        <f>IF(D1182="","",IFERROR(MATCH(D1182,Projects!$A:$A,0),""))</f>
        <v/>
      </c>
    </row>
    <row r="1183" spans="2:32" x14ac:dyDescent="0.25">
      <c r="B1183" s="24"/>
      <c r="C1183" s="136"/>
      <c r="D1183" s="148"/>
      <c r="E1183" s="136"/>
      <c r="F1183" s="136"/>
      <c r="G1183" s="136"/>
      <c r="H1183" s="136"/>
      <c r="J1183" s="136"/>
      <c r="K1183" s="136"/>
      <c r="AE1183" s="39" t="str">
        <f>IF(D1183="","",IFERROR(VLOOKUP(D1183,Projects!$A$2:$A$20000,1,FALSE),""))</f>
        <v/>
      </c>
      <c r="AF1183" s="2" t="str">
        <f>IF(D1183="","",IFERROR(MATCH(D1183,Projects!$A:$A,0),""))</f>
        <v/>
      </c>
    </row>
    <row r="1184" spans="2:32" x14ac:dyDescent="0.25">
      <c r="B1184" s="24"/>
      <c r="C1184" s="136"/>
      <c r="D1184" s="148"/>
      <c r="E1184" s="136"/>
      <c r="F1184" s="136"/>
      <c r="G1184" s="136"/>
      <c r="H1184" s="136"/>
      <c r="J1184" s="136"/>
      <c r="K1184" s="136"/>
      <c r="AE1184" s="39" t="str">
        <f>IF(D1184="","",IFERROR(VLOOKUP(D1184,Projects!$A$2:$A$20000,1,FALSE),""))</f>
        <v/>
      </c>
      <c r="AF1184" s="2" t="str">
        <f>IF(D1184="","",IFERROR(MATCH(D1184,Projects!$A:$A,0),""))</f>
        <v/>
      </c>
    </row>
    <row r="1185" spans="2:32" x14ac:dyDescent="0.25">
      <c r="B1185" s="24"/>
      <c r="C1185" s="136"/>
      <c r="D1185" s="148"/>
      <c r="E1185" s="136"/>
      <c r="F1185" s="136"/>
      <c r="G1185" s="136"/>
      <c r="H1185" s="136"/>
      <c r="J1185" s="136"/>
      <c r="K1185" s="136"/>
      <c r="AE1185" s="39" t="str">
        <f>IF(D1185="","",IFERROR(VLOOKUP(D1185,Projects!$A$2:$A$20000,1,FALSE),""))</f>
        <v/>
      </c>
      <c r="AF1185" s="2" t="str">
        <f>IF(D1185="","",IFERROR(MATCH(D1185,Projects!$A:$A,0),""))</f>
        <v/>
      </c>
    </row>
    <row r="1186" spans="2:32" x14ac:dyDescent="0.25">
      <c r="B1186" s="24"/>
      <c r="C1186" s="136"/>
      <c r="D1186" s="148"/>
      <c r="E1186" s="136"/>
      <c r="F1186" s="136"/>
      <c r="G1186" s="136"/>
      <c r="H1186" s="136"/>
      <c r="J1186" s="136"/>
      <c r="K1186" s="136"/>
      <c r="AE1186" s="39" t="str">
        <f>IF(D1186="","",IFERROR(VLOOKUP(D1186,Projects!$A$2:$A$20000,1,FALSE),""))</f>
        <v/>
      </c>
      <c r="AF1186" s="2" t="str">
        <f>IF(D1186="","",IFERROR(MATCH(D1186,Projects!$A:$A,0),""))</f>
        <v/>
      </c>
    </row>
    <row r="1187" spans="2:32" x14ac:dyDescent="0.25">
      <c r="B1187" s="24"/>
      <c r="C1187" s="136"/>
      <c r="D1187" s="148"/>
      <c r="E1187" s="136"/>
      <c r="F1187" s="136"/>
      <c r="G1187" s="136"/>
      <c r="H1187" s="136"/>
      <c r="J1187" s="136"/>
      <c r="K1187" s="136"/>
      <c r="AE1187" s="39" t="str">
        <f>IF(D1187="","",IFERROR(VLOOKUP(D1187,Projects!$A$2:$A$20000,1,FALSE),""))</f>
        <v/>
      </c>
      <c r="AF1187" s="2" t="str">
        <f>IF(D1187="","",IFERROR(MATCH(D1187,Projects!$A:$A,0),""))</f>
        <v/>
      </c>
    </row>
    <row r="1188" spans="2:32" x14ac:dyDescent="0.25">
      <c r="B1188" s="24"/>
      <c r="C1188" s="136"/>
      <c r="D1188" s="148"/>
      <c r="E1188" s="136"/>
      <c r="F1188" s="136"/>
      <c r="G1188" s="136"/>
      <c r="H1188" s="136"/>
      <c r="J1188" s="136"/>
      <c r="K1188" s="136"/>
      <c r="AE1188" s="39" t="str">
        <f>IF(D1188="","",IFERROR(VLOOKUP(D1188,Projects!$A$2:$A$20000,1,FALSE),""))</f>
        <v/>
      </c>
      <c r="AF1188" s="2" t="str">
        <f>IF(D1188="","",IFERROR(MATCH(D1188,Projects!$A:$A,0),""))</f>
        <v/>
      </c>
    </row>
    <row r="1189" spans="2:32" x14ac:dyDescent="0.25">
      <c r="B1189" s="24"/>
      <c r="C1189" s="136"/>
      <c r="D1189" s="148"/>
      <c r="E1189" s="136"/>
      <c r="F1189" s="136"/>
      <c r="G1189" s="136"/>
      <c r="H1189" s="136"/>
      <c r="J1189" s="136"/>
      <c r="K1189" s="136"/>
      <c r="AE1189" s="39" t="str">
        <f>IF(D1189="","",IFERROR(VLOOKUP(D1189,Projects!$A$2:$A$20000,1,FALSE),""))</f>
        <v/>
      </c>
      <c r="AF1189" s="2" t="str">
        <f>IF(D1189="","",IFERROR(MATCH(D1189,Projects!$A:$A,0),""))</f>
        <v/>
      </c>
    </row>
    <row r="1190" spans="2:32" x14ac:dyDescent="0.25">
      <c r="B1190" s="24"/>
      <c r="C1190" s="136"/>
      <c r="D1190" s="148"/>
      <c r="E1190" s="136"/>
      <c r="F1190" s="136"/>
      <c r="G1190" s="136"/>
      <c r="H1190" s="136"/>
      <c r="J1190" s="136"/>
      <c r="K1190" s="136"/>
      <c r="AE1190" s="39" t="str">
        <f>IF(D1190="","",IFERROR(VLOOKUP(D1190,Projects!$A$2:$A$20000,1,FALSE),""))</f>
        <v/>
      </c>
      <c r="AF1190" s="2" t="str">
        <f>IF(D1190="","",IFERROR(MATCH(D1190,Projects!$A:$A,0),""))</f>
        <v/>
      </c>
    </row>
    <row r="1191" spans="2:32" x14ac:dyDescent="0.25">
      <c r="B1191" s="24"/>
      <c r="C1191" s="136"/>
      <c r="D1191" s="148"/>
      <c r="E1191" s="136"/>
      <c r="F1191" s="136"/>
      <c r="G1191" s="136"/>
      <c r="H1191" s="136"/>
      <c r="J1191" s="136"/>
      <c r="K1191" s="136"/>
      <c r="AE1191" s="39" t="str">
        <f>IF(D1191="","",IFERROR(VLOOKUP(D1191,Projects!$A$2:$A$20000,1,FALSE),""))</f>
        <v/>
      </c>
      <c r="AF1191" s="2" t="str">
        <f>IF(D1191="","",IFERROR(MATCH(D1191,Projects!$A:$A,0),""))</f>
        <v/>
      </c>
    </row>
    <row r="1192" spans="2:32" x14ac:dyDescent="0.25">
      <c r="B1192" s="24"/>
      <c r="C1192" s="136"/>
      <c r="D1192" s="148"/>
      <c r="E1192" s="136"/>
      <c r="F1192" s="136"/>
      <c r="G1192" s="136"/>
      <c r="H1192" s="136"/>
      <c r="J1192" s="136"/>
      <c r="K1192" s="136"/>
      <c r="AE1192" s="39" t="str">
        <f>IF(D1192="","",IFERROR(VLOOKUP(D1192,Projects!$A$2:$A$20000,1,FALSE),""))</f>
        <v/>
      </c>
      <c r="AF1192" s="2" t="str">
        <f>IF(D1192="","",IFERROR(MATCH(D1192,Projects!$A:$A,0),""))</f>
        <v/>
      </c>
    </row>
    <row r="1193" spans="2:32" x14ac:dyDescent="0.25">
      <c r="B1193" s="24"/>
      <c r="C1193" s="136"/>
      <c r="D1193" s="148"/>
      <c r="E1193" s="136"/>
      <c r="F1193" s="136"/>
      <c r="G1193" s="136"/>
      <c r="H1193" s="136"/>
      <c r="J1193" s="136"/>
      <c r="K1193" s="136"/>
      <c r="AE1193" s="39" t="str">
        <f>IF(D1193="","",IFERROR(VLOOKUP(D1193,Projects!$A$2:$A$20000,1,FALSE),""))</f>
        <v/>
      </c>
      <c r="AF1193" s="2" t="str">
        <f>IF(D1193="","",IFERROR(MATCH(D1193,Projects!$A:$A,0),""))</f>
        <v/>
      </c>
    </row>
    <row r="1194" spans="2:32" x14ac:dyDescent="0.25">
      <c r="B1194" s="24"/>
      <c r="C1194" s="136"/>
      <c r="D1194" s="148"/>
      <c r="E1194" s="136"/>
      <c r="F1194" s="136"/>
      <c r="G1194" s="136"/>
      <c r="H1194" s="136"/>
      <c r="J1194" s="136"/>
      <c r="K1194" s="136"/>
      <c r="AE1194" s="39" t="str">
        <f>IF(D1194="","",IFERROR(VLOOKUP(D1194,Projects!$A$2:$A$20000,1,FALSE),""))</f>
        <v/>
      </c>
      <c r="AF1194" s="2" t="str">
        <f>IF(D1194="","",IFERROR(MATCH(D1194,Projects!$A:$A,0),""))</f>
        <v/>
      </c>
    </row>
    <row r="1195" spans="2:32" x14ac:dyDescent="0.25">
      <c r="B1195" s="24"/>
      <c r="C1195" s="136"/>
      <c r="D1195" s="148"/>
      <c r="E1195" s="136"/>
      <c r="F1195" s="136"/>
      <c r="G1195" s="136"/>
      <c r="H1195" s="136"/>
      <c r="J1195" s="136"/>
      <c r="K1195" s="136"/>
      <c r="AE1195" s="39" t="str">
        <f>IF(D1195="","",IFERROR(VLOOKUP(D1195,Projects!$A$2:$A$20000,1,FALSE),""))</f>
        <v/>
      </c>
      <c r="AF1195" s="2" t="str">
        <f>IF(D1195="","",IFERROR(MATCH(D1195,Projects!$A:$A,0),""))</f>
        <v/>
      </c>
    </row>
    <row r="1196" spans="2:32" x14ac:dyDescent="0.25">
      <c r="B1196" s="24"/>
      <c r="C1196" s="136"/>
      <c r="D1196" s="148"/>
      <c r="E1196" s="136"/>
      <c r="F1196" s="136"/>
      <c r="G1196" s="136"/>
      <c r="H1196" s="136"/>
      <c r="J1196" s="136"/>
      <c r="K1196" s="136"/>
      <c r="AE1196" s="39" t="str">
        <f>IF(D1196="","",IFERROR(VLOOKUP(D1196,Projects!$A$2:$A$20000,1,FALSE),""))</f>
        <v/>
      </c>
      <c r="AF1196" s="2" t="str">
        <f>IF(D1196="","",IFERROR(MATCH(D1196,Projects!$A:$A,0),""))</f>
        <v/>
      </c>
    </row>
    <row r="1197" spans="2:32" x14ac:dyDescent="0.25">
      <c r="B1197" s="24"/>
      <c r="C1197" s="136"/>
      <c r="D1197" s="148"/>
      <c r="E1197" s="136"/>
      <c r="F1197" s="136"/>
      <c r="G1197" s="136"/>
      <c r="H1197" s="136"/>
      <c r="J1197" s="136"/>
      <c r="K1197" s="136"/>
      <c r="AE1197" s="39" t="str">
        <f>IF(D1197="","",IFERROR(VLOOKUP(D1197,Projects!$A$2:$A$20000,1,FALSE),""))</f>
        <v/>
      </c>
      <c r="AF1197" s="2" t="str">
        <f>IF(D1197="","",IFERROR(MATCH(D1197,Projects!$A:$A,0),""))</f>
        <v/>
      </c>
    </row>
    <row r="1198" spans="2:32" x14ac:dyDescent="0.25">
      <c r="B1198" s="24"/>
      <c r="C1198" s="136"/>
      <c r="D1198" s="148"/>
      <c r="E1198" s="136"/>
      <c r="F1198" s="136"/>
      <c r="G1198" s="136"/>
      <c r="H1198" s="136"/>
      <c r="J1198" s="136"/>
      <c r="K1198" s="136"/>
      <c r="AE1198" s="39" t="str">
        <f>IF(D1198="","",IFERROR(VLOOKUP(D1198,Projects!$A$2:$A$20000,1,FALSE),""))</f>
        <v/>
      </c>
      <c r="AF1198" s="2" t="str">
        <f>IF(D1198="","",IFERROR(MATCH(D1198,Projects!$A:$A,0),""))</f>
        <v/>
      </c>
    </row>
    <row r="1199" spans="2:32" x14ac:dyDescent="0.25">
      <c r="B1199" s="24"/>
      <c r="C1199" s="136"/>
      <c r="D1199" s="148"/>
      <c r="E1199" s="136"/>
      <c r="F1199" s="136"/>
      <c r="G1199" s="136"/>
      <c r="H1199" s="136"/>
      <c r="J1199" s="136"/>
      <c r="K1199" s="136"/>
      <c r="AE1199" s="39" t="str">
        <f>IF(D1199="","",IFERROR(VLOOKUP(D1199,Projects!$A$2:$A$20000,1,FALSE),""))</f>
        <v/>
      </c>
      <c r="AF1199" s="2" t="str">
        <f>IF(D1199="","",IFERROR(MATCH(D1199,Projects!$A:$A,0),""))</f>
        <v/>
      </c>
    </row>
    <row r="1200" spans="2:32" x14ac:dyDescent="0.25">
      <c r="B1200" s="24"/>
      <c r="C1200" s="136"/>
      <c r="D1200" s="148"/>
      <c r="E1200" s="136"/>
      <c r="F1200" s="136"/>
      <c r="G1200" s="136"/>
      <c r="H1200" s="136"/>
      <c r="J1200" s="136"/>
      <c r="K1200" s="136"/>
      <c r="AE1200" s="39" t="str">
        <f>IF(D1200="","",IFERROR(VLOOKUP(D1200,Projects!$A$2:$A$20000,1,FALSE),""))</f>
        <v/>
      </c>
      <c r="AF1200" s="2" t="str">
        <f>IF(D1200="","",IFERROR(MATCH(D1200,Projects!$A:$A,0),""))</f>
        <v/>
      </c>
    </row>
    <row r="1201" spans="2:32" x14ac:dyDescent="0.25">
      <c r="B1201" s="24"/>
      <c r="C1201" s="136"/>
      <c r="D1201" s="148"/>
      <c r="E1201" s="136"/>
      <c r="F1201" s="136"/>
      <c r="G1201" s="136"/>
      <c r="H1201" s="136"/>
      <c r="J1201" s="136"/>
      <c r="K1201" s="136"/>
      <c r="AE1201" s="39" t="str">
        <f>IF(D1201="","",IFERROR(VLOOKUP(D1201,Projects!$A$2:$A$20000,1,FALSE),""))</f>
        <v/>
      </c>
      <c r="AF1201" s="2" t="str">
        <f>IF(D1201="","",IFERROR(MATCH(D1201,Projects!$A:$A,0),""))</f>
        <v/>
      </c>
    </row>
    <row r="1202" spans="2:32" x14ac:dyDescent="0.25">
      <c r="B1202" s="24"/>
      <c r="C1202" s="136"/>
      <c r="D1202" s="148"/>
      <c r="E1202" s="136"/>
      <c r="F1202" s="136"/>
      <c r="G1202" s="136"/>
      <c r="H1202" s="136"/>
      <c r="J1202" s="136"/>
      <c r="K1202" s="136"/>
      <c r="AE1202" s="39" t="str">
        <f>IF(D1202="","",IFERROR(VLOOKUP(D1202,Projects!$A$2:$A$20000,1,FALSE),""))</f>
        <v/>
      </c>
      <c r="AF1202" s="2" t="str">
        <f>IF(D1202="","",IFERROR(MATCH(D1202,Projects!$A:$A,0),""))</f>
        <v/>
      </c>
    </row>
    <row r="1203" spans="2:32" x14ac:dyDescent="0.25">
      <c r="B1203" s="24"/>
      <c r="C1203" s="136"/>
      <c r="D1203" s="148"/>
      <c r="E1203" s="136"/>
      <c r="F1203" s="136"/>
      <c r="G1203" s="136"/>
      <c r="H1203" s="136"/>
      <c r="J1203" s="136"/>
      <c r="K1203" s="136"/>
      <c r="AE1203" s="39" t="str">
        <f>IF(D1203="","",IFERROR(VLOOKUP(D1203,Projects!$A$2:$A$20000,1,FALSE),""))</f>
        <v/>
      </c>
      <c r="AF1203" s="2" t="str">
        <f>IF(D1203="","",IFERROR(MATCH(D1203,Projects!$A:$A,0),""))</f>
        <v/>
      </c>
    </row>
    <row r="1204" spans="2:32" x14ac:dyDescent="0.25">
      <c r="B1204" s="24"/>
      <c r="C1204" s="136"/>
      <c r="D1204" s="148"/>
      <c r="E1204" s="136"/>
      <c r="F1204" s="136"/>
      <c r="G1204" s="136"/>
      <c r="H1204" s="136"/>
      <c r="J1204" s="136"/>
      <c r="K1204" s="136"/>
      <c r="AE1204" s="39" t="str">
        <f>IF(D1204="","",IFERROR(VLOOKUP(D1204,Projects!$A$2:$A$20000,1,FALSE),""))</f>
        <v/>
      </c>
      <c r="AF1204" s="2" t="str">
        <f>IF(D1204="","",IFERROR(MATCH(D1204,Projects!$A:$A,0),""))</f>
        <v/>
      </c>
    </row>
    <row r="1205" spans="2:32" x14ac:dyDescent="0.25">
      <c r="B1205" s="24"/>
      <c r="C1205" s="136"/>
      <c r="D1205" s="148"/>
      <c r="E1205" s="136"/>
      <c r="F1205" s="136"/>
      <c r="G1205" s="136"/>
      <c r="H1205" s="136"/>
      <c r="J1205" s="136"/>
      <c r="K1205" s="136"/>
      <c r="AE1205" s="39" t="str">
        <f>IF(D1205="","",IFERROR(VLOOKUP(D1205,Projects!$A$2:$A$20000,1,FALSE),""))</f>
        <v/>
      </c>
      <c r="AF1205" s="2" t="str">
        <f>IF(D1205="","",IFERROR(MATCH(D1205,Projects!$A:$A,0),""))</f>
        <v/>
      </c>
    </row>
    <row r="1206" spans="2:32" x14ac:dyDescent="0.25">
      <c r="B1206" s="24"/>
      <c r="C1206" s="136"/>
      <c r="D1206" s="148"/>
      <c r="E1206" s="136"/>
      <c r="F1206" s="136"/>
      <c r="G1206" s="136"/>
      <c r="H1206" s="136"/>
      <c r="J1206" s="136"/>
      <c r="K1206" s="136"/>
      <c r="AE1206" s="39" t="str">
        <f>IF(D1206="","",IFERROR(VLOOKUP(D1206,Projects!$A$2:$A$20000,1,FALSE),""))</f>
        <v/>
      </c>
      <c r="AF1206" s="2" t="str">
        <f>IF(D1206="","",IFERROR(MATCH(D1206,Projects!$A:$A,0),""))</f>
        <v/>
      </c>
    </row>
    <row r="1207" spans="2:32" x14ac:dyDescent="0.25">
      <c r="B1207" s="24"/>
      <c r="C1207" s="136"/>
      <c r="D1207" s="148"/>
      <c r="E1207" s="136"/>
      <c r="F1207" s="136"/>
      <c r="G1207" s="136"/>
      <c r="H1207" s="136"/>
      <c r="J1207" s="136"/>
      <c r="K1207" s="136"/>
      <c r="AE1207" s="39" t="str">
        <f>IF(D1207="","",IFERROR(VLOOKUP(D1207,Projects!$A$2:$A$20000,1,FALSE),""))</f>
        <v/>
      </c>
      <c r="AF1207" s="2" t="str">
        <f>IF(D1207="","",IFERROR(MATCH(D1207,Projects!$A:$A,0),""))</f>
        <v/>
      </c>
    </row>
    <row r="1208" spans="2:32" x14ac:dyDescent="0.25">
      <c r="B1208" s="24"/>
      <c r="C1208" s="136"/>
      <c r="D1208" s="148"/>
      <c r="E1208" s="136"/>
      <c r="F1208" s="136"/>
      <c r="G1208" s="136"/>
      <c r="H1208" s="136"/>
      <c r="J1208" s="136"/>
      <c r="K1208" s="136"/>
      <c r="AE1208" s="39" t="str">
        <f>IF(D1208="","",IFERROR(VLOOKUP(D1208,Projects!$A$2:$A$20000,1,FALSE),""))</f>
        <v/>
      </c>
      <c r="AF1208" s="2" t="str">
        <f>IF(D1208="","",IFERROR(MATCH(D1208,Projects!$A:$A,0),""))</f>
        <v/>
      </c>
    </row>
    <row r="1209" spans="2:32" x14ac:dyDescent="0.25">
      <c r="B1209" s="24"/>
      <c r="C1209" s="136"/>
      <c r="D1209" s="148"/>
      <c r="E1209" s="136"/>
      <c r="F1209" s="136"/>
      <c r="G1209" s="136"/>
      <c r="H1209" s="136"/>
      <c r="J1209" s="136"/>
      <c r="K1209" s="136"/>
      <c r="AE1209" s="39" t="str">
        <f>IF(D1209="","",IFERROR(VLOOKUP(D1209,Projects!$A$2:$A$20000,1,FALSE),""))</f>
        <v/>
      </c>
      <c r="AF1209" s="2" t="str">
        <f>IF(D1209="","",IFERROR(MATCH(D1209,Projects!$A:$A,0),""))</f>
        <v/>
      </c>
    </row>
    <row r="1210" spans="2:32" x14ac:dyDescent="0.25">
      <c r="B1210" s="24"/>
      <c r="C1210" s="136"/>
      <c r="D1210" s="148"/>
      <c r="E1210" s="136"/>
      <c r="F1210" s="136"/>
      <c r="G1210" s="136"/>
      <c r="H1210" s="136"/>
      <c r="J1210" s="136"/>
      <c r="K1210" s="136"/>
      <c r="AE1210" s="39" t="str">
        <f>IF(D1210="","",IFERROR(VLOOKUP(D1210,Projects!$A$2:$A$20000,1,FALSE),""))</f>
        <v/>
      </c>
      <c r="AF1210" s="2" t="str">
        <f>IF(D1210="","",IFERROR(MATCH(D1210,Projects!$A:$A,0),""))</f>
        <v/>
      </c>
    </row>
    <row r="1211" spans="2:32" x14ac:dyDescent="0.25">
      <c r="B1211" s="24"/>
      <c r="C1211" s="136"/>
      <c r="D1211" s="148"/>
      <c r="E1211" s="136"/>
      <c r="F1211" s="136"/>
      <c r="G1211" s="136"/>
      <c r="H1211" s="136"/>
      <c r="J1211" s="136"/>
      <c r="K1211" s="136"/>
      <c r="AE1211" s="39" t="str">
        <f>IF(D1211="","",IFERROR(VLOOKUP(D1211,Projects!$A$2:$A$20000,1,FALSE),""))</f>
        <v/>
      </c>
      <c r="AF1211" s="2" t="str">
        <f>IF(D1211="","",IFERROR(MATCH(D1211,Projects!$A:$A,0),""))</f>
        <v/>
      </c>
    </row>
    <row r="1212" spans="2:32" x14ac:dyDescent="0.25">
      <c r="B1212" s="24"/>
      <c r="C1212" s="136"/>
      <c r="D1212" s="148"/>
      <c r="E1212" s="136"/>
      <c r="F1212" s="136"/>
      <c r="G1212" s="136"/>
      <c r="H1212" s="136"/>
      <c r="J1212" s="136"/>
      <c r="K1212" s="136"/>
      <c r="AE1212" s="39" t="str">
        <f>IF(D1212="","",IFERROR(VLOOKUP(D1212,Projects!$A$2:$A$20000,1,FALSE),""))</f>
        <v/>
      </c>
      <c r="AF1212" s="2" t="str">
        <f>IF(D1212="","",IFERROR(MATCH(D1212,Projects!$A:$A,0),""))</f>
        <v/>
      </c>
    </row>
    <row r="1213" spans="2:32" x14ac:dyDescent="0.25">
      <c r="B1213" s="24"/>
      <c r="C1213" s="136"/>
      <c r="D1213" s="148"/>
      <c r="E1213" s="136"/>
      <c r="F1213" s="136"/>
      <c r="G1213" s="136"/>
      <c r="H1213" s="136"/>
      <c r="J1213" s="136"/>
      <c r="K1213" s="136"/>
      <c r="AE1213" s="39" t="str">
        <f>IF(D1213="","",IFERROR(VLOOKUP(D1213,Projects!$A$2:$A$20000,1,FALSE),""))</f>
        <v/>
      </c>
      <c r="AF1213" s="2" t="str">
        <f>IF(D1213="","",IFERROR(MATCH(D1213,Projects!$A:$A,0),""))</f>
        <v/>
      </c>
    </row>
    <row r="1214" spans="2:32" x14ac:dyDescent="0.25">
      <c r="B1214" s="24"/>
      <c r="C1214" s="136"/>
      <c r="D1214" s="148"/>
      <c r="E1214" s="136"/>
      <c r="F1214" s="136"/>
      <c r="G1214" s="136"/>
      <c r="H1214" s="136"/>
      <c r="J1214" s="136"/>
      <c r="K1214" s="136"/>
      <c r="AE1214" s="39" t="str">
        <f>IF(D1214="","",IFERROR(VLOOKUP(D1214,Projects!$A$2:$A$20000,1,FALSE),""))</f>
        <v/>
      </c>
      <c r="AF1214" s="2" t="str">
        <f>IF(D1214="","",IFERROR(MATCH(D1214,Projects!$A:$A,0),""))</f>
        <v/>
      </c>
    </row>
    <row r="1215" spans="2:32" x14ac:dyDescent="0.25">
      <c r="B1215" s="24"/>
      <c r="C1215" s="136"/>
      <c r="D1215" s="148"/>
      <c r="E1215" s="136"/>
      <c r="F1215" s="136"/>
      <c r="G1215" s="136"/>
      <c r="H1215" s="136"/>
      <c r="J1215" s="136"/>
      <c r="K1215" s="136"/>
      <c r="AE1215" s="39" t="str">
        <f>IF(D1215="","",IFERROR(VLOOKUP(D1215,Projects!$A$2:$A$20000,1,FALSE),""))</f>
        <v/>
      </c>
      <c r="AF1215" s="2" t="str">
        <f>IF(D1215="","",IFERROR(MATCH(D1215,Projects!$A:$A,0),""))</f>
        <v/>
      </c>
    </row>
    <row r="1216" spans="2:32" x14ac:dyDescent="0.25">
      <c r="B1216" s="24"/>
      <c r="C1216" s="136"/>
      <c r="D1216" s="148"/>
      <c r="E1216" s="136"/>
      <c r="F1216" s="136"/>
      <c r="G1216" s="136"/>
      <c r="H1216" s="136"/>
      <c r="J1216" s="136"/>
      <c r="K1216" s="136"/>
      <c r="AE1216" s="39" t="str">
        <f>IF(D1216="","",IFERROR(VLOOKUP(D1216,Projects!$A$2:$A$20000,1,FALSE),""))</f>
        <v/>
      </c>
      <c r="AF1216" s="2" t="str">
        <f>IF(D1216="","",IFERROR(MATCH(D1216,Projects!$A:$A,0),""))</f>
        <v/>
      </c>
    </row>
    <row r="1217" spans="2:32" x14ac:dyDescent="0.25">
      <c r="B1217" s="24"/>
      <c r="C1217" s="136"/>
      <c r="D1217" s="148"/>
      <c r="E1217" s="136"/>
      <c r="F1217" s="136"/>
      <c r="G1217" s="136"/>
      <c r="H1217" s="136"/>
      <c r="J1217" s="136"/>
      <c r="K1217" s="136"/>
      <c r="AE1217" s="39" t="str">
        <f>IF(D1217="","",IFERROR(VLOOKUP(D1217,Projects!$A$2:$A$20000,1,FALSE),""))</f>
        <v/>
      </c>
      <c r="AF1217" s="2" t="str">
        <f>IF(D1217="","",IFERROR(MATCH(D1217,Projects!$A:$A,0),""))</f>
        <v/>
      </c>
    </row>
    <row r="1218" spans="2:32" x14ac:dyDescent="0.25">
      <c r="B1218" s="24"/>
      <c r="C1218" s="136"/>
      <c r="D1218" s="148"/>
      <c r="E1218" s="136"/>
      <c r="F1218" s="136"/>
      <c r="G1218" s="136"/>
      <c r="H1218" s="136"/>
      <c r="J1218" s="136"/>
      <c r="K1218" s="136"/>
      <c r="AE1218" s="39" t="str">
        <f>IF(D1218="","",IFERROR(VLOOKUP(D1218,Projects!$A$2:$A$20000,1,FALSE),""))</f>
        <v/>
      </c>
      <c r="AF1218" s="2" t="str">
        <f>IF(D1218="","",IFERROR(MATCH(D1218,Projects!$A:$A,0),""))</f>
        <v/>
      </c>
    </row>
    <row r="1219" spans="2:32" x14ac:dyDescent="0.25">
      <c r="B1219" s="24"/>
      <c r="C1219" s="136"/>
      <c r="D1219" s="148"/>
      <c r="E1219" s="136"/>
      <c r="F1219" s="136"/>
      <c r="G1219" s="136"/>
      <c r="H1219" s="136"/>
      <c r="J1219" s="136"/>
      <c r="K1219" s="136"/>
      <c r="AE1219" s="39" t="str">
        <f>IF(D1219="","",IFERROR(VLOOKUP(D1219,Projects!$A$2:$A$20000,1,FALSE),""))</f>
        <v/>
      </c>
      <c r="AF1219" s="2" t="str">
        <f>IF(D1219="","",IFERROR(MATCH(D1219,Projects!$A:$A,0),""))</f>
        <v/>
      </c>
    </row>
    <row r="1220" spans="2:32" x14ac:dyDescent="0.25">
      <c r="B1220" s="24"/>
      <c r="C1220" s="136"/>
      <c r="D1220" s="148"/>
      <c r="E1220" s="136"/>
      <c r="F1220" s="136"/>
      <c r="G1220" s="136"/>
      <c r="H1220" s="136"/>
      <c r="J1220" s="136"/>
      <c r="K1220" s="136"/>
      <c r="AE1220" s="39" t="str">
        <f>IF(D1220="","",IFERROR(VLOOKUP(D1220,Projects!$A$2:$A$20000,1,FALSE),""))</f>
        <v/>
      </c>
      <c r="AF1220" s="2" t="str">
        <f>IF(D1220="","",IFERROR(MATCH(D1220,Projects!$A:$A,0),""))</f>
        <v/>
      </c>
    </row>
    <row r="1221" spans="2:32" x14ac:dyDescent="0.25">
      <c r="B1221" s="24"/>
      <c r="C1221" s="136"/>
      <c r="D1221" s="148"/>
      <c r="E1221" s="136"/>
      <c r="F1221" s="136"/>
      <c r="G1221" s="136"/>
      <c r="H1221" s="136"/>
      <c r="J1221" s="136"/>
      <c r="K1221" s="136"/>
      <c r="AE1221" s="39" t="str">
        <f>IF(D1221="","",IFERROR(VLOOKUP(D1221,Projects!$A$2:$A$20000,1,FALSE),""))</f>
        <v/>
      </c>
      <c r="AF1221" s="2" t="str">
        <f>IF(D1221="","",IFERROR(MATCH(D1221,Projects!$A:$A,0),""))</f>
        <v/>
      </c>
    </row>
    <row r="1222" spans="2:32" x14ac:dyDescent="0.25">
      <c r="B1222" s="24"/>
      <c r="C1222" s="136"/>
      <c r="D1222" s="148"/>
      <c r="E1222" s="136"/>
      <c r="F1222" s="136"/>
      <c r="G1222" s="136"/>
      <c r="H1222" s="136"/>
      <c r="J1222" s="136"/>
      <c r="K1222" s="136"/>
      <c r="AE1222" s="39" t="str">
        <f>IF(D1222="","",IFERROR(VLOOKUP(D1222,Projects!$A$2:$A$20000,1,FALSE),""))</f>
        <v/>
      </c>
      <c r="AF1222" s="2" t="str">
        <f>IF(D1222="","",IFERROR(MATCH(D1222,Projects!$A:$A,0),""))</f>
        <v/>
      </c>
    </row>
    <row r="1223" spans="2:32" x14ac:dyDescent="0.25">
      <c r="B1223" s="24"/>
      <c r="C1223" s="136"/>
      <c r="D1223" s="148"/>
      <c r="E1223" s="136"/>
      <c r="F1223" s="136"/>
      <c r="G1223" s="136"/>
      <c r="H1223" s="136"/>
      <c r="J1223" s="136"/>
      <c r="K1223" s="136"/>
      <c r="AE1223" s="39" t="str">
        <f>IF(D1223="","",IFERROR(VLOOKUP(D1223,Projects!$A$2:$A$20000,1,FALSE),""))</f>
        <v/>
      </c>
      <c r="AF1223" s="2" t="str">
        <f>IF(D1223="","",IFERROR(MATCH(D1223,Projects!$A:$A,0),""))</f>
        <v/>
      </c>
    </row>
    <row r="1224" spans="2:32" x14ac:dyDescent="0.25">
      <c r="B1224" s="24"/>
      <c r="C1224" s="136"/>
      <c r="D1224" s="148"/>
      <c r="E1224" s="136"/>
      <c r="F1224" s="136"/>
      <c r="G1224" s="136"/>
      <c r="H1224" s="136"/>
      <c r="J1224" s="136"/>
      <c r="K1224" s="136"/>
      <c r="AE1224" s="39" t="str">
        <f>IF(D1224="","",IFERROR(VLOOKUP(D1224,Projects!$A$2:$A$20000,1,FALSE),""))</f>
        <v/>
      </c>
      <c r="AF1224" s="2" t="str">
        <f>IF(D1224="","",IFERROR(MATCH(D1224,Projects!$A:$A,0),""))</f>
        <v/>
      </c>
    </row>
    <row r="1225" spans="2:32" x14ac:dyDescent="0.25">
      <c r="B1225" s="24"/>
      <c r="C1225" s="136"/>
      <c r="D1225" s="148"/>
      <c r="E1225" s="136"/>
      <c r="F1225" s="136"/>
      <c r="G1225" s="136"/>
      <c r="H1225" s="136"/>
      <c r="J1225" s="136"/>
      <c r="K1225" s="136"/>
      <c r="AE1225" s="39" t="str">
        <f>IF(D1225="","",IFERROR(VLOOKUP(D1225,Projects!$A$2:$A$20000,1,FALSE),""))</f>
        <v/>
      </c>
      <c r="AF1225" s="2" t="str">
        <f>IF(D1225="","",IFERROR(MATCH(D1225,Projects!$A:$A,0),""))</f>
        <v/>
      </c>
    </row>
    <row r="1226" spans="2:32" x14ac:dyDescent="0.25">
      <c r="B1226" s="24"/>
      <c r="C1226" s="136"/>
      <c r="D1226" s="148"/>
      <c r="E1226" s="136"/>
      <c r="F1226" s="136"/>
      <c r="G1226" s="136"/>
      <c r="H1226" s="136"/>
      <c r="J1226" s="136"/>
      <c r="K1226" s="136"/>
      <c r="AE1226" s="39" t="str">
        <f>IF(D1226="","",IFERROR(VLOOKUP(D1226,Projects!$A$2:$A$20000,1,FALSE),""))</f>
        <v/>
      </c>
      <c r="AF1226" s="2" t="str">
        <f>IF(D1226="","",IFERROR(MATCH(D1226,Projects!$A:$A,0),""))</f>
        <v/>
      </c>
    </row>
    <row r="1227" spans="2:32" x14ac:dyDescent="0.25">
      <c r="B1227" s="24"/>
      <c r="C1227" s="136"/>
      <c r="D1227" s="148"/>
      <c r="E1227" s="136"/>
      <c r="F1227" s="136"/>
      <c r="G1227" s="136"/>
      <c r="H1227" s="136"/>
      <c r="J1227" s="136"/>
      <c r="K1227" s="136"/>
      <c r="AE1227" s="39" t="str">
        <f>IF(D1227="","",IFERROR(VLOOKUP(D1227,Projects!$A$2:$A$20000,1,FALSE),""))</f>
        <v/>
      </c>
      <c r="AF1227" s="2" t="str">
        <f>IF(D1227="","",IFERROR(MATCH(D1227,Projects!$A:$A,0),""))</f>
        <v/>
      </c>
    </row>
    <row r="1228" spans="2:32" x14ac:dyDescent="0.25">
      <c r="B1228" s="24"/>
      <c r="C1228" s="136"/>
      <c r="D1228" s="148"/>
      <c r="E1228" s="136"/>
      <c r="F1228" s="136"/>
      <c r="G1228" s="136"/>
      <c r="H1228" s="136"/>
      <c r="J1228" s="136"/>
      <c r="K1228" s="136"/>
      <c r="AE1228" s="39" t="str">
        <f>IF(D1228="","",IFERROR(VLOOKUP(D1228,Projects!$A$2:$A$20000,1,FALSE),""))</f>
        <v/>
      </c>
      <c r="AF1228" s="2" t="str">
        <f>IF(D1228="","",IFERROR(MATCH(D1228,Projects!$A:$A,0),""))</f>
        <v/>
      </c>
    </row>
    <row r="1229" spans="2:32" x14ac:dyDescent="0.25">
      <c r="B1229" s="24"/>
      <c r="C1229" s="136"/>
      <c r="D1229" s="148"/>
      <c r="E1229" s="136"/>
      <c r="F1229" s="136"/>
      <c r="G1229" s="136"/>
      <c r="H1229" s="136"/>
      <c r="J1229" s="136"/>
      <c r="K1229" s="136"/>
      <c r="AE1229" s="39" t="str">
        <f>IF(D1229="","",IFERROR(VLOOKUP(D1229,Projects!$A$2:$A$20000,1,FALSE),""))</f>
        <v/>
      </c>
      <c r="AF1229" s="2" t="str">
        <f>IF(D1229="","",IFERROR(MATCH(D1229,Projects!$A:$A,0),""))</f>
        <v/>
      </c>
    </row>
    <row r="1230" spans="2:32" x14ac:dyDescent="0.25">
      <c r="B1230" s="24"/>
      <c r="C1230" s="136"/>
      <c r="D1230" s="148"/>
      <c r="E1230" s="136"/>
      <c r="F1230" s="136"/>
      <c r="G1230" s="136"/>
      <c r="H1230" s="136"/>
      <c r="J1230" s="136"/>
      <c r="K1230" s="136"/>
      <c r="AE1230" s="39" t="str">
        <f>IF(D1230="","",IFERROR(VLOOKUP(D1230,Projects!$A$2:$A$20000,1,FALSE),""))</f>
        <v/>
      </c>
      <c r="AF1230" s="2" t="str">
        <f>IF(D1230="","",IFERROR(MATCH(D1230,Projects!$A:$A,0),""))</f>
        <v/>
      </c>
    </row>
    <row r="1231" spans="2:32" x14ac:dyDescent="0.25">
      <c r="B1231" s="24"/>
      <c r="C1231" s="136"/>
      <c r="D1231" s="148"/>
      <c r="E1231" s="136"/>
      <c r="F1231" s="136"/>
      <c r="G1231" s="136"/>
      <c r="H1231" s="136"/>
      <c r="J1231" s="136"/>
      <c r="K1231" s="136"/>
      <c r="AE1231" s="39" t="str">
        <f>IF(D1231="","",IFERROR(VLOOKUP(D1231,Projects!$A$2:$A$20000,1,FALSE),""))</f>
        <v/>
      </c>
      <c r="AF1231" s="2" t="str">
        <f>IF(D1231="","",IFERROR(MATCH(D1231,Projects!$A:$A,0),""))</f>
        <v/>
      </c>
    </row>
    <row r="1232" spans="2:32" x14ac:dyDescent="0.25">
      <c r="B1232" s="24"/>
      <c r="C1232" s="136"/>
      <c r="D1232" s="148"/>
      <c r="E1232" s="136"/>
      <c r="F1232" s="136"/>
      <c r="G1232" s="136"/>
      <c r="H1232" s="136"/>
      <c r="J1232" s="136"/>
      <c r="K1232" s="136"/>
      <c r="AE1232" s="39" t="str">
        <f>IF(D1232="","",IFERROR(VLOOKUP(D1232,Projects!$A$2:$A$20000,1,FALSE),""))</f>
        <v/>
      </c>
      <c r="AF1232" s="2" t="str">
        <f>IF(D1232="","",IFERROR(MATCH(D1232,Projects!$A:$A,0),""))</f>
        <v/>
      </c>
    </row>
    <row r="1233" spans="2:32" x14ac:dyDescent="0.25">
      <c r="B1233" s="24"/>
      <c r="C1233" s="136"/>
      <c r="D1233" s="148"/>
      <c r="E1233" s="136"/>
      <c r="F1233" s="136"/>
      <c r="G1233" s="136"/>
      <c r="H1233" s="136"/>
      <c r="J1233" s="136"/>
      <c r="K1233" s="136"/>
      <c r="AE1233" s="39" t="str">
        <f>IF(D1233="","",IFERROR(VLOOKUP(D1233,Projects!$A$2:$A$20000,1,FALSE),""))</f>
        <v/>
      </c>
      <c r="AF1233" s="2" t="str">
        <f>IF(D1233="","",IFERROR(MATCH(D1233,Projects!$A:$A,0),""))</f>
        <v/>
      </c>
    </row>
    <row r="1234" spans="2:32" x14ac:dyDescent="0.25">
      <c r="B1234" s="24"/>
      <c r="C1234" s="136"/>
      <c r="D1234" s="148"/>
      <c r="E1234" s="136"/>
      <c r="F1234" s="136"/>
      <c r="G1234" s="136"/>
      <c r="H1234" s="136"/>
      <c r="J1234" s="136"/>
      <c r="K1234" s="136"/>
      <c r="AE1234" s="39" t="str">
        <f>IF(D1234="","",IFERROR(VLOOKUP(D1234,Projects!$A$2:$A$20000,1,FALSE),""))</f>
        <v/>
      </c>
      <c r="AF1234" s="2" t="str">
        <f>IF(D1234="","",IFERROR(MATCH(D1234,Projects!$A:$A,0),""))</f>
        <v/>
      </c>
    </row>
    <row r="1235" spans="2:32" x14ac:dyDescent="0.25">
      <c r="B1235" s="24"/>
      <c r="C1235" s="136"/>
      <c r="D1235" s="148"/>
      <c r="E1235" s="136"/>
      <c r="F1235" s="136"/>
      <c r="G1235" s="136"/>
      <c r="H1235" s="136"/>
      <c r="J1235" s="136"/>
      <c r="K1235" s="136"/>
      <c r="AE1235" s="39" t="str">
        <f>IF(D1235="","",IFERROR(VLOOKUP(D1235,Projects!$A$2:$A$20000,1,FALSE),""))</f>
        <v/>
      </c>
      <c r="AF1235" s="2" t="str">
        <f>IF(D1235="","",IFERROR(MATCH(D1235,Projects!$A:$A,0),""))</f>
        <v/>
      </c>
    </row>
    <row r="1236" spans="2:32" x14ac:dyDescent="0.25">
      <c r="B1236" s="24"/>
      <c r="C1236" s="136"/>
      <c r="D1236" s="148"/>
      <c r="E1236" s="136"/>
      <c r="F1236" s="136"/>
      <c r="G1236" s="136"/>
      <c r="H1236" s="136"/>
      <c r="J1236" s="136"/>
      <c r="K1236" s="136"/>
      <c r="AE1236" s="39" t="str">
        <f>IF(D1236="","",IFERROR(VLOOKUP(D1236,Projects!$A$2:$A$20000,1,FALSE),""))</f>
        <v/>
      </c>
      <c r="AF1236" s="2" t="str">
        <f>IF(D1236="","",IFERROR(MATCH(D1236,Projects!$A:$A,0),""))</f>
        <v/>
      </c>
    </row>
    <row r="1237" spans="2:32" x14ac:dyDescent="0.25">
      <c r="B1237" s="24"/>
      <c r="C1237" s="136"/>
      <c r="D1237" s="148"/>
      <c r="E1237" s="136"/>
      <c r="F1237" s="136"/>
      <c r="G1237" s="136"/>
      <c r="H1237" s="136"/>
      <c r="J1237" s="136"/>
      <c r="K1237" s="136"/>
      <c r="AE1237" s="39" t="str">
        <f>IF(D1237="","",IFERROR(VLOOKUP(D1237,Projects!$A$2:$A$20000,1,FALSE),""))</f>
        <v/>
      </c>
      <c r="AF1237" s="2" t="str">
        <f>IF(D1237="","",IFERROR(MATCH(D1237,Projects!$A:$A,0),""))</f>
        <v/>
      </c>
    </row>
    <row r="1238" spans="2:32" x14ac:dyDescent="0.25">
      <c r="B1238" s="24"/>
      <c r="C1238" s="136"/>
      <c r="D1238" s="148"/>
      <c r="E1238" s="136"/>
      <c r="F1238" s="136"/>
      <c r="G1238" s="136"/>
      <c r="H1238" s="136"/>
      <c r="J1238" s="136"/>
      <c r="K1238" s="136"/>
      <c r="AE1238" s="39" t="str">
        <f>IF(D1238="","",IFERROR(VLOOKUP(D1238,Projects!$A$2:$A$20000,1,FALSE),""))</f>
        <v/>
      </c>
      <c r="AF1238" s="2" t="str">
        <f>IF(D1238="","",IFERROR(MATCH(D1238,Projects!$A:$A,0),""))</f>
        <v/>
      </c>
    </row>
    <row r="1239" spans="2:32" x14ac:dyDescent="0.25">
      <c r="B1239" s="24"/>
      <c r="C1239" s="136"/>
      <c r="D1239" s="148"/>
      <c r="E1239" s="136"/>
      <c r="F1239" s="136"/>
      <c r="G1239" s="136"/>
      <c r="H1239" s="136"/>
      <c r="J1239" s="136"/>
      <c r="K1239" s="136"/>
      <c r="AE1239" s="39" t="str">
        <f>IF(D1239="","",IFERROR(VLOOKUP(D1239,Projects!$A$2:$A$20000,1,FALSE),""))</f>
        <v/>
      </c>
      <c r="AF1239" s="2" t="str">
        <f>IF(D1239="","",IFERROR(MATCH(D1239,Projects!$A:$A,0),""))</f>
        <v/>
      </c>
    </row>
    <row r="1240" spans="2:32" x14ac:dyDescent="0.25">
      <c r="B1240" s="24"/>
      <c r="C1240" s="136"/>
      <c r="D1240" s="148"/>
      <c r="E1240" s="136"/>
      <c r="F1240" s="136"/>
      <c r="G1240" s="136"/>
      <c r="H1240" s="136"/>
      <c r="J1240" s="136"/>
      <c r="K1240" s="136"/>
      <c r="AE1240" s="39" t="str">
        <f>IF(D1240="","",IFERROR(VLOOKUP(D1240,Projects!$A$2:$A$20000,1,FALSE),""))</f>
        <v/>
      </c>
      <c r="AF1240" s="2" t="str">
        <f>IF(D1240="","",IFERROR(MATCH(D1240,Projects!$A:$A,0),""))</f>
        <v/>
      </c>
    </row>
    <row r="1241" spans="2:32" x14ac:dyDescent="0.25">
      <c r="B1241" s="24"/>
      <c r="C1241" s="136"/>
      <c r="D1241" s="148"/>
      <c r="E1241" s="136"/>
      <c r="F1241" s="136"/>
      <c r="G1241" s="136"/>
      <c r="H1241" s="136"/>
      <c r="J1241" s="136"/>
      <c r="K1241" s="136"/>
      <c r="AE1241" s="39" t="str">
        <f>IF(D1241="","",IFERROR(VLOOKUP(D1241,Projects!$A$2:$A$20000,1,FALSE),""))</f>
        <v/>
      </c>
      <c r="AF1241" s="2" t="str">
        <f>IF(D1241="","",IFERROR(MATCH(D1241,Projects!$A:$A,0),""))</f>
        <v/>
      </c>
    </row>
    <row r="1242" spans="2:32" x14ac:dyDescent="0.25">
      <c r="B1242" s="24"/>
      <c r="C1242" s="136"/>
      <c r="D1242" s="148"/>
      <c r="E1242" s="136"/>
      <c r="F1242" s="136"/>
      <c r="G1242" s="136"/>
      <c r="H1242" s="136"/>
      <c r="J1242" s="136"/>
      <c r="K1242" s="136"/>
      <c r="AE1242" s="39" t="str">
        <f>IF(D1242="","",IFERROR(VLOOKUP(D1242,Projects!$A$2:$A$20000,1,FALSE),""))</f>
        <v/>
      </c>
      <c r="AF1242" s="2" t="str">
        <f>IF(D1242="","",IFERROR(MATCH(D1242,Projects!$A:$A,0),""))</f>
        <v/>
      </c>
    </row>
    <row r="1243" spans="2:32" x14ac:dyDescent="0.25">
      <c r="B1243" s="24"/>
      <c r="C1243" s="136"/>
      <c r="D1243" s="148"/>
      <c r="E1243" s="136"/>
      <c r="F1243" s="136"/>
      <c r="G1243" s="136"/>
      <c r="H1243" s="136"/>
      <c r="J1243" s="136"/>
      <c r="K1243" s="136"/>
      <c r="AE1243" s="39" t="str">
        <f>IF(D1243="","",IFERROR(VLOOKUP(D1243,Projects!$A$2:$A$20000,1,FALSE),""))</f>
        <v/>
      </c>
      <c r="AF1243" s="2" t="str">
        <f>IF(D1243="","",IFERROR(MATCH(D1243,Projects!$A:$A,0),""))</f>
        <v/>
      </c>
    </row>
    <row r="1244" spans="2:32" x14ac:dyDescent="0.25">
      <c r="B1244" s="24"/>
      <c r="C1244" s="136"/>
      <c r="D1244" s="148"/>
      <c r="E1244" s="136"/>
      <c r="F1244" s="136"/>
      <c r="G1244" s="136"/>
      <c r="H1244" s="136"/>
      <c r="J1244" s="136"/>
      <c r="K1244" s="136"/>
      <c r="AE1244" s="39" t="str">
        <f>IF(D1244="","",IFERROR(VLOOKUP(D1244,Projects!$A$2:$A$20000,1,FALSE),""))</f>
        <v/>
      </c>
      <c r="AF1244" s="2" t="str">
        <f>IF(D1244="","",IFERROR(MATCH(D1244,Projects!$A:$A,0),""))</f>
        <v/>
      </c>
    </row>
    <row r="1245" spans="2:32" x14ac:dyDescent="0.25">
      <c r="B1245" s="24"/>
      <c r="C1245" s="136"/>
      <c r="D1245" s="148"/>
      <c r="E1245" s="136"/>
      <c r="F1245" s="136"/>
      <c r="G1245" s="136"/>
      <c r="H1245" s="136"/>
      <c r="J1245" s="136"/>
      <c r="K1245" s="136"/>
      <c r="AE1245" s="39" t="str">
        <f>IF(D1245="","",IFERROR(VLOOKUP(D1245,Projects!$A$2:$A$20000,1,FALSE),""))</f>
        <v/>
      </c>
      <c r="AF1245" s="2" t="str">
        <f>IF(D1245="","",IFERROR(MATCH(D1245,Projects!$A:$A,0),""))</f>
        <v/>
      </c>
    </row>
    <row r="1246" spans="2:32" x14ac:dyDescent="0.25">
      <c r="B1246" s="24"/>
      <c r="C1246" s="136"/>
      <c r="D1246" s="148"/>
      <c r="E1246" s="136"/>
      <c r="F1246" s="136"/>
      <c r="G1246" s="136"/>
      <c r="H1246" s="136"/>
      <c r="J1246" s="136"/>
      <c r="K1246" s="136"/>
      <c r="AE1246" s="39" t="str">
        <f>IF(D1246="","",IFERROR(VLOOKUP(D1246,Projects!$A$2:$A$20000,1,FALSE),""))</f>
        <v/>
      </c>
      <c r="AF1246" s="2" t="str">
        <f>IF(D1246="","",IFERROR(MATCH(D1246,Projects!$A:$A,0),""))</f>
        <v/>
      </c>
    </row>
    <row r="1247" spans="2:32" x14ac:dyDescent="0.25">
      <c r="B1247" s="24"/>
      <c r="C1247" s="136"/>
      <c r="D1247" s="148"/>
      <c r="E1247" s="136"/>
      <c r="F1247" s="136"/>
      <c r="G1247" s="136"/>
      <c r="H1247" s="136"/>
      <c r="J1247" s="136"/>
      <c r="K1247" s="136"/>
      <c r="AE1247" s="39" t="str">
        <f>IF(D1247="","",IFERROR(VLOOKUP(D1247,Projects!$A$2:$A$20000,1,FALSE),""))</f>
        <v/>
      </c>
      <c r="AF1247" s="2" t="str">
        <f>IF(D1247="","",IFERROR(MATCH(D1247,Projects!$A:$A,0),""))</f>
        <v/>
      </c>
    </row>
    <row r="1248" spans="2:32" x14ac:dyDescent="0.25">
      <c r="B1248" s="24"/>
      <c r="C1248" s="136"/>
      <c r="D1248" s="148"/>
      <c r="E1248" s="136"/>
      <c r="F1248" s="136"/>
      <c r="G1248" s="136"/>
      <c r="H1248" s="136"/>
      <c r="J1248" s="136"/>
      <c r="K1248" s="136"/>
      <c r="AE1248" s="39" t="str">
        <f>IF(D1248="","",IFERROR(VLOOKUP(D1248,Projects!$A$2:$A$20000,1,FALSE),""))</f>
        <v/>
      </c>
      <c r="AF1248" s="2" t="str">
        <f>IF(D1248="","",IFERROR(MATCH(D1248,Projects!$A:$A,0),""))</f>
        <v/>
      </c>
    </row>
    <row r="1249" spans="2:32" x14ac:dyDescent="0.25">
      <c r="B1249" s="24"/>
      <c r="C1249" s="136"/>
      <c r="D1249" s="148"/>
      <c r="E1249" s="136"/>
      <c r="F1249" s="136"/>
      <c r="G1249" s="136"/>
      <c r="H1249" s="136"/>
      <c r="J1249" s="136"/>
      <c r="K1249" s="136"/>
      <c r="AE1249" s="39" t="str">
        <f>IF(D1249="","",IFERROR(VLOOKUP(D1249,Projects!$A$2:$A$20000,1,FALSE),""))</f>
        <v/>
      </c>
      <c r="AF1249" s="2" t="str">
        <f>IF(D1249="","",IFERROR(MATCH(D1249,Projects!$A:$A,0),""))</f>
        <v/>
      </c>
    </row>
    <row r="1250" spans="2:32" x14ac:dyDescent="0.25">
      <c r="B1250" s="24"/>
      <c r="C1250" s="136"/>
      <c r="D1250" s="148"/>
      <c r="E1250" s="136"/>
      <c r="F1250" s="136"/>
      <c r="G1250" s="136"/>
      <c r="H1250" s="136"/>
      <c r="J1250" s="136"/>
      <c r="K1250" s="136"/>
      <c r="AE1250" s="39" t="str">
        <f>IF(D1250="","",IFERROR(VLOOKUP(D1250,Projects!$A$2:$A$20000,1,FALSE),""))</f>
        <v/>
      </c>
      <c r="AF1250" s="2" t="str">
        <f>IF(D1250="","",IFERROR(MATCH(D1250,Projects!$A:$A,0),""))</f>
        <v/>
      </c>
    </row>
    <row r="1251" spans="2:32" x14ac:dyDescent="0.25">
      <c r="B1251" s="24"/>
      <c r="C1251" s="136"/>
      <c r="D1251" s="148"/>
      <c r="E1251" s="136"/>
      <c r="F1251" s="136"/>
      <c r="G1251" s="136"/>
      <c r="H1251" s="136"/>
      <c r="J1251" s="136"/>
      <c r="K1251" s="136"/>
      <c r="AE1251" s="39" t="str">
        <f>IF(D1251="","",IFERROR(VLOOKUP(D1251,Projects!$A$2:$A$20000,1,FALSE),""))</f>
        <v/>
      </c>
      <c r="AF1251" s="2" t="str">
        <f>IF(D1251="","",IFERROR(MATCH(D1251,Projects!$A:$A,0),""))</f>
        <v/>
      </c>
    </row>
    <row r="1252" spans="2:32" x14ac:dyDescent="0.25">
      <c r="B1252" s="24"/>
      <c r="C1252" s="136"/>
      <c r="D1252" s="148"/>
      <c r="E1252" s="136"/>
      <c r="F1252" s="136"/>
      <c r="G1252" s="136"/>
      <c r="H1252" s="136"/>
      <c r="J1252" s="136"/>
      <c r="K1252" s="136"/>
      <c r="AE1252" s="39" t="str">
        <f>IF(D1252="","",IFERROR(VLOOKUP(D1252,Projects!$A$2:$A$20000,1,FALSE),""))</f>
        <v/>
      </c>
      <c r="AF1252" s="2" t="str">
        <f>IF(D1252="","",IFERROR(MATCH(D1252,Projects!$A:$A,0),""))</f>
        <v/>
      </c>
    </row>
    <row r="1253" spans="2:32" x14ac:dyDescent="0.25">
      <c r="B1253" s="24"/>
      <c r="C1253" s="136"/>
      <c r="D1253" s="148"/>
      <c r="E1253" s="136"/>
      <c r="F1253" s="136"/>
      <c r="G1253" s="136"/>
      <c r="H1253" s="136"/>
      <c r="J1253" s="136"/>
      <c r="K1253" s="136"/>
      <c r="AE1253" s="39" t="str">
        <f>IF(D1253="","",IFERROR(VLOOKUP(D1253,Projects!$A$2:$A$20000,1,FALSE),""))</f>
        <v/>
      </c>
      <c r="AF1253" s="2" t="str">
        <f>IF(D1253="","",IFERROR(MATCH(D1253,Projects!$A:$A,0),""))</f>
        <v/>
      </c>
    </row>
    <row r="1254" spans="2:32" x14ac:dyDescent="0.25">
      <c r="B1254" s="24"/>
      <c r="C1254" s="136"/>
      <c r="D1254" s="148"/>
      <c r="E1254" s="136"/>
      <c r="F1254" s="136"/>
      <c r="G1254" s="136"/>
      <c r="H1254" s="136"/>
      <c r="J1254" s="136"/>
      <c r="K1254" s="136"/>
      <c r="AE1254" s="39" t="str">
        <f>IF(D1254="","",IFERROR(VLOOKUP(D1254,Projects!$A$2:$A$20000,1,FALSE),""))</f>
        <v/>
      </c>
      <c r="AF1254" s="2" t="str">
        <f>IF(D1254="","",IFERROR(MATCH(D1254,Projects!$A:$A,0),""))</f>
        <v/>
      </c>
    </row>
    <row r="1255" spans="2:32" x14ac:dyDescent="0.25">
      <c r="B1255" s="24"/>
      <c r="C1255" s="136"/>
      <c r="D1255" s="148"/>
      <c r="E1255" s="136"/>
      <c r="F1255" s="136"/>
      <c r="G1255" s="136"/>
      <c r="H1255" s="136"/>
      <c r="J1255" s="136"/>
      <c r="K1255" s="136"/>
      <c r="AE1255" s="39" t="str">
        <f>IF(D1255="","",IFERROR(VLOOKUP(D1255,Projects!$A$2:$A$20000,1,FALSE),""))</f>
        <v/>
      </c>
      <c r="AF1255" s="2" t="str">
        <f>IF(D1255="","",IFERROR(MATCH(D1255,Projects!$A:$A,0),""))</f>
        <v/>
      </c>
    </row>
    <row r="1256" spans="2:32" x14ac:dyDescent="0.25">
      <c r="B1256" s="24"/>
      <c r="C1256" s="136"/>
      <c r="D1256" s="148"/>
      <c r="E1256" s="136"/>
      <c r="F1256" s="136"/>
      <c r="G1256" s="136"/>
      <c r="H1256" s="136"/>
      <c r="J1256" s="136"/>
      <c r="K1256" s="136"/>
      <c r="AE1256" s="39" t="str">
        <f>IF(D1256="","",IFERROR(VLOOKUP(D1256,Projects!$A$2:$A$20000,1,FALSE),""))</f>
        <v/>
      </c>
      <c r="AF1256" s="2" t="str">
        <f>IF(D1256="","",IFERROR(MATCH(D1256,Projects!$A:$A,0),""))</f>
        <v/>
      </c>
    </row>
    <row r="1257" spans="2:32" x14ac:dyDescent="0.25">
      <c r="B1257" s="24"/>
      <c r="C1257" s="136"/>
      <c r="D1257" s="148"/>
      <c r="E1257" s="136"/>
      <c r="F1257" s="136"/>
      <c r="G1257" s="136"/>
      <c r="H1257" s="136"/>
      <c r="J1257" s="136"/>
      <c r="K1257" s="136"/>
      <c r="AE1257" s="39" t="str">
        <f>IF(D1257="","",IFERROR(VLOOKUP(D1257,Projects!$A$2:$A$20000,1,FALSE),""))</f>
        <v/>
      </c>
      <c r="AF1257" s="2" t="str">
        <f>IF(D1257="","",IFERROR(MATCH(D1257,Projects!$A:$A,0),""))</f>
        <v/>
      </c>
    </row>
    <row r="1258" spans="2:32" x14ac:dyDescent="0.25">
      <c r="B1258" s="24"/>
      <c r="C1258" s="136"/>
      <c r="D1258" s="148"/>
      <c r="E1258" s="136"/>
      <c r="F1258" s="136"/>
      <c r="G1258" s="136"/>
      <c r="H1258" s="136"/>
      <c r="J1258" s="136"/>
      <c r="K1258" s="136"/>
      <c r="AE1258" s="39" t="str">
        <f>IF(D1258="","",IFERROR(VLOOKUP(D1258,Projects!$A$2:$A$20000,1,FALSE),""))</f>
        <v/>
      </c>
      <c r="AF1258" s="2" t="str">
        <f>IF(D1258="","",IFERROR(MATCH(D1258,Projects!$A:$A,0),""))</f>
        <v/>
      </c>
    </row>
    <row r="1259" spans="2:32" x14ac:dyDescent="0.25">
      <c r="B1259" s="24"/>
      <c r="C1259" s="136"/>
      <c r="D1259" s="148"/>
      <c r="E1259" s="136"/>
      <c r="F1259" s="136"/>
      <c r="G1259" s="136"/>
      <c r="H1259" s="136"/>
      <c r="J1259" s="136"/>
      <c r="K1259" s="136"/>
      <c r="AE1259" s="39" t="str">
        <f>IF(D1259="","",IFERROR(VLOOKUP(D1259,Projects!$A$2:$A$20000,1,FALSE),""))</f>
        <v/>
      </c>
      <c r="AF1259" s="2" t="str">
        <f>IF(D1259="","",IFERROR(MATCH(D1259,Projects!$A:$A,0),""))</f>
        <v/>
      </c>
    </row>
    <row r="1260" spans="2:32" x14ac:dyDescent="0.25">
      <c r="B1260" s="24"/>
      <c r="C1260" s="136"/>
      <c r="D1260" s="148"/>
      <c r="E1260" s="136"/>
      <c r="F1260" s="136"/>
      <c r="G1260" s="136"/>
      <c r="H1260" s="136"/>
      <c r="J1260" s="136"/>
      <c r="K1260" s="136"/>
      <c r="AE1260" s="39" t="str">
        <f>IF(D1260="","",IFERROR(VLOOKUP(D1260,Projects!$A$2:$A$20000,1,FALSE),""))</f>
        <v/>
      </c>
      <c r="AF1260" s="2" t="str">
        <f>IF(D1260="","",IFERROR(MATCH(D1260,Projects!$A:$A,0),""))</f>
        <v/>
      </c>
    </row>
    <row r="1261" spans="2:32" x14ac:dyDescent="0.25">
      <c r="B1261" s="24"/>
      <c r="C1261" s="136"/>
      <c r="D1261" s="148"/>
      <c r="E1261" s="136"/>
      <c r="F1261" s="136"/>
      <c r="G1261" s="136"/>
      <c r="H1261" s="136"/>
      <c r="J1261" s="136"/>
      <c r="K1261" s="136"/>
      <c r="AE1261" s="39" t="str">
        <f>IF(D1261="","",IFERROR(VLOOKUP(D1261,Projects!$A$2:$A$20000,1,FALSE),""))</f>
        <v/>
      </c>
      <c r="AF1261" s="2" t="str">
        <f>IF(D1261="","",IFERROR(MATCH(D1261,Projects!$A:$A,0),""))</f>
        <v/>
      </c>
    </row>
    <row r="1262" spans="2:32" x14ac:dyDescent="0.25">
      <c r="B1262" s="24"/>
      <c r="C1262" s="136"/>
      <c r="D1262" s="148"/>
      <c r="E1262" s="136"/>
      <c r="F1262" s="136"/>
      <c r="G1262" s="136"/>
      <c r="H1262" s="136"/>
      <c r="J1262" s="136"/>
      <c r="K1262" s="136"/>
      <c r="AE1262" s="39" t="str">
        <f>IF(D1262="","",IFERROR(VLOOKUP(D1262,Projects!$A$2:$A$20000,1,FALSE),""))</f>
        <v/>
      </c>
      <c r="AF1262" s="2" t="str">
        <f>IF(D1262="","",IFERROR(MATCH(D1262,Projects!$A:$A,0),""))</f>
        <v/>
      </c>
    </row>
    <row r="1263" spans="2:32" x14ac:dyDescent="0.25">
      <c r="B1263" s="24"/>
      <c r="C1263" s="136"/>
      <c r="D1263" s="148"/>
      <c r="E1263" s="136"/>
      <c r="F1263" s="136"/>
      <c r="G1263" s="136"/>
      <c r="H1263" s="136"/>
      <c r="J1263" s="136"/>
      <c r="K1263" s="136"/>
      <c r="AE1263" s="39" t="str">
        <f>IF(D1263="","",IFERROR(VLOOKUP(D1263,Projects!$A$2:$A$20000,1,FALSE),""))</f>
        <v/>
      </c>
      <c r="AF1263" s="2" t="str">
        <f>IF(D1263="","",IFERROR(MATCH(D1263,Projects!$A:$A,0),""))</f>
        <v/>
      </c>
    </row>
    <row r="1264" spans="2:32" x14ac:dyDescent="0.25">
      <c r="B1264" s="24"/>
      <c r="C1264" s="136"/>
      <c r="D1264" s="148"/>
      <c r="E1264" s="136"/>
      <c r="F1264" s="136"/>
      <c r="G1264" s="136"/>
      <c r="H1264" s="136"/>
      <c r="J1264" s="136"/>
      <c r="K1264" s="136"/>
      <c r="AE1264" s="39" t="str">
        <f>IF(D1264="","",IFERROR(VLOOKUP(D1264,Projects!$A$2:$A$20000,1,FALSE),""))</f>
        <v/>
      </c>
      <c r="AF1264" s="2" t="str">
        <f>IF(D1264="","",IFERROR(MATCH(D1264,Projects!$A:$A,0),""))</f>
        <v/>
      </c>
    </row>
    <row r="1265" spans="2:32" x14ac:dyDescent="0.25">
      <c r="B1265" s="24"/>
      <c r="C1265" s="136"/>
      <c r="D1265" s="148"/>
      <c r="E1265" s="136"/>
      <c r="F1265" s="136"/>
      <c r="G1265" s="136"/>
      <c r="H1265" s="136"/>
      <c r="J1265" s="136"/>
      <c r="K1265" s="136"/>
      <c r="AE1265" s="39" t="str">
        <f>IF(D1265="","",IFERROR(VLOOKUP(D1265,Projects!$A$2:$A$20000,1,FALSE),""))</f>
        <v/>
      </c>
      <c r="AF1265" s="2" t="str">
        <f>IF(D1265="","",IFERROR(MATCH(D1265,Projects!$A:$A,0),""))</f>
        <v/>
      </c>
    </row>
    <row r="1266" spans="2:32" x14ac:dyDescent="0.25">
      <c r="B1266" s="24"/>
      <c r="C1266" s="136"/>
      <c r="D1266" s="148"/>
      <c r="E1266" s="136"/>
      <c r="F1266" s="136"/>
      <c r="G1266" s="136"/>
      <c r="H1266" s="136"/>
      <c r="J1266" s="136"/>
      <c r="K1266" s="136"/>
      <c r="AE1266" s="39" t="str">
        <f>IF(D1266="","",IFERROR(VLOOKUP(D1266,Projects!$A$2:$A$20000,1,FALSE),""))</f>
        <v/>
      </c>
      <c r="AF1266" s="2" t="str">
        <f>IF(D1266="","",IFERROR(MATCH(D1266,Projects!$A:$A,0),""))</f>
        <v/>
      </c>
    </row>
    <row r="1267" spans="2:32" x14ac:dyDescent="0.25">
      <c r="B1267" s="24"/>
      <c r="C1267" s="136"/>
      <c r="D1267" s="148"/>
      <c r="E1267" s="136"/>
      <c r="F1267" s="136"/>
      <c r="G1267" s="136"/>
      <c r="H1267" s="136"/>
      <c r="J1267" s="136"/>
      <c r="K1267" s="136"/>
      <c r="AE1267" s="39" t="str">
        <f>IF(D1267="","",IFERROR(VLOOKUP(D1267,Projects!$A$2:$A$20000,1,FALSE),""))</f>
        <v/>
      </c>
      <c r="AF1267" s="2" t="str">
        <f>IF(D1267="","",IFERROR(MATCH(D1267,Projects!$A:$A,0),""))</f>
        <v/>
      </c>
    </row>
    <row r="1268" spans="2:32" x14ac:dyDescent="0.25">
      <c r="B1268" s="24"/>
      <c r="C1268" s="136"/>
      <c r="D1268" s="148"/>
      <c r="E1268" s="136"/>
      <c r="F1268" s="136"/>
      <c r="G1268" s="136"/>
      <c r="H1268" s="136"/>
      <c r="J1268" s="136"/>
      <c r="K1268" s="136"/>
      <c r="AE1268" s="39" t="str">
        <f>IF(D1268="","",IFERROR(VLOOKUP(D1268,Projects!$A$2:$A$20000,1,FALSE),""))</f>
        <v/>
      </c>
      <c r="AF1268" s="2" t="str">
        <f>IF(D1268="","",IFERROR(MATCH(D1268,Projects!$A:$A,0),""))</f>
        <v/>
      </c>
    </row>
    <row r="1269" spans="2:32" x14ac:dyDescent="0.25">
      <c r="B1269" s="24"/>
      <c r="C1269" s="136"/>
      <c r="D1269" s="148"/>
      <c r="E1269" s="136"/>
      <c r="F1269" s="136"/>
      <c r="G1269" s="136"/>
      <c r="H1269" s="136"/>
      <c r="J1269" s="136"/>
      <c r="K1269" s="136"/>
      <c r="AE1269" s="39" t="str">
        <f>IF(D1269="","",IFERROR(VLOOKUP(D1269,Projects!$A$2:$A$20000,1,FALSE),""))</f>
        <v/>
      </c>
      <c r="AF1269" s="2" t="str">
        <f>IF(D1269="","",IFERROR(MATCH(D1269,Projects!$A:$A,0),""))</f>
        <v/>
      </c>
    </row>
    <row r="1270" spans="2:32" x14ac:dyDescent="0.25">
      <c r="B1270" s="24"/>
      <c r="C1270" s="136"/>
      <c r="D1270" s="148"/>
      <c r="E1270" s="136"/>
      <c r="F1270" s="136"/>
      <c r="G1270" s="136"/>
      <c r="H1270" s="136"/>
      <c r="J1270" s="136"/>
      <c r="K1270" s="136"/>
      <c r="AE1270" s="39" t="str">
        <f>IF(D1270="","",IFERROR(VLOOKUP(D1270,Projects!$A$2:$A$20000,1,FALSE),""))</f>
        <v/>
      </c>
      <c r="AF1270" s="2" t="str">
        <f>IF(D1270="","",IFERROR(MATCH(D1270,Projects!$A:$A,0),""))</f>
        <v/>
      </c>
    </row>
    <row r="1271" spans="2:32" x14ac:dyDescent="0.25">
      <c r="B1271" s="24"/>
      <c r="C1271" s="136"/>
      <c r="D1271" s="148"/>
      <c r="E1271" s="136"/>
      <c r="F1271" s="136"/>
      <c r="G1271" s="136"/>
      <c r="H1271" s="136"/>
      <c r="J1271" s="136"/>
      <c r="K1271" s="136"/>
      <c r="AE1271" s="39" t="str">
        <f>IF(D1271="","",IFERROR(VLOOKUP(D1271,Projects!$A$2:$A$20000,1,FALSE),""))</f>
        <v/>
      </c>
      <c r="AF1271" s="2" t="str">
        <f>IF(D1271="","",IFERROR(MATCH(D1271,Projects!$A:$A,0),""))</f>
        <v/>
      </c>
    </row>
    <row r="1272" spans="2:32" x14ac:dyDescent="0.25">
      <c r="B1272" s="24"/>
      <c r="C1272" s="136"/>
      <c r="D1272" s="148"/>
      <c r="E1272" s="136"/>
      <c r="F1272" s="136"/>
      <c r="G1272" s="136"/>
      <c r="H1272" s="136"/>
      <c r="J1272" s="136"/>
      <c r="K1272" s="136"/>
      <c r="AE1272" s="39" t="str">
        <f>IF(D1272="","",IFERROR(VLOOKUP(D1272,Projects!$A$2:$A$20000,1,FALSE),""))</f>
        <v/>
      </c>
      <c r="AF1272" s="2" t="str">
        <f>IF(D1272="","",IFERROR(MATCH(D1272,Projects!$A:$A,0),""))</f>
        <v/>
      </c>
    </row>
    <row r="1273" spans="2:32" x14ac:dyDescent="0.25">
      <c r="B1273" s="24"/>
      <c r="C1273" s="136"/>
      <c r="D1273" s="148"/>
      <c r="E1273" s="136"/>
      <c r="F1273" s="136"/>
      <c r="G1273" s="136"/>
      <c r="H1273" s="136"/>
      <c r="J1273" s="136"/>
      <c r="K1273" s="136"/>
      <c r="AE1273" s="39" t="str">
        <f>IF(D1273="","",IFERROR(VLOOKUP(D1273,Projects!$A$2:$A$20000,1,FALSE),""))</f>
        <v/>
      </c>
      <c r="AF1273" s="2" t="str">
        <f>IF(D1273="","",IFERROR(MATCH(D1273,Projects!$A:$A,0),""))</f>
        <v/>
      </c>
    </row>
    <row r="1274" spans="2:32" x14ac:dyDescent="0.25">
      <c r="B1274" s="24"/>
      <c r="C1274" s="136"/>
      <c r="D1274" s="148"/>
      <c r="E1274" s="136"/>
      <c r="F1274" s="136"/>
      <c r="G1274" s="136"/>
      <c r="H1274" s="136"/>
      <c r="J1274" s="136"/>
      <c r="K1274" s="136"/>
      <c r="AE1274" s="39" t="str">
        <f>IF(D1274="","",IFERROR(VLOOKUP(D1274,Projects!$A$2:$A$20000,1,FALSE),""))</f>
        <v/>
      </c>
      <c r="AF1274" s="2" t="str">
        <f>IF(D1274="","",IFERROR(MATCH(D1274,Projects!$A:$A,0),""))</f>
        <v/>
      </c>
    </row>
    <row r="1275" spans="2:32" x14ac:dyDescent="0.25">
      <c r="B1275" s="24"/>
      <c r="C1275" s="136"/>
      <c r="D1275" s="148"/>
      <c r="E1275" s="136"/>
      <c r="F1275" s="136"/>
      <c r="G1275" s="136"/>
      <c r="H1275" s="136"/>
      <c r="J1275" s="136"/>
      <c r="K1275" s="136"/>
      <c r="AE1275" s="39" t="str">
        <f>IF(D1275="","",IFERROR(VLOOKUP(D1275,Projects!$A$2:$A$20000,1,FALSE),""))</f>
        <v/>
      </c>
      <c r="AF1275" s="2" t="str">
        <f>IF(D1275="","",IFERROR(MATCH(D1275,Projects!$A:$A,0),""))</f>
        <v/>
      </c>
    </row>
    <row r="1276" spans="2:32" x14ac:dyDescent="0.25">
      <c r="B1276" s="24"/>
      <c r="C1276" s="136"/>
      <c r="D1276" s="148"/>
      <c r="E1276" s="136"/>
      <c r="F1276" s="136"/>
      <c r="G1276" s="136"/>
      <c r="H1276" s="136"/>
      <c r="J1276" s="136"/>
      <c r="K1276" s="136"/>
      <c r="AE1276" s="39" t="str">
        <f>IF(D1276="","",IFERROR(VLOOKUP(D1276,Projects!$A$2:$A$20000,1,FALSE),""))</f>
        <v/>
      </c>
      <c r="AF1276" s="2" t="str">
        <f>IF(D1276="","",IFERROR(MATCH(D1276,Projects!$A:$A,0),""))</f>
        <v/>
      </c>
    </row>
    <row r="1277" spans="2:32" x14ac:dyDescent="0.25">
      <c r="B1277" s="24"/>
      <c r="C1277" s="136"/>
      <c r="D1277" s="148"/>
      <c r="E1277" s="136"/>
      <c r="F1277" s="136"/>
      <c r="G1277" s="136"/>
      <c r="H1277" s="136"/>
      <c r="J1277" s="136"/>
      <c r="K1277" s="136"/>
      <c r="AE1277" s="39" t="str">
        <f>IF(D1277="","",IFERROR(VLOOKUP(D1277,Projects!$A$2:$A$20000,1,FALSE),""))</f>
        <v/>
      </c>
      <c r="AF1277" s="2" t="str">
        <f>IF(D1277="","",IFERROR(MATCH(D1277,Projects!$A:$A,0),""))</f>
        <v/>
      </c>
    </row>
    <row r="1278" spans="2:32" x14ac:dyDescent="0.25">
      <c r="B1278" s="24"/>
      <c r="C1278" s="136"/>
      <c r="D1278" s="148"/>
      <c r="E1278" s="136"/>
      <c r="F1278" s="136"/>
      <c r="G1278" s="136"/>
      <c r="H1278" s="136"/>
      <c r="J1278" s="136"/>
      <c r="K1278" s="136"/>
      <c r="AE1278" s="39" t="str">
        <f>IF(D1278="","",IFERROR(VLOOKUP(D1278,Projects!$A$2:$A$20000,1,FALSE),""))</f>
        <v/>
      </c>
      <c r="AF1278" s="2" t="str">
        <f>IF(D1278="","",IFERROR(MATCH(D1278,Projects!$A:$A,0),""))</f>
        <v/>
      </c>
    </row>
    <row r="1279" spans="2:32" x14ac:dyDescent="0.25">
      <c r="B1279" s="24"/>
      <c r="C1279" s="136"/>
      <c r="D1279" s="148"/>
      <c r="E1279" s="136"/>
      <c r="F1279" s="136"/>
      <c r="G1279" s="136"/>
      <c r="H1279" s="136"/>
      <c r="J1279" s="136"/>
      <c r="K1279" s="136"/>
      <c r="AE1279" s="39" t="str">
        <f>IF(D1279="","",IFERROR(VLOOKUP(D1279,Projects!$A$2:$A$20000,1,FALSE),""))</f>
        <v/>
      </c>
      <c r="AF1279" s="2" t="str">
        <f>IF(D1279="","",IFERROR(MATCH(D1279,Projects!$A:$A,0),""))</f>
        <v/>
      </c>
    </row>
    <row r="1280" spans="2:32" x14ac:dyDescent="0.25">
      <c r="B1280" s="24"/>
      <c r="C1280" s="136"/>
      <c r="D1280" s="148"/>
      <c r="E1280" s="136"/>
      <c r="F1280" s="136"/>
      <c r="G1280" s="136"/>
      <c r="H1280" s="136"/>
      <c r="J1280" s="136"/>
      <c r="K1280" s="136"/>
      <c r="AE1280" s="39" t="str">
        <f>IF(D1280="","",IFERROR(VLOOKUP(D1280,Projects!$A$2:$A$20000,1,FALSE),""))</f>
        <v/>
      </c>
      <c r="AF1280" s="2" t="str">
        <f>IF(D1280="","",IFERROR(MATCH(D1280,Projects!$A:$A,0),""))</f>
        <v/>
      </c>
    </row>
    <row r="1281" spans="2:32" x14ac:dyDescent="0.25">
      <c r="B1281" s="24"/>
      <c r="C1281" s="136"/>
      <c r="D1281" s="148"/>
      <c r="E1281" s="136"/>
      <c r="F1281" s="136"/>
      <c r="G1281" s="136"/>
      <c r="H1281" s="136"/>
      <c r="J1281" s="136"/>
      <c r="K1281" s="136"/>
      <c r="AE1281" s="39" t="str">
        <f>IF(D1281="","",IFERROR(VLOOKUP(D1281,Projects!$A$2:$A$20000,1,FALSE),""))</f>
        <v/>
      </c>
      <c r="AF1281" s="2" t="str">
        <f>IF(D1281="","",IFERROR(MATCH(D1281,Projects!$A:$A,0),""))</f>
        <v/>
      </c>
    </row>
    <row r="1282" spans="2:32" x14ac:dyDescent="0.25">
      <c r="B1282" s="24"/>
      <c r="C1282" s="136"/>
      <c r="D1282" s="148"/>
      <c r="E1282" s="136"/>
      <c r="F1282" s="136"/>
      <c r="G1282" s="136"/>
      <c r="H1282" s="136"/>
      <c r="J1282" s="136"/>
      <c r="K1282" s="136"/>
      <c r="AE1282" s="39" t="str">
        <f>IF(D1282="","",IFERROR(VLOOKUP(D1282,Projects!$A$2:$A$20000,1,FALSE),""))</f>
        <v/>
      </c>
      <c r="AF1282" s="2" t="str">
        <f>IF(D1282="","",IFERROR(MATCH(D1282,Projects!$A:$A,0),""))</f>
        <v/>
      </c>
    </row>
    <row r="1283" spans="2:32" x14ac:dyDescent="0.25">
      <c r="B1283" s="24"/>
      <c r="C1283" s="136"/>
      <c r="D1283" s="148"/>
      <c r="E1283" s="136"/>
      <c r="F1283" s="136"/>
      <c r="G1283" s="136"/>
      <c r="H1283" s="136"/>
      <c r="J1283" s="136"/>
      <c r="K1283" s="136"/>
      <c r="AE1283" s="39" t="str">
        <f>IF(D1283="","",IFERROR(VLOOKUP(D1283,Projects!$A$2:$A$20000,1,FALSE),""))</f>
        <v/>
      </c>
      <c r="AF1283" s="2" t="str">
        <f>IF(D1283="","",IFERROR(MATCH(D1283,Projects!$A:$A,0),""))</f>
        <v/>
      </c>
    </row>
    <row r="1284" spans="2:32" x14ac:dyDescent="0.25">
      <c r="B1284" s="24"/>
      <c r="C1284" s="136"/>
      <c r="D1284" s="148"/>
      <c r="E1284" s="136"/>
      <c r="F1284" s="136"/>
      <c r="G1284" s="136"/>
      <c r="H1284" s="136"/>
      <c r="J1284" s="136"/>
      <c r="K1284" s="136"/>
      <c r="AE1284" s="39" t="str">
        <f>IF(D1284="","",IFERROR(VLOOKUP(D1284,Projects!$A$2:$A$20000,1,FALSE),""))</f>
        <v/>
      </c>
      <c r="AF1284" s="2" t="str">
        <f>IF(D1284="","",IFERROR(MATCH(D1284,Projects!$A:$A,0),""))</f>
        <v/>
      </c>
    </row>
    <row r="1285" spans="2:32" x14ac:dyDescent="0.25">
      <c r="B1285" s="24"/>
      <c r="C1285" s="136"/>
      <c r="D1285" s="148"/>
      <c r="E1285" s="136"/>
      <c r="F1285" s="136"/>
      <c r="G1285" s="136"/>
      <c r="H1285" s="136"/>
      <c r="J1285" s="136"/>
      <c r="K1285" s="136"/>
      <c r="AE1285" s="39" t="str">
        <f>IF(D1285="","",IFERROR(VLOOKUP(D1285,Projects!$A$2:$A$20000,1,FALSE),""))</f>
        <v/>
      </c>
      <c r="AF1285" s="2" t="str">
        <f>IF(D1285="","",IFERROR(MATCH(D1285,Projects!$A:$A,0),""))</f>
        <v/>
      </c>
    </row>
    <row r="1286" spans="2:32" x14ac:dyDescent="0.25">
      <c r="B1286" s="24"/>
      <c r="C1286" s="136"/>
      <c r="D1286" s="148"/>
      <c r="E1286" s="136"/>
      <c r="F1286" s="136"/>
      <c r="G1286" s="136"/>
      <c r="H1286" s="136"/>
      <c r="J1286" s="136"/>
      <c r="K1286" s="136"/>
      <c r="AE1286" s="39" t="str">
        <f>IF(D1286="","",IFERROR(VLOOKUP(D1286,Projects!$A$2:$A$20000,1,FALSE),""))</f>
        <v/>
      </c>
      <c r="AF1286" s="2" t="str">
        <f>IF(D1286="","",IFERROR(MATCH(D1286,Projects!$A:$A,0),""))</f>
        <v/>
      </c>
    </row>
    <row r="1287" spans="2:32" x14ac:dyDescent="0.25">
      <c r="B1287" s="24"/>
      <c r="C1287" s="136"/>
      <c r="D1287" s="148"/>
      <c r="E1287" s="136"/>
      <c r="F1287" s="136"/>
      <c r="G1287" s="136"/>
      <c r="H1287" s="136"/>
      <c r="J1287" s="136"/>
      <c r="K1287" s="136"/>
      <c r="AE1287" s="39" t="str">
        <f>IF(D1287="","",IFERROR(VLOOKUP(D1287,Projects!$A$2:$A$20000,1,FALSE),""))</f>
        <v/>
      </c>
      <c r="AF1287" s="2" t="str">
        <f>IF(D1287="","",IFERROR(MATCH(D1287,Projects!$A:$A,0),""))</f>
        <v/>
      </c>
    </row>
    <row r="1288" spans="2:32" x14ac:dyDescent="0.25">
      <c r="B1288" s="24"/>
      <c r="C1288" s="136"/>
      <c r="D1288" s="148"/>
      <c r="E1288" s="136"/>
      <c r="F1288" s="136"/>
      <c r="G1288" s="136"/>
      <c r="H1288" s="136"/>
      <c r="J1288" s="136"/>
      <c r="K1288" s="136"/>
      <c r="AE1288" s="39" t="str">
        <f>IF(D1288="","",IFERROR(VLOOKUP(D1288,Projects!$A$2:$A$20000,1,FALSE),""))</f>
        <v/>
      </c>
      <c r="AF1288" s="2" t="str">
        <f>IF(D1288="","",IFERROR(MATCH(D1288,Projects!$A:$A,0),""))</f>
        <v/>
      </c>
    </row>
    <row r="1289" spans="2:32" x14ac:dyDescent="0.25">
      <c r="B1289" s="24"/>
      <c r="C1289" s="136"/>
      <c r="D1289" s="148"/>
      <c r="E1289" s="136"/>
      <c r="F1289" s="136"/>
      <c r="G1289" s="136"/>
      <c r="H1289" s="136"/>
      <c r="J1289" s="136"/>
      <c r="K1289" s="136"/>
      <c r="AE1289" s="39" t="str">
        <f>IF(D1289="","",IFERROR(VLOOKUP(D1289,Projects!$A$2:$A$20000,1,FALSE),""))</f>
        <v/>
      </c>
      <c r="AF1289" s="2" t="str">
        <f>IF(D1289="","",IFERROR(MATCH(D1289,Projects!$A:$A,0),""))</f>
        <v/>
      </c>
    </row>
    <row r="1290" spans="2:32" x14ac:dyDescent="0.25">
      <c r="B1290" s="24"/>
      <c r="C1290" s="136"/>
      <c r="D1290" s="148"/>
      <c r="E1290" s="136"/>
      <c r="F1290" s="136"/>
      <c r="G1290" s="136"/>
      <c r="H1290" s="136"/>
      <c r="J1290" s="136"/>
      <c r="K1290" s="136"/>
      <c r="AE1290" s="39" t="str">
        <f>IF(D1290="","",IFERROR(VLOOKUP(D1290,Projects!$A$2:$A$20000,1,FALSE),""))</f>
        <v/>
      </c>
      <c r="AF1290" s="2" t="str">
        <f>IF(D1290="","",IFERROR(MATCH(D1290,Projects!$A:$A,0),""))</f>
        <v/>
      </c>
    </row>
    <row r="1291" spans="2:32" x14ac:dyDescent="0.25">
      <c r="B1291" s="24"/>
      <c r="C1291" s="136"/>
      <c r="D1291" s="148"/>
      <c r="E1291" s="136"/>
      <c r="F1291" s="136"/>
      <c r="G1291" s="136"/>
      <c r="H1291" s="136"/>
      <c r="J1291" s="136"/>
      <c r="K1291" s="136"/>
      <c r="AE1291" s="39" t="str">
        <f>IF(D1291="","",IFERROR(VLOOKUP(D1291,Projects!$A$2:$A$20000,1,FALSE),""))</f>
        <v/>
      </c>
      <c r="AF1291" s="2" t="str">
        <f>IF(D1291="","",IFERROR(MATCH(D1291,Projects!$A:$A,0),""))</f>
        <v/>
      </c>
    </row>
    <row r="1292" spans="2:32" x14ac:dyDescent="0.25">
      <c r="B1292" s="24"/>
      <c r="C1292" s="136"/>
      <c r="D1292" s="148"/>
      <c r="E1292" s="136"/>
      <c r="F1292" s="136"/>
      <c r="G1292" s="136"/>
      <c r="H1292" s="136"/>
      <c r="J1292" s="136"/>
      <c r="K1292" s="136"/>
      <c r="AE1292" s="39" t="str">
        <f>IF(D1292="","",IFERROR(VLOOKUP(D1292,Projects!$A$2:$A$20000,1,FALSE),""))</f>
        <v/>
      </c>
      <c r="AF1292" s="2" t="str">
        <f>IF(D1292="","",IFERROR(MATCH(D1292,Projects!$A:$A,0),""))</f>
        <v/>
      </c>
    </row>
    <row r="1293" spans="2:32" x14ac:dyDescent="0.25">
      <c r="B1293" s="24"/>
      <c r="C1293" s="136"/>
      <c r="D1293" s="148"/>
      <c r="E1293" s="136"/>
      <c r="F1293" s="136"/>
      <c r="G1293" s="136"/>
      <c r="H1293" s="136"/>
      <c r="J1293" s="136"/>
      <c r="K1293" s="136"/>
      <c r="AE1293" s="39" t="str">
        <f>IF(D1293="","",IFERROR(VLOOKUP(D1293,Projects!$A$2:$A$20000,1,FALSE),""))</f>
        <v/>
      </c>
      <c r="AF1293" s="2" t="str">
        <f>IF(D1293="","",IFERROR(MATCH(D1293,Projects!$A:$A,0),""))</f>
        <v/>
      </c>
    </row>
    <row r="1294" spans="2:32" x14ac:dyDescent="0.25">
      <c r="B1294" s="24"/>
      <c r="C1294" s="136"/>
      <c r="D1294" s="148"/>
      <c r="E1294" s="136"/>
      <c r="F1294" s="136"/>
      <c r="G1294" s="136"/>
      <c r="H1294" s="136"/>
      <c r="J1294" s="136"/>
      <c r="K1294" s="136"/>
      <c r="AE1294" s="39" t="str">
        <f>IF(D1294="","",IFERROR(VLOOKUP(D1294,Projects!$A$2:$A$20000,1,FALSE),""))</f>
        <v/>
      </c>
      <c r="AF1294" s="2" t="str">
        <f>IF(D1294="","",IFERROR(MATCH(D1294,Projects!$A:$A,0),""))</f>
        <v/>
      </c>
    </row>
    <row r="1295" spans="2:32" x14ac:dyDescent="0.25">
      <c r="B1295" s="24"/>
      <c r="C1295" s="136"/>
      <c r="D1295" s="148"/>
      <c r="E1295" s="136"/>
      <c r="F1295" s="136"/>
      <c r="G1295" s="136"/>
      <c r="H1295" s="136"/>
      <c r="J1295" s="136"/>
      <c r="K1295" s="136"/>
      <c r="AE1295" s="39" t="str">
        <f>IF(D1295="","",IFERROR(VLOOKUP(D1295,Projects!$A$2:$A$20000,1,FALSE),""))</f>
        <v/>
      </c>
      <c r="AF1295" s="2" t="str">
        <f>IF(D1295="","",IFERROR(MATCH(D1295,Projects!$A:$A,0),""))</f>
        <v/>
      </c>
    </row>
    <row r="1296" spans="2:32" x14ac:dyDescent="0.25">
      <c r="B1296" s="24"/>
      <c r="C1296" s="136"/>
      <c r="D1296" s="148"/>
      <c r="E1296" s="136"/>
      <c r="F1296" s="136"/>
      <c r="G1296" s="136"/>
      <c r="H1296" s="136"/>
      <c r="J1296" s="136"/>
      <c r="K1296" s="136"/>
      <c r="AE1296" s="39" t="str">
        <f>IF(D1296="","",IFERROR(VLOOKUP(D1296,Projects!$A$2:$A$20000,1,FALSE),""))</f>
        <v/>
      </c>
      <c r="AF1296" s="2" t="str">
        <f>IF(D1296="","",IFERROR(MATCH(D1296,Projects!$A:$A,0),""))</f>
        <v/>
      </c>
    </row>
    <row r="1297" spans="2:32" x14ac:dyDescent="0.25">
      <c r="B1297" s="24"/>
      <c r="C1297" s="136"/>
      <c r="D1297" s="148"/>
      <c r="E1297" s="136"/>
      <c r="F1297" s="136"/>
      <c r="G1297" s="136"/>
      <c r="H1297" s="136"/>
      <c r="J1297" s="136"/>
      <c r="K1297" s="136"/>
      <c r="AE1297" s="39" t="str">
        <f>IF(D1297="","",IFERROR(VLOOKUP(D1297,Projects!$A$2:$A$20000,1,FALSE),""))</f>
        <v/>
      </c>
      <c r="AF1297" s="2" t="str">
        <f>IF(D1297="","",IFERROR(MATCH(D1297,Projects!$A:$A,0),""))</f>
        <v/>
      </c>
    </row>
    <row r="1298" spans="2:32" x14ac:dyDescent="0.25">
      <c r="B1298" s="24"/>
      <c r="C1298" s="136"/>
      <c r="D1298" s="148"/>
      <c r="E1298" s="136"/>
      <c r="F1298" s="136"/>
      <c r="G1298" s="136"/>
      <c r="H1298" s="136"/>
      <c r="J1298" s="136"/>
      <c r="K1298" s="136"/>
      <c r="AE1298" s="39" t="str">
        <f>IF(D1298="","",IFERROR(VLOOKUP(D1298,Projects!$A$2:$A$20000,1,FALSE),""))</f>
        <v/>
      </c>
      <c r="AF1298" s="2" t="str">
        <f>IF(D1298="","",IFERROR(MATCH(D1298,Projects!$A:$A,0),""))</f>
        <v/>
      </c>
    </row>
    <row r="1299" spans="2:32" x14ac:dyDescent="0.25">
      <c r="B1299" s="24"/>
      <c r="C1299" s="136"/>
      <c r="D1299" s="148"/>
      <c r="E1299" s="136"/>
      <c r="F1299" s="136"/>
      <c r="G1299" s="136"/>
      <c r="H1299" s="136"/>
      <c r="J1299" s="136"/>
      <c r="K1299" s="136"/>
      <c r="AE1299" s="39" t="str">
        <f>IF(D1299="","",IFERROR(VLOOKUP(D1299,Projects!$A$2:$A$20000,1,FALSE),""))</f>
        <v/>
      </c>
      <c r="AF1299" s="2" t="str">
        <f>IF(D1299="","",IFERROR(MATCH(D1299,Projects!$A:$A,0),""))</f>
        <v/>
      </c>
    </row>
    <row r="1300" spans="2:32" x14ac:dyDescent="0.25">
      <c r="B1300" s="24"/>
      <c r="C1300" s="136"/>
      <c r="D1300" s="148"/>
      <c r="E1300" s="136"/>
      <c r="F1300" s="136"/>
      <c r="G1300" s="136"/>
      <c r="H1300" s="136"/>
      <c r="J1300" s="136"/>
      <c r="K1300" s="136"/>
      <c r="AE1300" s="39" t="str">
        <f>IF(D1300="","",IFERROR(VLOOKUP(D1300,Projects!$A$2:$A$20000,1,FALSE),""))</f>
        <v/>
      </c>
      <c r="AF1300" s="2" t="str">
        <f>IF(D1300="","",IFERROR(MATCH(D1300,Projects!$A:$A,0),""))</f>
        <v/>
      </c>
    </row>
    <row r="1301" spans="2:32" x14ac:dyDescent="0.25">
      <c r="B1301" s="24"/>
      <c r="C1301" s="136"/>
      <c r="D1301" s="148"/>
      <c r="E1301" s="136"/>
      <c r="F1301" s="136"/>
      <c r="G1301" s="136"/>
      <c r="H1301" s="136"/>
      <c r="J1301" s="136"/>
      <c r="K1301" s="136"/>
      <c r="AE1301" s="39" t="str">
        <f>IF(D1301="","",IFERROR(VLOOKUP(D1301,Projects!$A$2:$A$20000,1,FALSE),""))</f>
        <v/>
      </c>
      <c r="AF1301" s="2" t="str">
        <f>IF(D1301="","",IFERROR(MATCH(D1301,Projects!$A:$A,0),""))</f>
        <v/>
      </c>
    </row>
    <row r="1302" spans="2:32" x14ac:dyDescent="0.25">
      <c r="B1302" s="24"/>
      <c r="C1302" s="136"/>
      <c r="D1302" s="148"/>
      <c r="E1302" s="136"/>
      <c r="F1302" s="136"/>
      <c r="G1302" s="136"/>
      <c r="H1302" s="136"/>
      <c r="J1302" s="136"/>
      <c r="K1302" s="136"/>
      <c r="AE1302" s="39" t="str">
        <f>IF(D1302="","",IFERROR(VLOOKUP(D1302,Projects!$A$2:$A$20000,1,FALSE),""))</f>
        <v/>
      </c>
      <c r="AF1302" s="2" t="str">
        <f>IF(D1302="","",IFERROR(MATCH(D1302,Projects!$A:$A,0),""))</f>
        <v/>
      </c>
    </row>
    <row r="1303" spans="2:32" x14ac:dyDescent="0.25">
      <c r="B1303" s="24"/>
      <c r="C1303" s="136"/>
      <c r="D1303" s="148"/>
      <c r="E1303" s="136"/>
      <c r="F1303" s="136"/>
      <c r="G1303" s="136"/>
      <c r="H1303" s="136"/>
      <c r="J1303" s="136"/>
      <c r="K1303" s="136"/>
      <c r="AE1303" s="39" t="str">
        <f>IF(D1303="","",IFERROR(VLOOKUP(D1303,Projects!$A$2:$A$20000,1,FALSE),""))</f>
        <v/>
      </c>
      <c r="AF1303" s="2" t="str">
        <f>IF(D1303="","",IFERROR(MATCH(D1303,Projects!$A:$A,0),""))</f>
        <v/>
      </c>
    </row>
    <row r="1304" spans="2:32" x14ac:dyDescent="0.25">
      <c r="B1304" s="24"/>
      <c r="C1304" s="136"/>
      <c r="D1304" s="148"/>
      <c r="E1304" s="136"/>
      <c r="F1304" s="136"/>
      <c r="G1304" s="136"/>
      <c r="H1304" s="136"/>
      <c r="J1304" s="136"/>
      <c r="K1304" s="136"/>
      <c r="AE1304" s="39" t="str">
        <f>IF(D1304="","",IFERROR(VLOOKUP(D1304,Projects!$A$2:$A$20000,1,FALSE),""))</f>
        <v/>
      </c>
      <c r="AF1304" s="2" t="str">
        <f>IF(D1304="","",IFERROR(MATCH(D1304,Projects!$A:$A,0),""))</f>
        <v/>
      </c>
    </row>
    <row r="1305" spans="2:32" x14ac:dyDescent="0.25">
      <c r="B1305" s="24"/>
      <c r="C1305" s="136"/>
      <c r="D1305" s="148"/>
      <c r="E1305" s="136"/>
      <c r="F1305" s="136"/>
      <c r="G1305" s="136"/>
      <c r="H1305" s="136"/>
      <c r="J1305" s="136"/>
      <c r="K1305" s="136"/>
      <c r="AE1305" s="39" t="str">
        <f>IF(D1305="","",IFERROR(VLOOKUP(D1305,Projects!$A$2:$A$20000,1,FALSE),""))</f>
        <v/>
      </c>
      <c r="AF1305" s="2" t="str">
        <f>IF(D1305="","",IFERROR(MATCH(D1305,Projects!$A:$A,0),""))</f>
        <v/>
      </c>
    </row>
    <row r="1306" spans="2:32" x14ac:dyDescent="0.25">
      <c r="B1306" s="24"/>
      <c r="C1306" s="136"/>
      <c r="D1306" s="148"/>
      <c r="E1306" s="136"/>
      <c r="F1306" s="136"/>
      <c r="G1306" s="136"/>
      <c r="H1306" s="136"/>
      <c r="J1306" s="136"/>
      <c r="K1306" s="136"/>
      <c r="AE1306" s="39" t="str">
        <f>IF(D1306="","",IFERROR(VLOOKUP(D1306,Projects!$A$2:$A$20000,1,FALSE),""))</f>
        <v/>
      </c>
      <c r="AF1306" s="2" t="str">
        <f>IF(D1306="","",IFERROR(MATCH(D1306,Projects!$A:$A,0),""))</f>
        <v/>
      </c>
    </row>
    <row r="1307" spans="2:32" x14ac:dyDescent="0.25">
      <c r="B1307" s="24"/>
      <c r="C1307" s="136"/>
      <c r="D1307" s="148"/>
      <c r="E1307" s="136"/>
      <c r="F1307" s="136"/>
      <c r="G1307" s="136"/>
      <c r="H1307" s="136"/>
      <c r="J1307" s="136"/>
      <c r="K1307" s="136"/>
      <c r="AE1307" s="39" t="str">
        <f>IF(D1307="","",IFERROR(VLOOKUP(D1307,Projects!$A$2:$A$20000,1,FALSE),""))</f>
        <v/>
      </c>
      <c r="AF1307" s="2" t="str">
        <f>IF(D1307="","",IFERROR(MATCH(D1307,Projects!$A:$A,0),""))</f>
        <v/>
      </c>
    </row>
    <row r="1308" spans="2:32" x14ac:dyDescent="0.25">
      <c r="B1308" s="24"/>
      <c r="C1308" s="136"/>
      <c r="D1308" s="148"/>
      <c r="E1308" s="136"/>
      <c r="F1308" s="136"/>
      <c r="G1308" s="136"/>
      <c r="H1308" s="136"/>
      <c r="J1308" s="136"/>
      <c r="K1308" s="136"/>
      <c r="AE1308" s="39" t="str">
        <f>IF(D1308="","",IFERROR(VLOOKUP(D1308,Projects!$A$2:$A$20000,1,FALSE),""))</f>
        <v/>
      </c>
      <c r="AF1308" s="2" t="str">
        <f>IF(D1308="","",IFERROR(MATCH(D1308,Projects!$A:$A,0),""))</f>
        <v/>
      </c>
    </row>
    <row r="1309" spans="2:32" x14ac:dyDescent="0.25">
      <c r="B1309" s="24"/>
      <c r="C1309" s="136"/>
      <c r="D1309" s="148"/>
      <c r="E1309" s="136"/>
      <c r="F1309" s="136"/>
      <c r="G1309" s="136"/>
      <c r="H1309" s="136"/>
      <c r="J1309" s="136"/>
      <c r="K1309" s="136"/>
      <c r="AE1309" s="39" t="str">
        <f>IF(D1309="","",IFERROR(VLOOKUP(D1309,Projects!$A$2:$A$20000,1,FALSE),""))</f>
        <v/>
      </c>
      <c r="AF1309" s="2" t="str">
        <f>IF(D1309="","",IFERROR(MATCH(D1309,Projects!$A:$A,0),""))</f>
        <v/>
      </c>
    </row>
    <row r="1310" spans="2:32" x14ac:dyDescent="0.25">
      <c r="B1310" s="24"/>
      <c r="C1310" s="136"/>
      <c r="D1310" s="148"/>
      <c r="E1310" s="136"/>
      <c r="F1310" s="136"/>
      <c r="G1310" s="136"/>
      <c r="H1310" s="136"/>
      <c r="J1310" s="136"/>
      <c r="K1310" s="136"/>
      <c r="AE1310" s="39" t="str">
        <f>IF(D1310="","",IFERROR(VLOOKUP(D1310,Projects!$A$2:$A$20000,1,FALSE),""))</f>
        <v/>
      </c>
      <c r="AF1310" s="2" t="str">
        <f>IF(D1310="","",IFERROR(MATCH(D1310,Projects!$A:$A,0),""))</f>
        <v/>
      </c>
    </row>
    <row r="1311" spans="2:32" x14ac:dyDescent="0.25">
      <c r="B1311" s="24"/>
      <c r="C1311" s="136"/>
      <c r="D1311" s="148"/>
      <c r="E1311" s="136"/>
      <c r="F1311" s="136"/>
      <c r="G1311" s="136"/>
      <c r="H1311" s="136"/>
      <c r="J1311" s="136"/>
      <c r="K1311" s="136"/>
      <c r="AE1311" s="39" t="str">
        <f>IF(D1311="","",IFERROR(VLOOKUP(D1311,Projects!$A$2:$A$20000,1,FALSE),""))</f>
        <v/>
      </c>
      <c r="AF1311" s="2" t="str">
        <f>IF(D1311="","",IFERROR(MATCH(D1311,Projects!$A:$A,0),""))</f>
        <v/>
      </c>
    </row>
    <row r="1312" spans="2:32" x14ac:dyDescent="0.25">
      <c r="B1312" s="24"/>
      <c r="C1312" s="136"/>
      <c r="D1312" s="148"/>
      <c r="E1312" s="136"/>
      <c r="F1312" s="136"/>
      <c r="G1312" s="136"/>
      <c r="H1312" s="136"/>
      <c r="J1312" s="136"/>
      <c r="K1312" s="136"/>
      <c r="AE1312" s="39" t="str">
        <f>IF(D1312="","",IFERROR(VLOOKUP(D1312,Projects!$A$2:$A$20000,1,FALSE),""))</f>
        <v/>
      </c>
      <c r="AF1312" s="2" t="str">
        <f>IF(D1312="","",IFERROR(MATCH(D1312,Projects!$A:$A,0),""))</f>
        <v/>
      </c>
    </row>
    <row r="1313" spans="2:32" x14ac:dyDescent="0.25">
      <c r="B1313" s="24"/>
      <c r="C1313" s="136"/>
      <c r="D1313" s="148"/>
      <c r="E1313" s="136"/>
      <c r="F1313" s="136"/>
      <c r="G1313" s="136"/>
      <c r="H1313" s="136"/>
      <c r="J1313" s="136"/>
      <c r="K1313" s="136"/>
      <c r="AE1313" s="39" t="str">
        <f>IF(D1313="","",IFERROR(VLOOKUP(D1313,Projects!$A$2:$A$20000,1,FALSE),""))</f>
        <v/>
      </c>
      <c r="AF1313" s="2" t="str">
        <f>IF(D1313="","",IFERROR(MATCH(D1313,Projects!$A:$A,0),""))</f>
        <v/>
      </c>
    </row>
    <row r="1314" spans="2:32" x14ac:dyDescent="0.25">
      <c r="B1314" s="24"/>
      <c r="C1314" s="136"/>
      <c r="D1314" s="148"/>
      <c r="E1314" s="136"/>
      <c r="F1314" s="136"/>
      <c r="G1314" s="136"/>
      <c r="H1314" s="136"/>
      <c r="J1314" s="136"/>
      <c r="K1314" s="136"/>
      <c r="AE1314" s="39" t="str">
        <f>IF(D1314="","",IFERROR(VLOOKUP(D1314,Projects!$A$2:$A$20000,1,FALSE),""))</f>
        <v/>
      </c>
      <c r="AF1314" s="2" t="str">
        <f>IF(D1314="","",IFERROR(MATCH(D1314,Projects!$A:$A,0),""))</f>
        <v/>
      </c>
    </row>
    <row r="1315" spans="2:32" x14ac:dyDescent="0.25">
      <c r="B1315" s="24"/>
      <c r="C1315" s="136"/>
      <c r="D1315" s="148"/>
      <c r="E1315" s="136"/>
      <c r="F1315" s="136"/>
      <c r="G1315" s="136"/>
      <c r="H1315" s="136"/>
      <c r="J1315" s="136"/>
      <c r="K1315" s="136"/>
      <c r="AE1315" s="39" t="str">
        <f>IF(D1315="","",IFERROR(VLOOKUP(D1315,Projects!$A$2:$A$20000,1,FALSE),""))</f>
        <v/>
      </c>
      <c r="AF1315" s="2" t="str">
        <f>IF(D1315="","",IFERROR(MATCH(D1315,Projects!$A:$A,0),""))</f>
        <v/>
      </c>
    </row>
    <row r="1316" spans="2:32" x14ac:dyDescent="0.25">
      <c r="B1316" s="24"/>
      <c r="C1316" s="136"/>
      <c r="D1316" s="148"/>
      <c r="E1316" s="136"/>
      <c r="F1316" s="136"/>
      <c r="G1316" s="136"/>
      <c r="H1316" s="136"/>
      <c r="J1316" s="136"/>
      <c r="K1316" s="136"/>
      <c r="AE1316" s="39" t="str">
        <f>IF(D1316="","",IFERROR(VLOOKUP(D1316,Projects!$A$2:$A$20000,1,FALSE),""))</f>
        <v/>
      </c>
      <c r="AF1316" s="2" t="str">
        <f>IF(D1316="","",IFERROR(MATCH(D1316,Projects!$A:$A,0),""))</f>
        <v/>
      </c>
    </row>
    <row r="1317" spans="2:32" x14ac:dyDescent="0.25">
      <c r="B1317" s="24"/>
      <c r="C1317" s="136"/>
      <c r="D1317" s="148"/>
      <c r="E1317" s="136"/>
      <c r="F1317" s="136"/>
      <c r="G1317" s="136"/>
      <c r="H1317" s="136"/>
      <c r="J1317" s="136"/>
      <c r="K1317" s="136"/>
      <c r="AE1317" s="39" t="str">
        <f>IF(D1317="","",IFERROR(VLOOKUP(D1317,Projects!$A$2:$A$20000,1,FALSE),""))</f>
        <v/>
      </c>
      <c r="AF1317" s="2" t="str">
        <f>IF(D1317="","",IFERROR(MATCH(D1317,Projects!$A:$A,0),""))</f>
        <v/>
      </c>
    </row>
    <row r="1318" spans="2:32" x14ac:dyDescent="0.25">
      <c r="B1318" s="24"/>
      <c r="C1318" s="136"/>
      <c r="D1318" s="148"/>
      <c r="E1318" s="136"/>
      <c r="F1318" s="136"/>
      <c r="G1318" s="136"/>
      <c r="H1318" s="136"/>
      <c r="J1318" s="136"/>
      <c r="K1318" s="136"/>
      <c r="AE1318" s="39" t="str">
        <f>IF(D1318="","",IFERROR(VLOOKUP(D1318,Projects!$A$2:$A$20000,1,FALSE),""))</f>
        <v/>
      </c>
      <c r="AF1318" s="2" t="str">
        <f>IF(D1318="","",IFERROR(MATCH(D1318,Projects!$A:$A,0),""))</f>
        <v/>
      </c>
    </row>
    <row r="1319" spans="2:32" x14ac:dyDescent="0.25">
      <c r="B1319" s="24"/>
      <c r="C1319" s="136"/>
      <c r="D1319" s="148"/>
      <c r="E1319" s="136"/>
      <c r="F1319" s="136"/>
      <c r="G1319" s="136"/>
      <c r="H1319" s="136"/>
      <c r="J1319" s="136"/>
      <c r="K1319" s="136"/>
      <c r="AE1319" s="39" t="str">
        <f>IF(D1319="","",IFERROR(VLOOKUP(D1319,Projects!$A$2:$A$20000,1,FALSE),""))</f>
        <v/>
      </c>
      <c r="AF1319" s="2" t="str">
        <f>IF(D1319="","",IFERROR(MATCH(D1319,Projects!$A:$A,0),""))</f>
        <v/>
      </c>
    </row>
    <row r="1320" spans="2:32" x14ac:dyDescent="0.25">
      <c r="B1320" s="24"/>
      <c r="C1320" s="136"/>
      <c r="D1320" s="148"/>
      <c r="E1320" s="136"/>
      <c r="F1320" s="136"/>
      <c r="G1320" s="136"/>
      <c r="H1320" s="136"/>
      <c r="J1320" s="136"/>
      <c r="K1320" s="136"/>
      <c r="AE1320" s="39" t="str">
        <f>IF(D1320="","",IFERROR(VLOOKUP(D1320,Projects!$A$2:$A$20000,1,FALSE),""))</f>
        <v/>
      </c>
      <c r="AF1320" s="2" t="str">
        <f>IF(D1320="","",IFERROR(MATCH(D1320,Projects!$A:$A,0),""))</f>
        <v/>
      </c>
    </row>
    <row r="1321" spans="2:32" x14ac:dyDescent="0.25">
      <c r="B1321" s="24"/>
      <c r="C1321" s="136"/>
      <c r="D1321" s="148"/>
      <c r="E1321" s="136"/>
      <c r="F1321" s="136"/>
      <c r="G1321" s="136"/>
      <c r="H1321" s="136"/>
      <c r="J1321" s="136"/>
      <c r="K1321" s="136"/>
      <c r="AE1321" s="39" t="str">
        <f>IF(D1321="","",IFERROR(VLOOKUP(D1321,Projects!$A$2:$A$20000,1,FALSE),""))</f>
        <v/>
      </c>
      <c r="AF1321" s="2" t="str">
        <f>IF(D1321="","",IFERROR(MATCH(D1321,Projects!$A:$A,0),""))</f>
        <v/>
      </c>
    </row>
    <row r="1322" spans="2:32" x14ac:dyDescent="0.25">
      <c r="B1322" s="24"/>
      <c r="C1322" s="136"/>
      <c r="D1322" s="148"/>
      <c r="E1322" s="136"/>
      <c r="F1322" s="136"/>
      <c r="G1322" s="136"/>
      <c r="H1322" s="136"/>
      <c r="J1322" s="136"/>
      <c r="K1322" s="136"/>
      <c r="AE1322" s="39" t="str">
        <f>IF(D1322="","",IFERROR(VLOOKUP(D1322,Projects!$A$2:$A$20000,1,FALSE),""))</f>
        <v/>
      </c>
      <c r="AF1322" s="2" t="str">
        <f>IF(D1322="","",IFERROR(MATCH(D1322,Projects!$A:$A,0),""))</f>
        <v/>
      </c>
    </row>
    <row r="1323" spans="2:32" x14ac:dyDescent="0.25">
      <c r="B1323" s="24"/>
      <c r="C1323" s="136"/>
      <c r="D1323" s="148"/>
      <c r="E1323" s="136"/>
      <c r="F1323" s="136"/>
      <c r="G1323" s="136"/>
      <c r="H1323" s="136"/>
      <c r="J1323" s="136"/>
      <c r="K1323" s="136"/>
      <c r="AE1323" s="39" t="str">
        <f>IF(D1323="","",IFERROR(VLOOKUP(D1323,Projects!$A$2:$A$20000,1,FALSE),""))</f>
        <v/>
      </c>
      <c r="AF1323" s="2" t="str">
        <f>IF(D1323="","",IFERROR(MATCH(D1323,Projects!$A:$A,0),""))</f>
        <v/>
      </c>
    </row>
    <row r="1324" spans="2:32" x14ac:dyDescent="0.25">
      <c r="B1324" s="24"/>
      <c r="C1324" s="136"/>
      <c r="D1324" s="148"/>
      <c r="E1324" s="136"/>
      <c r="F1324" s="136"/>
      <c r="G1324" s="136"/>
      <c r="H1324" s="136"/>
      <c r="J1324" s="136"/>
      <c r="K1324" s="136"/>
      <c r="AE1324" s="39" t="str">
        <f>IF(D1324="","",IFERROR(VLOOKUP(D1324,Projects!$A$2:$A$20000,1,FALSE),""))</f>
        <v/>
      </c>
      <c r="AF1324" s="2" t="str">
        <f>IF(D1324="","",IFERROR(MATCH(D1324,Projects!$A:$A,0),""))</f>
        <v/>
      </c>
    </row>
    <row r="1325" spans="2:32" x14ac:dyDescent="0.25">
      <c r="B1325" s="24"/>
      <c r="C1325" s="136"/>
      <c r="D1325" s="148"/>
      <c r="E1325" s="136"/>
      <c r="F1325" s="136"/>
      <c r="G1325" s="136"/>
      <c r="H1325" s="136"/>
      <c r="J1325" s="136"/>
      <c r="K1325" s="136"/>
      <c r="AE1325" s="39" t="str">
        <f>IF(D1325="","",IFERROR(VLOOKUP(D1325,Projects!$A$2:$A$20000,1,FALSE),""))</f>
        <v/>
      </c>
      <c r="AF1325" s="2" t="str">
        <f>IF(D1325="","",IFERROR(MATCH(D1325,Projects!$A:$A,0),""))</f>
        <v/>
      </c>
    </row>
    <row r="1326" spans="2:32" x14ac:dyDescent="0.25">
      <c r="B1326" s="24"/>
      <c r="C1326" s="136"/>
      <c r="D1326" s="148"/>
      <c r="E1326" s="136"/>
      <c r="F1326" s="136"/>
      <c r="G1326" s="136"/>
      <c r="H1326" s="136"/>
      <c r="J1326" s="136"/>
      <c r="K1326" s="136"/>
      <c r="AE1326" s="39" t="str">
        <f>IF(D1326="","",IFERROR(VLOOKUP(D1326,Projects!$A$2:$A$20000,1,FALSE),""))</f>
        <v/>
      </c>
      <c r="AF1326" s="2" t="str">
        <f>IF(D1326="","",IFERROR(MATCH(D1326,Projects!$A:$A,0),""))</f>
        <v/>
      </c>
    </row>
    <row r="1327" spans="2:32" x14ac:dyDescent="0.25">
      <c r="B1327" s="24"/>
      <c r="C1327" s="136"/>
      <c r="D1327" s="148"/>
      <c r="E1327" s="136"/>
      <c r="F1327" s="136"/>
      <c r="G1327" s="136"/>
      <c r="H1327" s="136"/>
      <c r="J1327" s="136"/>
      <c r="K1327" s="136"/>
      <c r="AE1327" s="39" t="str">
        <f>IF(D1327="","",IFERROR(VLOOKUP(D1327,Projects!$A$2:$A$20000,1,FALSE),""))</f>
        <v/>
      </c>
      <c r="AF1327" s="2" t="str">
        <f>IF(D1327="","",IFERROR(MATCH(D1327,Projects!$A:$A,0),""))</f>
        <v/>
      </c>
    </row>
    <row r="1328" spans="2:32" x14ac:dyDescent="0.25">
      <c r="B1328" s="24"/>
      <c r="C1328" s="136"/>
      <c r="D1328" s="148"/>
      <c r="E1328" s="136"/>
      <c r="F1328" s="136"/>
      <c r="G1328" s="136"/>
      <c r="H1328" s="136"/>
      <c r="J1328" s="136"/>
      <c r="K1328" s="136"/>
      <c r="AE1328" s="39" t="str">
        <f>IF(D1328="","",IFERROR(VLOOKUP(D1328,Projects!$A$2:$A$20000,1,FALSE),""))</f>
        <v/>
      </c>
      <c r="AF1328" s="2" t="str">
        <f>IF(D1328="","",IFERROR(MATCH(D1328,Projects!$A:$A,0),""))</f>
        <v/>
      </c>
    </row>
    <row r="1329" spans="2:32" x14ac:dyDescent="0.25">
      <c r="B1329" s="24"/>
      <c r="C1329" s="136"/>
      <c r="D1329" s="148"/>
      <c r="E1329" s="136"/>
      <c r="F1329" s="136"/>
      <c r="G1329" s="136"/>
      <c r="H1329" s="136"/>
      <c r="J1329" s="136"/>
      <c r="K1329" s="136"/>
      <c r="AE1329" s="39" t="str">
        <f>IF(D1329="","",IFERROR(VLOOKUP(D1329,Projects!$A$2:$A$20000,1,FALSE),""))</f>
        <v/>
      </c>
      <c r="AF1329" s="2" t="str">
        <f>IF(D1329="","",IFERROR(MATCH(D1329,Projects!$A:$A,0),""))</f>
        <v/>
      </c>
    </row>
    <row r="1330" spans="2:32" x14ac:dyDescent="0.25">
      <c r="B1330" s="24"/>
      <c r="C1330" s="136"/>
      <c r="D1330" s="148"/>
      <c r="E1330" s="136"/>
      <c r="F1330" s="136"/>
      <c r="G1330" s="136"/>
      <c r="H1330" s="136"/>
      <c r="J1330" s="136"/>
      <c r="K1330" s="136"/>
      <c r="AE1330" s="39" t="str">
        <f>IF(D1330="","",IFERROR(VLOOKUP(D1330,Projects!$A$2:$A$20000,1,FALSE),""))</f>
        <v/>
      </c>
      <c r="AF1330" s="2" t="str">
        <f>IF(D1330="","",IFERROR(MATCH(D1330,Projects!$A:$A,0),""))</f>
        <v/>
      </c>
    </row>
    <row r="1331" spans="2:32" x14ac:dyDescent="0.25">
      <c r="B1331" s="24"/>
      <c r="C1331" s="136"/>
      <c r="D1331" s="148"/>
      <c r="E1331" s="136"/>
      <c r="F1331" s="136"/>
      <c r="G1331" s="136"/>
      <c r="H1331" s="136"/>
      <c r="J1331" s="136"/>
      <c r="K1331" s="136"/>
      <c r="AE1331" s="39" t="str">
        <f>IF(D1331="","",IFERROR(VLOOKUP(D1331,Projects!$A$2:$A$20000,1,FALSE),""))</f>
        <v/>
      </c>
      <c r="AF1331" s="2" t="str">
        <f>IF(D1331="","",IFERROR(MATCH(D1331,Projects!$A:$A,0),""))</f>
        <v/>
      </c>
    </row>
    <row r="1332" spans="2:32" x14ac:dyDescent="0.25">
      <c r="B1332" s="24"/>
      <c r="C1332" s="136"/>
      <c r="D1332" s="148"/>
      <c r="E1332" s="136"/>
      <c r="F1332" s="136"/>
      <c r="G1332" s="136"/>
      <c r="H1332" s="136"/>
      <c r="J1332" s="136"/>
      <c r="K1332" s="136"/>
      <c r="AE1332" s="39" t="str">
        <f>IF(D1332="","",IFERROR(VLOOKUP(D1332,Projects!$A$2:$A$20000,1,FALSE),""))</f>
        <v/>
      </c>
      <c r="AF1332" s="2" t="str">
        <f>IF(D1332="","",IFERROR(MATCH(D1332,Projects!$A:$A,0),""))</f>
        <v/>
      </c>
    </row>
    <row r="1333" spans="2:32" x14ac:dyDescent="0.25">
      <c r="B1333" s="24"/>
      <c r="C1333" s="136"/>
      <c r="D1333" s="148"/>
      <c r="E1333" s="136"/>
      <c r="F1333" s="136"/>
      <c r="G1333" s="136"/>
      <c r="H1333" s="136"/>
      <c r="J1333" s="136"/>
      <c r="K1333" s="136"/>
      <c r="AE1333" s="39" t="str">
        <f>IF(D1333="","",IFERROR(VLOOKUP(D1333,Projects!$A$2:$A$20000,1,FALSE),""))</f>
        <v/>
      </c>
      <c r="AF1333" s="2" t="str">
        <f>IF(D1333="","",IFERROR(MATCH(D1333,Projects!$A:$A,0),""))</f>
        <v/>
      </c>
    </row>
    <row r="1334" spans="2:32" x14ac:dyDescent="0.25">
      <c r="B1334" s="24"/>
      <c r="C1334" s="136"/>
      <c r="D1334" s="148"/>
      <c r="E1334" s="136"/>
      <c r="F1334" s="136"/>
      <c r="G1334" s="136"/>
      <c r="H1334" s="136"/>
      <c r="J1334" s="136"/>
      <c r="K1334" s="136"/>
      <c r="AE1334" s="39" t="str">
        <f>IF(D1334="","",IFERROR(VLOOKUP(D1334,Projects!$A$2:$A$20000,1,FALSE),""))</f>
        <v/>
      </c>
      <c r="AF1334" s="2" t="str">
        <f>IF(D1334="","",IFERROR(MATCH(D1334,Projects!$A:$A,0),""))</f>
        <v/>
      </c>
    </row>
    <row r="1335" spans="2:32" x14ac:dyDescent="0.25">
      <c r="B1335" s="24"/>
      <c r="C1335" s="136"/>
      <c r="D1335" s="148"/>
      <c r="E1335" s="136"/>
      <c r="F1335" s="136"/>
      <c r="G1335" s="136"/>
      <c r="H1335" s="136"/>
      <c r="J1335" s="136"/>
      <c r="K1335" s="136"/>
      <c r="AE1335" s="39" t="str">
        <f>IF(D1335="","",IFERROR(VLOOKUP(D1335,Projects!$A$2:$A$20000,1,FALSE),""))</f>
        <v/>
      </c>
      <c r="AF1335" s="2" t="str">
        <f>IF(D1335="","",IFERROR(MATCH(D1335,Projects!$A:$A,0),""))</f>
        <v/>
      </c>
    </row>
    <row r="1336" spans="2:32" x14ac:dyDescent="0.25">
      <c r="B1336" s="24"/>
      <c r="C1336" s="136"/>
      <c r="D1336" s="148"/>
      <c r="E1336" s="136"/>
      <c r="F1336" s="136"/>
      <c r="G1336" s="136"/>
      <c r="H1336" s="136"/>
      <c r="J1336" s="136"/>
      <c r="K1336" s="136"/>
      <c r="AE1336" s="39" t="str">
        <f>IF(D1336="","",IFERROR(VLOOKUP(D1336,Projects!$A$2:$A$20000,1,FALSE),""))</f>
        <v/>
      </c>
      <c r="AF1336" s="2" t="str">
        <f>IF(D1336="","",IFERROR(MATCH(D1336,Projects!$A:$A,0),""))</f>
        <v/>
      </c>
    </row>
    <row r="1337" spans="2:32" x14ac:dyDescent="0.25">
      <c r="B1337" s="24"/>
      <c r="C1337" s="136"/>
      <c r="D1337" s="148"/>
      <c r="E1337" s="136"/>
      <c r="F1337" s="136"/>
      <c r="G1337" s="136"/>
      <c r="H1337" s="136"/>
      <c r="J1337" s="136"/>
      <c r="K1337" s="136"/>
      <c r="AE1337" s="39" t="str">
        <f>IF(D1337="","",IFERROR(VLOOKUP(D1337,Projects!$A$2:$A$20000,1,FALSE),""))</f>
        <v/>
      </c>
      <c r="AF1337" s="2" t="str">
        <f>IF(D1337="","",IFERROR(MATCH(D1337,Projects!$A:$A,0),""))</f>
        <v/>
      </c>
    </row>
    <row r="1338" spans="2:32" x14ac:dyDescent="0.25">
      <c r="B1338" s="24"/>
      <c r="C1338" s="136"/>
      <c r="D1338" s="148"/>
      <c r="E1338" s="136"/>
      <c r="F1338" s="136"/>
      <c r="G1338" s="136"/>
      <c r="H1338" s="136"/>
      <c r="J1338" s="136"/>
      <c r="K1338" s="136"/>
      <c r="AE1338" s="39" t="str">
        <f>IF(D1338="","",IFERROR(VLOOKUP(D1338,Projects!$A$2:$A$20000,1,FALSE),""))</f>
        <v/>
      </c>
      <c r="AF1338" s="2" t="str">
        <f>IF(D1338="","",IFERROR(MATCH(D1338,Projects!$A:$A,0),""))</f>
        <v/>
      </c>
    </row>
    <row r="1339" spans="2:32" x14ac:dyDescent="0.25">
      <c r="B1339" s="24"/>
      <c r="C1339" s="136"/>
      <c r="D1339" s="148"/>
      <c r="E1339" s="136"/>
      <c r="F1339" s="136"/>
      <c r="G1339" s="136"/>
      <c r="H1339" s="136"/>
      <c r="J1339" s="136"/>
      <c r="K1339" s="136"/>
      <c r="AE1339" s="39" t="str">
        <f>IF(D1339="","",IFERROR(VLOOKUP(D1339,Projects!$A$2:$A$20000,1,FALSE),""))</f>
        <v/>
      </c>
      <c r="AF1339" s="2" t="str">
        <f>IF(D1339="","",IFERROR(MATCH(D1339,Projects!$A:$A,0),""))</f>
        <v/>
      </c>
    </row>
    <row r="1340" spans="2:32" x14ac:dyDescent="0.25">
      <c r="B1340" s="24"/>
      <c r="C1340" s="136"/>
      <c r="D1340" s="148"/>
      <c r="E1340" s="136"/>
      <c r="F1340" s="136"/>
      <c r="G1340" s="136"/>
      <c r="H1340" s="136"/>
      <c r="J1340" s="136"/>
      <c r="K1340" s="136"/>
      <c r="AE1340" s="39" t="str">
        <f>IF(D1340="","",IFERROR(VLOOKUP(D1340,Projects!$A$2:$A$20000,1,FALSE),""))</f>
        <v/>
      </c>
      <c r="AF1340" s="2" t="str">
        <f>IF(D1340="","",IFERROR(MATCH(D1340,Projects!$A:$A,0),""))</f>
        <v/>
      </c>
    </row>
    <row r="1341" spans="2:32" x14ac:dyDescent="0.25">
      <c r="B1341" s="24"/>
      <c r="C1341" s="136"/>
      <c r="D1341" s="148"/>
      <c r="E1341" s="136"/>
      <c r="F1341" s="136"/>
      <c r="G1341" s="136"/>
      <c r="H1341" s="136"/>
      <c r="J1341" s="136"/>
      <c r="K1341" s="136"/>
      <c r="AE1341" s="39" t="str">
        <f>IF(D1341="","",IFERROR(VLOOKUP(D1341,Projects!$A$2:$A$20000,1,FALSE),""))</f>
        <v/>
      </c>
      <c r="AF1341" s="2" t="str">
        <f>IF(D1341="","",IFERROR(MATCH(D1341,Projects!$A:$A,0),""))</f>
        <v/>
      </c>
    </row>
    <row r="1342" spans="2:32" x14ac:dyDescent="0.25">
      <c r="B1342" s="24"/>
      <c r="C1342" s="136"/>
      <c r="D1342" s="148"/>
      <c r="E1342" s="136"/>
      <c r="F1342" s="136"/>
      <c r="G1342" s="136"/>
      <c r="H1342" s="136"/>
      <c r="J1342" s="136"/>
      <c r="K1342" s="136"/>
      <c r="AE1342" s="39" t="str">
        <f>IF(D1342="","",IFERROR(VLOOKUP(D1342,Projects!$A$2:$A$20000,1,FALSE),""))</f>
        <v/>
      </c>
      <c r="AF1342" s="2" t="str">
        <f>IF(D1342="","",IFERROR(MATCH(D1342,Projects!$A:$A,0),""))</f>
        <v/>
      </c>
    </row>
    <row r="1343" spans="2:32" x14ac:dyDescent="0.25">
      <c r="B1343" s="24"/>
      <c r="C1343" s="136"/>
      <c r="D1343" s="148"/>
      <c r="E1343" s="136"/>
      <c r="F1343" s="136"/>
      <c r="G1343" s="136"/>
      <c r="H1343" s="136"/>
      <c r="J1343" s="136"/>
      <c r="K1343" s="136"/>
      <c r="AE1343" s="39" t="str">
        <f>IF(D1343="","",IFERROR(VLOOKUP(D1343,Projects!$A$2:$A$20000,1,FALSE),""))</f>
        <v/>
      </c>
      <c r="AF1343" s="2" t="str">
        <f>IF(D1343="","",IFERROR(MATCH(D1343,Projects!$A:$A,0),""))</f>
        <v/>
      </c>
    </row>
    <row r="1344" spans="2:32" x14ac:dyDescent="0.25">
      <c r="B1344" s="24"/>
      <c r="C1344" s="136"/>
      <c r="D1344" s="148"/>
      <c r="E1344" s="136"/>
      <c r="F1344" s="136"/>
      <c r="G1344" s="136"/>
      <c r="H1344" s="136"/>
      <c r="J1344" s="136"/>
      <c r="K1344" s="136"/>
      <c r="AE1344" s="39" t="str">
        <f>IF(D1344="","",IFERROR(VLOOKUP(D1344,Projects!$A$2:$A$20000,1,FALSE),""))</f>
        <v/>
      </c>
      <c r="AF1344" s="2" t="str">
        <f>IF(D1344="","",IFERROR(MATCH(D1344,Projects!$A:$A,0),""))</f>
        <v/>
      </c>
    </row>
    <row r="1345" spans="2:32" x14ac:dyDescent="0.25">
      <c r="B1345" s="24"/>
      <c r="C1345" s="136"/>
      <c r="D1345" s="148"/>
      <c r="E1345" s="136"/>
      <c r="F1345" s="136"/>
      <c r="G1345" s="136"/>
      <c r="H1345" s="136"/>
      <c r="J1345" s="136"/>
      <c r="K1345" s="136"/>
      <c r="AE1345" s="39" t="str">
        <f>IF(D1345="","",IFERROR(VLOOKUP(D1345,Projects!$A$2:$A$20000,1,FALSE),""))</f>
        <v/>
      </c>
      <c r="AF1345" s="2" t="str">
        <f>IF(D1345="","",IFERROR(MATCH(D1345,Projects!$A:$A,0),""))</f>
        <v/>
      </c>
    </row>
    <row r="1346" spans="2:32" x14ac:dyDescent="0.25">
      <c r="B1346" s="24"/>
      <c r="C1346" s="136"/>
      <c r="D1346" s="148"/>
      <c r="E1346" s="136"/>
      <c r="F1346" s="136"/>
      <c r="G1346" s="136"/>
      <c r="H1346" s="136"/>
      <c r="J1346" s="136"/>
      <c r="K1346" s="136"/>
      <c r="AE1346" s="39" t="str">
        <f>IF(D1346="","",IFERROR(VLOOKUP(D1346,Projects!$A$2:$A$20000,1,FALSE),""))</f>
        <v/>
      </c>
      <c r="AF1346" s="2" t="str">
        <f>IF(D1346="","",IFERROR(MATCH(D1346,Projects!$A:$A,0),""))</f>
        <v/>
      </c>
    </row>
    <row r="1347" spans="2:32" x14ac:dyDescent="0.25">
      <c r="B1347" s="24"/>
      <c r="C1347" s="136"/>
      <c r="D1347" s="148"/>
      <c r="E1347" s="136"/>
      <c r="F1347" s="136"/>
      <c r="G1347" s="136"/>
      <c r="H1347" s="136"/>
      <c r="J1347" s="136"/>
      <c r="K1347" s="136"/>
      <c r="AE1347" s="39" t="str">
        <f>IF(D1347="","",IFERROR(VLOOKUP(D1347,Projects!$A$2:$A$20000,1,FALSE),""))</f>
        <v/>
      </c>
      <c r="AF1347" s="2" t="str">
        <f>IF(D1347="","",IFERROR(MATCH(D1347,Projects!$A:$A,0),""))</f>
        <v/>
      </c>
    </row>
    <row r="1348" spans="2:32" x14ac:dyDescent="0.25">
      <c r="B1348" s="24"/>
      <c r="C1348" s="136"/>
      <c r="D1348" s="148"/>
      <c r="E1348" s="136"/>
      <c r="F1348" s="136"/>
      <c r="G1348" s="136"/>
      <c r="H1348" s="136"/>
      <c r="J1348" s="136"/>
      <c r="K1348" s="136"/>
      <c r="AE1348" s="39" t="str">
        <f>IF(D1348="","",IFERROR(VLOOKUP(D1348,Projects!$A$2:$A$20000,1,FALSE),""))</f>
        <v/>
      </c>
      <c r="AF1348" s="2" t="str">
        <f>IF(D1348="","",IFERROR(MATCH(D1348,Projects!$A:$A,0),""))</f>
        <v/>
      </c>
    </row>
    <row r="1349" spans="2:32" x14ac:dyDescent="0.25">
      <c r="B1349" s="24"/>
      <c r="C1349" s="136"/>
      <c r="D1349" s="148"/>
      <c r="E1349" s="136"/>
      <c r="F1349" s="136"/>
      <c r="G1349" s="136"/>
      <c r="H1349" s="136"/>
      <c r="J1349" s="136"/>
      <c r="K1349" s="136"/>
      <c r="AE1349" s="39" t="str">
        <f>IF(D1349="","",IFERROR(VLOOKUP(D1349,Projects!$A$2:$A$20000,1,FALSE),""))</f>
        <v/>
      </c>
      <c r="AF1349" s="2" t="str">
        <f>IF(D1349="","",IFERROR(MATCH(D1349,Projects!$A:$A,0),""))</f>
        <v/>
      </c>
    </row>
    <row r="1350" spans="2:32" x14ac:dyDescent="0.25">
      <c r="B1350" s="24"/>
      <c r="C1350" s="136"/>
      <c r="D1350" s="148"/>
      <c r="E1350" s="136"/>
      <c r="F1350" s="136"/>
      <c r="G1350" s="136"/>
      <c r="H1350" s="136"/>
      <c r="J1350" s="136"/>
      <c r="K1350" s="136"/>
      <c r="AE1350" s="39" t="str">
        <f>IF(D1350="","",IFERROR(VLOOKUP(D1350,Projects!$A$2:$A$20000,1,FALSE),""))</f>
        <v/>
      </c>
      <c r="AF1350" s="2" t="str">
        <f>IF(D1350="","",IFERROR(MATCH(D1350,Projects!$A:$A,0),""))</f>
        <v/>
      </c>
    </row>
    <row r="1351" spans="2:32" x14ac:dyDescent="0.25">
      <c r="B1351" s="24"/>
      <c r="C1351" s="136"/>
      <c r="D1351" s="148"/>
      <c r="E1351" s="136"/>
      <c r="F1351" s="136"/>
      <c r="G1351" s="136"/>
      <c r="H1351" s="136"/>
      <c r="J1351" s="136"/>
      <c r="K1351" s="136"/>
      <c r="AE1351" s="39" t="str">
        <f>IF(D1351="","",IFERROR(VLOOKUP(D1351,Projects!$A$2:$A$20000,1,FALSE),""))</f>
        <v/>
      </c>
      <c r="AF1351" s="2" t="str">
        <f>IF(D1351="","",IFERROR(MATCH(D1351,Projects!$A:$A,0),""))</f>
        <v/>
      </c>
    </row>
    <row r="1352" spans="2:32" x14ac:dyDescent="0.25">
      <c r="B1352" s="24"/>
      <c r="C1352" s="136"/>
      <c r="D1352" s="148"/>
      <c r="E1352" s="136"/>
      <c r="F1352" s="136"/>
      <c r="G1352" s="136"/>
      <c r="H1352" s="136"/>
      <c r="J1352" s="136"/>
      <c r="K1352" s="136"/>
      <c r="AE1352" s="39" t="str">
        <f>IF(D1352="","",IFERROR(VLOOKUP(D1352,Projects!$A$2:$A$20000,1,FALSE),""))</f>
        <v/>
      </c>
      <c r="AF1352" s="2" t="str">
        <f>IF(D1352="","",IFERROR(MATCH(D1352,Projects!$A:$A,0),""))</f>
        <v/>
      </c>
    </row>
    <row r="1353" spans="2:32" x14ac:dyDescent="0.25">
      <c r="B1353" s="24"/>
      <c r="C1353" s="136"/>
      <c r="D1353" s="148"/>
      <c r="E1353" s="136"/>
      <c r="F1353" s="136"/>
      <c r="G1353" s="136"/>
      <c r="H1353" s="136"/>
      <c r="J1353" s="136"/>
      <c r="K1353" s="136"/>
      <c r="AE1353" s="39" t="str">
        <f>IF(D1353="","",IFERROR(VLOOKUP(D1353,Projects!$A$2:$A$20000,1,FALSE),""))</f>
        <v/>
      </c>
      <c r="AF1353" s="2" t="str">
        <f>IF(D1353="","",IFERROR(MATCH(D1353,Projects!$A:$A,0),""))</f>
        <v/>
      </c>
    </row>
    <row r="1354" spans="2:32" x14ac:dyDescent="0.25">
      <c r="B1354" s="24"/>
      <c r="C1354" s="136"/>
      <c r="D1354" s="148"/>
      <c r="E1354" s="136"/>
      <c r="F1354" s="136"/>
      <c r="G1354" s="136"/>
      <c r="H1354" s="136"/>
      <c r="J1354" s="136"/>
      <c r="K1354" s="136"/>
      <c r="AE1354" s="39" t="str">
        <f>IF(D1354="","",IFERROR(VLOOKUP(D1354,Projects!$A$2:$A$20000,1,FALSE),""))</f>
        <v/>
      </c>
      <c r="AF1354" s="2" t="str">
        <f>IF(D1354="","",IFERROR(MATCH(D1354,Projects!$A:$A,0),""))</f>
        <v/>
      </c>
    </row>
    <row r="1355" spans="2:32" x14ac:dyDescent="0.25">
      <c r="B1355" s="24"/>
      <c r="C1355" s="136"/>
      <c r="D1355" s="148"/>
      <c r="E1355" s="136"/>
      <c r="F1355" s="136"/>
      <c r="G1355" s="136"/>
      <c r="H1355" s="136"/>
      <c r="J1355" s="136"/>
      <c r="K1355" s="136"/>
      <c r="AE1355" s="39" t="str">
        <f>IF(D1355="","",IFERROR(VLOOKUP(D1355,Projects!$A$2:$A$20000,1,FALSE),""))</f>
        <v/>
      </c>
      <c r="AF1355" s="2" t="str">
        <f>IF(D1355="","",IFERROR(MATCH(D1355,Projects!$A:$A,0),""))</f>
        <v/>
      </c>
    </row>
    <row r="1356" spans="2:32" x14ac:dyDescent="0.25">
      <c r="B1356" s="24"/>
      <c r="C1356" s="136"/>
      <c r="D1356" s="148"/>
      <c r="E1356" s="136"/>
      <c r="F1356" s="136"/>
      <c r="G1356" s="136"/>
      <c r="H1356" s="136"/>
      <c r="J1356" s="136"/>
      <c r="K1356" s="136"/>
      <c r="AE1356" s="39" t="str">
        <f>IF(D1356="","",IFERROR(VLOOKUP(D1356,Projects!$A$2:$A$20000,1,FALSE),""))</f>
        <v/>
      </c>
      <c r="AF1356" s="2" t="str">
        <f>IF(D1356="","",IFERROR(MATCH(D1356,Projects!$A:$A,0),""))</f>
        <v/>
      </c>
    </row>
    <row r="1357" spans="2:32" x14ac:dyDescent="0.25">
      <c r="B1357" s="24"/>
      <c r="C1357" s="136"/>
      <c r="D1357" s="148"/>
      <c r="E1357" s="136"/>
      <c r="F1357" s="136"/>
      <c r="G1357" s="136"/>
      <c r="H1357" s="136"/>
      <c r="J1357" s="136"/>
      <c r="K1357" s="136"/>
      <c r="AE1357" s="39" t="str">
        <f>IF(D1357="","",IFERROR(VLOOKUP(D1357,Projects!$A$2:$A$20000,1,FALSE),""))</f>
        <v/>
      </c>
      <c r="AF1357" s="2" t="str">
        <f>IF(D1357="","",IFERROR(MATCH(D1357,Projects!$A:$A,0),""))</f>
        <v/>
      </c>
    </row>
    <row r="1358" spans="2:32" x14ac:dyDescent="0.25">
      <c r="B1358" s="24"/>
      <c r="C1358" s="136"/>
      <c r="D1358" s="148"/>
      <c r="E1358" s="136"/>
      <c r="F1358" s="136"/>
      <c r="G1358" s="136"/>
      <c r="H1358" s="136"/>
      <c r="J1358" s="136"/>
      <c r="K1358" s="136"/>
      <c r="AE1358" s="39" t="str">
        <f>IF(D1358="","",IFERROR(VLOOKUP(D1358,Projects!$A$2:$A$20000,1,FALSE),""))</f>
        <v/>
      </c>
      <c r="AF1358" s="2" t="str">
        <f>IF(D1358="","",IFERROR(MATCH(D1358,Projects!$A:$A,0),""))</f>
        <v/>
      </c>
    </row>
    <row r="1359" spans="2:32" x14ac:dyDescent="0.25">
      <c r="B1359" s="24"/>
      <c r="C1359" s="136"/>
      <c r="D1359" s="148"/>
      <c r="E1359" s="136"/>
      <c r="F1359" s="136"/>
      <c r="G1359" s="136"/>
      <c r="H1359" s="136"/>
      <c r="J1359" s="136"/>
      <c r="K1359" s="136"/>
      <c r="AE1359" s="39" t="str">
        <f>IF(D1359="","",IFERROR(VLOOKUP(D1359,Projects!$A$2:$A$20000,1,FALSE),""))</f>
        <v/>
      </c>
      <c r="AF1359" s="2" t="str">
        <f>IF(D1359="","",IFERROR(MATCH(D1359,Projects!$A:$A,0),""))</f>
        <v/>
      </c>
    </row>
    <row r="1360" spans="2:32" x14ac:dyDescent="0.25">
      <c r="B1360" s="24"/>
      <c r="C1360" s="136"/>
      <c r="D1360" s="148"/>
      <c r="E1360" s="136"/>
      <c r="F1360" s="136"/>
      <c r="G1360" s="136"/>
      <c r="H1360" s="136"/>
      <c r="J1360" s="136"/>
      <c r="K1360" s="136"/>
      <c r="AE1360" s="39" t="str">
        <f>IF(D1360="","",IFERROR(VLOOKUP(D1360,Projects!$A$2:$A$20000,1,FALSE),""))</f>
        <v/>
      </c>
      <c r="AF1360" s="2" t="str">
        <f>IF(D1360="","",IFERROR(MATCH(D1360,Projects!$A:$A,0),""))</f>
        <v/>
      </c>
    </row>
    <row r="1361" spans="2:32" x14ac:dyDescent="0.25">
      <c r="B1361" s="24"/>
      <c r="C1361" s="136"/>
      <c r="D1361" s="148"/>
      <c r="E1361" s="136"/>
      <c r="F1361" s="136"/>
      <c r="G1361" s="136"/>
      <c r="H1361" s="136"/>
      <c r="J1361" s="136"/>
      <c r="K1361" s="136"/>
      <c r="AE1361" s="39" t="str">
        <f>IF(D1361="","",IFERROR(VLOOKUP(D1361,Projects!$A$2:$A$20000,1,FALSE),""))</f>
        <v/>
      </c>
      <c r="AF1361" s="2" t="str">
        <f>IF(D1361="","",IFERROR(MATCH(D1361,Projects!$A:$A,0),""))</f>
        <v/>
      </c>
    </row>
    <row r="1362" spans="2:32" x14ac:dyDescent="0.25">
      <c r="B1362" s="24"/>
      <c r="C1362" s="136"/>
      <c r="D1362" s="148"/>
      <c r="E1362" s="136"/>
      <c r="F1362" s="136"/>
      <c r="G1362" s="136"/>
      <c r="H1362" s="136"/>
      <c r="J1362" s="136"/>
      <c r="K1362" s="136"/>
      <c r="AE1362" s="39" t="str">
        <f>IF(D1362="","",IFERROR(VLOOKUP(D1362,Projects!$A$2:$A$20000,1,FALSE),""))</f>
        <v/>
      </c>
      <c r="AF1362" s="2" t="str">
        <f>IF(D1362="","",IFERROR(MATCH(D1362,Projects!$A:$A,0),""))</f>
        <v/>
      </c>
    </row>
    <row r="1363" spans="2:32" x14ac:dyDescent="0.25">
      <c r="AE1363" s="39" t="str">
        <f>IF(D1363="","",IFERROR(VLOOKUP(D1363,Projects!$A$2:$A$20000,1,FALSE),""))</f>
        <v/>
      </c>
      <c r="AF1363" s="2" t="str">
        <f>IF(D1363="","",IFERROR(MATCH(D1363,Projects!$A:$A,0),""))</f>
        <v/>
      </c>
    </row>
    <row r="1364" spans="2:32" x14ac:dyDescent="0.25">
      <c r="AE1364" s="39" t="str">
        <f>IF(D1364="","",IFERROR(VLOOKUP(D1364,Projects!$A$2:$A$20000,1,FALSE),""))</f>
        <v/>
      </c>
      <c r="AF1364" s="2" t="str">
        <f>IF(D1364="","",IFERROR(MATCH(D1364,Projects!$A:$A,0),""))</f>
        <v/>
      </c>
    </row>
    <row r="1365" spans="2:32" x14ac:dyDescent="0.25">
      <c r="AE1365" s="39" t="str">
        <f>IF(D1365="","",IFERROR(VLOOKUP(D1365,Projects!$A$2:$A$20000,1,FALSE),""))</f>
        <v/>
      </c>
      <c r="AF1365" s="2" t="str">
        <f>IF(D1365="","",IFERROR(MATCH(D1365,Projects!$A:$A,0),""))</f>
        <v/>
      </c>
    </row>
    <row r="1366" spans="2:32" x14ac:dyDescent="0.25">
      <c r="AE1366" s="39" t="str">
        <f>IF(D1366="","",IFERROR(VLOOKUP(D1366,Projects!$A$2:$A$20000,1,FALSE),""))</f>
        <v/>
      </c>
      <c r="AF1366" s="2" t="str">
        <f>IF(D1366="","",IFERROR(MATCH(D1366,Projects!$A:$A,0),""))</f>
        <v/>
      </c>
    </row>
    <row r="1367" spans="2:32" x14ac:dyDescent="0.25">
      <c r="AE1367" s="39" t="str">
        <f>IF(D1367="","",IFERROR(VLOOKUP(D1367,Projects!$A$2:$A$20000,1,FALSE),""))</f>
        <v/>
      </c>
      <c r="AF1367" s="2" t="str">
        <f>IF(D1367="","",IFERROR(MATCH(D1367,Projects!$A:$A,0),""))</f>
        <v/>
      </c>
    </row>
    <row r="1368" spans="2:32" x14ac:dyDescent="0.25">
      <c r="AE1368" s="39" t="str">
        <f>IF(D1368="","",IFERROR(VLOOKUP(D1368,Projects!$A$2:$A$20000,1,FALSE),""))</f>
        <v/>
      </c>
      <c r="AF1368" s="2" t="str">
        <f>IF(D1368="","",IFERROR(MATCH(D1368,Projects!$A:$A,0),""))</f>
        <v/>
      </c>
    </row>
    <row r="1369" spans="2:32" x14ac:dyDescent="0.25">
      <c r="AE1369" s="39" t="str">
        <f>IF(D1369="","",IFERROR(VLOOKUP(D1369,Projects!$A$2:$A$20000,1,FALSE),""))</f>
        <v/>
      </c>
      <c r="AF1369" s="2" t="str">
        <f>IF(D1369="","",IFERROR(MATCH(D1369,Projects!$A:$A,0),""))</f>
        <v/>
      </c>
    </row>
    <row r="1370" spans="2:32" x14ac:dyDescent="0.25">
      <c r="AE1370" s="39" t="str">
        <f>IF(D1370="","",IFERROR(VLOOKUP(D1370,Projects!$A$2:$A$20000,1,FALSE),""))</f>
        <v/>
      </c>
      <c r="AF1370" s="2" t="str">
        <f>IF(D1370="","",IFERROR(MATCH(D1370,Projects!$A:$A,0),""))</f>
        <v/>
      </c>
    </row>
    <row r="1371" spans="2:32" x14ac:dyDescent="0.25">
      <c r="AE1371" s="39" t="str">
        <f>IF(D1371="","",IFERROR(VLOOKUP(D1371,Projects!$A$2:$A$20000,1,FALSE),""))</f>
        <v/>
      </c>
      <c r="AF1371" s="2" t="str">
        <f>IF(D1371="","",IFERROR(MATCH(D1371,Projects!$A:$A,0),""))</f>
        <v/>
      </c>
    </row>
    <row r="1372" spans="2:32" x14ac:dyDescent="0.25">
      <c r="AE1372" s="39" t="str">
        <f>IF(D1372="","",IFERROR(VLOOKUP(D1372,Projects!$A$2:$A$20000,1,FALSE),""))</f>
        <v/>
      </c>
      <c r="AF1372" s="2" t="str">
        <f>IF(D1372="","",IFERROR(MATCH(D1372,Projects!$A:$A,0),""))</f>
        <v/>
      </c>
    </row>
    <row r="1373" spans="2:32" x14ac:dyDescent="0.25">
      <c r="AE1373" s="39" t="str">
        <f>IF(D1373="","",IFERROR(VLOOKUP(D1373,Projects!$A$2:$A$20000,1,FALSE),""))</f>
        <v/>
      </c>
      <c r="AF1373" s="2" t="str">
        <f>IF(D1373="","",IFERROR(MATCH(D1373,Projects!$A:$A,0),""))</f>
        <v/>
      </c>
    </row>
    <row r="1374" spans="2:32" x14ac:dyDescent="0.25">
      <c r="AE1374" s="39" t="str">
        <f>IF(D1374="","",IFERROR(VLOOKUP(D1374,Projects!$A$2:$A$20000,1,FALSE),""))</f>
        <v/>
      </c>
      <c r="AF1374" s="2" t="str">
        <f>IF(D1374="","",IFERROR(MATCH(D1374,Projects!$A:$A,0),""))</f>
        <v/>
      </c>
    </row>
    <row r="1375" spans="2:32" x14ac:dyDescent="0.25">
      <c r="AE1375" s="39" t="str">
        <f>IF(D1375="","",IFERROR(VLOOKUP(D1375,Projects!$A$2:$A$20000,1,FALSE),""))</f>
        <v/>
      </c>
      <c r="AF1375" s="2" t="str">
        <f>IF(D1375="","",IFERROR(MATCH(D1375,Projects!$A:$A,0),""))</f>
        <v/>
      </c>
    </row>
    <row r="1376" spans="2:32" x14ac:dyDescent="0.25">
      <c r="AE1376" s="39" t="str">
        <f>IF(D1376="","",IFERROR(VLOOKUP(D1376,Projects!$A$2:$A$20000,1,FALSE),""))</f>
        <v/>
      </c>
      <c r="AF1376" s="2" t="str">
        <f>IF(D1376="","",IFERROR(MATCH(D1376,Projects!$A:$A,0),""))</f>
        <v/>
      </c>
    </row>
    <row r="1377" spans="31:32" x14ac:dyDescent="0.25">
      <c r="AE1377" s="39" t="str">
        <f>IF(D1377="","",IFERROR(VLOOKUP(D1377,Projects!$A$2:$A$20000,1,FALSE),""))</f>
        <v/>
      </c>
      <c r="AF1377" s="2" t="str">
        <f>IF(D1377="","",IFERROR(MATCH(D1377,Projects!$A:$A,0),""))</f>
        <v/>
      </c>
    </row>
    <row r="1378" spans="31:32" x14ac:dyDescent="0.25">
      <c r="AE1378" s="39" t="str">
        <f>IF(D1378="","",IFERROR(VLOOKUP(D1378,Projects!$A$2:$A$20000,1,FALSE),""))</f>
        <v/>
      </c>
      <c r="AF1378" s="2" t="str">
        <f>IF(D1378="","",IFERROR(MATCH(D1378,Projects!$A:$A,0),""))</f>
        <v/>
      </c>
    </row>
    <row r="1379" spans="31:32" x14ac:dyDescent="0.25">
      <c r="AE1379" s="39" t="str">
        <f>IF(D1379="","",IFERROR(VLOOKUP(D1379,Projects!$A$2:$A$20000,1,FALSE),""))</f>
        <v/>
      </c>
      <c r="AF1379" s="2" t="str">
        <f>IF(D1379="","",IFERROR(MATCH(D1379,Projects!$A:$A,0),""))</f>
        <v/>
      </c>
    </row>
    <row r="1380" spans="31:32" x14ac:dyDescent="0.25">
      <c r="AE1380" s="39" t="str">
        <f>IF(D1380="","",IFERROR(VLOOKUP(D1380,Projects!$A$2:$A$20000,1,FALSE),""))</f>
        <v/>
      </c>
      <c r="AF1380" s="2" t="str">
        <f>IF(D1380="","",IFERROR(MATCH(D1380,Projects!$A:$A,0),""))</f>
        <v/>
      </c>
    </row>
    <row r="1381" spans="31:32" x14ac:dyDescent="0.25">
      <c r="AE1381" s="39" t="str">
        <f>IF(D1381="","",IFERROR(VLOOKUP(D1381,Projects!$A$2:$A$20000,1,FALSE),""))</f>
        <v/>
      </c>
      <c r="AF1381" s="2" t="str">
        <f>IF(D1381="","",IFERROR(MATCH(D1381,Projects!$A:$A,0),""))</f>
        <v/>
      </c>
    </row>
    <row r="1382" spans="31:32" x14ac:dyDescent="0.25">
      <c r="AE1382" s="39" t="str">
        <f>IF(D1382="","",IFERROR(VLOOKUP(D1382,Projects!$A$2:$A$20000,1,FALSE),""))</f>
        <v/>
      </c>
      <c r="AF1382" s="2" t="str">
        <f>IF(D1382="","",IFERROR(MATCH(D1382,Projects!$A:$A,0),""))</f>
        <v/>
      </c>
    </row>
    <row r="1383" spans="31:32" x14ac:dyDescent="0.25">
      <c r="AE1383" s="39" t="str">
        <f>IF(D1383="","",IFERROR(VLOOKUP(D1383,Projects!$A$2:$A$20000,1,FALSE),""))</f>
        <v/>
      </c>
      <c r="AF1383" s="2" t="str">
        <f>IF(D1383="","",IFERROR(MATCH(D1383,Projects!$A:$A,0),""))</f>
        <v/>
      </c>
    </row>
    <row r="1384" spans="31:32" x14ac:dyDescent="0.25">
      <c r="AE1384" s="39" t="str">
        <f>IF(D1384="","",IFERROR(VLOOKUP(D1384,Projects!$A$2:$A$20000,1,FALSE),""))</f>
        <v/>
      </c>
      <c r="AF1384" s="2" t="str">
        <f>IF(D1384="","",IFERROR(MATCH(D1384,Projects!$A:$A,0),""))</f>
        <v/>
      </c>
    </row>
    <row r="1385" spans="31:32" x14ac:dyDescent="0.25">
      <c r="AE1385" s="39" t="str">
        <f>IF(D1385="","",IFERROR(VLOOKUP(D1385,Projects!$A$2:$A$20000,1,FALSE),""))</f>
        <v/>
      </c>
      <c r="AF1385" s="2" t="str">
        <f>IF(D1385="","",IFERROR(MATCH(D1385,Projects!$A:$A,0),""))</f>
        <v/>
      </c>
    </row>
    <row r="1386" spans="31:32" x14ac:dyDescent="0.25">
      <c r="AE1386" s="39" t="str">
        <f>IF(D1386="","",IFERROR(VLOOKUP(D1386,Projects!$A$2:$A$20000,1,FALSE),""))</f>
        <v/>
      </c>
      <c r="AF1386" s="2" t="str">
        <f>IF(D1386="","",IFERROR(MATCH(D1386,Projects!$A:$A,0),""))</f>
        <v/>
      </c>
    </row>
    <row r="1387" spans="31:32" x14ac:dyDescent="0.25">
      <c r="AE1387" s="39" t="str">
        <f>IF(D1387="","",IFERROR(VLOOKUP(D1387,Projects!$A$2:$A$20000,1,FALSE),""))</f>
        <v/>
      </c>
      <c r="AF1387" s="2" t="str">
        <f>IF(D1387="","",IFERROR(MATCH(D1387,Projects!$A:$A,0),""))</f>
        <v/>
      </c>
    </row>
    <row r="1388" spans="31:32" x14ac:dyDescent="0.25">
      <c r="AE1388" s="39" t="str">
        <f>IF(D1388="","",IFERROR(VLOOKUP(D1388,Projects!$A$2:$A$20000,1,FALSE),""))</f>
        <v/>
      </c>
      <c r="AF1388" s="2" t="str">
        <f>IF(D1388="","",IFERROR(MATCH(D1388,Projects!$A:$A,0),""))</f>
        <v/>
      </c>
    </row>
    <row r="1389" spans="31:32" x14ac:dyDescent="0.25">
      <c r="AE1389" s="39" t="str">
        <f>IF(D1389="","",IFERROR(VLOOKUP(D1389,Projects!$A$2:$A$20000,1,FALSE),""))</f>
        <v/>
      </c>
      <c r="AF1389" s="2" t="str">
        <f>IF(D1389="","",IFERROR(MATCH(D1389,Projects!$A:$A,0),""))</f>
        <v/>
      </c>
    </row>
    <row r="1390" spans="31:32" x14ac:dyDescent="0.25">
      <c r="AE1390" s="39" t="str">
        <f>IF(D1390="","",IFERROR(VLOOKUP(D1390,Projects!$A$2:$A$20000,1,FALSE),""))</f>
        <v/>
      </c>
      <c r="AF1390" s="2" t="str">
        <f>IF(D1390="","",IFERROR(MATCH(D1390,Projects!$A:$A,0),""))</f>
        <v/>
      </c>
    </row>
    <row r="1391" spans="31:32" x14ac:dyDescent="0.25">
      <c r="AE1391" s="39" t="str">
        <f>IF(D1391="","",IFERROR(VLOOKUP(D1391,Projects!$A$2:$A$20000,1,FALSE),""))</f>
        <v/>
      </c>
      <c r="AF1391" s="2" t="str">
        <f>IF(D1391="","",IFERROR(MATCH(D1391,Projects!$A:$A,0),""))</f>
        <v/>
      </c>
    </row>
    <row r="1392" spans="31:32" x14ac:dyDescent="0.25">
      <c r="AE1392" s="39" t="str">
        <f>IF(D1392="","",IFERROR(VLOOKUP(D1392,Projects!$A$2:$A$20000,1,FALSE),""))</f>
        <v/>
      </c>
      <c r="AF1392" s="2" t="str">
        <f>IF(D1392="","",IFERROR(MATCH(D1392,Projects!$A:$A,0),""))</f>
        <v/>
      </c>
    </row>
    <row r="1393" spans="31:32" x14ac:dyDescent="0.25">
      <c r="AE1393" s="39" t="str">
        <f>IF(D1393="","",IFERROR(VLOOKUP(D1393,Projects!$A$2:$A$20000,1,FALSE),""))</f>
        <v/>
      </c>
      <c r="AF1393" s="2" t="str">
        <f>IF(D1393="","",IFERROR(MATCH(D1393,Projects!$A:$A,0),""))</f>
        <v/>
      </c>
    </row>
    <row r="1394" spans="31:32" x14ac:dyDescent="0.25">
      <c r="AE1394" s="39" t="str">
        <f>IF(D1394="","",IFERROR(VLOOKUP(D1394,Projects!$A$2:$A$20000,1,FALSE),""))</f>
        <v/>
      </c>
      <c r="AF1394" s="2" t="str">
        <f>IF(D1394="","",IFERROR(MATCH(D1394,Projects!$A:$A,0),""))</f>
        <v/>
      </c>
    </row>
    <row r="1395" spans="31:32" x14ac:dyDescent="0.25">
      <c r="AE1395" s="39" t="str">
        <f>IF(D1395="","",IFERROR(VLOOKUP(D1395,Projects!$A$2:$A$20000,1,FALSE),""))</f>
        <v/>
      </c>
      <c r="AF1395" s="2" t="str">
        <f>IF(D1395="","",IFERROR(MATCH(D1395,Projects!$A:$A,0),""))</f>
        <v/>
      </c>
    </row>
    <row r="1396" spans="31:32" x14ac:dyDescent="0.25">
      <c r="AE1396" s="39" t="str">
        <f>IF(D1396="","",IFERROR(VLOOKUP(D1396,Projects!$A$2:$A$20000,1,FALSE),""))</f>
        <v/>
      </c>
      <c r="AF1396" s="2" t="str">
        <f>IF(D1396="","",IFERROR(MATCH(D1396,Projects!$A:$A,0),""))</f>
        <v/>
      </c>
    </row>
    <row r="1397" spans="31:32" x14ac:dyDescent="0.25">
      <c r="AE1397" s="39" t="str">
        <f>IF(D1397="","",IFERROR(VLOOKUP(D1397,Projects!$A$2:$A$20000,1,FALSE),""))</f>
        <v/>
      </c>
      <c r="AF1397" s="2" t="str">
        <f>IF(D1397="","",IFERROR(MATCH(D1397,Projects!$A:$A,0),""))</f>
        <v/>
      </c>
    </row>
    <row r="1398" spans="31:32" x14ac:dyDescent="0.25">
      <c r="AE1398" s="39" t="str">
        <f>IF(D1398="","",IFERROR(VLOOKUP(D1398,Projects!$A$2:$A$20000,1,FALSE),""))</f>
        <v/>
      </c>
      <c r="AF1398" s="2" t="str">
        <f>IF(D1398="","",IFERROR(MATCH(D1398,Projects!$A:$A,0),""))</f>
        <v/>
      </c>
    </row>
    <row r="1399" spans="31:32" x14ac:dyDescent="0.25">
      <c r="AE1399" s="39" t="str">
        <f>IF(D1399="","",IFERROR(VLOOKUP(D1399,Projects!$A$2:$A$20000,1,FALSE),""))</f>
        <v/>
      </c>
      <c r="AF1399" s="2" t="str">
        <f>IF(D1399="","",IFERROR(MATCH(D1399,Projects!$A:$A,0),""))</f>
        <v/>
      </c>
    </row>
    <row r="1400" spans="31:32" x14ac:dyDescent="0.25">
      <c r="AE1400" s="39" t="str">
        <f>IF(D1400="","",IFERROR(VLOOKUP(D1400,Projects!$A$2:$A$20000,1,FALSE),""))</f>
        <v/>
      </c>
      <c r="AF1400" s="2" t="str">
        <f>IF(D1400="","",IFERROR(MATCH(D1400,Projects!$A:$A,0),""))</f>
        <v/>
      </c>
    </row>
    <row r="1401" spans="31:32" x14ac:dyDescent="0.25">
      <c r="AE1401" s="39" t="str">
        <f>IF(D1401="","",IFERROR(VLOOKUP(D1401,Projects!$A$2:$A$20000,1,FALSE),""))</f>
        <v/>
      </c>
      <c r="AF1401" s="2" t="str">
        <f>IF(D1401="","",IFERROR(MATCH(D1401,Projects!$A:$A,0),""))</f>
        <v/>
      </c>
    </row>
    <row r="1402" spans="31:32" x14ac:dyDescent="0.25">
      <c r="AE1402" s="39" t="str">
        <f>IF(D1402="","",IFERROR(VLOOKUP(D1402,Projects!$A$2:$A$20000,1,FALSE),""))</f>
        <v/>
      </c>
      <c r="AF1402" s="2" t="str">
        <f>IF(D1402="","",IFERROR(MATCH(D1402,Projects!$A:$A,0),""))</f>
        <v/>
      </c>
    </row>
    <row r="1403" spans="31:32" x14ac:dyDescent="0.25">
      <c r="AE1403" s="39" t="str">
        <f>IF(D1403="","",IFERROR(VLOOKUP(D1403,Projects!$A$2:$A$20000,1,FALSE),""))</f>
        <v/>
      </c>
      <c r="AF1403" s="2" t="str">
        <f>IF(D1403="","",IFERROR(MATCH(D1403,Projects!$A:$A,0),""))</f>
        <v/>
      </c>
    </row>
    <row r="1404" spans="31:32" x14ac:dyDescent="0.25">
      <c r="AE1404" s="39" t="str">
        <f>IF(D1404="","",IFERROR(VLOOKUP(D1404,Projects!$A$2:$A$20000,1,FALSE),""))</f>
        <v/>
      </c>
      <c r="AF1404" s="2" t="str">
        <f>IF(D1404="","",IFERROR(MATCH(D1404,Projects!$A:$A,0),""))</f>
        <v/>
      </c>
    </row>
    <row r="1405" spans="31:32" x14ac:dyDescent="0.25">
      <c r="AE1405" s="39" t="str">
        <f>IF(D1405="","",IFERROR(VLOOKUP(D1405,Projects!$A$2:$A$20000,1,FALSE),""))</f>
        <v/>
      </c>
      <c r="AF1405" s="2" t="str">
        <f>IF(D1405="","",IFERROR(MATCH(D1405,Projects!$A:$A,0),""))</f>
        <v/>
      </c>
    </row>
    <row r="1406" spans="31:32" x14ac:dyDescent="0.25">
      <c r="AE1406" s="39" t="str">
        <f>IF(D1406="","",IFERROR(VLOOKUP(D1406,Projects!$A$2:$A$20000,1,FALSE),""))</f>
        <v/>
      </c>
      <c r="AF1406" s="2" t="str">
        <f>IF(D1406="","",IFERROR(MATCH(D1406,Projects!$A:$A,0),""))</f>
        <v/>
      </c>
    </row>
    <row r="1407" spans="31:32" x14ac:dyDescent="0.25">
      <c r="AE1407" s="39" t="str">
        <f>IF(D1407="","",IFERROR(VLOOKUP(D1407,Projects!$A$2:$A$20000,1,FALSE),""))</f>
        <v/>
      </c>
      <c r="AF1407" s="2" t="str">
        <f>IF(D1407="","",IFERROR(MATCH(D1407,Projects!$A:$A,0),""))</f>
        <v/>
      </c>
    </row>
    <row r="1408" spans="31:32" x14ac:dyDescent="0.25">
      <c r="AE1408" s="39" t="str">
        <f>IF(D1408="","",IFERROR(VLOOKUP(D1408,Projects!$A$2:$A$20000,1,FALSE),""))</f>
        <v/>
      </c>
      <c r="AF1408" s="2" t="str">
        <f>IF(D1408="","",IFERROR(MATCH(D1408,Projects!$A:$A,0),""))</f>
        <v/>
      </c>
    </row>
    <row r="1409" spans="31:32" x14ac:dyDescent="0.25">
      <c r="AE1409" s="39" t="str">
        <f>IF(D1409="","",IFERROR(VLOOKUP(D1409,Projects!$A$2:$A$20000,1,FALSE),""))</f>
        <v/>
      </c>
      <c r="AF1409" s="2" t="str">
        <f>IF(D1409="","",IFERROR(MATCH(D1409,Projects!$A:$A,0),""))</f>
        <v/>
      </c>
    </row>
    <row r="1410" spans="31:32" x14ac:dyDescent="0.25">
      <c r="AE1410" s="39" t="str">
        <f>IF(D1410="","",IFERROR(VLOOKUP(D1410,Projects!$A$2:$A$20000,1,FALSE),""))</f>
        <v/>
      </c>
      <c r="AF1410" s="2" t="str">
        <f>IF(D1410="","",IFERROR(MATCH(D1410,Projects!$A:$A,0),""))</f>
        <v/>
      </c>
    </row>
    <row r="1411" spans="31:32" x14ac:dyDescent="0.25">
      <c r="AE1411" s="39" t="str">
        <f>IF(D1411="","",IFERROR(VLOOKUP(D1411,Projects!$A$2:$A$20000,1,FALSE),""))</f>
        <v/>
      </c>
      <c r="AF1411" s="2" t="str">
        <f>IF(D1411="","",IFERROR(MATCH(D1411,Projects!$A:$A,0),""))</f>
        <v/>
      </c>
    </row>
    <row r="1412" spans="31:32" x14ac:dyDescent="0.25">
      <c r="AE1412" s="39" t="str">
        <f>IF(D1412="","",IFERROR(VLOOKUP(D1412,Projects!$A$2:$A$20000,1,FALSE),""))</f>
        <v/>
      </c>
      <c r="AF1412" s="2" t="str">
        <f>IF(D1412="","",IFERROR(MATCH(D1412,Projects!$A:$A,0),""))</f>
        <v/>
      </c>
    </row>
    <row r="1413" spans="31:32" x14ac:dyDescent="0.25">
      <c r="AE1413" s="39" t="str">
        <f>IF(D1413="","",IFERROR(VLOOKUP(D1413,Projects!$A$2:$A$20000,1,FALSE),""))</f>
        <v/>
      </c>
      <c r="AF1413" s="2" t="str">
        <f>IF(D1413="","",IFERROR(MATCH(D1413,Projects!$A:$A,0),""))</f>
        <v/>
      </c>
    </row>
    <row r="1414" spans="31:32" x14ac:dyDescent="0.25">
      <c r="AE1414" s="39" t="str">
        <f>IF(D1414="","",IFERROR(VLOOKUP(D1414,Projects!$A$2:$A$20000,1,FALSE),""))</f>
        <v/>
      </c>
      <c r="AF1414" s="2" t="str">
        <f>IF(D1414="","",IFERROR(MATCH(D1414,Projects!$A:$A,0),""))</f>
        <v/>
      </c>
    </row>
    <row r="1415" spans="31:32" x14ac:dyDescent="0.25">
      <c r="AE1415" s="39" t="str">
        <f>IF(D1415="","",IFERROR(VLOOKUP(D1415,Projects!$A$2:$A$20000,1,FALSE),""))</f>
        <v/>
      </c>
      <c r="AF1415" s="2" t="str">
        <f>IF(D1415="","",IFERROR(MATCH(D1415,Projects!$A:$A,0),""))</f>
        <v/>
      </c>
    </row>
    <row r="1416" spans="31:32" x14ac:dyDescent="0.25">
      <c r="AE1416" s="39" t="str">
        <f>IF(D1416="","",IFERROR(VLOOKUP(D1416,Projects!$A$2:$A$20000,1,FALSE),""))</f>
        <v/>
      </c>
      <c r="AF1416" s="2" t="str">
        <f>IF(D1416="","",IFERROR(MATCH(D1416,Projects!$A:$A,0),""))</f>
        <v/>
      </c>
    </row>
    <row r="1417" spans="31:32" x14ac:dyDescent="0.25">
      <c r="AE1417" s="39" t="str">
        <f>IF(D1417="","",IFERROR(VLOOKUP(D1417,Projects!$A$2:$A$20000,1,FALSE),""))</f>
        <v/>
      </c>
      <c r="AF1417" s="2" t="str">
        <f>IF(D1417="","",IFERROR(MATCH(D1417,Projects!$A:$A,0),""))</f>
        <v/>
      </c>
    </row>
    <row r="1418" spans="31:32" x14ac:dyDescent="0.25">
      <c r="AE1418" s="39" t="str">
        <f>IF(D1418="","",IFERROR(VLOOKUP(D1418,Projects!$A$2:$A$20000,1,FALSE),""))</f>
        <v/>
      </c>
      <c r="AF1418" s="2" t="str">
        <f>IF(D1418="","",IFERROR(MATCH(D1418,Projects!$A:$A,0),""))</f>
        <v/>
      </c>
    </row>
    <row r="1419" spans="31:32" x14ac:dyDescent="0.25">
      <c r="AE1419" s="39" t="str">
        <f>IF(D1419="","",IFERROR(VLOOKUP(D1419,Projects!$A$2:$A$20000,1,FALSE),""))</f>
        <v/>
      </c>
      <c r="AF1419" s="2" t="str">
        <f>IF(D1419="","",IFERROR(MATCH(D1419,Projects!$A:$A,0),""))</f>
        <v/>
      </c>
    </row>
    <row r="1420" spans="31:32" x14ac:dyDescent="0.25">
      <c r="AE1420" s="39" t="str">
        <f>IF(D1420="","",IFERROR(VLOOKUP(D1420,Projects!$A$2:$A$20000,1,FALSE),""))</f>
        <v/>
      </c>
      <c r="AF1420" s="2" t="str">
        <f>IF(D1420="","",IFERROR(MATCH(D1420,Projects!$A:$A,0),""))</f>
        <v/>
      </c>
    </row>
    <row r="1421" spans="31:32" x14ac:dyDescent="0.25">
      <c r="AE1421" s="39" t="str">
        <f>IF(D1421="","",IFERROR(VLOOKUP(D1421,Projects!$A$2:$A$20000,1,FALSE),""))</f>
        <v/>
      </c>
      <c r="AF1421" s="2" t="str">
        <f>IF(D1421="","",IFERROR(MATCH(D1421,Projects!$A:$A,0),""))</f>
        <v/>
      </c>
    </row>
    <row r="1422" spans="31:32" x14ac:dyDescent="0.25">
      <c r="AE1422" s="39" t="str">
        <f>IF(D1422="","",IFERROR(VLOOKUP(D1422,Projects!$A$2:$A$20000,1,FALSE),""))</f>
        <v/>
      </c>
      <c r="AF1422" s="2" t="str">
        <f>IF(D1422="","",IFERROR(MATCH(D1422,Projects!$A:$A,0),""))</f>
        <v/>
      </c>
    </row>
    <row r="1423" spans="31:32" x14ac:dyDescent="0.25">
      <c r="AE1423" s="39" t="str">
        <f>IF(D1423="","",IFERROR(VLOOKUP(D1423,Projects!$A$2:$A$20000,1,FALSE),""))</f>
        <v/>
      </c>
      <c r="AF1423" s="2" t="str">
        <f>IF(D1423="","",IFERROR(MATCH(D1423,Projects!$A:$A,0),""))</f>
        <v/>
      </c>
    </row>
    <row r="1424" spans="31:32" x14ac:dyDescent="0.25">
      <c r="AE1424" s="39" t="str">
        <f>IF(D1424="","",IFERROR(VLOOKUP(D1424,Projects!$A$2:$A$20000,1,FALSE),""))</f>
        <v/>
      </c>
      <c r="AF1424" s="2" t="str">
        <f>IF(D1424="","",IFERROR(MATCH(D1424,Projects!$A:$A,0),""))</f>
        <v/>
      </c>
    </row>
    <row r="1425" spans="31:32" x14ac:dyDescent="0.25">
      <c r="AE1425" s="39" t="str">
        <f>IF(D1425="","",IFERROR(VLOOKUP(D1425,Projects!$A$2:$A$20000,1,FALSE),""))</f>
        <v/>
      </c>
      <c r="AF1425" s="2" t="str">
        <f>IF(D1425="","",IFERROR(MATCH(D1425,Projects!$A:$A,0),""))</f>
        <v/>
      </c>
    </row>
    <row r="1426" spans="31:32" x14ac:dyDescent="0.25">
      <c r="AE1426" s="39" t="str">
        <f>IF(D1426="","",IFERROR(VLOOKUP(D1426,Projects!$A$2:$A$20000,1,FALSE),""))</f>
        <v/>
      </c>
      <c r="AF1426" s="2" t="str">
        <f>IF(D1426="","",IFERROR(MATCH(D1426,Projects!$A:$A,0),""))</f>
        <v/>
      </c>
    </row>
    <row r="1427" spans="31:32" x14ac:dyDescent="0.25">
      <c r="AE1427" s="39" t="str">
        <f>IF(D1427="","",IFERROR(VLOOKUP(D1427,Projects!$A$2:$A$20000,1,FALSE),""))</f>
        <v/>
      </c>
      <c r="AF1427" s="2" t="str">
        <f>IF(D1427="","",IFERROR(MATCH(D1427,Projects!$A:$A,0),""))</f>
        <v/>
      </c>
    </row>
    <row r="1428" spans="31:32" x14ac:dyDescent="0.25">
      <c r="AE1428" s="39" t="str">
        <f>IF(D1428="","",IFERROR(VLOOKUP(D1428,Projects!$A$2:$A$20000,1,FALSE),""))</f>
        <v/>
      </c>
      <c r="AF1428" s="2" t="str">
        <f>IF(D1428="","",IFERROR(MATCH(D1428,Projects!$A:$A,0),""))</f>
        <v/>
      </c>
    </row>
    <row r="1429" spans="31:32" x14ac:dyDescent="0.25">
      <c r="AE1429" s="39" t="str">
        <f>IF(D1429="","",IFERROR(VLOOKUP(D1429,Projects!$A$2:$A$20000,1,FALSE),""))</f>
        <v/>
      </c>
      <c r="AF1429" s="2" t="str">
        <f>IF(D1429="","",IFERROR(MATCH(D1429,Projects!$A:$A,0),""))</f>
        <v/>
      </c>
    </row>
    <row r="1430" spans="31:32" x14ac:dyDescent="0.25">
      <c r="AE1430" s="39" t="str">
        <f>IF(D1430="","",IFERROR(VLOOKUP(D1430,Projects!$A$2:$A$20000,1,FALSE),""))</f>
        <v/>
      </c>
      <c r="AF1430" s="2" t="str">
        <f>IF(D1430="","",IFERROR(MATCH(D1430,Projects!$A:$A,0),""))</f>
        <v/>
      </c>
    </row>
    <row r="1431" spans="31:32" x14ac:dyDescent="0.25">
      <c r="AE1431" s="39" t="str">
        <f>IF(D1431="","",IFERROR(VLOOKUP(D1431,Projects!$A$2:$A$20000,1,FALSE),""))</f>
        <v/>
      </c>
      <c r="AF1431" s="2" t="str">
        <f>IF(D1431="","",IFERROR(MATCH(D1431,Projects!$A:$A,0),""))</f>
        <v/>
      </c>
    </row>
    <row r="1432" spans="31:32" x14ac:dyDescent="0.25">
      <c r="AE1432" s="39" t="str">
        <f>IF(D1432="","",IFERROR(VLOOKUP(D1432,Projects!$A$2:$A$20000,1,FALSE),""))</f>
        <v/>
      </c>
      <c r="AF1432" s="2" t="str">
        <f>IF(D1432="","",IFERROR(MATCH(D1432,Projects!$A:$A,0),""))</f>
        <v/>
      </c>
    </row>
    <row r="1433" spans="31:32" x14ac:dyDescent="0.25">
      <c r="AE1433" s="39" t="str">
        <f>IF(D1433="","",IFERROR(VLOOKUP(D1433,Projects!$A$2:$A$20000,1,FALSE),""))</f>
        <v/>
      </c>
      <c r="AF1433" s="2" t="str">
        <f>IF(D1433="","",IFERROR(MATCH(D1433,Projects!$A:$A,0),""))</f>
        <v/>
      </c>
    </row>
    <row r="1434" spans="31:32" x14ac:dyDescent="0.25">
      <c r="AE1434" s="39" t="str">
        <f>IF(D1434="","",IFERROR(VLOOKUP(D1434,Projects!$A$2:$A$20000,1,FALSE),""))</f>
        <v/>
      </c>
      <c r="AF1434" s="2" t="str">
        <f>IF(D1434="","",IFERROR(MATCH(D1434,Projects!$A:$A,0),""))</f>
        <v/>
      </c>
    </row>
    <row r="1435" spans="31:32" x14ac:dyDescent="0.25">
      <c r="AE1435" s="39" t="str">
        <f>IF(D1435="","",IFERROR(VLOOKUP(D1435,Projects!$A$2:$A$20000,1,FALSE),""))</f>
        <v/>
      </c>
      <c r="AF1435" s="2" t="str">
        <f>IF(D1435="","",IFERROR(MATCH(D1435,Projects!$A:$A,0),""))</f>
        <v/>
      </c>
    </row>
    <row r="1436" spans="31:32" x14ac:dyDescent="0.25">
      <c r="AE1436" s="39" t="str">
        <f>IF(D1436="","",IFERROR(VLOOKUP(D1436,Projects!$A$2:$A$20000,1,FALSE),""))</f>
        <v/>
      </c>
      <c r="AF1436" s="2" t="str">
        <f>IF(D1436="","",IFERROR(MATCH(D1436,Projects!$A:$A,0),""))</f>
        <v/>
      </c>
    </row>
    <row r="1437" spans="31:32" x14ac:dyDescent="0.25">
      <c r="AE1437" s="39" t="str">
        <f>IF(D1437="","",IFERROR(VLOOKUP(D1437,Projects!$A$2:$A$20000,1,FALSE),""))</f>
        <v/>
      </c>
      <c r="AF1437" s="2" t="str">
        <f>IF(D1437="","",IFERROR(MATCH(D1437,Projects!$A:$A,0),""))</f>
        <v/>
      </c>
    </row>
    <row r="1438" spans="31:32" x14ac:dyDescent="0.25">
      <c r="AE1438" s="39" t="str">
        <f>IF(D1438="","",IFERROR(VLOOKUP(D1438,Projects!$A$2:$A$20000,1,FALSE),""))</f>
        <v/>
      </c>
      <c r="AF1438" s="2" t="str">
        <f>IF(D1438="","",IFERROR(MATCH(D1438,Projects!$A:$A,0),""))</f>
        <v/>
      </c>
    </row>
    <row r="1439" spans="31:32" x14ac:dyDescent="0.25">
      <c r="AE1439" s="39" t="str">
        <f>IF(D1439="","",IFERROR(VLOOKUP(D1439,Projects!$A$2:$A$20000,1,FALSE),""))</f>
        <v/>
      </c>
      <c r="AF1439" s="2" t="str">
        <f>IF(D1439="","",IFERROR(MATCH(D1439,Projects!$A:$A,0),""))</f>
        <v/>
      </c>
    </row>
    <row r="1440" spans="31:32" x14ac:dyDescent="0.25">
      <c r="AE1440" s="39" t="str">
        <f>IF(D1440="","",IFERROR(VLOOKUP(D1440,Projects!$A$2:$A$20000,1,FALSE),""))</f>
        <v/>
      </c>
      <c r="AF1440" s="2" t="str">
        <f>IF(D1440="","",IFERROR(MATCH(D1440,Projects!$A:$A,0),""))</f>
        <v/>
      </c>
    </row>
    <row r="1441" spans="31:32" x14ac:dyDescent="0.25">
      <c r="AE1441" s="39" t="str">
        <f>IF(D1441="","",IFERROR(VLOOKUP(D1441,Projects!$A$2:$A$20000,1,FALSE),""))</f>
        <v/>
      </c>
      <c r="AF1441" s="2" t="str">
        <f>IF(D1441="","",IFERROR(MATCH(D1441,Projects!$A:$A,0),""))</f>
        <v/>
      </c>
    </row>
    <row r="1442" spans="31:32" x14ac:dyDescent="0.25">
      <c r="AE1442" s="39" t="str">
        <f>IF(D1442="","",IFERROR(VLOOKUP(D1442,Projects!$A$2:$A$20000,1,FALSE),""))</f>
        <v/>
      </c>
      <c r="AF1442" s="2" t="str">
        <f>IF(D1442="","",IFERROR(MATCH(D1442,Projects!$A:$A,0),""))</f>
        <v/>
      </c>
    </row>
    <row r="1443" spans="31:32" x14ac:dyDescent="0.25">
      <c r="AE1443" s="39" t="str">
        <f>IF(D1443="","",IFERROR(VLOOKUP(D1443,Projects!$A$2:$A$20000,1,FALSE),""))</f>
        <v/>
      </c>
      <c r="AF1443" s="2" t="str">
        <f>IF(D1443="","",IFERROR(MATCH(D1443,Projects!$A:$A,0),""))</f>
        <v/>
      </c>
    </row>
    <row r="1444" spans="31:32" x14ac:dyDescent="0.25">
      <c r="AE1444" s="39" t="str">
        <f>IF(D1444="","",IFERROR(VLOOKUP(D1444,Projects!$A$2:$A$20000,1,FALSE),""))</f>
        <v/>
      </c>
      <c r="AF1444" s="2" t="str">
        <f>IF(D1444="","",IFERROR(MATCH(D1444,Projects!$A:$A,0),""))</f>
        <v/>
      </c>
    </row>
    <row r="1445" spans="31:32" x14ac:dyDescent="0.25">
      <c r="AE1445" s="39" t="str">
        <f>IF(D1445="","",IFERROR(VLOOKUP(D1445,Projects!$A$2:$A$20000,1,FALSE),""))</f>
        <v/>
      </c>
      <c r="AF1445" s="2" t="str">
        <f>IF(D1445="","",IFERROR(MATCH(D1445,Projects!$A:$A,0),""))</f>
        <v/>
      </c>
    </row>
    <row r="1446" spans="31:32" x14ac:dyDescent="0.25">
      <c r="AE1446" s="39" t="str">
        <f>IF(D1446="","",IFERROR(VLOOKUP(D1446,Projects!$A$2:$A$20000,1,FALSE),""))</f>
        <v/>
      </c>
      <c r="AF1446" s="2" t="str">
        <f>IF(D1446="","",IFERROR(MATCH(D1446,Projects!$A:$A,0),""))</f>
        <v/>
      </c>
    </row>
    <row r="1447" spans="31:32" x14ac:dyDescent="0.25">
      <c r="AE1447" s="39" t="str">
        <f>IF(D1447="","",IFERROR(VLOOKUP(D1447,Projects!$A$2:$A$20000,1,FALSE),""))</f>
        <v/>
      </c>
      <c r="AF1447" s="2" t="str">
        <f>IF(D1447="","",IFERROR(MATCH(D1447,Projects!$A:$A,0),""))</f>
        <v/>
      </c>
    </row>
    <row r="1448" spans="31:32" x14ac:dyDescent="0.25">
      <c r="AE1448" s="39" t="str">
        <f>IF(D1448="","",IFERROR(VLOOKUP(D1448,Projects!$A$2:$A$20000,1,FALSE),""))</f>
        <v/>
      </c>
      <c r="AF1448" s="2" t="str">
        <f>IF(D1448="","",IFERROR(MATCH(D1448,Projects!$A:$A,0),""))</f>
        <v/>
      </c>
    </row>
    <row r="1449" spans="31:32" x14ac:dyDescent="0.25">
      <c r="AE1449" s="39" t="str">
        <f>IF(D1449="","",IFERROR(VLOOKUP(D1449,Projects!$A$2:$A$20000,1,FALSE),""))</f>
        <v/>
      </c>
      <c r="AF1449" s="2" t="str">
        <f>IF(D1449="","",IFERROR(MATCH(D1449,Projects!$A:$A,0),""))</f>
        <v/>
      </c>
    </row>
    <row r="1450" spans="31:32" x14ac:dyDescent="0.25">
      <c r="AE1450" s="39" t="str">
        <f>IF(D1450="","",IFERROR(VLOOKUP(D1450,Projects!$A$2:$A$20000,1,FALSE),""))</f>
        <v/>
      </c>
      <c r="AF1450" s="2" t="str">
        <f>IF(D1450="","",IFERROR(MATCH(D1450,Projects!$A:$A,0),""))</f>
        <v/>
      </c>
    </row>
    <row r="1451" spans="31:32" x14ac:dyDescent="0.25">
      <c r="AE1451" s="39" t="str">
        <f>IF(D1451="","",IFERROR(VLOOKUP(D1451,Projects!$A$2:$A$20000,1,FALSE),""))</f>
        <v/>
      </c>
      <c r="AF1451" s="2" t="str">
        <f>IF(D1451="","",IFERROR(MATCH(D1451,Projects!$A:$A,0),""))</f>
        <v/>
      </c>
    </row>
    <row r="1452" spans="31:32" x14ac:dyDescent="0.25">
      <c r="AE1452" s="39" t="str">
        <f>IF(D1452="","",IFERROR(VLOOKUP(D1452,Projects!$A$2:$A$20000,1,FALSE),""))</f>
        <v/>
      </c>
      <c r="AF1452" s="2" t="str">
        <f>IF(D1452="","",IFERROR(MATCH(D1452,Projects!$A:$A,0),""))</f>
        <v/>
      </c>
    </row>
    <row r="1453" spans="31:32" x14ac:dyDescent="0.25">
      <c r="AE1453" s="39" t="str">
        <f>IF(D1453="","",IFERROR(VLOOKUP(D1453,Projects!$A$2:$A$20000,1,FALSE),""))</f>
        <v/>
      </c>
      <c r="AF1453" s="2" t="str">
        <f>IF(D1453="","",IFERROR(MATCH(D1453,Projects!$A:$A,0),""))</f>
        <v/>
      </c>
    </row>
    <row r="1454" spans="31:32" x14ac:dyDescent="0.25">
      <c r="AE1454" s="39" t="str">
        <f>IF(D1454="","",IFERROR(VLOOKUP(D1454,Projects!$A$2:$A$20000,1,FALSE),""))</f>
        <v/>
      </c>
      <c r="AF1454" s="2" t="str">
        <f>IF(D1454="","",IFERROR(MATCH(D1454,Projects!$A:$A,0),""))</f>
        <v/>
      </c>
    </row>
    <row r="1455" spans="31:32" x14ac:dyDescent="0.25">
      <c r="AE1455" s="39" t="str">
        <f>IF(D1455="","",IFERROR(VLOOKUP(D1455,Projects!$A$2:$A$20000,1,FALSE),""))</f>
        <v/>
      </c>
      <c r="AF1455" s="2" t="str">
        <f>IF(D1455="","",IFERROR(MATCH(D1455,Projects!$A:$A,0),""))</f>
        <v/>
      </c>
    </row>
    <row r="1456" spans="31:32" x14ac:dyDescent="0.25">
      <c r="AE1456" s="39" t="str">
        <f>IF(D1456="","",IFERROR(VLOOKUP(D1456,Projects!$A$2:$A$20000,1,FALSE),""))</f>
        <v/>
      </c>
      <c r="AF1456" s="2" t="str">
        <f>IF(D1456="","",IFERROR(MATCH(D1456,Projects!$A:$A,0),""))</f>
        <v/>
      </c>
    </row>
    <row r="1457" spans="31:32" x14ac:dyDescent="0.25">
      <c r="AE1457" s="39" t="str">
        <f>IF(D1457="","",IFERROR(VLOOKUP(D1457,Projects!$A$2:$A$20000,1,FALSE),""))</f>
        <v/>
      </c>
      <c r="AF1457" s="2" t="str">
        <f>IF(D1457="","",IFERROR(MATCH(D1457,Projects!$A:$A,0),""))</f>
        <v/>
      </c>
    </row>
    <row r="1458" spans="31:32" x14ac:dyDescent="0.25">
      <c r="AE1458" s="39" t="str">
        <f>IF(D1458="","",IFERROR(VLOOKUP(D1458,Projects!$A$2:$A$20000,1,FALSE),""))</f>
        <v/>
      </c>
      <c r="AF1458" s="2" t="str">
        <f>IF(D1458="","",IFERROR(MATCH(D1458,Projects!$A:$A,0),""))</f>
        <v/>
      </c>
    </row>
    <row r="1459" spans="31:32" x14ac:dyDescent="0.25">
      <c r="AE1459" s="39" t="str">
        <f>IF(D1459="","",IFERROR(VLOOKUP(D1459,Projects!$A$2:$A$20000,1,FALSE),""))</f>
        <v/>
      </c>
      <c r="AF1459" s="2" t="str">
        <f>IF(D1459="","",IFERROR(MATCH(D1459,Projects!$A:$A,0),""))</f>
        <v/>
      </c>
    </row>
    <row r="1460" spans="31:32" x14ac:dyDescent="0.25">
      <c r="AE1460" s="39" t="str">
        <f>IF(D1460="","",IFERROR(VLOOKUP(D1460,Projects!$A$2:$A$20000,1,FALSE),""))</f>
        <v/>
      </c>
      <c r="AF1460" s="2" t="str">
        <f>IF(D1460="","",IFERROR(MATCH(D1460,Projects!$A:$A,0),""))</f>
        <v/>
      </c>
    </row>
    <row r="1461" spans="31:32" x14ac:dyDescent="0.25">
      <c r="AE1461" s="39" t="str">
        <f>IF(D1461="","",IFERROR(VLOOKUP(D1461,Projects!$A$2:$A$20000,1,FALSE),""))</f>
        <v/>
      </c>
      <c r="AF1461" s="2" t="str">
        <f>IF(D1461="","",IFERROR(MATCH(D1461,Projects!$A:$A,0),""))</f>
        <v/>
      </c>
    </row>
    <row r="1462" spans="31:32" x14ac:dyDescent="0.25">
      <c r="AE1462" s="39" t="str">
        <f>IF(D1462="","",IFERROR(VLOOKUP(D1462,Projects!$A$2:$A$20000,1,FALSE),""))</f>
        <v/>
      </c>
      <c r="AF1462" s="2" t="str">
        <f>IF(D1462="","",IFERROR(MATCH(D1462,Projects!$A:$A,0),""))</f>
        <v/>
      </c>
    </row>
    <row r="1463" spans="31:32" x14ac:dyDescent="0.25">
      <c r="AE1463" s="39" t="str">
        <f>IF(D1463="","",IFERROR(VLOOKUP(D1463,Projects!$A$2:$A$20000,1,FALSE),""))</f>
        <v/>
      </c>
      <c r="AF1463" s="2" t="str">
        <f>IF(D1463="","",IFERROR(MATCH(D1463,Projects!$A:$A,0),""))</f>
        <v/>
      </c>
    </row>
    <row r="1464" spans="31:32" x14ac:dyDescent="0.25">
      <c r="AE1464" s="39" t="str">
        <f>IF(D1464="","",IFERROR(VLOOKUP(D1464,Projects!$A$2:$A$20000,1,FALSE),""))</f>
        <v/>
      </c>
      <c r="AF1464" s="2" t="str">
        <f>IF(D1464="","",IFERROR(MATCH(D1464,Projects!$A:$A,0),""))</f>
        <v/>
      </c>
    </row>
    <row r="1465" spans="31:32" x14ac:dyDescent="0.25">
      <c r="AE1465" s="39" t="str">
        <f>IF(D1465="","",IFERROR(VLOOKUP(D1465,Projects!$A$2:$A$20000,1,FALSE),""))</f>
        <v/>
      </c>
      <c r="AF1465" s="2" t="str">
        <f>IF(D1465="","",IFERROR(MATCH(D1465,Projects!$A:$A,0),""))</f>
        <v/>
      </c>
    </row>
    <row r="1466" spans="31:32" x14ac:dyDescent="0.25">
      <c r="AE1466" s="39" t="str">
        <f>IF(D1466="","",IFERROR(VLOOKUP(D1466,Projects!$A$2:$A$20000,1,FALSE),""))</f>
        <v/>
      </c>
      <c r="AF1466" s="2" t="str">
        <f>IF(D1466="","",IFERROR(MATCH(D1466,Projects!$A:$A,0),""))</f>
        <v/>
      </c>
    </row>
    <row r="1467" spans="31:32" x14ac:dyDescent="0.25">
      <c r="AE1467" s="39" t="str">
        <f>IF(D1467="","",IFERROR(VLOOKUP(D1467,Projects!$A$2:$A$20000,1,FALSE),""))</f>
        <v/>
      </c>
      <c r="AF1467" s="2" t="str">
        <f>IF(D1467="","",IFERROR(MATCH(D1467,Projects!$A:$A,0),""))</f>
        <v/>
      </c>
    </row>
    <row r="1468" spans="31:32" x14ac:dyDescent="0.25">
      <c r="AE1468" s="39" t="str">
        <f>IF(D1468="","",IFERROR(VLOOKUP(D1468,Projects!$A$2:$A$20000,1,FALSE),""))</f>
        <v/>
      </c>
      <c r="AF1468" s="2" t="str">
        <f>IF(D1468="","",IFERROR(MATCH(D1468,Projects!$A:$A,0),""))</f>
        <v/>
      </c>
    </row>
    <row r="1469" spans="31:32" x14ac:dyDescent="0.25">
      <c r="AE1469" s="39" t="str">
        <f>IF(D1469="","",IFERROR(VLOOKUP(D1469,Projects!$A$2:$A$20000,1,FALSE),""))</f>
        <v/>
      </c>
      <c r="AF1469" s="2" t="str">
        <f>IF(D1469="","",IFERROR(MATCH(D1469,Projects!$A:$A,0),""))</f>
        <v/>
      </c>
    </row>
    <row r="1470" spans="31:32" x14ac:dyDescent="0.25">
      <c r="AE1470" s="39" t="str">
        <f>IF(D1470="","",IFERROR(VLOOKUP(D1470,Projects!$A$2:$A$20000,1,FALSE),""))</f>
        <v/>
      </c>
      <c r="AF1470" s="2" t="str">
        <f>IF(D1470="","",IFERROR(MATCH(D1470,Projects!$A:$A,0),""))</f>
        <v/>
      </c>
    </row>
    <row r="1471" spans="31:32" x14ac:dyDescent="0.25">
      <c r="AE1471" s="39" t="str">
        <f>IF(D1471="","",IFERROR(VLOOKUP(D1471,Projects!$A$2:$A$20000,1,FALSE),""))</f>
        <v/>
      </c>
      <c r="AF1471" s="2" t="str">
        <f>IF(D1471="","",IFERROR(MATCH(D1471,Projects!$A:$A,0),""))</f>
        <v/>
      </c>
    </row>
    <row r="1472" spans="31:32" x14ac:dyDescent="0.25">
      <c r="AE1472" s="39" t="str">
        <f>IF(D1472="","",IFERROR(VLOOKUP(D1472,Projects!$A$2:$A$20000,1,FALSE),""))</f>
        <v/>
      </c>
      <c r="AF1472" s="2" t="str">
        <f>IF(D1472="","",IFERROR(MATCH(D1472,Projects!$A:$A,0),""))</f>
        <v/>
      </c>
    </row>
    <row r="1473" spans="31:32" x14ac:dyDescent="0.25">
      <c r="AE1473" s="39" t="str">
        <f>IF(D1473="","",IFERROR(VLOOKUP(D1473,Projects!$A$2:$A$20000,1,FALSE),""))</f>
        <v/>
      </c>
      <c r="AF1473" s="2" t="str">
        <f>IF(D1473="","",IFERROR(MATCH(D1473,Projects!$A:$A,0),""))</f>
        <v/>
      </c>
    </row>
    <row r="1474" spans="31:32" x14ac:dyDescent="0.25">
      <c r="AE1474" s="39" t="str">
        <f>IF(D1474="","",IFERROR(VLOOKUP(D1474,Projects!$A$2:$A$20000,1,FALSE),""))</f>
        <v/>
      </c>
      <c r="AF1474" s="2" t="str">
        <f>IF(D1474="","",IFERROR(MATCH(D1474,Projects!$A:$A,0),""))</f>
        <v/>
      </c>
    </row>
    <row r="1475" spans="31:32" x14ac:dyDescent="0.25">
      <c r="AE1475" s="39" t="str">
        <f>IF(D1475="","",IFERROR(VLOOKUP(D1475,Projects!$A$2:$A$20000,1,FALSE),""))</f>
        <v/>
      </c>
      <c r="AF1475" s="2" t="str">
        <f>IF(D1475="","",IFERROR(MATCH(D1475,Projects!$A:$A,0),""))</f>
        <v/>
      </c>
    </row>
    <row r="1476" spans="31:32" x14ac:dyDescent="0.25">
      <c r="AE1476" s="39" t="str">
        <f>IF(D1476="","",IFERROR(VLOOKUP(D1476,Projects!$A$2:$A$20000,1,FALSE),""))</f>
        <v/>
      </c>
      <c r="AF1476" s="2" t="str">
        <f>IF(D1476="","",IFERROR(MATCH(D1476,Projects!$A:$A,0),""))</f>
        <v/>
      </c>
    </row>
    <row r="1477" spans="31:32" x14ac:dyDescent="0.25">
      <c r="AE1477" s="39" t="str">
        <f>IF(D1477="","",IFERROR(VLOOKUP(D1477,Projects!$A$2:$A$20000,1,FALSE),""))</f>
        <v/>
      </c>
      <c r="AF1477" s="2" t="str">
        <f>IF(D1477="","",IFERROR(MATCH(D1477,Projects!$A:$A,0),""))</f>
        <v/>
      </c>
    </row>
    <row r="1478" spans="31:32" x14ac:dyDescent="0.25">
      <c r="AE1478" s="39" t="str">
        <f>IF(D1478="","",IFERROR(VLOOKUP(D1478,Projects!$A$2:$A$20000,1,FALSE),""))</f>
        <v/>
      </c>
      <c r="AF1478" s="2" t="str">
        <f>IF(D1478="","",IFERROR(MATCH(D1478,Projects!$A:$A,0),""))</f>
        <v/>
      </c>
    </row>
    <row r="1479" spans="31:32" x14ac:dyDescent="0.25">
      <c r="AE1479" s="39" t="str">
        <f>IF(D1479="","",IFERROR(VLOOKUP(D1479,Projects!$A$2:$A$20000,1,FALSE),""))</f>
        <v/>
      </c>
      <c r="AF1479" s="2" t="str">
        <f>IF(D1479="","",IFERROR(MATCH(D1479,Projects!$A:$A,0),""))</f>
        <v/>
      </c>
    </row>
    <row r="1480" spans="31:32" x14ac:dyDescent="0.25">
      <c r="AE1480" s="39" t="str">
        <f>IF(D1480="","",IFERROR(VLOOKUP(D1480,Projects!$A$2:$A$20000,1,FALSE),""))</f>
        <v/>
      </c>
      <c r="AF1480" s="2" t="str">
        <f>IF(D1480="","",IFERROR(MATCH(D1480,Projects!$A:$A,0),""))</f>
        <v/>
      </c>
    </row>
    <row r="1481" spans="31:32" x14ac:dyDescent="0.25">
      <c r="AE1481" s="39" t="str">
        <f>IF(D1481="","",IFERROR(VLOOKUP(D1481,Projects!$A$2:$A$20000,1,FALSE),""))</f>
        <v/>
      </c>
      <c r="AF1481" s="2" t="str">
        <f>IF(D1481="","",IFERROR(MATCH(D1481,Projects!$A:$A,0),""))</f>
        <v/>
      </c>
    </row>
    <row r="1482" spans="31:32" x14ac:dyDescent="0.25">
      <c r="AE1482" s="39" t="str">
        <f>IF(D1482="","",IFERROR(VLOOKUP(D1482,Projects!$A$2:$A$20000,1,FALSE),""))</f>
        <v/>
      </c>
      <c r="AF1482" s="2" t="str">
        <f>IF(D1482="","",IFERROR(MATCH(D1482,Projects!$A:$A,0),""))</f>
        <v/>
      </c>
    </row>
    <row r="1483" spans="31:32" x14ac:dyDescent="0.25">
      <c r="AE1483" s="39" t="str">
        <f>IF(D1483="","",IFERROR(VLOOKUP(D1483,Projects!$A$2:$A$20000,1,FALSE),""))</f>
        <v/>
      </c>
      <c r="AF1483" s="2" t="str">
        <f>IF(D1483="","",IFERROR(MATCH(D1483,Projects!$A:$A,0),""))</f>
        <v/>
      </c>
    </row>
    <row r="1484" spans="31:32" x14ac:dyDescent="0.25">
      <c r="AE1484" s="39" t="str">
        <f>IF(D1484="","",IFERROR(VLOOKUP(D1484,Projects!$A$2:$A$20000,1,FALSE),""))</f>
        <v/>
      </c>
      <c r="AF1484" s="2" t="str">
        <f>IF(D1484="","",IFERROR(MATCH(D1484,Projects!$A:$A,0),""))</f>
        <v/>
      </c>
    </row>
    <row r="1485" spans="31:32" x14ac:dyDescent="0.25">
      <c r="AE1485" s="39" t="str">
        <f>IF(D1485="","",IFERROR(VLOOKUP(D1485,Projects!$A$2:$A$20000,1,FALSE),""))</f>
        <v/>
      </c>
      <c r="AF1485" s="2" t="str">
        <f>IF(D1485="","",IFERROR(MATCH(D1485,Projects!$A:$A,0),""))</f>
        <v/>
      </c>
    </row>
    <row r="1486" spans="31:32" x14ac:dyDescent="0.25">
      <c r="AE1486" s="39" t="str">
        <f>IF(D1486="","",IFERROR(VLOOKUP(D1486,Projects!$A$2:$A$20000,1,FALSE),""))</f>
        <v/>
      </c>
      <c r="AF1486" s="2" t="str">
        <f>IF(D1486="","",IFERROR(MATCH(D1486,Projects!$A:$A,0),""))</f>
        <v/>
      </c>
    </row>
    <row r="1487" spans="31:32" x14ac:dyDescent="0.25">
      <c r="AE1487" s="39" t="str">
        <f>IF(D1487="","",IFERROR(VLOOKUP(D1487,Projects!$A$2:$A$20000,1,FALSE),""))</f>
        <v/>
      </c>
      <c r="AF1487" s="2" t="str">
        <f>IF(D1487="","",IFERROR(MATCH(D1487,Projects!$A:$A,0),""))</f>
        <v/>
      </c>
    </row>
    <row r="1488" spans="31:32" x14ac:dyDescent="0.25">
      <c r="AE1488" s="39" t="str">
        <f>IF(D1488="","",IFERROR(VLOOKUP(D1488,Projects!$A$2:$A$20000,1,FALSE),""))</f>
        <v/>
      </c>
      <c r="AF1488" s="2" t="str">
        <f>IF(D1488="","",IFERROR(MATCH(D1488,Projects!$A:$A,0),""))</f>
        <v/>
      </c>
    </row>
    <row r="1489" spans="31:32" x14ac:dyDescent="0.25">
      <c r="AE1489" s="39" t="str">
        <f>IF(D1489="","",IFERROR(VLOOKUP(D1489,Projects!$A$2:$A$20000,1,FALSE),""))</f>
        <v/>
      </c>
      <c r="AF1489" s="2" t="str">
        <f>IF(D1489="","",IFERROR(MATCH(D1489,Projects!$A:$A,0),""))</f>
        <v/>
      </c>
    </row>
    <row r="1490" spans="31:32" x14ac:dyDescent="0.25">
      <c r="AE1490" s="39" t="str">
        <f>IF(D1490="","",IFERROR(VLOOKUP(D1490,Projects!$A$2:$A$20000,1,FALSE),""))</f>
        <v/>
      </c>
      <c r="AF1490" s="2" t="str">
        <f>IF(D1490="","",IFERROR(MATCH(D1490,Projects!$A:$A,0),""))</f>
        <v/>
      </c>
    </row>
    <row r="1491" spans="31:32" x14ac:dyDescent="0.25">
      <c r="AE1491" s="39" t="str">
        <f>IF(D1491="","",IFERROR(VLOOKUP(D1491,Projects!$A$2:$A$20000,1,FALSE),""))</f>
        <v/>
      </c>
      <c r="AF1491" s="2" t="str">
        <f>IF(D1491="","",IFERROR(MATCH(D1491,Projects!$A:$A,0),""))</f>
        <v/>
      </c>
    </row>
    <row r="1492" spans="31:32" x14ac:dyDescent="0.25">
      <c r="AE1492" s="39" t="str">
        <f>IF(D1492="","",IFERROR(VLOOKUP(D1492,Projects!$A$2:$A$20000,1,FALSE),""))</f>
        <v/>
      </c>
      <c r="AF1492" s="2" t="str">
        <f>IF(D1492="","",IFERROR(MATCH(D1492,Projects!$A:$A,0),""))</f>
        <v/>
      </c>
    </row>
    <row r="1493" spans="31:32" x14ac:dyDescent="0.25">
      <c r="AE1493" s="39" t="str">
        <f>IF(D1493="","",IFERROR(VLOOKUP(D1493,Projects!$A$2:$A$20000,1,FALSE),""))</f>
        <v/>
      </c>
      <c r="AF1493" s="2" t="str">
        <f>IF(D1493="","",IFERROR(MATCH(D1493,Projects!$A:$A,0),""))</f>
        <v/>
      </c>
    </row>
    <row r="1494" spans="31:32" x14ac:dyDescent="0.25">
      <c r="AE1494" s="39" t="str">
        <f>IF(D1494="","",IFERROR(VLOOKUP(D1494,Projects!$A$2:$A$20000,1,FALSE),""))</f>
        <v/>
      </c>
      <c r="AF1494" s="2" t="str">
        <f>IF(D1494="","",IFERROR(MATCH(D1494,Projects!$A:$A,0),""))</f>
        <v/>
      </c>
    </row>
    <row r="1495" spans="31:32" x14ac:dyDescent="0.25">
      <c r="AE1495" s="39" t="str">
        <f>IF(D1495="","",IFERROR(VLOOKUP(D1495,Projects!$A$2:$A$20000,1,FALSE),""))</f>
        <v/>
      </c>
      <c r="AF1495" s="2" t="str">
        <f>IF(D1495="","",IFERROR(MATCH(D1495,Projects!$A:$A,0),""))</f>
        <v/>
      </c>
    </row>
    <row r="1496" spans="31:32" x14ac:dyDescent="0.25">
      <c r="AE1496" s="39" t="str">
        <f>IF(D1496="","",IFERROR(VLOOKUP(D1496,Projects!$A$2:$A$20000,1,FALSE),""))</f>
        <v/>
      </c>
      <c r="AF1496" s="2" t="str">
        <f>IF(D1496="","",IFERROR(MATCH(D1496,Projects!$A:$A,0),""))</f>
        <v/>
      </c>
    </row>
    <row r="1497" spans="31:32" x14ac:dyDescent="0.25">
      <c r="AE1497" s="39" t="str">
        <f>IF(D1497="","",IFERROR(VLOOKUP(D1497,Projects!$A$2:$A$20000,1,FALSE),""))</f>
        <v/>
      </c>
      <c r="AF1497" s="2" t="str">
        <f>IF(D1497="","",IFERROR(MATCH(D1497,Projects!$A:$A,0),""))</f>
        <v/>
      </c>
    </row>
    <row r="1498" spans="31:32" x14ac:dyDescent="0.25">
      <c r="AE1498" s="39" t="str">
        <f>IF(D1498="","",IFERROR(VLOOKUP(D1498,Projects!$A$2:$A$20000,1,FALSE),""))</f>
        <v/>
      </c>
      <c r="AF1498" s="2" t="str">
        <f>IF(D1498="","",IFERROR(MATCH(D1498,Projects!$A:$A,0),""))</f>
        <v/>
      </c>
    </row>
    <row r="1499" spans="31:32" x14ac:dyDescent="0.25">
      <c r="AE1499" s="39" t="str">
        <f>IF(D1499="","",IFERROR(VLOOKUP(D1499,Projects!$A$2:$A$20000,1,FALSE),""))</f>
        <v/>
      </c>
      <c r="AF1499" s="2" t="str">
        <f>IF(D1499="","",IFERROR(MATCH(D1499,Projects!$A:$A,0),""))</f>
        <v/>
      </c>
    </row>
    <row r="1500" spans="31:32" x14ac:dyDescent="0.25">
      <c r="AE1500" s="39" t="str">
        <f>IF(D1500="","",IFERROR(VLOOKUP(D1500,Projects!$A$2:$A$20000,1,FALSE),""))</f>
        <v/>
      </c>
      <c r="AF1500" s="2" t="str">
        <f>IF(D1500="","",IFERROR(MATCH(D1500,Projects!$A:$A,0),""))</f>
        <v/>
      </c>
    </row>
    <row r="1501" spans="31:32" x14ac:dyDescent="0.25">
      <c r="AE1501" s="39" t="str">
        <f>IF(D1501="","",IFERROR(VLOOKUP(D1501,Projects!$A$2:$A$20000,1,FALSE),""))</f>
        <v/>
      </c>
      <c r="AF1501" s="2" t="str">
        <f>IF(D1501="","",IFERROR(MATCH(D1501,Projects!$A:$A,0),""))</f>
        <v/>
      </c>
    </row>
    <row r="1502" spans="31:32" x14ac:dyDescent="0.25">
      <c r="AE1502" s="39" t="str">
        <f>IF(D1502="","",IFERROR(VLOOKUP(D1502,Projects!$A$2:$A$20000,1,FALSE),""))</f>
        <v/>
      </c>
      <c r="AF1502" s="2" t="str">
        <f>IF(D1502="","",IFERROR(MATCH(D1502,Projects!$A:$A,0),""))</f>
        <v/>
      </c>
    </row>
    <row r="1503" spans="31:32" x14ac:dyDescent="0.25">
      <c r="AE1503" s="39" t="str">
        <f>IF(D1503="","",IFERROR(VLOOKUP(D1503,Projects!$A$2:$A$20000,1,FALSE),""))</f>
        <v/>
      </c>
      <c r="AF1503" s="2" t="str">
        <f>IF(D1503="","",IFERROR(MATCH(D1503,Projects!$A:$A,0),""))</f>
        <v/>
      </c>
    </row>
    <row r="1504" spans="31:32" x14ac:dyDescent="0.25">
      <c r="AE1504" s="39" t="str">
        <f>IF(D1504="","",IFERROR(VLOOKUP(D1504,Projects!$A$2:$A$20000,1,FALSE),""))</f>
        <v/>
      </c>
      <c r="AF1504" s="2" t="str">
        <f>IF(D1504="","",IFERROR(MATCH(D1504,Projects!$A:$A,0),""))</f>
        <v/>
      </c>
    </row>
    <row r="1505" spans="31:32" x14ac:dyDescent="0.25">
      <c r="AE1505" s="39" t="str">
        <f>IF(D1505="","",IFERROR(VLOOKUP(D1505,Projects!$A$2:$A$20000,1,FALSE),""))</f>
        <v/>
      </c>
      <c r="AF1505" s="2" t="str">
        <f>IF(D1505="","",IFERROR(MATCH(D1505,Projects!$A:$A,0),""))</f>
        <v/>
      </c>
    </row>
    <row r="1506" spans="31:32" x14ac:dyDescent="0.25">
      <c r="AE1506" s="39" t="str">
        <f>IF(D1506="","",IFERROR(VLOOKUP(D1506,Projects!$A$2:$A$20000,1,FALSE),""))</f>
        <v/>
      </c>
      <c r="AF1506" s="2" t="str">
        <f>IF(D1506="","",IFERROR(MATCH(D1506,Projects!$A:$A,0),""))</f>
        <v/>
      </c>
    </row>
    <row r="1507" spans="31:32" x14ac:dyDescent="0.25">
      <c r="AE1507" s="39" t="str">
        <f>IF(D1507="","",IFERROR(VLOOKUP(D1507,Projects!$A$2:$A$20000,1,FALSE),""))</f>
        <v/>
      </c>
      <c r="AF1507" s="2" t="str">
        <f>IF(D1507="","",IFERROR(MATCH(D1507,Projects!$A:$A,0),""))</f>
        <v/>
      </c>
    </row>
    <row r="1508" spans="31:32" x14ac:dyDescent="0.25">
      <c r="AE1508" s="39" t="str">
        <f>IF(D1508="","",IFERROR(VLOOKUP(D1508,Projects!$A$2:$A$20000,1,FALSE),""))</f>
        <v/>
      </c>
      <c r="AF1508" s="2" t="str">
        <f>IF(D1508="","",IFERROR(MATCH(D1508,Projects!$A:$A,0),""))</f>
        <v/>
      </c>
    </row>
    <row r="1509" spans="31:32" x14ac:dyDescent="0.25">
      <c r="AE1509" s="39" t="str">
        <f>IF(D1509="","",IFERROR(VLOOKUP(D1509,Projects!$A$2:$A$20000,1,FALSE),""))</f>
        <v/>
      </c>
      <c r="AF1509" s="2" t="str">
        <f>IF(D1509="","",IFERROR(MATCH(D1509,Projects!$A:$A,0),""))</f>
        <v/>
      </c>
    </row>
    <row r="1510" spans="31:32" x14ac:dyDescent="0.25">
      <c r="AE1510" s="39" t="str">
        <f>IF(D1510="","",IFERROR(VLOOKUP(D1510,Projects!$A$2:$A$20000,1,FALSE),""))</f>
        <v/>
      </c>
      <c r="AF1510" s="2" t="str">
        <f>IF(D1510="","",IFERROR(MATCH(D1510,Projects!$A:$A,0),""))</f>
        <v/>
      </c>
    </row>
    <row r="1511" spans="31:32" x14ac:dyDescent="0.25">
      <c r="AE1511" s="39" t="str">
        <f>IF(D1511="","",IFERROR(VLOOKUP(D1511,Projects!$A$2:$A$20000,1,FALSE),""))</f>
        <v/>
      </c>
      <c r="AF1511" s="2" t="str">
        <f>IF(D1511="","",IFERROR(MATCH(D1511,Projects!$A:$A,0),""))</f>
        <v/>
      </c>
    </row>
    <row r="1512" spans="31:32" x14ac:dyDescent="0.25">
      <c r="AE1512" s="39" t="str">
        <f>IF(D1512="","",IFERROR(VLOOKUP(D1512,Projects!$A$2:$A$20000,1,FALSE),""))</f>
        <v/>
      </c>
      <c r="AF1512" s="2" t="str">
        <f>IF(D1512="","",IFERROR(MATCH(D1512,Projects!$A:$A,0),""))</f>
        <v/>
      </c>
    </row>
    <row r="1513" spans="31:32" x14ac:dyDescent="0.25">
      <c r="AE1513" s="39" t="str">
        <f>IF(D1513="","",IFERROR(VLOOKUP(D1513,Projects!$A$2:$A$20000,1,FALSE),""))</f>
        <v/>
      </c>
      <c r="AF1513" s="2" t="str">
        <f>IF(D1513="","",IFERROR(MATCH(D1513,Projects!$A:$A,0),""))</f>
        <v/>
      </c>
    </row>
    <row r="1514" spans="31:32" x14ac:dyDescent="0.25">
      <c r="AE1514" s="39" t="str">
        <f>IF(D1514="","",IFERROR(VLOOKUP(D1514,Projects!$A$2:$A$20000,1,FALSE),""))</f>
        <v/>
      </c>
      <c r="AF1514" s="2" t="str">
        <f>IF(D1514="","",IFERROR(MATCH(D1514,Projects!$A:$A,0),""))</f>
        <v/>
      </c>
    </row>
    <row r="1515" spans="31:32" x14ac:dyDescent="0.25">
      <c r="AE1515" s="39" t="str">
        <f>IF(D1515="","",IFERROR(VLOOKUP(D1515,Projects!$A$2:$A$20000,1,FALSE),""))</f>
        <v/>
      </c>
      <c r="AF1515" s="2" t="str">
        <f>IF(D1515="","",IFERROR(MATCH(D1515,Projects!$A:$A,0),""))</f>
        <v/>
      </c>
    </row>
    <row r="1516" spans="31:32" x14ac:dyDescent="0.25">
      <c r="AE1516" s="39" t="str">
        <f>IF(D1516="","",IFERROR(VLOOKUP(D1516,Projects!$A$2:$A$20000,1,FALSE),""))</f>
        <v/>
      </c>
      <c r="AF1516" s="2" t="str">
        <f>IF(D1516="","",IFERROR(MATCH(D1516,Projects!$A:$A,0),""))</f>
        <v/>
      </c>
    </row>
    <row r="1517" spans="31:32" x14ac:dyDescent="0.25">
      <c r="AE1517" s="39" t="str">
        <f>IF(D1517="","",IFERROR(VLOOKUP(D1517,Projects!$A$2:$A$20000,1,FALSE),""))</f>
        <v/>
      </c>
      <c r="AF1517" s="2" t="str">
        <f>IF(D1517="","",IFERROR(MATCH(D1517,Projects!$A:$A,0),""))</f>
        <v/>
      </c>
    </row>
    <row r="1518" spans="31:32" x14ac:dyDescent="0.25">
      <c r="AE1518" s="39" t="str">
        <f>IF(D1518="","",IFERROR(VLOOKUP(D1518,Projects!$A$2:$A$20000,1,FALSE),""))</f>
        <v/>
      </c>
      <c r="AF1518" s="2" t="str">
        <f>IF(D1518="","",IFERROR(MATCH(D1518,Projects!$A:$A,0),""))</f>
        <v/>
      </c>
    </row>
    <row r="1519" spans="31:32" x14ac:dyDescent="0.25">
      <c r="AE1519" s="39" t="str">
        <f>IF(D1519="","",IFERROR(VLOOKUP(D1519,Projects!$A$2:$A$20000,1,FALSE),""))</f>
        <v/>
      </c>
      <c r="AF1519" s="2" t="str">
        <f>IF(D1519="","",IFERROR(MATCH(D1519,Projects!$A:$A,0),""))</f>
        <v/>
      </c>
    </row>
    <row r="1520" spans="31:32" x14ac:dyDescent="0.25">
      <c r="AE1520" s="39" t="str">
        <f>IF(D1520="","",IFERROR(VLOOKUP(D1520,Projects!$A$2:$A$20000,1,FALSE),""))</f>
        <v/>
      </c>
      <c r="AF1520" s="2" t="str">
        <f>IF(D1520="","",IFERROR(MATCH(D1520,Projects!$A:$A,0),""))</f>
        <v/>
      </c>
    </row>
    <row r="1521" spans="31:32" x14ac:dyDescent="0.25">
      <c r="AE1521" s="39" t="str">
        <f>IF(D1521="","",IFERROR(VLOOKUP(D1521,Projects!$A$2:$A$20000,1,FALSE),""))</f>
        <v/>
      </c>
      <c r="AF1521" s="2" t="str">
        <f>IF(D1521="","",IFERROR(MATCH(D1521,Projects!$A:$A,0),""))</f>
        <v/>
      </c>
    </row>
    <row r="1522" spans="31:32" x14ac:dyDescent="0.25">
      <c r="AE1522" s="39" t="str">
        <f>IF(D1522="","",IFERROR(VLOOKUP(D1522,Projects!$A$2:$A$20000,1,FALSE),""))</f>
        <v/>
      </c>
      <c r="AF1522" s="2" t="str">
        <f>IF(D1522="","",IFERROR(MATCH(D1522,Projects!$A:$A,0),""))</f>
        <v/>
      </c>
    </row>
    <row r="1523" spans="31:32" x14ac:dyDescent="0.25">
      <c r="AE1523" s="39" t="str">
        <f>IF(D1523="","",IFERROR(VLOOKUP(D1523,Projects!$A$2:$A$20000,1,FALSE),""))</f>
        <v/>
      </c>
      <c r="AF1523" s="2" t="str">
        <f>IF(D1523="","",IFERROR(MATCH(D1523,Projects!$A:$A,0),""))</f>
        <v/>
      </c>
    </row>
    <row r="1524" spans="31:32" x14ac:dyDescent="0.25">
      <c r="AE1524" s="39" t="str">
        <f>IF(D1524="","",IFERROR(VLOOKUP(D1524,Projects!$A$2:$A$20000,1,FALSE),""))</f>
        <v/>
      </c>
      <c r="AF1524" s="2" t="str">
        <f>IF(D1524="","",IFERROR(MATCH(D1524,Projects!$A:$A,0),""))</f>
        <v/>
      </c>
    </row>
    <row r="1525" spans="31:32" x14ac:dyDescent="0.25">
      <c r="AE1525" s="39" t="str">
        <f>IF(D1525="","",IFERROR(VLOOKUP(D1525,Projects!$A$2:$A$20000,1,FALSE),""))</f>
        <v/>
      </c>
      <c r="AF1525" s="2" t="str">
        <f>IF(D1525="","",IFERROR(MATCH(D1525,Projects!$A:$A,0),""))</f>
        <v/>
      </c>
    </row>
    <row r="1526" spans="31:32" x14ac:dyDescent="0.25">
      <c r="AE1526" s="39" t="str">
        <f>IF(D1526="","",IFERROR(VLOOKUP(D1526,Projects!$A$2:$A$20000,1,FALSE),""))</f>
        <v/>
      </c>
      <c r="AF1526" s="2" t="str">
        <f>IF(D1526="","",IFERROR(MATCH(D1526,Projects!$A:$A,0),""))</f>
        <v/>
      </c>
    </row>
    <row r="1527" spans="31:32" x14ac:dyDescent="0.25">
      <c r="AE1527" s="39" t="str">
        <f>IF(D1527="","",IFERROR(VLOOKUP(D1527,Projects!$A$2:$A$20000,1,FALSE),""))</f>
        <v/>
      </c>
      <c r="AF1527" s="2" t="str">
        <f>IF(D1527="","",IFERROR(MATCH(D1527,Projects!$A:$A,0),""))</f>
        <v/>
      </c>
    </row>
    <row r="1528" spans="31:32" x14ac:dyDescent="0.25">
      <c r="AE1528" s="39" t="str">
        <f>IF(D1528="","",IFERROR(VLOOKUP(D1528,Projects!$A$2:$A$20000,1,FALSE),""))</f>
        <v/>
      </c>
      <c r="AF1528" s="2" t="str">
        <f>IF(D1528="","",IFERROR(MATCH(D1528,Projects!$A:$A,0),""))</f>
        <v/>
      </c>
    </row>
    <row r="1529" spans="31:32" x14ac:dyDescent="0.25">
      <c r="AE1529" s="39" t="str">
        <f>IF(D1529="","",IFERROR(VLOOKUP(D1529,Projects!$A$2:$A$20000,1,FALSE),""))</f>
        <v/>
      </c>
      <c r="AF1529" s="2" t="str">
        <f>IF(D1529="","",IFERROR(MATCH(D1529,Projects!$A:$A,0),""))</f>
        <v/>
      </c>
    </row>
    <row r="1530" spans="31:32" x14ac:dyDescent="0.25">
      <c r="AE1530" s="39" t="str">
        <f>IF(D1530="","",IFERROR(VLOOKUP(D1530,Projects!$A$2:$A$20000,1,FALSE),""))</f>
        <v/>
      </c>
      <c r="AF1530" s="2" t="str">
        <f>IF(D1530="","",IFERROR(MATCH(D1530,Projects!$A:$A,0),""))</f>
        <v/>
      </c>
    </row>
    <row r="1531" spans="31:32" x14ac:dyDescent="0.25">
      <c r="AE1531" s="39" t="str">
        <f>IF(D1531="","",IFERROR(VLOOKUP(D1531,Projects!$A$2:$A$20000,1,FALSE),""))</f>
        <v/>
      </c>
      <c r="AF1531" s="2" t="str">
        <f>IF(D1531="","",IFERROR(MATCH(D1531,Projects!$A:$A,0),""))</f>
        <v/>
      </c>
    </row>
    <row r="1532" spans="31:32" x14ac:dyDescent="0.25">
      <c r="AE1532" s="39" t="str">
        <f>IF(D1532="","",IFERROR(VLOOKUP(D1532,Projects!$A$2:$A$20000,1,FALSE),""))</f>
        <v/>
      </c>
      <c r="AF1532" s="2" t="str">
        <f>IF(D1532="","",IFERROR(MATCH(D1532,Projects!$A:$A,0),""))</f>
        <v/>
      </c>
    </row>
    <row r="1533" spans="31:32" x14ac:dyDescent="0.25">
      <c r="AE1533" s="39" t="str">
        <f>IF(D1533="","",IFERROR(VLOOKUP(D1533,Projects!$A$2:$A$20000,1,FALSE),""))</f>
        <v/>
      </c>
      <c r="AF1533" s="2" t="str">
        <f>IF(D1533="","",IFERROR(MATCH(D1533,Projects!$A:$A,0),""))</f>
        <v/>
      </c>
    </row>
    <row r="1534" spans="31:32" x14ac:dyDescent="0.25">
      <c r="AE1534" s="39" t="str">
        <f>IF(D1534="","",IFERROR(VLOOKUP(D1534,Projects!$A$2:$A$20000,1,FALSE),""))</f>
        <v/>
      </c>
      <c r="AF1534" s="2" t="str">
        <f>IF(D1534="","",IFERROR(MATCH(D1534,Projects!$A:$A,0),""))</f>
        <v/>
      </c>
    </row>
    <row r="1535" spans="31:32" x14ac:dyDescent="0.25">
      <c r="AE1535" s="39" t="str">
        <f>IF(D1535="","",IFERROR(VLOOKUP(D1535,Projects!$A$2:$A$20000,1,FALSE),""))</f>
        <v/>
      </c>
      <c r="AF1535" s="2" t="str">
        <f>IF(D1535="","",IFERROR(MATCH(D1535,Projects!$A:$A,0),""))</f>
        <v/>
      </c>
    </row>
    <row r="1536" spans="31:32" x14ac:dyDescent="0.25">
      <c r="AE1536" s="39" t="str">
        <f>IF(D1536="","",IFERROR(VLOOKUP(D1536,Projects!$A$2:$A$20000,1,FALSE),""))</f>
        <v/>
      </c>
      <c r="AF1536" s="2" t="str">
        <f>IF(D1536="","",IFERROR(MATCH(D1536,Projects!$A:$A,0),""))</f>
        <v/>
      </c>
    </row>
    <row r="1537" spans="31:32" x14ac:dyDescent="0.25">
      <c r="AE1537" s="39" t="str">
        <f>IF(D1537="","",IFERROR(VLOOKUP(D1537,Projects!$A$2:$A$20000,1,FALSE),""))</f>
        <v/>
      </c>
      <c r="AF1537" s="2" t="str">
        <f>IF(D1537="","",IFERROR(MATCH(D1537,Projects!$A:$A,0),""))</f>
        <v/>
      </c>
    </row>
    <row r="1538" spans="31:32" x14ac:dyDescent="0.25">
      <c r="AE1538" s="39" t="str">
        <f>IF(D1538="","",IFERROR(VLOOKUP(D1538,Projects!$A$2:$A$20000,1,FALSE),""))</f>
        <v/>
      </c>
      <c r="AF1538" s="2" t="str">
        <f>IF(D1538="","",IFERROR(MATCH(D1538,Projects!$A:$A,0),""))</f>
        <v/>
      </c>
    </row>
    <row r="1539" spans="31:32" x14ac:dyDescent="0.25">
      <c r="AE1539" s="39" t="str">
        <f>IF(D1539="","",IFERROR(VLOOKUP(D1539,Projects!$A$2:$A$20000,1,FALSE),""))</f>
        <v/>
      </c>
      <c r="AF1539" s="2" t="str">
        <f>IF(D1539="","",IFERROR(MATCH(D1539,Projects!$A:$A,0),""))</f>
        <v/>
      </c>
    </row>
    <row r="1540" spans="31:32" x14ac:dyDescent="0.25">
      <c r="AE1540" s="39" t="str">
        <f>IF(D1540="","",IFERROR(VLOOKUP(D1540,Projects!$A$2:$A$20000,1,FALSE),""))</f>
        <v/>
      </c>
      <c r="AF1540" s="2" t="str">
        <f>IF(D1540="","",IFERROR(MATCH(D1540,Projects!$A:$A,0),""))</f>
        <v/>
      </c>
    </row>
    <row r="1541" spans="31:32" x14ac:dyDescent="0.25">
      <c r="AE1541" s="39" t="str">
        <f>IF(D1541="","",IFERROR(VLOOKUP(D1541,Projects!$A$2:$A$20000,1,FALSE),""))</f>
        <v/>
      </c>
      <c r="AF1541" s="2" t="str">
        <f>IF(D1541="","",IFERROR(MATCH(D1541,Projects!$A:$A,0),""))</f>
        <v/>
      </c>
    </row>
    <row r="1542" spans="31:32" x14ac:dyDescent="0.25">
      <c r="AE1542" s="39" t="str">
        <f>IF(D1542="","",IFERROR(VLOOKUP(D1542,Projects!$A$2:$A$20000,1,FALSE),""))</f>
        <v/>
      </c>
      <c r="AF1542" s="2" t="str">
        <f>IF(D1542="","",IFERROR(MATCH(D1542,Projects!$A:$A,0),""))</f>
        <v/>
      </c>
    </row>
    <row r="1543" spans="31:32" x14ac:dyDescent="0.25">
      <c r="AE1543" s="39" t="str">
        <f>IF(D1543="","",IFERROR(VLOOKUP(D1543,Projects!$A$2:$A$20000,1,FALSE),""))</f>
        <v/>
      </c>
      <c r="AF1543" s="2" t="str">
        <f>IF(D1543="","",IFERROR(MATCH(D1543,Projects!$A:$A,0),""))</f>
        <v/>
      </c>
    </row>
    <row r="1544" spans="31:32" x14ac:dyDescent="0.25">
      <c r="AE1544" s="39" t="str">
        <f>IF(D1544="","",IFERROR(VLOOKUP(D1544,Projects!$A$2:$A$20000,1,FALSE),""))</f>
        <v/>
      </c>
      <c r="AF1544" s="2" t="str">
        <f>IF(D1544="","",IFERROR(MATCH(D1544,Projects!$A:$A,0),""))</f>
        <v/>
      </c>
    </row>
    <row r="1545" spans="31:32" x14ac:dyDescent="0.25">
      <c r="AE1545" s="39" t="str">
        <f>IF(D1545="","",IFERROR(VLOOKUP(D1545,Projects!$A$2:$A$20000,1,FALSE),""))</f>
        <v/>
      </c>
      <c r="AF1545" s="2" t="str">
        <f>IF(D1545="","",IFERROR(MATCH(D1545,Projects!$A:$A,0),""))</f>
        <v/>
      </c>
    </row>
    <row r="1546" spans="31:32" x14ac:dyDescent="0.25">
      <c r="AE1546" s="39" t="str">
        <f>IF(D1546="","",IFERROR(VLOOKUP(D1546,Projects!$A$2:$A$20000,1,FALSE),""))</f>
        <v/>
      </c>
      <c r="AF1546" s="2" t="str">
        <f>IF(D1546="","",IFERROR(MATCH(D1546,Projects!$A:$A,0),""))</f>
        <v/>
      </c>
    </row>
    <row r="1547" spans="31:32" x14ac:dyDescent="0.25">
      <c r="AE1547" s="39" t="str">
        <f>IF(D1547="","",IFERROR(VLOOKUP(D1547,Projects!$A$2:$A$20000,1,FALSE),""))</f>
        <v/>
      </c>
      <c r="AF1547" s="2" t="str">
        <f>IF(D1547="","",IFERROR(MATCH(D1547,Projects!$A:$A,0),""))</f>
        <v/>
      </c>
    </row>
    <row r="1548" spans="31:32" x14ac:dyDescent="0.25">
      <c r="AE1548" s="39" t="str">
        <f>IF(D1548="","",IFERROR(VLOOKUP(D1548,Projects!$A$2:$A$20000,1,FALSE),""))</f>
        <v/>
      </c>
      <c r="AF1548" s="2" t="str">
        <f>IF(D1548="","",IFERROR(MATCH(D1548,Projects!$A:$A,0),""))</f>
        <v/>
      </c>
    </row>
    <row r="1549" spans="31:32" x14ac:dyDescent="0.25">
      <c r="AE1549" s="39" t="str">
        <f>IF(D1549="","",IFERROR(VLOOKUP(D1549,Projects!$A$2:$A$20000,1,FALSE),""))</f>
        <v/>
      </c>
      <c r="AF1549" s="2" t="str">
        <f>IF(D1549="","",IFERROR(MATCH(D1549,Projects!$A:$A,0),""))</f>
        <v/>
      </c>
    </row>
    <row r="1550" spans="31:32" x14ac:dyDescent="0.25">
      <c r="AE1550" s="39" t="str">
        <f>IF(D1550="","",IFERROR(VLOOKUP(D1550,Projects!$A$2:$A$20000,1,FALSE),""))</f>
        <v/>
      </c>
      <c r="AF1550" s="2" t="str">
        <f>IF(D1550="","",IFERROR(MATCH(D1550,Projects!$A:$A,0),""))</f>
        <v/>
      </c>
    </row>
    <row r="1551" spans="31:32" x14ac:dyDescent="0.25">
      <c r="AE1551" s="39" t="str">
        <f>IF(D1551="","",IFERROR(VLOOKUP(D1551,Projects!$A$2:$A$20000,1,FALSE),""))</f>
        <v/>
      </c>
      <c r="AF1551" s="2" t="str">
        <f>IF(D1551="","",IFERROR(MATCH(D1551,Projects!$A:$A,0),""))</f>
        <v/>
      </c>
    </row>
    <row r="1552" spans="31:32" x14ac:dyDescent="0.25">
      <c r="AE1552" s="39" t="str">
        <f>IF(D1552="","",IFERROR(VLOOKUP(D1552,Projects!$A$2:$A$20000,1,FALSE),""))</f>
        <v/>
      </c>
      <c r="AF1552" s="2" t="str">
        <f>IF(D1552="","",IFERROR(MATCH(D1552,Projects!$A:$A,0),""))</f>
        <v/>
      </c>
    </row>
    <row r="1553" spans="31:32" x14ac:dyDescent="0.25">
      <c r="AE1553" s="39" t="str">
        <f>IF(D1553="","",IFERROR(VLOOKUP(D1553,Projects!$A$2:$A$20000,1,FALSE),""))</f>
        <v/>
      </c>
      <c r="AF1553" s="2" t="str">
        <f>IF(D1553="","",IFERROR(MATCH(D1553,Projects!$A:$A,0),""))</f>
        <v/>
      </c>
    </row>
    <row r="1554" spans="31:32" x14ac:dyDescent="0.25">
      <c r="AE1554" s="39" t="str">
        <f>IF(D1554="","",IFERROR(VLOOKUP(D1554,Projects!$A$2:$A$20000,1,FALSE),""))</f>
        <v/>
      </c>
      <c r="AF1554" s="2" t="str">
        <f>IF(D1554="","",IFERROR(MATCH(D1554,Projects!$A:$A,0),""))</f>
        <v/>
      </c>
    </row>
    <row r="1555" spans="31:32" x14ac:dyDescent="0.25">
      <c r="AE1555" s="39" t="str">
        <f>IF(D1555="","",IFERROR(VLOOKUP(D1555,Projects!$A$2:$A$20000,1,FALSE),""))</f>
        <v/>
      </c>
      <c r="AF1555" s="2" t="str">
        <f>IF(D1555="","",IFERROR(MATCH(D1555,Projects!$A:$A,0),""))</f>
        <v/>
      </c>
    </row>
    <row r="1556" spans="31:32" x14ac:dyDescent="0.25">
      <c r="AE1556" s="39" t="str">
        <f>IF(D1556="","",IFERROR(VLOOKUP(D1556,Projects!$A$2:$A$20000,1,FALSE),""))</f>
        <v/>
      </c>
      <c r="AF1556" s="2" t="str">
        <f>IF(D1556="","",IFERROR(MATCH(D1556,Projects!$A:$A,0),""))</f>
        <v/>
      </c>
    </row>
    <row r="1557" spans="31:32" x14ac:dyDescent="0.25">
      <c r="AE1557" s="39" t="str">
        <f>IF(D1557="","",IFERROR(VLOOKUP(D1557,Projects!$A$2:$A$20000,1,FALSE),""))</f>
        <v/>
      </c>
      <c r="AF1557" s="2" t="str">
        <f>IF(D1557="","",IFERROR(MATCH(D1557,Projects!$A:$A,0),""))</f>
        <v/>
      </c>
    </row>
    <row r="1558" spans="31:32" x14ac:dyDescent="0.25">
      <c r="AE1558" s="39" t="str">
        <f>IF(D1558="","",IFERROR(VLOOKUP(D1558,Projects!$A$2:$A$20000,1,FALSE),""))</f>
        <v/>
      </c>
      <c r="AF1558" s="2" t="str">
        <f>IF(D1558="","",IFERROR(MATCH(D1558,Projects!$A:$A,0),""))</f>
        <v/>
      </c>
    </row>
    <row r="1559" spans="31:32" x14ac:dyDescent="0.25">
      <c r="AE1559" s="39" t="str">
        <f>IF(D1559="","",IFERROR(VLOOKUP(D1559,Projects!$A$2:$A$20000,1,FALSE),""))</f>
        <v/>
      </c>
      <c r="AF1559" s="2" t="str">
        <f>IF(D1559="","",IFERROR(MATCH(D1559,Projects!$A:$A,0),""))</f>
        <v/>
      </c>
    </row>
    <row r="1560" spans="31:32" x14ac:dyDescent="0.25">
      <c r="AE1560" s="39" t="str">
        <f>IF(D1560="","",IFERROR(VLOOKUP(D1560,Projects!$A$2:$A$20000,1,FALSE),""))</f>
        <v/>
      </c>
      <c r="AF1560" s="2" t="str">
        <f>IF(D1560="","",IFERROR(MATCH(D1560,Projects!$A:$A,0),""))</f>
        <v/>
      </c>
    </row>
    <row r="1561" spans="31:32" x14ac:dyDescent="0.25">
      <c r="AE1561" s="39" t="str">
        <f>IF(D1561="","",IFERROR(VLOOKUP(D1561,Projects!$A$2:$A$20000,1,FALSE),""))</f>
        <v/>
      </c>
      <c r="AF1561" s="2" t="str">
        <f>IF(D1561="","",IFERROR(MATCH(D1561,Projects!$A:$A,0),""))</f>
        <v/>
      </c>
    </row>
    <row r="1562" spans="31:32" x14ac:dyDescent="0.25">
      <c r="AE1562" s="39" t="str">
        <f>IF(D1562="","",IFERROR(VLOOKUP(D1562,Projects!$A$2:$A$20000,1,FALSE),""))</f>
        <v/>
      </c>
      <c r="AF1562" s="2" t="str">
        <f>IF(D1562="","",IFERROR(MATCH(D1562,Projects!$A:$A,0),""))</f>
        <v/>
      </c>
    </row>
    <row r="1563" spans="31:32" x14ac:dyDescent="0.25">
      <c r="AE1563" s="39" t="str">
        <f>IF(D1563="","",IFERROR(VLOOKUP(D1563,Projects!$A$2:$A$20000,1,FALSE),""))</f>
        <v/>
      </c>
      <c r="AF1563" s="2" t="str">
        <f>IF(D1563="","",IFERROR(MATCH(D1563,Projects!$A:$A,0),""))</f>
        <v/>
      </c>
    </row>
    <row r="1564" spans="31:32" x14ac:dyDescent="0.25">
      <c r="AE1564" s="39" t="str">
        <f>IF(D1564="","",IFERROR(VLOOKUP(D1564,Projects!$A$2:$A$20000,1,FALSE),""))</f>
        <v/>
      </c>
      <c r="AF1564" s="2" t="str">
        <f>IF(D1564="","",IFERROR(MATCH(D1564,Projects!$A:$A,0),""))</f>
        <v/>
      </c>
    </row>
    <row r="1565" spans="31:32" x14ac:dyDescent="0.25">
      <c r="AE1565" s="39" t="str">
        <f>IF(D1565="","",IFERROR(VLOOKUP(D1565,Projects!$A$2:$A$20000,1,FALSE),""))</f>
        <v/>
      </c>
      <c r="AF1565" s="2" t="str">
        <f>IF(D1565="","",IFERROR(MATCH(D1565,Projects!$A:$A,0),""))</f>
        <v/>
      </c>
    </row>
    <row r="1566" spans="31:32" x14ac:dyDescent="0.25">
      <c r="AE1566" s="39" t="str">
        <f>IF(D1566="","",IFERROR(VLOOKUP(D1566,Projects!$A$2:$A$20000,1,FALSE),""))</f>
        <v/>
      </c>
      <c r="AF1566" s="2" t="str">
        <f>IF(D1566="","",IFERROR(MATCH(D1566,Projects!$A:$A,0),""))</f>
        <v/>
      </c>
    </row>
    <row r="1567" spans="31:32" x14ac:dyDescent="0.25">
      <c r="AE1567" s="39" t="str">
        <f>IF(D1567="","",IFERROR(VLOOKUP(D1567,Projects!$A$2:$A$20000,1,FALSE),""))</f>
        <v/>
      </c>
      <c r="AF1567" s="2" t="str">
        <f>IF(D1567="","",IFERROR(MATCH(D1567,Projects!$A:$A,0),""))</f>
        <v/>
      </c>
    </row>
    <row r="1568" spans="31:32" x14ac:dyDescent="0.25">
      <c r="AE1568" s="39" t="str">
        <f>IF(D1568="","",IFERROR(VLOOKUP(D1568,Projects!$A$2:$A$20000,1,FALSE),""))</f>
        <v/>
      </c>
      <c r="AF1568" s="2" t="str">
        <f>IF(D1568="","",IFERROR(MATCH(D1568,Projects!$A:$A,0),""))</f>
        <v/>
      </c>
    </row>
    <row r="1569" spans="31:32" x14ac:dyDescent="0.25">
      <c r="AE1569" s="39" t="str">
        <f>IF(D1569="","",IFERROR(VLOOKUP(D1569,Projects!$A$2:$A$20000,1,FALSE),""))</f>
        <v/>
      </c>
      <c r="AF1569" s="2" t="str">
        <f>IF(D1569="","",IFERROR(MATCH(D1569,Projects!$A:$A,0),""))</f>
        <v/>
      </c>
    </row>
    <row r="1570" spans="31:32" x14ac:dyDescent="0.25">
      <c r="AE1570" s="39" t="str">
        <f>IF(D1570="","",IFERROR(VLOOKUP(D1570,Projects!$A$2:$A$20000,1,FALSE),""))</f>
        <v/>
      </c>
      <c r="AF1570" s="2" t="str">
        <f>IF(D1570="","",IFERROR(MATCH(D1570,Projects!$A:$A,0),""))</f>
        <v/>
      </c>
    </row>
    <row r="1571" spans="31:32" x14ac:dyDescent="0.25">
      <c r="AE1571" s="39" t="str">
        <f>IF(D1571="","",IFERROR(VLOOKUP(D1571,Projects!$A$2:$A$20000,1,FALSE),""))</f>
        <v/>
      </c>
      <c r="AF1571" s="2" t="str">
        <f>IF(D1571="","",IFERROR(MATCH(D1571,Projects!$A:$A,0),""))</f>
        <v/>
      </c>
    </row>
    <row r="1572" spans="31:32" x14ac:dyDescent="0.25">
      <c r="AE1572" s="39" t="str">
        <f>IF(D1572="","",IFERROR(VLOOKUP(D1572,Projects!$A$2:$A$20000,1,FALSE),""))</f>
        <v/>
      </c>
      <c r="AF1572" s="2" t="str">
        <f>IF(D1572="","",IFERROR(MATCH(D1572,Projects!$A:$A,0),""))</f>
        <v/>
      </c>
    </row>
    <row r="1573" spans="31:32" x14ac:dyDescent="0.25">
      <c r="AE1573" s="39" t="str">
        <f>IF(D1573="","",IFERROR(VLOOKUP(D1573,Projects!$A$2:$A$20000,1,FALSE),""))</f>
        <v/>
      </c>
      <c r="AF1573" s="2" t="str">
        <f>IF(D1573="","",IFERROR(MATCH(D1573,Projects!$A:$A,0),""))</f>
        <v/>
      </c>
    </row>
    <row r="1574" spans="31:32" x14ac:dyDescent="0.25">
      <c r="AE1574" s="39" t="str">
        <f>IF(D1574="","",IFERROR(VLOOKUP(D1574,Projects!$A$2:$A$20000,1,FALSE),""))</f>
        <v/>
      </c>
      <c r="AF1574" s="2" t="str">
        <f>IF(D1574="","",IFERROR(MATCH(D1574,Projects!$A:$A,0),""))</f>
        <v/>
      </c>
    </row>
    <row r="1575" spans="31:32" x14ac:dyDescent="0.25">
      <c r="AE1575" s="39" t="str">
        <f>IF(D1575="","",IFERROR(VLOOKUP(D1575,Projects!$A$2:$A$20000,1,FALSE),""))</f>
        <v/>
      </c>
      <c r="AF1575" s="2" t="str">
        <f>IF(D1575="","",IFERROR(MATCH(D1575,Projects!$A:$A,0),""))</f>
        <v/>
      </c>
    </row>
    <row r="1576" spans="31:32" x14ac:dyDescent="0.25">
      <c r="AE1576" s="39" t="str">
        <f>IF(D1576="","",IFERROR(VLOOKUP(D1576,Projects!$A$2:$A$20000,1,FALSE),""))</f>
        <v/>
      </c>
      <c r="AF1576" s="2" t="str">
        <f>IF(D1576="","",IFERROR(MATCH(D1576,Projects!$A:$A,0),""))</f>
        <v/>
      </c>
    </row>
    <row r="1577" spans="31:32" x14ac:dyDescent="0.25">
      <c r="AE1577" s="39" t="str">
        <f>IF(D1577="","",IFERROR(VLOOKUP(D1577,Projects!$A$2:$A$20000,1,FALSE),""))</f>
        <v/>
      </c>
      <c r="AF1577" s="2" t="str">
        <f>IF(D1577="","",IFERROR(MATCH(D1577,Projects!$A:$A,0),""))</f>
        <v/>
      </c>
    </row>
    <row r="1578" spans="31:32" x14ac:dyDescent="0.25">
      <c r="AE1578" s="39" t="str">
        <f>IF(D1578="","",IFERROR(VLOOKUP(D1578,Projects!$A$2:$A$20000,1,FALSE),""))</f>
        <v/>
      </c>
      <c r="AF1578" s="2" t="str">
        <f>IF(D1578="","",IFERROR(MATCH(D1578,Projects!$A:$A,0),""))</f>
        <v/>
      </c>
    </row>
    <row r="1579" spans="31:32" x14ac:dyDescent="0.25">
      <c r="AE1579" s="39" t="str">
        <f>IF(D1579="","",IFERROR(VLOOKUP(D1579,Projects!$A$2:$A$20000,1,FALSE),""))</f>
        <v/>
      </c>
      <c r="AF1579" s="2" t="str">
        <f>IF(D1579="","",IFERROR(MATCH(D1579,Projects!$A:$A,0),""))</f>
        <v/>
      </c>
    </row>
    <row r="1580" spans="31:32" x14ac:dyDescent="0.25">
      <c r="AE1580" s="39" t="str">
        <f>IF(D1580="","",IFERROR(VLOOKUP(D1580,Projects!$A$2:$A$20000,1,FALSE),""))</f>
        <v/>
      </c>
      <c r="AF1580" s="2" t="str">
        <f>IF(D1580="","",IFERROR(MATCH(D1580,Projects!$A:$A,0),""))</f>
        <v/>
      </c>
    </row>
    <row r="1581" spans="31:32" x14ac:dyDescent="0.25">
      <c r="AE1581" s="39" t="str">
        <f>IF(D1581="","",IFERROR(VLOOKUP(D1581,Projects!$A$2:$A$20000,1,FALSE),""))</f>
        <v/>
      </c>
      <c r="AF1581" s="2" t="str">
        <f>IF(D1581="","",IFERROR(MATCH(D1581,Projects!$A:$A,0),""))</f>
        <v/>
      </c>
    </row>
    <row r="1582" spans="31:32" x14ac:dyDescent="0.25">
      <c r="AE1582" s="39" t="str">
        <f>IF(D1582="","",IFERROR(VLOOKUP(D1582,Projects!$A$2:$A$20000,1,FALSE),""))</f>
        <v/>
      </c>
      <c r="AF1582" s="2" t="str">
        <f>IF(D1582="","",IFERROR(MATCH(D1582,Projects!$A:$A,0),""))</f>
        <v/>
      </c>
    </row>
    <row r="1583" spans="31:32" x14ac:dyDescent="0.25">
      <c r="AE1583" s="39" t="str">
        <f>IF(D1583="","",IFERROR(VLOOKUP(D1583,Projects!$A$2:$A$20000,1,FALSE),""))</f>
        <v/>
      </c>
      <c r="AF1583" s="2" t="str">
        <f>IF(D1583="","",IFERROR(MATCH(D1583,Projects!$A:$A,0),""))</f>
        <v/>
      </c>
    </row>
    <row r="1584" spans="31:32" x14ac:dyDescent="0.25">
      <c r="AE1584" s="39" t="str">
        <f>IF(D1584="","",IFERROR(VLOOKUP(D1584,Projects!$A$2:$A$20000,1,FALSE),""))</f>
        <v/>
      </c>
      <c r="AF1584" s="2" t="str">
        <f>IF(D1584="","",IFERROR(MATCH(D1584,Projects!$A:$A,0),""))</f>
        <v/>
      </c>
    </row>
    <row r="1585" spans="31:32" x14ac:dyDescent="0.25">
      <c r="AE1585" s="39" t="str">
        <f>IF(D1585="","",IFERROR(VLOOKUP(D1585,Projects!$A$2:$A$20000,1,FALSE),""))</f>
        <v/>
      </c>
      <c r="AF1585" s="2" t="str">
        <f>IF(D1585="","",IFERROR(MATCH(D1585,Projects!$A:$A,0),""))</f>
        <v/>
      </c>
    </row>
    <row r="1586" spans="31:32" x14ac:dyDescent="0.25">
      <c r="AE1586" s="39" t="str">
        <f>IF(D1586="","",IFERROR(VLOOKUP(D1586,Projects!$A$2:$A$20000,1,FALSE),""))</f>
        <v/>
      </c>
      <c r="AF1586" s="2" t="str">
        <f>IF(D1586="","",IFERROR(MATCH(D1586,Projects!$A:$A,0),""))</f>
        <v/>
      </c>
    </row>
    <row r="1587" spans="31:32" x14ac:dyDescent="0.25">
      <c r="AE1587" s="39" t="str">
        <f>IF(D1587="","",IFERROR(VLOOKUP(D1587,Projects!$A$2:$A$20000,1,FALSE),""))</f>
        <v/>
      </c>
      <c r="AF1587" s="2" t="str">
        <f>IF(D1587="","",IFERROR(MATCH(D1587,Projects!$A:$A,0),""))</f>
        <v/>
      </c>
    </row>
    <row r="1588" spans="31:32" x14ac:dyDescent="0.25">
      <c r="AE1588" s="39" t="str">
        <f>IF(D1588="","",IFERROR(VLOOKUP(D1588,Projects!$A$2:$A$20000,1,FALSE),""))</f>
        <v/>
      </c>
      <c r="AF1588" s="2" t="str">
        <f>IF(D1588="","",IFERROR(MATCH(D1588,Projects!$A:$A,0),""))</f>
        <v/>
      </c>
    </row>
    <row r="1589" spans="31:32" x14ac:dyDescent="0.25">
      <c r="AE1589" s="39" t="str">
        <f>IF(D1589="","",IFERROR(VLOOKUP(D1589,Projects!$A$2:$A$20000,1,FALSE),""))</f>
        <v/>
      </c>
      <c r="AF1589" s="2" t="str">
        <f>IF(D1589="","",IFERROR(MATCH(D1589,Projects!$A:$A,0),""))</f>
        <v/>
      </c>
    </row>
    <row r="1590" spans="31:32" x14ac:dyDescent="0.25">
      <c r="AE1590" s="39" t="str">
        <f>IF(D1590="","",IFERROR(VLOOKUP(D1590,Projects!$A$2:$A$20000,1,FALSE),""))</f>
        <v/>
      </c>
      <c r="AF1590" s="2" t="str">
        <f>IF(D1590="","",IFERROR(MATCH(D1590,Projects!$A:$A,0),""))</f>
        <v/>
      </c>
    </row>
    <row r="1591" spans="31:32" x14ac:dyDescent="0.25">
      <c r="AE1591" s="39" t="str">
        <f>IF(D1591="","",IFERROR(VLOOKUP(D1591,Projects!$A$2:$A$20000,1,FALSE),""))</f>
        <v/>
      </c>
      <c r="AF1591" s="2" t="str">
        <f>IF(D1591="","",IFERROR(MATCH(D1591,Projects!$A:$A,0),""))</f>
        <v/>
      </c>
    </row>
    <row r="1592" spans="31:32" x14ac:dyDescent="0.25">
      <c r="AE1592" s="39" t="str">
        <f>IF(D1592="","",IFERROR(VLOOKUP(D1592,Projects!$A$2:$A$20000,1,FALSE),""))</f>
        <v/>
      </c>
      <c r="AF1592" s="2" t="str">
        <f>IF(D1592="","",IFERROR(MATCH(D1592,Projects!$A:$A,0),""))</f>
        <v/>
      </c>
    </row>
    <row r="1593" spans="31:32" x14ac:dyDescent="0.25">
      <c r="AE1593" s="39" t="str">
        <f>IF(D1593="","",IFERROR(VLOOKUP(D1593,Projects!$A$2:$A$20000,1,FALSE),""))</f>
        <v/>
      </c>
      <c r="AF1593" s="2" t="str">
        <f>IF(D1593="","",IFERROR(MATCH(D1593,Projects!$A:$A,0),""))</f>
        <v/>
      </c>
    </row>
    <row r="1594" spans="31:32" x14ac:dyDescent="0.25">
      <c r="AE1594" s="39" t="str">
        <f>IF(D1594="","",IFERROR(VLOOKUP(D1594,Projects!$A$2:$A$20000,1,FALSE),""))</f>
        <v/>
      </c>
      <c r="AF1594" s="2" t="str">
        <f>IF(D1594="","",IFERROR(MATCH(D1594,Projects!$A:$A,0),""))</f>
        <v/>
      </c>
    </row>
    <row r="1595" spans="31:32" x14ac:dyDescent="0.25">
      <c r="AE1595" s="39" t="str">
        <f>IF(D1595="","",IFERROR(VLOOKUP(D1595,Projects!$A$2:$A$20000,1,FALSE),""))</f>
        <v/>
      </c>
      <c r="AF1595" s="2" t="str">
        <f>IF(D1595="","",IFERROR(MATCH(D1595,Projects!$A:$A,0),""))</f>
        <v/>
      </c>
    </row>
    <row r="1596" spans="31:32" x14ac:dyDescent="0.25">
      <c r="AE1596" s="39" t="str">
        <f>IF(D1596="","",IFERROR(VLOOKUP(D1596,Projects!$A$2:$A$20000,1,FALSE),""))</f>
        <v/>
      </c>
      <c r="AF1596" s="2" t="str">
        <f>IF(D1596="","",IFERROR(MATCH(D1596,Projects!$A:$A,0),""))</f>
        <v/>
      </c>
    </row>
    <row r="1597" spans="31:32" x14ac:dyDescent="0.25">
      <c r="AE1597" s="39" t="str">
        <f>IF(D1597="","",IFERROR(VLOOKUP(D1597,Projects!$A$2:$A$20000,1,FALSE),""))</f>
        <v/>
      </c>
      <c r="AF1597" s="2" t="str">
        <f>IF(D1597="","",IFERROR(MATCH(D1597,Projects!$A:$A,0),""))</f>
        <v/>
      </c>
    </row>
    <row r="1598" spans="31:32" x14ac:dyDescent="0.25">
      <c r="AE1598" s="39" t="str">
        <f>IF(D1598="","",IFERROR(VLOOKUP(D1598,Projects!$A$2:$A$20000,1,FALSE),""))</f>
        <v/>
      </c>
      <c r="AF1598" s="2" t="str">
        <f>IF(D1598="","",IFERROR(MATCH(D1598,Projects!$A:$A,0),""))</f>
        <v/>
      </c>
    </row>
    <row r="1599" spans="31:32" x14ac:dyDescent="0.25">
      <c r="AE1599" s="39" t="str">
        <f>IF(D1599="","",IFERROR(VLOOKUP(D1599,Projects!$A$2:$A$20000,1,FALSE),""))</f>
        <v/>
      </c>
      <c r="AF1599" s="2" t="str">
        <f>IF(D1599="","",IFERROR(MATCH(D1599,Projects!$A:$A,0),""))</f>
        <v/>
      </c>
    </row>
    <row r="1600" spans="31:32" x14ac:dyDescent="0.25">
      <c r="AE1600" s="39" t="str">
        <f>IF(D1600="","",IFERROR(VLOOKUP(D1600,Projects!$A$2:$A$20000,1,FALSE),""))</f>
        <v/>
      </c>
      <c r="AF1600" s="2" t="str">
        <f>IF(D1600="","",IFERROR(MATCH(D1600,Projects!$A:$A,0),""))</f>
        <v/>
      </c>
    </row>
    <row r="1601" spans="31:32" x14ac:dyDescent="0.25">
      <c r="AE1601" s="39" t="str">
        <f>IF(D1601="","",IFERROR(VLOOKUP(D1601,Projects!$A$2:$A$20000,1,FALSE),""))</f>
        <v/>
      </c>
      <c r="AF1601" s="2" t="str">
        <f>IF(D1601="","",IFERROR(MATCH(D1601,Projects!$A:$A,0),""))</f>
        <v/>
      </c>
    </row>
    <row r="1602" spans="31:32" x14ac:dyDescent="0.25">
      <c r="AE1602" s="39" t="str">
        <f>IF(D1602="","",IFERROR(VLOOKUP(D1602,Projects!$A$2:$A$20000,1,FALSE),""))</f>
        <v/>
      </c>
      <c r="AF1602" s="2" t="str">
        <f>IF(D1602="","",IFERROR(MATCH(D1602,Projects!$A:$A,0),""))</f>
        <v/>
      </c>
    </row>
    <row r="1603" spans="31:32" x14ac:dyDescent="0.25">
      <c r="AE1603" s="39" t="str">
        <f>IF(D1603="","",IFERROR(VLOOKUP(D1603,Projects!$A$2:$A$20000,1,FALSE),""))</f>
        <v/>
      </c>
      <c r="AF1603" s="2" t="str">
        <f>IF(D1603="","",IFERROR(MATCH(D1603,Projects!$A:$A,0),""))</f>
        <v/>
      </c>
    </row>
    <row r="1604" spans="31:32" x14ac:dyDescent="0.25">
      <c r="AE1604" s="39" t="str">
        <f>IF(D1604="","",IFERROR(VLOOKUP(D1604,Projects!$A$2:$A$20000,1,FALSE),""))</f>
        <v/>
      </c>
      <c r="AF1604" s="2" t="str">
        <f>IF(D1604="","",IFERROR(MATCH(D1604,Projects!$A:$A,0),""))</f>
        <v/>
      </c>
    </row>
    <row r="1605" spans="31:32" x14ac:dyDescent="0.25">
      <c r="AE1605" s="39" t="str">
        <f>IF(D1605="","",IFERROR(VLOOKUP(D1605,Projects!$A$2:$A$20000,1,FALSE),""))</f>
        <v/>
      </c>
      <c r="AF1605" s="2" t="str">
        <f>IF(D1605="","",IFERROR(MATCH(D1605,Projects!$A:$A,0),""))</f>
        <v/>
      </c>
    </row>
    <row r="1606" spans="31:32" x14ac:dyDescent="0.25">
      <c r="AE1606" s="39" t="str">
        <f>IF(D1606="","",IFERROR(VLOOKUP(D1606,Projects!$A$2:$A$20000,1,FALSE),""))</f>
        <v/>
      </c>
      <c r="AF1606" s="2" t="str">
        <f>IF(D1606="","",IFERROR(MATCH(D1606,Projects!$A:$A,0),""))</f>
        <v/>
      </c>
    </row>
    <row r="1607" spans="31:32" x14ac:dyDescent="0.25">
      <c r="AE1607" s="39" t="str">
        <f>IF(D1607="","",IFERROR(VLOOKUP(D1607,Projects!$A$2:$A$20000,1,FALSE),""))</f>
        <v/>
      </c>
      <c r="AF1607" s="2" t="str">
        <f>IF(D1607="","",IFERROR(MATCH(D1607,Projects!$A:$A,0),""))</f>
        <v/>
      </c>
    </row>
    <row r="1608" spans="31:32" x14ac:dyDescent="0.25">
      <c r="AE1608" s="39" t="str">
        <f>IF(D1608="","",IFERROR(VLOOKUP(D1608,Projects!$A$2:$A$20000,1,FALSE),""))</f>
        <v/>
      </c>
      <c r="AF1608" s="2" t="str">
        <f>IF(D1608="","",IFERROR(MATCH(D1608,Projects!$A:$A,0),""))</f>
        <v/>
      </c>
    </row>
    <row r="1609" spans="31:32" x14ac:dyDescent="0.25">
      <c r="AE1609" s="39" t="str">
        <f>IF(D1609="","",IFERROR(VLOOKUP(D1609,Projects!$A$2:$A$20000,1,FALSE),""))</f>
        <v/>
      </c>
      <c r="AF1609" s="2" t="str">
        <f>IF(D1609="","",IFERROR(MATCH(D1609,Projects!$A:$A,0),""))</f>
        <v/>
      </c>
    </row>
    <row r="1610" spans="31:32" x14ac:dyDescent="0.25">
      <c r="AE1610" s="39" t="str">
        <f>IF(D1610="","",IFERROR(VLOOKUP(D1610,Projects!$A$2:$A$20000,1,FALSE),""))</f>
        <v/>
      </c>
      <c r="AF1610" s="2" t="str">
        <f>IF(D1610="","",IFERROR(MATCH(D1610,Projects!$A:$A,0),""))</f>
        <v/>
      </c>
    </row>
    <row r="1611" spans="31:32" x14ac:dyDescent="0.25">
      <c r="AE1611" s="39" t="str">
        <f>IF(D1611="","",IFERROR(VLOOKUP(D1611,Projects!$A$2:$A$20000,1,FALSE),""))</f>
        <v/>
      </c>
      <c r="AF1611" s="2" t="str">
        <f>IF(D1611="","",IFERROR(MATCH(D1611,Projects!$A:$A,0),""))</f>
        <v/>
      </c>
    </row>
    <row r="1612" spans="31:32" x14ac:dyDescent="0.25">
      <c r="AE1612" s="39" t="str">
        <f>IF(D1612="","",IFERROR(VLOOKUP(D1612,Projects!$A$2:$A$20000,1,FALSE),""))</f>
        <v/>
      </c>
      <c r="AF1612" s="2" t="str">
        <f>IF(D1612="","",IFERROR(MATCH(D1612,Projects!$A:$A,0),""))</f>
        <v/>
      </c>
    </row>
    <row r="1613" spans="31:32" x14ac:dyDescent="0.25">
      <c r="AE1613" s="39" t="str">
        <f>IF(D1613="","",IFERROR(VLOOKUP(D1613,Projects!$A$2:$A$20000,1,FALSE),""))</f>
        <v/>
      </c>
      <c r="AF1613" s="2" t="str">
        <f>IF(D1613="","",IFERROR(MATCH(D1613,Projects!$A:$A,0),""))</f>
        <v/>
      </c>
    </row>
    <row r="1614" spans="31:32" x14ac:dyDescent="0.25">
      <c r="AE1614" s="39" t="str">
        <f>IF(D1614="","",IFERROR(VLOOKUP(D1614,Projects!$A$2:$A$20000,1,FALSE),""))</f>
        <v/>
      </c>
      <c r="AF1614" s="2" t="str">
        <f>IF(D1614="","",IFERROR(MATCH(D1614,Projects!$A:$A,0),""))</f>
        <v/>
      </c>
    </row>
    <row r="1615" spans="31:32" x14ac:dyDescent="0.25">
      <c r="AE1615" s="39" t="str">
        <f>IF(D1615="","",IFERROR(VLOOKUP(D1615,Projects!$A$2:$A$20000,1,FALSE),""))</f>
        <v/>
      </c>
      <c r="AF1615" s="2" t="str">
        <f>IF(D1615="","",IFERROR(MATCH(D1615,Projects!$A:$A,0),""))</f>
        <v/>
      </c>
    </row>
    <row r="1616" spans="31:32" x14ac:dyDescent="0.25">
      <c r="AE1616" s="39" t="str">
        <f>IF(D1616="","",IFERROR(VLOOKUP(D1616,Projects!$A$2:$A$20000,1,FALSE),""))</f>
        <v/>
      </c>
      <c r="AF1616" s="2" t="str">
        <f>IF(D1616="","",IFERROR(MATCH(D1616,Projects!$A:$A,0),""))</f>
        <v/>
      </c>
    </row>
    <row r="1617" spans="31:32" x14ac:dyDescent="0.25">
      <c r="AE1617" s="39" t="str">
        <f>IF(D1617="","",IFERROR(VLOOKUP(D1617,Projects!$A$2:$A$20000,1,FALSE),""))</f>
        <v/>
      </c>
      <c r="AF1617" s="2" t="str">
        <f>IF(D1617="","",IFERROR(MATCH(D1617,Projects!$A:$A,0),""))</f>
        <v/>
      </c>
    </row>
    <row r="1618" spans="31:32" x14ac:dyDescent="0.25">
      <c r="AE1618" s="39" t="str">
        <f>IF(D1618="","",IFERROR(VLOOKUP(D1618,Projects!$A$2:$A$20000,1,FALSE),""))</f>
        <v/>
      </c>
      <c r="AF1618" s="2" t="str">
        <f>IF(D1618="","",IFERROR(MATCH(D1618,Projects!$A:$A,0),""))</f>
        <v/>
      </c>
    </row>
    <row r="1619" spans="31:32" x14ac:dyDescent="0.25">
      <c r="AE1619" s="39" t="str">
        <f>IF(D1619="","",IFERROR(VLOOKUP(D1619,Projects!$A$2:$A$20000,1,FALSE),""))</f>
        <v/>
      </c>
      <c r="AF1619" s="2" t="str">
        <f>IF(D1619="","",IFERROR(MATCH(D1619,Projects!$A:$A,0),""))</f>
        <v/>
      </c>
    </row>
    <row r="1620" spans="31:32" x14ac:dyDescent="0.25">
      <c r="AE1620" s="39" t="str">
        <f>IF(D1620="","",IFERROR(VLOOKUP(D1620,Projects!$A$2:$A$20000,1,FALSE),""))</f>
        <v/>
      </c>
      <c r="AF1620" s="2" t="str">
        <f>IF(D1620="","",IFERROR(MATCH(D1620,Projects!$A:$A,0),""))</f>
        <v/>
      </c>
    </row>
    <row r="1621" spans="31:32" x14ac:dyDescent="0.25">
      <c r="AE1621" s="39" t="str">
        <f>IF(D1621="","",IFERROR(VLOOKUP(D1621,Projects!$A$2:$A$20000,1,FALSE),""))</f>
        <v/>
      </c>
      <c r="AF1621" s="2" t="str">
        <f>IF(D1621="","",IFERROR(MATCH(D1621,Projects!$A:$A,0),""))</f>
        <v/>
      </c>
    </row>
    <row r="1622" spans="31:32" x14ac:dyDescent="0.25">
      <c r="AE1622" s="39" t="str">
        <f>IF(D1622="","",IFERROR(VLOOKUP(D1622,Projects!$A$2:$A$20000,1,FALSE),""))</f>
        <v/>
      </c>
      <c r="AF1622" s="2" t="str">
        <f>IF(D1622="","",IFERROR(MATCH(D1622,Projects!$A:$A,0),""))</f>
        <v/>
      </c>
    </row>
    <row r="1623" spans="31:32" x14ac:dyDescent="0.25">
      <c r="AE1623" s="39" t="str">
        <f>IF(D1623="","",IFERROR(VLOOKUP(D1623,Projects!$A$2:$A$20000,1,FALSE),""))</f>
        <v/>
      </c>
      <c r="AF1623" s="2" t="str">
        <f>IF(D1623="","",IFERROR(MATCH(D1623,Projects!$A:$A,0),""))</f>
        <v/>
      </c>
    </row>
    <row r="1624" spans="31:32" x14ac:dyDescent="0.25">
      <c r="AE1624" s="39" t="str">
        <f>IF(D1624="","",IFERROR(VLOOKUP(D1624,Projects!$A$2:$A$20000,1,FALSE),""))</f>
        <v/>
      </c>
      <c r="AF1624" s="2" t="str">
        <f>IF(D1624="","",IFERROR(MATCH(D1624,Projects!$A:$A,0),""))</f>
        <v/>
      </c>
    </row>
    <row r="1625" spans="31:32" x14ac:dyDescent="0.25">
      <c r="AE1625" s="39" t="str">
        <f>IF(D1625="","",IFERROR(VLOOKUP(D1625,Projects!$A$2:$A$20000,1,FALSE),""))</f>
        <v/>
      </c>
      <c r="AF1625" s="2" t="str">
        <f>IF(D1625="","",IFERROR(MATCH(D1625,Projects!$A:$A,0),""))</f>
        <v/>
      </c>
    </row>
    <row r="1626" spans="31:32" x14ac:dyDescent="0.25">
      <c r="AE1626" s="39" t="str">
        <f>IF(D1626="","",IFERROR(VLOOKUP(D1626,Projects!$A$2:$A$20000,1,FALSE),""))</f>
        <v/>
      </c>
      <c r="AF1626" s="2" t="str">
        <f>IF(D1626="","",IFERROR(MATCH(D1626,Projects!$A:$A,0),""))</f>
        <v/>
      </c>
    </row>
    <row r="1627" spans="31:32" x14ac:dyDescent="0.25">
      <c r="AE1627" s="39" t="str">
        <f>IF(D1627="","",IFERROR(VLOOKUP(D1627,Projects!$A$2:$A$20000,1,FALSE),""))</f>
        <v/>
      </c>
      <c r="AF1627" s="2" t="str">
        <f>IF(D1627="","",IFERROR(MATCH(D1627,Projects!$A:$A,0),""))</f>
        <v/>
      </c>
    </row>
    <row r="1628" spans="31:32" x14ac:dyDescent="0.25">
      <c r="AE1628" s="39" t="str">
        <f>IF(D1628="","",IFERROR(VLOOKUP(D1628,Projects!$A$2:$A$20000,1,FALSE),""))</f>
        <v/>
      </c>
      <c r="AF1628" s="2" t="str">
        <f>IF(D1628="","",IFERROR(MATCH(D1628,Projects!$A:$A,0),""))</f>
        <v/>
      </c>
    </row>
    <row r="1629" spans="31:32" x14ac:dyDescent="0.25">
      <c r="AE1629" s="39" t="str">
        <f>IF(D1629="","",IFERROR(VLOOKUP(D1629,Projects!$A$2:$A$20000,1,FALSE),""))</f>
        <v/>
      </c>
      <c r="AF1629" s="2" t="str">
        <f>IF(D1629="","",IFERROR(MATCH(D1629,Projects!$A:$A,0),""))</f>
        <v/>
      </c>
    </row>
    <row r="1630" spans="31:32" x14ac:dyDescent="0.25">
      <c r="AE1630" s="39" t="str">
        <f>IF(D1630="","",IFERROR(VLOOKUP(D1630,Projects!$A$2:$A$20000,1,FALSE),""))</f>
        <v/>
      </c>
      <c r="AF1630" s="2" t="str">
        <f>IF(D1630="","",IFERROR(MATCH(D1630,Projects!$A:$A,0),""))</f>
        <v/>
      </c>
    </row>
    <row r="1631" spans="31:32" x14ac:dyDescent="0.25">
      <c r="AE1631" s="39" t="str">
        <f>IF(D1631="","",IFERROR(VLOOKUP(D1631,Projects!$A$2:$A$20000,1,FALSE),""))</f>
        <v/>
      </c>
      <c r="AF1631" s="2" t="str">
        <f>IF(D1631="","",IFERROR(MATCH(D1631,Projects!$A:$A,0),""))</f>
        <v/>
      </c>
    </row>
    <row r="1632" spans="31:32" x14ac:dyDescent="0.25">
      <c r="AE1632" s="39" t="str">
        <f>IF(D1632="","",IFERROR(VLOOKUP(D1632,Projects!$A$2:$A$20000,1,FALSE),""))</f>
        <v/>
      </c>
      <c r="AF1632" s="2" t="str">
        <f>IF(D1632="","",IFERROR(MATCH(D1632,Projects!$A:$A,0),""))</f>
        <v/>
      </c>
    </row>
    <row r="1633" spans="31:32" x14ac:dyDescent="0.25">
      <c r="AE1633" s="39" t="str">
        <f>IF(D1633="","",IFERROR(VLOOKUP(D1633,Projects!$A$2:$A$20000,1,FALSE),""))</f>
        <v/>
      </c>
      <c r="AF1633" s="2" t="str">
        <f>IF(D1633="","",IFERROR(MATCH(D1633,Projects!$A:$A,0),""))</f>
        <v/>
      </c>
    </row>
    <row r="1634" spans="31:32" x14ac:dyDescent="0.25">
      <c r="AE1634" s="39" t="str">
        <f>IF(D1634="","",IFERROR(VLOOKUP(D1634,Projects!$A$2:$A$20000,1,FALSE),""))</f>
        <v/>
      </c>
      <c r="AF1634" s="2" t="str">
        <f>IF(D1634="","",IFERROR(MATCH(D1634,Projects!$A:$A,0),""))</f>
        <v/>
      </c>
    </row>
    <row r="1635" spans="31:32" x14ac:dyDescent="0.25">
      <c r="AE1635" s="39" t="str">
        <f>IF(D1635="","",IFERROR(VLOOKUP(D1635,Projects!$A$2:$A$20000,1,FALSE),""))</f>
        <v/>
      </c>
      <c r="AF1635" s="2" t="str">
        <f>IF(D1635="","",IFERROR(MATCH(D1635,Projects!$A:$A,0),""))</f>
        <v/>
      </c>
    </row>
    <row r="1636" spans="31:32" x14ac:dyDescent="0.25">
      <c r="AE1636" s="39" t="str">
        <f>IF(D1636="","",IFERROR(VLOOKUP(D1636,Projects!$A$2:$A$20000,1,FALSE),""))</f>
        <v/>
      </c>
      <c r="AF1636" s="2" t="str">
        <f>IF(D1636="","",IFERROR(MATCH(D1636,Projects!$A:$A,0),""))</f>
        <v/>
      </c>
    </row>
    <row r="1637" spans="31:32" x14ac:dyDescent="0.25">
      <c r="AE1637" s="39" t="str">
        <f>IF(D1637="","",IFERROR(VLOOKUP(D1637,Projects!$A$2:$A$20000,1,FALSE),""))</f>
        <v/>
      </c>
      <c r="AF1637" s="2" t="str">
        <f>IF(D1637="","",IFERROR(MATCH(D1637,Projects!$A:$A,0),""))</f>
        <v/>
      </c>
    </row>
    <row r="1638" spans="31:32" x14ac:dyDescent="0.25">
      <c r="AE1638" s="39" t="str">
        <f>IF(D1638="","",IFERROR(VLOOKUP(D1638,Projects!$A$2:$A$20000,1,FALSE),""))</f>
        <v/>
      </c>
      <c r="AF1638" s="2" t="str">
        <f>IF(D1638="","",IFERROR(MATCH(D1638,Projects!$A:$A,0),""))</f>
        <v/>
      </c>
    </row>
    <row r="1639" spans="31:32" x14ac:dyDescent="0.25">
      <c r="AE1639" s="39" t="str">
        <f>IF(D1639="","",IFERROR(VLOOKUP(D1639,Projects!$A$2:$A$20000,1,FALSE),""))</f>
        <v/>
      </c>
      <c r="AF1639" s="2" t="str">
        <f>IF(D1639="","",IFERROR(MATCH(D1639,Projects!$A:$A,0),""))</f>
        <v/>
      </c>
    </row>
    <row r="1640" spans="31:32" x14ac:dyDescent="0.25">
      <c r="AE1640" s="39" t="str">
        <f>IF(D1640="","",IFERROR(VLOOKUP(D1640,Projects!$A$2:$A$20000,1,FALSE),""))</f>
        <v/>
      </c>
      <c r="AF1640" s="2" t="str">
        <f>IF(D1640="","",IFERROR(MATCH(D1640,Projects!$A:$A,0),""))</f>
        <v/>
      </c>
    </row>
    <row r="1641" spans="31:32" x14ac:dyDescent="0.25">
      <c r="AE1641" s="39" t="str">
        <f>IF(D1641="","",IFERROR(VLOOKUP(D1641,Projects!$A$2:$A$20000,1,FALSE),""))</f>
        <v/>
      </c>
      <c r="AF1641" s="2" t="str">
        <f>IF(D1641="","",IFERROR(MATCH(D1641,Projects!$A:$A,0),""))</f>
        <v/>
      </c>
    </row>
    <row r="1642" spans="31:32" x14ac:dyDescent="0.25">
      <c r="AE1642" s="39" t="str">
        <f>IF(D1642="","",IFERROR(VLOOKUP(D1642,Projects!$A$2:$A$20000,1,FALSE),""))</f>
        <v/>
      </c>
      <c r="AF1642" s="2" t="str">
        <f>IF(D1642="","",IFERROR(MATCH(D1642,Projects!$A:$A,0),""))</f>
        <v/>
      </c>
    </row>
    <row r="1643" spans="31:32" x14ac:dyDescent="0.25">
      <c r="AE1643" s="39" t="str">
        <f>IF(D1643="","",IFERROR(VLOOKUP(D1643,Projects!$A$2:$A$20000,1,FALSE),""))</f>
        <v/>
      </c>
      <c r="AF1643" s="2" t="str">
        <f>IF(D1643="","",IFERROR(MATCH(D1643,Projects!$A:$A,0),""))</f>
        <v/>
      </c>
    </row>
    <row r="1644" spans="31:32" x14ac:dyDescent="0.25">
      <c r="AE1644" s="39" t="str">
        <f>IF(D1644="","",IFERROR(VLOOKUP(D1644,Projects!$A$2:$A$20000,1,FALSE),""))</f>
        <v/>
      </c>
      <c r="AF1644" s="2" t="str">
        <f>IF(D1644="","",IFERROR(MATCH(D1644,Projects!$A:$A,0),""))</f>
        <v/>
      </c>
    </row>
    <row r="1645" spans="31:32" x14ac:dyDescent="0.25">
      <c r="AE1645" s="39" t="str">
        <f>IF(D1645="","",IFERROR(VLOOKUP(D1645,Projects!$A$2:$A$20000,1,FALSE),""))</f>
        <v/>
      </c>
      <c r="AF1645" s="2" t="str">
        <f>IF(D1645="","",IFERROR(MATCH(D1645,Projects!$A:$A,0),""))</f>
        <v/>
      </c>
    </row>
    <row r="1646" spans="31:32" x14ac:dyDescent="0.25">
      <c r="AE1646" s="39" t="str">
        <f>IF(D1646="","",IFERROR(VLOOKUP(D1646,Projects!$A$2:$A$20000,1,FALSE),""))</f>
        <v/>
      </c>
      <c r="AF1646" s="2" t="str">
        <f>IF(D1646="","",IFERROR(MATCH(D1646,Projects!$A:$A,0),""))</f>
        <v/>
      </c>
    </row>
    <row r="1647" spans="31:32" x14ac:dyDescent="0.25">
      <c r="AE1647" s="39" t="str">
        <f>IF(D1647="","",IFERROR(VLOOKUP(D1647,Projects!$A$2:$A$20000,1,FALSE),""))</f>
        <v/>
      </c>
      <c r="AF1647" s="2" t="str">
        <f>IF(D1647="","",IFERROR(MATCH(D1647,Projects!$A:$A,0),""))</f>
        <v/>
      </c>
    </row>
    <row r="1648" spans="31:32" x14ac:dyDescent="0.25">
      <c r="AE1648" s="39" t="str">
        <f>IF(D1648="","",IFERROR(VLOOKUP(D1648,Projects!$A$2:$A$20000,1,FALSE),""))</f>
        <v/>
      </c>
      <c r="AF1648" s="2" t="str">
        <f>IF(D1648="","",IFERROR(MATCH(D1648,Projects!$A:$A,0),""))</f>
        <v/>
      </c>
    </row>
    <row r="1649" spans="31:32" x14ac:dyDescent="0.25">
      <c r="AE1649" s="39" t="str">
        <f>IF(D1649="","",IFERROR(VLOOKUP(D1649,Projects!$A$2:$A$20000,1,FALSE),""))</f>
        <v/>
      </c>
      <c r="AF1649" s="2" t="str">
        <f>IF(D1649="","",IFERROR(MATCH(D1649,Projects!$A:$A,0),""))</f>
        <v/>
      </c>
    </row>
    <row r="1650" spans="31:32" x14ac:dyDescent="0.25">
      <c r="AE1650" s="39" t="str">
        <f>IF(D1650="","",IFERROR(VLOOKUP(D1650,Projects!$A$2:$A$20000,1,FALSE),""))</f>
        <v/>
      </c>
      <c r="AF1650" s="2" t="str">
        <f>IF(D1650="","",IFERROR(MATCH(D1650,Projects!$A:$A,0),""))</f>
        <v/>
      </c>
    </row>
    <row r="1651" spans="31:32" x14ac:dyDescent="0.25">
      <c r="AE1651" s="39" t="str">
        <f>IF(D1651="","",IFERROR(VLOOKUP(D1651,Projects!$A$2:$A$20000,1,FALSE),""))</f>
        <v/>
      </c>
      <c r="AF1651" s="2" t="str">
        <f>IF(D1651="","",IFERROR(MATCH(D1651,Projects!$A:$A,0),""))</f>
        <v/>
      </c>
    </row>
    <row r="1652" spans="31:32" x14ac:dyDescent="0.25">
      <c r="AE1652" s="39" t="str">
        <f>IF(D1652="","",IFERROR(VLOOKUP(D1652,Projects!$A$2:$A$20000,1,FALSE),""))</f>
        <v/>
      </c>
      <c r="AF1652" s="2" t="str">
        <f>IF(D1652="","",IFERROR(MATCH(D1652,Projects!$A:$A,0),""))</f>
        <v/>
      </c>
    </row>
    <row r="1653" spans="31:32" x14ac:dyDescent="0.25">
      <c r="AE1653" s="39" t="str">
        <f>IF(D1653="","",IFERROR(VLOOKUP(D1653,Projects!$A$2:$A$20000,1,FALSE),""))</f>
        <v/>
      </c>
      <c r="AF1653" s="2" t="str">
        <f>IF(D1653="","",IFERROR(MATCH(D1653,Projects!$A:$A,0),""))</f>
        <v/>
      </c>
    </row>
    <row r="1654" spans="31:32" x14ac:dyDescent="0.25">
      <c r="AE1654" s="39" t="str">
        <f>IF(D1654="","",IFERROR(VLOOKUP(D1654,Projects!$A$2:$A$20000,1,FALSE),""))</f>
        <v/>
      </c>
      <c r="AF1654" s="2" t="str">
        <f>IF(D1654="","",IFERROR(MATCH(D1654,Projects!$A:$A,0),""))</f>
        <v/>
      </c>
    </row>
    <row r="1655" spans="31:32" x14ac:dyDescent="0.25">
      <c r="AE1655" s="39" t="str">
        <f>IF(D1655="","",IFERROR(VLOOKUP(D1655,Projects!$A$2:$A$20000,1,FALSE),""))</f>
        <v/>
      </c>
      <c r="AF1655" s="2" t="str">
        <f>IF(D1655="","",IFERROR(MATCH(D1655,Projects!$A:$A,0),""))</f>
        <v/>
      </c>
    </row>
    <row r="1656" spans="31:32" x14ac:dyDescent="0.25">
      <c r="AE1656" s="39" t="str">
        <f>IF(D1656="","",IFERROR(VLOOKUP(D1656,Projects!$A$2:$A$20000,1,FALSE),""))</f>
        <v/>
      </c>
      <c r="AF1656" s="2" t="str">
        <f>IF(D1656="","",IFERROR(MATCH(D1656,Projects!$A:$A,0),""))</f>
        <v/>
      </c>
    </row>
    <row r="1657" spans="31:32" x14ac:dyDescent="0.25">
      <c r="AE1657" s="39" t="str">
        <f>IF(D1657="","",IFERROR(VLOOKUP(D1657,Projects!$A$2:$A$20000,1,FALSE),""))</f>
        <v/>
      </c>
      <c r="AF1657" s="2" t="str">
        <f>IF(D1657="","",IFERROR(MATCH(D1657,Projects!$A:$A,0),""))</f>
        <v/>
      </c>
    </row>
    <row r="1658" spans="31:32" x14ac:dyDescent="0.25">
      <c r="AE1658" s="39" t="str">
        <f>IF(D1658="","",IFERROR(VLOOKUP(D1658,Projects!$A$2:$A$20000,1,FALSE),""))</f>
        <v/>
      </c>
      <c r="AF1658" s="2" t="str">
        <f>IF(D1658="","",IFERROR(MATCH(D1658,Projects!$A:$A,0),""))</f>
        <v/>
      </c>
    </row>
    <row r="1659" spans="31:32" x14ac:dyDescent="0.25">
      <c r="AE1659" s="39" t="str">
        <f>IF(D1659="","",IFERROR(VLOOKUP(D1659,Projects!$A$2:$A$20000,1,FALSE),""))</f>
        <v/>
      </c>
      <c r="AF1659" s="2" t="str">
        <f>IF(D1659="","",IFERROR(MATCH(D1659,Projects!$A:$A,0),""))</f>
        <v/>
      </c>
    </row>
    <row r="1660" spans="31:32" x14ac:dyDescent="0.25">
      <c r="AE1660" s="39" t="str">
        <f>IF(D1660="","",IFERROR(VLOOKUP(D1660,Projects!$A$2:$A$20000,1,FALSE),""))</f>
        <v/>
      </c>
      <c r="AF1660" s="2" t="str">
        <f>IF(D1660="","",IFERROR(MATCH(D1660,Projects!$A:$A,0),""))</f>
        <v/>
      </c>
    </row>
    <row r="1661" spans="31:32" x14ac:dyDescent="0.25">
      <c r="AE1661" s="39" t="str">
        <f>IF(D1661="","",IFERROR(VLOOKUP(D1661,Projects!$A$2:$A$20000,1,FALSE),""))</f>
        <v/>
      </c>
      <c r="AF1661" s="2" t="str">
        <f>IF(D1661="","",IFERROR(MATCH(D1661,Projects!$A:$A,0),""))</f>
        <v/>
      </c>
    </row>
    <row r="1662" spans="31:32" x14ac:dyDescent="0.25">
      <c r="AE1662" s="39" t="str">
        <f>IF(D1662="","",IFERROR(VLOOKUP(D1662,Projects!$A$2:$A$20000,1,FALSE),""))</f>
        <v/>
      </c>
      <c r="AF1662" s="2" t="str">
        <f>IF(D1662="","",IFERROR(MATCH(D1662,Projects!$A:$A,0),""))</f>
        <v/>
      </c>
    </row>
    <row r="1663" spans="31:32" x14ac:dyDescent="0.25">
      <c r="AE1663" s="39" t="str">
        <f>IF(D1663="","",IFERROR(VLOOKUP(D1663,Projects!$A$2:$A$20000,1,FALSE),""))</f>
        <v/>
      </c>
      <c r="AF1663" s="2" t="str">
        <f>IF(D1663="","",IFERROR(MATCH(D1663,Projects!$A:$A,0),""))</f>
        <v/>
      </c>
    </row>
    <row r="1664" spans="31:32" x14ac:dyDescent="0.25">
      <c r="AE1664" s="39" t="str">
        <f>IF(D1664="","",IFERROR(VLOOKUP(D1664,Projects!$A$2:$A$20000,1,FALSE),""))</f>
        <v/>
      </c>
      <c r="AF1664" s="2" t="str">
        <f>IF(D1664="","",IFERROR(MATCH(D1664,Projects!$A:$A,0),""))</f>
        <v/>
      </c>
    </row>
    <row r="1665" spans="31:32" x14ac:dyDescent="0.25">
      <c r="AE1665" s="39" t="str">
        <f>IF(D1665="","",IFERROR(VLOOKUP(D1665,Projects!$A$2:$A$20000,1,FALSE),""))</f>
        <v/>
      </c>
      <c r="AF1665" s="2" t="str">
        <f>IF(D1665="","",IFERROR(MATCH(D1665,Projects!$A:$A,0),""))</f>
        <v/>
      </c>
    </row>
    <row r="1666" spans="31:32" x14ac:dyDescent="0.25">
      <c r="AE1666" s="39" t="str">
        <f>IF(D1666="","",IFERROR(VLOOKUP(D1666,Projects!$A$2:$A$20000,1,FALSE),""))</f>
        <v/>
      </c>
      <c r="AF1666" s="2" t="str">
        <f>IF(D1666="","",IFERROR(MATCH(D1666,Projects!$A:$A,0),""))</f>
        <v/>
      </c>
    </row>
    <row r="1667" spans="31:32" x14ac:dyDescent="0.25">
      <c r="AE1667" s="39" t="str">
        <f>IF(D1667="","",IFERROR(VLOOKUP(D1667,Projects!$A$2:$A$20000,1,FALSE),""))</f>
        <v/>
      </c>
      <c r="AF1667" s="2" t="str">
        <f>IF(D1667="","",IFERROR(MATCH(D1667,Projects!$A:$A,0),""))</f>
        <v/>
      </c>
    </row>
    <row r="1668" spans="31:32" x14ac:dyDescent="0.25">
      <c r="AE1668" s="39" t="str">
        <f>IF(D1668="","",IFERROR(VLOOKUP(D1668,Projects!$A$2:$A$20000,1,FALSE),""))</f>
        <v/>
      </c>
      <c r="AF1668" s="2" t="str">
        <f>IF(D1668="","",IFERROR(MATCH(D1668,Projects!$A:$A,0),""))</f>
        <v/>
      </c>
    </row>
    <row r="1669" spans="31:32" x14ac:dyDescent="0.25">
      <c r="AE1669" s="39" t="str">
        <f>IF(D1669="","",IFERROR(VLOOKUP(D1669,Projects!$A$2:$A$20000,1,FALSE),""))</f>
        <v/>
      </c>
      <c r="AF1669" s="2" t="str">
        <f>IF(D1669="","",IFERROR(MATCH(D1669,Projects!$A:$A,0),""))</f>
        <v/>
      </c>
    </row>
    <row r="1670" spans="31:32" x14ac:dyDescent="0.25">
      <c r="AE1670" s="39" t="str">
        <f>IF(D1670="","",IFERROR(VLOOKUP(D1670,Projects!$A$2:$A$20000,1,FALSE),""))</f>
        <v/>
      </c>
      <c r="AF1670" s="2" t="str">
        <f>IF(D1670="","",IFERROR(MATCH(D1670,Projects!$A:$A,0),""))</f>
        <v/>
      </c>
    </row>
    <row r="1671" spans="31:32" x14ac:dyDescent="0.25">
      <c r="AE1671" s="39" t="str">
        <f>IF(D1671="","",IFERROR(VLOOKUP(D1671,Projects!$A$2:$A$20000,1,FALSE),""))</f>
        <v/>
      </c>
      <c r="AF1671" s="2" t="str">
        <f>IF(D1671="","",IFERROR(MATCH(D1671,Projects!$A:$A,0),""))</f>
        <v/>
      </c>
    </row>
    <row r="1672" spans="31:32" x14ac:dyDescent="0.25">
      <c r="AE1672" s="39" t="str">
        <f>IF(D1672="","",IFERROR(VLOOKUP(D1672,Projects!$A$2:$A$20000,1,FALSE),""))</f>
        <v/>
      </c>
      <c r="AF1672" s="2" t="str">
        <f>IF(D1672="","",IFERROR(MATCH(D1672,Projects!$A:$A,0),""))</f>
        <v/>
      </c>
    </row>
    <row r="1673" spans="31:32" x14ac:dyDescent="0.25">
      <c r="AE1673" s="39" t="str">
        <f>IF(D1673="","",IFERROR(VLOOKUP(D1673,Projects!$A$2:$A$20000,1,FALSE),""))</f>
        <v/>
      </c>
      <c r="AF1673" s="2" t="str">
        <f>IF(D1673="","",IFERROR(MATCH(D1673,Projects!$A:$A,0),""))</f>
        <v/>
      </c>
    </row>
    <row r="1674" spans="31:32" x14ac:dyDescent="0.25">
      <c r="AE1674" s="39" t="str">
        <f>IF(D1674="","",IFERROR(VLOOKUP(D1674,Projects!$A$2:$A$20000,1,FALSE),""))</f>
        <v/>
      </c>
      <c r="AF1674" s="2" t="str">
        <f>IF(D1674="","",IFERROR(MATCH(D1674,Projects!$A:$A,0),""))</f>
        <v/>
      </c>
    </row>
    <row r="1675" spans="31:32" x14ac:dyDescent="0.25">
      <c r="AE1675" s="39" t="str">
        <f>IF(D1675="","",IFERROR(VLOOKUP(D1675,Projects!$A$2:$A$20000,1,FALSE),""))</f>
        <v/>
      </c>
      <c r="AF1675" s="2" t="str">
        <f>IF(D1675="","",IFERROR(MATCH(D1675,Projects!$A:$A,0),""))</f>
        <v/>
      </c>
    </row>
    <row r="1676" spans="31:32" x14ac:dyDescent="0.25">
      <c r="AE1676" s="39" t="str">
        <f>IF(D1676="","",IFERROR(VLOOKUP(D1676,Projects!$A$2:$A$20000,1,FALSE),""))</f>
        <v/>
      </c>
      <c r="AF1676" s="2" t="str">
        <f>IF(D1676="","",IFERROR(MATCH(D1676,Projects!$A:$A,0),""))</f>
        <v/>
      </c>
    </row>
    <row r="1677" spans="31:32" x14ac:dyDescent="0.25">
      <c r="AE1677" s="39" t="str">
        <f>IF(D1677="","",IFERROR(VLOOKUP(D1677,Projects!$A$2:$A$20000,1,FALSE),""))</f>
        <v/>
      </c>
      <c r="AF1677" s="2" t="str">
        <f>IF(D1677="","",IFERROR(MATCH(D1677,Projects!$A:$A,0),""))</f>
        <v/>
      </c>
    </row>
    <row r="1678" spans="31:32" x14ac:dyDescent="0.25">
      <c r="AE1678" s="39" t="str">
        <f>IF(D1678="","",IFERROR(VLOOKUP(D1678,Projects!$A$2:$A$20000,1,FALSE),""))</f>
        <v/>
      </c>
      <c r="AF1678" s="2" t="str">
        <f>IF(D1678="","",IFERROR(MATCH(D1678,Projects!$A:$A,0),""))</f>
        <v/>
      </c>
    </row>
    <row r="1679" spans="31:32" x14ac:dyDescent="0.25">
      <c r="AE1679" s="39" t="str">
        <f>IF(D1679="","",IFERROR(VLOOKUP(D1679,Projects!$A$2:$A$20000,1,FALSE),""))</f>
        <v/>
      </c>
      <c r="AF1679" s="2" t="str">
        <f>IF(D1679="","",IFERROR(MATCH(D1679,Projects!$A:$A,0),""))</f>
        <v/>
      </c>
    </row>
    <row r="1680" spans="31:32" x14ac:dyDescent="0.25">
      <c r="AE1680" s="39" t="str">
        <f>IF(D1680="","",IFERROR(VLOOKUP(D1680,Projects!$A$2:$A$20000,1,FALSE),""))</f>
        <v/>
      </c>
      <c r="AF1680" s="2" t="str">
        <f>IF(D1680="","",IFERROR(MATCH(D1680,Projects!$A:$A,0),""))</f>
        <v/>
      </c>
    </row>
    <row r="1681" spans="31:32" x14ac:dyDescent="0.25">
      <c r="AE1681" s="39" t="str">
        <f>IF(D1681="","",IFERROR(VLOOKUP(D1681,Projects!$A$2:$A$20000,1,FALSE),""))</f>
        <v/>
      </c>
      <c r="AF1681" s="2" t="str">
        <f>IF(D1681="","",IFERROR(MATCH(D1681,Projects!$A:$A,0),""))</f>
        <v/>
      </c>
    </row>
    <row r="1682" spans="31:32" x14ac:dyDescent="0.25">
      <c r="AE1682" s="39" t="str">
        <f>IF(D1682="","",IFERROR(VLOOKUP(D1682,Projects!$A$2:$A$20000,1,FALSE),""))</f>
        <v/>
      </c>
      <c r="AF1682" s="2" t="str">
        <f>IF(D1682="","",IFERROR(MATCH(D1682,Projects!$A:$A,0),""))</f>
        <v/>
      </c>
    </row>
    <row r="1683" spans="31:32" x14ac:dyDescent="0.25">
      <c r="AE1683" s="39" t="str">
        <f>IF(D1683="","",IFERROR(VLOOKUP(D1683,Projects!$A$2:$A$20000,1,FALSE),""))</f>
        <v/>
      </c>
      <c r="AF1683" s="2" t="str">
        <f>IF(D1683="","",IFERROR(MATCH(D1683,Projects!$A:$A,0),""))</f>
        <v/>
      </c>
    </row>
    <row r="1684" spans="31:32" x14ac:dyDescent="0.25">
      <c r="AE1684" s="39" t="str">
        <f>IF(D1684="","",IFERROR(VLOOKUP(D1684,Projects!$A$2:$A$20000,1,FALSE),""))</f>
        <v/>
      </c>
      <c r="AF1684" s="2" t="str">
        <f>IF(D1684="","",IFERROR(MATCH(D1684,Projects!$A:$A,0),""))</f>
        <v/>
      </c>
    </row>
    <row r="1685" spans="31:32" x14ac:dyDescent="0.25">
      <c r="AE1685" s="39" t="str">
        <f>IF(D1685="","",IFERROR(VLOOKUP(D1685,Projects!$A$2:$A$20000,1,FALSE),""))</f>
        <v/>
      </c>
      <c r="AF1685" s="2" t="str">
        <f>IF(D1685="","",IFERROR(MATCH(D1685,Projects!$A:$A,0),""))</f>
        <v/>
      </c>
    </row>
    <row r="1686" spans="31:32" x14ac:dyDescent="0.25">
      <c r="AE1686" s="39" t="str">
        <f>IF(D1686="","",IFERROR(VLOOKUP(D1686,Projects!$A$2:$A$20000,1,FALSE),""))</f>
        <v/>
      </c>
      <c r="AF1686" s="2" t="str">
        <f>IF(D1686="","",IFERROR(MATCH(D1686,Projects!$A:$A,0),""))</f>
        <v/>
      </c>
    </row>
    <row r="1687" spans="31:32" x14ac:dyDescent="0.25">
      <c r="AE1687" s="39" t="str">
        <f>IF(D1687="","",IFERROR(VLOOKUP(D1687,Projects!$A$2:$A$20000,1,FALSE),""))</f>
        <v/>
      </c>
      <c r="AF1687" s="2" t="str">
        <f>IF(D1687="","",IFERROR(MATCH(D1687,Projects!$A:$A,0),""))</f>
        <v/>
      </c>
    </row>
    <row r="1688" spans="31:32" x14ac:dyDescent="0.25">
      <c r="AE1688" s="39" t="str">
        <f>IF(D1688="","",IFERROR(VLOOKUP(D1688,Projects!$A$2:$A$20000,1,FALSE),""))</f>
        <v/>
      </c>
      <c r="AF1688" s="2" t="str">
        <f>IF(D1688="","",IFERROR(MATCH(D1688,Projects!$A:$A,0),""))</f>
        <v/>
      </c>
    </row>
    <row r="1689" spans="31:32" x14ac:dyDescent="0.25">
      <c r="AE1689" s="39" t="str">
        <f>IF(D1689="","",IFERROR(VLOOKUP(D1689,Projects!$A$2:$A$20000,1,FALSE),""))</f>
        <v/>
      </c>
      <c r="AF1689" s="2" t="str">
        <f>IF(D1689="","",IFERROR(MATCH(D1689,Projects!$A:$A,0),""))</f>
        <v/>
      </c>
    </row>
    <row r="1690" spans="31:32" x14ac:dyDescent="0.25">
      <c r="AE1690" s="39" t="str">
        <f>IF(D1690="","",IFERROR(VLOOKUP(D1690,Projects!$A$2:$A$20000,1,FALSE),""))</f>
        <v/>
      </c>
      <c r="AF1690" s="2" t="str">
        <f>IF(D1690="","",IFERROR(MATCH(D1690,Projects!$A:$A,0),""))</f>
        <v/>
      </c>
    </row>
    <row r="1691" spans="31:32" x14ac:dyDescent="0.25">
      <c r="AE1691" s="39" t="str">
        <f>IF(D1691="","",IFERROR(VLOOKUP(D1691,Projects!$A$2:$A$20000,1,FALSE),""))</f>
        <v/>
      </c>
      <c r="AF1691" s="2" t="str">
        <f>IF(D1691="","",IFERROR(MATCH(D1691,Projects!$A:$A,0),""))</f>
        <v/>
      </c>
    </row>
    <row r="1692" spans="31:32" x14ac:dyDescent="0.25">
      <c r="AE1692" s="39" t="str">
        <f>IF(D1692="","",IFERROR(VLOOKUP(D1692,Projects!$A$2:$A$20000,1,FALSE),""))</f>
        <v/>
      </c>
      <c r="AF1692" s="2" t="str">
        <f>IF(D1692="","",IFERROR(MATCH(D1692,Projects!$A:$A,0),""))</f>
        <v/>
      </c>
    </row>
    <row r="1693" spans="31:32" x14ac:dyDescent="0.25">
      <c r="AE1693" s="39" t="str">
        <f>IF(D1693="","",IFERROR(VLOOKUP(D1693,Projects!$A$2:$A$20000,1,FALSE),""))</f>
        <v/>
      </c>
      <c r="AF1693" s="2" t="str">
        <f>IF(D1693="","",IFERROR(MATCH(D1693,Projects!$A:$A,0),""))</f>
        <v/>
      </c>
    </row>
    <row r="1694" spans="31:32" x14ac:dyDescent="0.25">
      <c r="AE1694" s="39" t="str">
        <f>IF(D1694="","",IFERROR(VLOOKUP(D1694,Projects!$A$2:$A$20000,1,FALSE),""))</f>
        <v/>
      </c>
      <c r="AF1694" s="2" t="str">
        <f>IF(D1694="","",IFERROR(MATCH(D1694,Projects!$A:$A,0),""))</f>
        <v/>
      </c>
    </row>
    <row r="1695" spans="31:32" x14ac:dyDescent="0.25">
      <c r="AE1695" s="39" t="str">
        <f>IF(D1695="","",IFERROR(VLOOKUP(D1695,Projects!$A$2:$A$20000,1,FALSE),""))</f>
        <v/>
      </c>
      <c r="AF1695" s="2" t="str">
        <f>IF(D1695="","",IFERROR(MATCH(D1695,Projects!$A:$A,0),""))</f>
        <v/>
      </c>
    </row>
    <row r="1696" spans="31:32" x14ac:dyDescent="0.25">
      <c r="AE1696" s="39" t="str">
        <f>IF(D1696="","",IFERROR(VLOOKUP(D1696,Projects!$A$2:$A$20000,1,FALSE),""))</f>
        <v/>
      </c>
      <c r="AF1696" s="2" t="str">
        <f>IF(D1696="","",IFERROR(MATCH(D1696,Projects!$A:$A,0),""))</f>
        <v/>
      </c>
    </row>
    <row r="1697" spans="31:32" x14ac:dyDescent="0.25">
      <c r="AE1697" s="39" t="str">
        <f>IF(D1697="","",IFERROR(VLOOKUP(D1697,Projects!$A$2:$A$20000,1,FALSE),""))</f>
        <v/>
      </c>
      <c r="AF1697" s="2" t="str">
        <f>IF(D1697="","",IFERROR(MATCH(D1697,Projects!$A:$A,0),""))</f>
        <v/>
      </c>
    </row>
    <row r="1698" spans="31:32" x14ac:dyDescent="0.25">
      <c r="AE1698" s="39" t="str">
        <f>IF(D1698="","",IFERROR(VLOOKUP(D1698,Projects!$A$2:$A$20000,1,FALSE),""))</f>
        <v/>
      </c>
      <c r="AF1698" s="2" t="str">
        <f>IF(D1698="","",IFERROR(MATCH(D1698,Projects!$A:$A,0),""))</f>
        <v/>
      </c>
    </row>
    <row r="1699" spans="31:32" x14ac:dyDescent="0.25">
      <c r="AE1699" s="39" t="str">
        <f>IF(D1699="","",IFERROR(VLOOKUP(D1699,Projects!$A$2:$A$20000,1,FALSE),""))</f>
        <v/>
      </c>
      <c r="AF1699" s="2" t="str">
        <f>IF(D1699="","",IFERROR(MATCH(D1699,Projects!$A:$A,0),""))</f>
        <v/>
      </c>
    </row>
    <row r="1700" spans="31:32" x14ac:dyDescent="0.25">
      <c r="AE1700" s="39" t="str">
        <f>IF(D1700="","",IFERROR(VLOOKUP(D1700,Projects!$A$2:$A$20000,1,FALSE),""))</f>
        <v/>
      </c>
      <c r="AF1700" s="2" t="str">
        <f>IF(D1700="","",IFERROR(MATCH(D1700,Projects!$A:$A,0),""))</f>
        <v/>
      </c>
    </row>
    <row r="1701" spans="31:32" x14ac:dyDescent="0.25">
      <c r="AE1701" s="39" t="str">
        <f>IF(D1701="","",IFERROR(VLOOKUP(D1701,Projects!$A$2:$A$20000,1,FALSE),""))</f>
        <v/>
      </c>
      <c r="AF1701" s="2" t="str">
        <f>IF(D1701="","",IFERROR(MATCH(D1701,Projects!$A:$A,0),""))</f>
        <v/>
      </c>
    </row>
    <row r="1702" spans="31:32" x14ac:dyDescent="0.25">
      <c r="AE1702" s="39" t="str">
        <f>IF(D1702="","",IFERROR(VLOOKUP(D1702,Projects!$A$2:$A$20000,1,FALSE),""))</f>
        <v/>
      </c>
      <c r="AF1702" s="2" t="str">
        <f>IF(D1702="","",IFERROR(MATCH(D1702,Projects!$A:$A,0),""))</f>
        <v/>
      </c>
    </row>
    <row r="1703" spans="31:32" x14ac:dyDescent="0.25">
      <c r="AE1703" s="39" t="str">
        <f>IF(D1703="","",IFERROR(VLOOKUP(D1703,Projects!$A$2:$A$20000,1,FALSE),""))</f>
        <v/>
      </c>
      <c r="AF1703" s="2" t="str">
        <f>IF(D1703="","",IFERROR(MATCH(D1703,Projects!$A:$A,0),""))</f>
        <v/>
      </c>
    </row>
    <row r="1704" spans="31:32" x14ac:dyDescent="0.25">
      <c r="AE1704" s="39" t="str">
        <f>IF(D1704="","",IFERROR(VLOOKUP(D1704,Projects!$A$2:$A$20000,1,FALSE),""))</f>
        <v/>
      </c>
      <c r="AF1704" s="2" t="str">
        <f>IF(D1704="","",IFERROR(MATCH(D1704,Projects!$A:$A,0),""))</f>
        <v/>
      </c>
    </row>
    <row r="1705" spans="31:32" x14ac:dyDescent="0.25">
      <c r="AE1705" s="39" t="str">
        <f>IF(D1705="","",IFERROR(VLOOKUP(D1705,Projects!$A$2:$A$20000,1,FALSE),""))</f>
        <v/>
      </c>
      <c r="AF1705" s="2" t="str">
        <f>IF(D1705="","",IFERROR(MATCH(D1705,Projects!$A:$A,0),""))</f>
        <v/>
      </c>
    </row>
    <row r="1706" spans="31:32" x14ac:dyDescent="0.25">
      <c r="AE1706" s="39" t="str">
        <f>IF(D1706="","",IFERROR(VLOOKUP(D1706,Projects!$A$2:$A$20000,1,FALSE),""))</f>
        <v/>
      </c>
      <c r="AF1706" s="2" t="str">
        <f>IF(D1706="","",IFERROR(MATCH(D1706,Projects!$A:$A,0),""))</f>
        <v/>
      </c>
    </row>
    <row r="1707" spans="31:32" x14ac:dyDescent="0.25">
      <c r="AE1707" s="39" t="str">
        <f>IF(D1707="","",IFERROR(VLOOKUP(D1707,Projects!$A$2:$A$20000,1,FALSE),""))</f>
        <v/>
      </c>
      <c r="AF1707" s="2" t="str">
        <f>IF(D1707="","",IFERROR(MATCH(D1707,Projects!$A:$A,0),""))</f>
        <v/>
      </c>
    </row>
    <row r="1708" spans="31:32" x14ac:dyDescent="0.25">
      <c r="AE1708" s="39" t="str">
        <f>IF(D1708="","",IFERROR(VLOOKUP(D1708,Projects!$A$2:$A$20000,1,FALSE),""))</f>
        <v/>
      </c>
      <c r="AF1708" s="2" t="str">
        <f>IF(D1708="","",IFERROR(MATCH(D1708,Projects!$A:$A,0),""))</f>
        <v/>
      </c>
    </row>
    <row r="1709" spans="31:32" x14ac:dyDescent="0.25">
      <c r="AE1709" s="39" t="str">
        <f>IF(D1709="","",IFERROR(VLOOKUP(D1709,Projects!$A$2:$A$20000,1,FALSE),""))</f>
        <v/>
      </c>
      <c r="AF1709" s="2" t="str">
        <f>IF(D1709="","",IFERROR(MATCH(D1709,Projects!$A:$A,0),""))</f>
        <v/>
      </c>
    </row>
    <row r="1710" spans="31:32" x14ac:dyDescent="0.25">
      <c r="AE1710" s="39" t="str">
        <f>IF(D1710="","",IFERROR(VLOOKUP(D1710,Projects!$A$2:$A$20000,1,FALSE),""))</f>
        <v/>
      </c>
      <c r="AF1710" s="2" t="str">
        <f>IF(D1710="","",IFERROR(MATCH(D1710,Projects!$A:$A,0),""))</f>
        <v/>
      </c>
    </row>
    <row r="1711" spans="31:32" x14ac:dyDescent="0.25">
      <c r="AE1711" s="39" t="str">
        <f>IF(D1711="","",IFERROR(VLOOKUP(D1711,Projects!$A$2:$A$20000,1,FALSE),""))</f>
        <v/>
      </c>
      <c r="AF1711" s="2" t="str">
        <f>IF(D1711="","",IFERROR(MATCH(D1711,Projects!$A:$A,0),""))</f>
        <v/>
      </c>
    </row>
    <row r="1712" spans="31:32" x14ac:dyDescent="0.25">
      <c r="AE1712" s="39" t="str">
        <f>IF(D1712="","",IFERROR(VLOOKUP(D1712,Projects!$A$2:$A$20000,1,FALSE),""))</f>
        <v/>
      </c>
      <c r="AF1712" s="2" t="str">
        <f>IF(D1712="","",IFERROR(MATCH(D1712,Projects!$A:$A,0),""))</f>
        <v/>
      </c>
    </row>
    <row r="1713" spans="31:32" x14ac:dyDescent="0.25">
      <c r="AE1713" s="39" t="str">
        <f>IF(D1713="","",IFERROR(VLOOKUP(D1713,Projects!$A$2:$A$20000,1,FALSE),""))</f>
        <v/>
      </c>
      <c r="AF1713" s="2" t="str">
        <f>IF(D1713="","",IFERROR(MATCH(D1713,Projects!$A:$A,0),""))</f>
        <v/>
      </c>
    </row>
    <row r="1714" spans="31:32" x14ac:dyDescent="0.25">
      <c r="AE1714" s="39" t="str">
        <f>IF(D1714="","",IFERROR(VLOOKUP(D1714,Projects!$A$2:$A$20000,1,FALSE),""))</f>
        <v/>
      </c>
      <c r="AF1714" s="2" t="str">
        <f>IF(D1714="","",IFERROR(MATCH(D1714,Projects!$A:$A,0),""))</f>
        <v/>
      </c>
    </row>
    <row r="1715" spans="31:32" x14ac:dyDescent="0.25">
      <c r="AE1715" s="39" t="str">
        <f>IF(D1715="","",IFERROR(VLOOKUP(D1715,Projects!$A$2:$A$20000,1,FALSE),""))</f>
        <v/>
      </c>
      <c r="AF1715" s="2" t="str">
        <f>IF(D1715="","",IFERROR(MATCH(D1715,Projects!$A:$A,0),""))</f>
        <v/>
      </c>
    </row>
    <row r="1716" spans="31:32" x14ac:dyDescent="0.25">
      <c r="AE1716" s="39" t="str">
        <f>IF(D1716="","",IFERROR(VLOOKUP(D1716,Projects!$A$2:$A$20000,1,FALSE),""))</f>
        <v/>
      </c>
      <c r="AF1716" s="2" t="str">
        <f>IF(D1716="","",IFERROR(MATCH(D1716,Projects!$A:$A,0),""))</f>
        <v/>
      </c>
    </row>
    <row r="1717" spans="31:32" x14ac:dyDescent="0.25">
      <c r="AE1717" s="39" t="str">
        <f>IF(D1717="","",IFERROR(VLOOKUP(D1717,Projects!$A$2:$A$20000,1,FALSE),""))</f>
        <v/>
      </c>
      <c r="AF1717" s="2" t="str">
        <f>IF(D1717="","",IFERROR(MATCH(D1717,Projects!$A:$A,0),""))</f>
        <v/>
      </c>
    </row>
    <row r="1718" spans="31:32" x14ac:dyDescent="0.25">
      <c r="AE1718" s="39" t="str">
        <f>IF(D1718="","",IFERROR(VLOOKUP(D1718,Projects!$A$2:$A$20000,1,FALSE),""))</f>
        <v/>
      </c>
      <c r="AF1718" s="2" t="str">
        <f>IF(D1718="","",IFERROR(MATCH(D1718,Projects!$A:$A,0),""))</f>
        <v/>
      </c>
    </row>
    <row r="1719" spans="31:32" x14ac:dyDescent="0.25">
      <c r="AE1719" s="39" t="str">
        <f>IF(D1719="","",IFERROR(VLOOKUP(D1719,Projects!$A$2:$A$20000,1,FALSE),""))</f>
        <v/>
      </c>
      <c r="AF1719" s="2" t="str">
        <f>IF(D1719="","",IFERROR(MATCH(D1719,Projects!$A:$A,0),""))</f>
        <v/>
      </c>
    </row>
    <row r="1720" spans="31:32" x14ac:dyDescent="0.25">
      <c r="AE1720" s="39" t="str">
        <f>IF(D1720="","",IFERROR(VLOOKUP(D1720,Projects!$A$2:$A$20000,1,FALSE),""))</f>
        <v/>
      </c>
      <c r="AF1720" s="2" t="str">
        <f>IF(D1720="","",IFERROR(MATCH(D1720,Projects!$A:$A,0),""))</f>
        <v/>
      </c>
    </row>
    <row r="1721" spans="31:32" x14ac:dyDescent="0.25">
      <c r="AE1721" s="39" t="str">
        <f>IF(D1721="","",IFERROR(VLOOKUP(D1721,Projects!$A$2:$A$20000,1,FALSE),""))</f>
        <v/>
      </c>
      <c r="AF1721" s="2" t="str">
        <f>IF(D1721="","",IFERROR(MATCH(D1721,Projects!$A:$A,0),""))</f>
        <v/>
      </c>
    </row>
    <row r="1722" spans="31:32" x14ac:dyDescent="0.25">
      <c r="AE1722" s="39" t="str">
        <f>IF(D1722="","",IFERROR(VLOOKUP(D1722,Projects!$A$2:$A$20000,1,FALSE),""))</f>
        <v/>
      </c>
      <c r="AF1722" s="2" t="str">
        <f>IF(D1722="","",IFERROR(MATCH(D1722,Projects!$A:$A,0),""))</f>
        <v/>
      </c>
    </row>
    <row r="1723" spans="31:32" x14ac:dyDescent="0.25">
      <c r="AE1723" s="39" t="str">
        <f>IF(D1723="","",IFERROR(VLOOKUP(D1723,Projects!$A$2:$A$20000,1,FALSE),""))</f>
        <v/>
      </c>
      <c r="AF1723" s="2" t="str">
        <f>IF(D1723="","",IFERROR(MATCH(D1723,Projects!$A:$A,0),""))</f>
        <v/>
      </c>
    </row>
    <row r="1724" spans="31:32" x14ac:dyDescent="0.25">
      <c r="AE1724" s="39" t="str">
        <f>IF(D1724="","",IFERROR(VLOOKUP(D1724,Projects!$A$2:$A$20000,1,FALSE),""))</f>
        <v/>
      </c>
      <c r="AF1724" s="2" t="str">
        <f>IF(D1724="","",IFERROR(MATCH(D1724,Projects!$A:$A,0),""))</f>
        <v/>
      </c>
    </row>
    <row r="1725" spans="31:32" x14ac:dyDescent="0.25">
      <c r="AE1725" s="39" t="str">
        <f>IF(D1725="","",IFERROR(VLOOKUP(D1725,Projects!$A$2:$A$20000,1,FALSE),""))</f>
        <v/>
      </c>
      <c r="AF1725" s="2" t="str">
        <f>IF(D1725="","",IFERROR(MATCH(D1725,Projects!$A:$A,0),""))</f>
        <v/>
      </c>
    </row>
    <row r="1726" spans="31:32" x14ac:dyDescent="0.25">
      <c r="AE1726" s="39" t="str">
        <f>IF(D1726="","",IFERROR(VLOOKUP(D1726,Projects!$A$2:$A$20000,1,FALSE),""))</f>
        <v/>
      </c>
      <c r="AF1726" s="2" t="str">
        <f>IF(D1726="","",IFERROR(MATCH(D1726,Projects!$A:$A,0),""))</f>
        <v/>
      </c>
    </row>
    <row r="1727" spans="31:32" x14ac:dyDescent="0.25">
      <c r="AE1727" s="39" t="str">
        <f>IF(D1727="","",IFERROR(VLOOKUP(D1727,Projects!$A$2:$A$20000,1,FALSE),""))</f>
        <v/>
      </c>
      <c r="AF1727" s="2" t="str">
        <f>IF(D1727="","",IFERROR(MATCH(D1727,Projects!$A:$A,0),""))</f>
        <v/>
      </c>
    </row>
    <row r="1728" spans="31:32" x14ac:dyDescent="0.25">
      <c r="AE1728" s="39" t="str">
        <f>IF(D1728="","",IFERROR(VLOOKUP(D1728,Projects!$A$2:$A$20000,1,FALSE),""))</f>
        <v/>
      </c>
      <c r="AF1728" s="2" t="str">
        <f>IF(D1728="","",IFERROR(MATCH(D1728,Projects!$A:$A,0),""))</f>
        <v/>
      </c>
    </row>
    <row r="1729" spans="31:32" x14ac:dyDescent="0.25">
      <c r="AE1729" s="39" t="str">
        <f>IF(D1729="","",IFERROR(VLOOKUP(D1729,Projects!$A$2:$A$20000,1,FALSE),""))</f>
        <v/>
      </c>
      <c r="AF1729" s="2" t="str">
        <f>IF(D1729="","",IFERROR(MATCH(D1729,Projects!$A:$A,0),""))</f>
        <v/>
      </c>
    </row>
    <row r="1730" spans="31:32" x14ac:dyDescent="0.25">
      <c r="AE1730" s="39" t="str">
        <f>IF(D1730="","",IFERROR(VLOOKUP(D1730,Projects!$A$2:$A$20000,1,FALSE),""))</f>
        <v/>
      </c>
      <c r="AF1730" s="2" t="str">
        <f>IF(D1730="","",IFERROR(MATCH(D1730,Projects!$A:$A,0),""))</f>
        <v/>
      </c>
    </row>
    <row r="1731" spans="31:32" x14ac:dyDescent="0.25">
      <c r="AE1731" s="39" t="str">
        <f>IF(D1731="","",IFERROR(VLOOKUP(D1731,Projects!$A$2:$A$20000,1,FALSE),""))</f>
        <v/>
      </c>
      <c r="AF1731" s="2" t="str">
        <f>IF(D1731="","",IFERROR(MATCH(D1731,Projects!$A:$A,0),""))</f>
        <v/>
      </c>
    </row>
    <row r="1732" spans="31:32" x14ac:dyDescent="0.25">
      <c r="AE1732" s="39" t="str">
        <f>IF(D1732="","",IFERROR(VLOOKUP(D1732,Projects!$A$2:$A$20000,1,FALSE),""))</f>
        <v/>
      </c>
      <c r="AF1732" s="2" t="str">
        <f>IF(D1732="","",IFERROR(MATCH(D1732,Projects!$A:$A,0),""))</f>
        <v/>
      </c>
    </row>
    <row r="1733" spans="31:32" x14ac:dyDescent="0.25">
      <c r="AE1733" s="39" t="str">
        <f>IF(D1733="","",IFERROR(VLOOKUP(D1733,Projects!$A$2:$A$20000,1,FALSE),""))</f>
        <v/>
      </c>
      <c r="AF1733" s="2" t="str">
        <f>IF(D1733="","",IFERROR(MATCH(D1733,Projects!$A:$A,0),""))</f>
        <v/>
      </c>
    </row>
    <row r="1734" spans="31:32" x14ac:dyDescent="0.25">
      <c r="AE1734" s="39" t="str">
        <f>IF(D1734="","",IFERROR(VLOOKUP(D1734,Projects!$A$2:$A$20000,1,FALSE),""))</f>
        <v/>
      </c>
      <c r="AF1734" s="2" t="str">
        <f>IF(D1734="","",IFERROR(MATCH(D1734,Projects!$A:$A,0),""))</f>
        <v/>
      </c>
    </row>
    <row r="1735" spans="31:32" x14ac:dyDescent="0.25">
      <c r="AE1735" s="39" t="str">
        <f>IF(D1735="","",IFERROR(VLOOKUP(D1735,Projects!$A$2:$A$20000,1,FALSE),""))</f>
        <v/>
      </c>
      <c r="AF1735" s="2" t="str">
        <f>IF(D1735="","",IFERROR(MATCH(D1735,Projects!$A:$A,0),""))</f>
        <v/>
      </c>
    </row>
    <row r="1736" spans="31:32" x14ac:dyDescent="0.25">
      <c r="AE1736" s="39" t="str">
        <f>IF(D1736="","",IFERROR(VLOOKUP(D1736,Projects!$A$2:$A$20000,1,FALSE),""))</f>
        <v/>
      </c>
      <c r="AF1736" s="2" t="str">
        <f>IF(D1736="","",IFERROR(MATCH(D1736,Projects!$A:$A,0),""))</f>
        <v/>
      </c>
    </row>
    <row r="1737" spans="31:32" x14ac:dyDescent="0.25">
      <c r="AE1737" s="39" t="str">
        <f>IF(D1737="","",IFERROR(VLOOKUP(D1737,Projects!$A$2:$A$20000,1,FALSE),""))</f>
        <v/>
      </c>
      <c r="AF1737" s="2" t="str">
        <f>IF(D1737="","",IFERROR(MATCH(D1737,Projects!$A:$A,0),""))</f>
        <v/>
      </c>
    </row>
    <row r="1738" spans="31:32" x14ac:dyDescent="0.25">
      <c r="AE1738" s="39" t="str">
        <f>IF(D1738="","",IFERROR(VLOOKUP(D1738,Projects!$A$2:$A$20000,1,FALSE),""))</f>
        <v/>
      </c>
      <c r="AF1738" s="2" t="str">
        <f>IF(D1738="","",IFERROR(MATCH(D1738,Projects!$A:$A,0),""))</f>
        <v/>
      </c>
    </row>
    <row r="1739" spans="31:32" x14ac:dyDescent="0.25">
      <c r="AE1739" s="39" t="str">
        <f>IF(D1739="","",IFERROR(VLOOKUP(D1739,Projects!$A$2:$A$20000,1,FALSE),""))</f>
        <v/>
      </c>
      <c r="AF1739" s="2" t="str">
        <f>IF(D1739="","",IFERROR(MATCH(D1739,Projects!$A:$A,0),""))</f>
        <v/>
      </c>
    </row>
    <row r="1740" spans="31:32" x14ac:dyDescent="0.25">
      <c r="AE1740" s="39" t="str">
        <f>IF(D1740="","",IFERROR(VLOOKUP(D1740,Projects!$A$2:$A$20000,1,FALSE),""))</f>
        <v/>
      </c>
      <c r="AF1740" s="2" t="str">
        <f>IF(D1740="","",IFERROR(MATCH(D1740,Projects!$A:$A,0),""))</f>
        <v/>
      </c>
    </row>
    <row r="1741" spans="31:32" x14ac:dyDescent="0.25">
      <c r="AE1741" s="39" t="str">
        <f>IF(D1741="","",IFERROR(VLOOKUP(D1741,Projects!$A$2:$A$20000,1,FALSE),""))</f>
        <v/>
      </c>
      <c r="AF1741" s="2" t="str">
        <f>IF(D1741="","",IFERROR(MATCH(D1741,Projects!$A:$A,0),""))</f>
        <v/>
      </c>
    </row>
    <row r="1742" spans="31:32" x14ac:dyDescent="0.25">
      <c r="AE1742" s="39" t="str">
        <f>IF(D1742="","",IFERROR(VLOOKUP(D1742,Projects!$A$2:$A$20000,1,FALSE),""))</f>
        <v/>
      </c>
      <c r="AF1742" s="2" t="str">
        <f>IF(D1742="","",IFERROR(MATCH(D1742,Projects!$A:$A,0),""))</f>
        <v/>
      </c>
    </row>
    <row r="1743" spans="31:32" x14ac:dyDescent="0.25">
      <c r="AE1743" s="39" t="str">
        <f>IF(D1743="","",IFERROR(VLOOKUP(D1743,Projects!$A$2:$A$20000,1,FALSE),""))</f>
        <v/>
      </c>
      <c r="AF1743" s="2" t="str">
        <f>IF(D1743="","",IFERROR(MATCH(D1743,Projects!$A:$A,0),""))</f>
        <v/>
      </c>
    </row>
    <row r="1744" spans="31:32" x14ac:dyDescent="0.25">
      <c r="AE1744" s="39" t="str">
        <f>IF(D1744="","",IFERROR(VLOOKUP(D1744,Projects!$A$2:$A$20000,1,FALSE),""))</f>
        <v/>
      </c>
      <c r="AF1744" s="2" t="str">
        <f>IF(D1744="","",IFERROR(MATCH(D1744,Projects!$A:$A,0),""))</f>
        <v/>
      </c>
    </row>
    <row r="1745" spans="31:32" x14ac:dyDescent="0.25">
      <c r="AE1745" s="39" t="str">
        <f>IF(D1745="","",IFERROR(VLOOKUP(D1745,Projects!$A$2:$A$20000,1,FALSE),""))</f>
        <v/>
      </c>
      <c r="AF1745" s="2" t="str">
        <f>IF(D1745="","",IFERROR(MATCH(D1745,Projects!$A:$A,0),""))</f>
        <v/>
      </c>
    </row>
    <row r="1746" spans="31:32" x14ac:dyDescent="0.25">
      <c r="AE1746" s="39" t="str">
        <f>IF(D1746="","",IFERROR(VLOOKUP(D1746,Projects!$A$2:$A$20000,1,FALSE),""))</f>
        <v/>
      </c>
      <c r="AF1746" s="2" t="str">
        <f>IF(D1746="","",IFERROR(MATCH(D1746,Projects!$A:$A,0),""))</f>
        <v/>
      </c>
    </row>
    <row r="1747" spans="31:32" x14ac:dyDescent="0.25">
      <c r="AE1747" s="39" t="str">
        <f>IF(D1747="","",IFERROR(VLOOKUP(D1747,Projects!$A$2:$A$20000,1,FALSE),""))</f>
        <v/>
      </c>
      <c r="AF1747" s="2" t="str">
        <f>IF(D1747="","",IFERROR(MATCH(D1747,Projects!$A:$A,0),""))</f>
        <v/>
      </c>
    </row>
    <row r="1748" spans="31:32" x14ac:dyDescent="0.25">
      <c r="AE1748" s="39" t="str">
        <f>IF(D1748="","",IFERROR(VLOOKUP(D1748,Projects!$A$2:$A$20000,1,FALSE),""))</f>
        <v/>
      </c>
      <c r="AF1748" s="2" t="str">
        <f>IF(D1748="","",IFERROR(MATCH(D1748,Projects!$A:$A,0),""))</f>
        <v/>
      </c>
    </row>
    <row r="1749" spans="31:32" x14ac:dyDescent="0.25">
      <c r="AE1749" s="39" t="str">
        <f>IF(D1749="","",IFERROR(VLOOKUP(D1749,Projects!$A$2:$A$20000,1,FALSE),""))</f>
        <v/>
      </c>
      <c r="AF1749" s="2" t="str">
        <f>IF(D1749="","",IFERROR(MATCH(D1749,Projects!$A:$A,0),""))</f>
        <v/>
      </c>
    </row>
    <row r="1750" spans="31:32" x14ac:dyDescent="0.25">
      <c r="AE1750" s="39" t="str">
        <f>IF(D1750="","",IFERROR(VLOOKUP(D1750,Projects!$A$2:$A$20000,1,FALSE),""))</f>
        <v/>
      </c>
      <c r="AF1750" s="2" t="str">
        <f>IF(D1750="","",IFERROR(MATCH(D1750,Projects!$A:$A,0),""))</f>
        <v/>
      </c>
    </row>
    <row r="1751" spans="31:32" x14ac:dyDescent="0.25">
      <c r="AE1751" s="39" t="str">
        <f>IF(D1751="","",IFERROR(VLOOKUP(D1751,Projects!$A$2:$A$20000,1,FALSE),""))</f>
        <v/>
      </c>
      <c r="AF1751" s="2" t="str">
        <f>IF(D1751="","",IFERROR(MATCH(D1751,Projects!$A:$A,0),""))</f>
        <v/>
      </c>
    </row>
    <row r="1752" spans="31:32" x14ac:dyDescent="0.25">
      <c r="AE1752" s="39" t="str">
        <f>IF(D1752="","",IFERROR(VLOOKUP(D1752,Projects!$A$2:$A$20000,1,FALSE),""))</f>
        <v/>
      </c>
      <c r="AF1752" s="2" t="str">
        <f>IF(D1752="","",IFERROR(MATCH(D1752,Projects!$A:$A,0),""))</f>
        <v/>
      </c>
    </row>
    <row r="1753" spans="31:32" x14ac:dyDescent="0.25">
      <c r="AE1753" s="39" t="str">
        <f>IF(D1753="","",IFERROR(VLOOKUP(D1753,Projects!$A$2:$A$20000,1,FALSE),""))</f>
        <v/>
      </c>
      <c r="AF1753" s="2" t="str">
        <f>IF(D1753="","",IFERROR(MATCH(D1753,Projects!$A:$A,0),""))</f>
        <v/>
      </c>
    </row>
    <row r="1754" spans="31:32" x14ac:dyDescent="0.25">
      <c r="AE1754" s="39" t="str">
        <f>IF(D1754="","",IFERROR(VLOOKUP(D1754,Projects!$A$2:$A$20000,1,FALSE),""))</f>
        <v/>
      </c>
      <c r="AF1754" s="2" t="str">
        <f>IF(D1754="","",IFERROR(MATCH(D1754,Projects!$A:$A,0),""))</f>
        <v/>
      </c>
    </row>
    <row r="1755" spans="31:32" x14ac:dyDescent="0.25">
      <c r="AE1755" s="39" t="str">
        <f>IF(D1755="","",IFERROR(VLOOKUP(D1755,Projects!$A$2:$A$20000,1,FALSE),""))</f>
        <v/>
      </c>
      <c r="AF1755" s="2" t="str">
        <f>IF(D1755="","",IFERROR(MATCH(D1755,Projects!$A:$A,0),""))</f>
        <v/>
      </c>
    </row>
    <row r="1756" spans="31:32" x14ac:dyDescent="0.25">
      <c r="AE1756" s="39" t="str">
        <f>IF(D1756="","",IFERROR(VLOOKUP(D1756,Projects!$A$2:$A$20000,1,FALSE),""))</f>
        <v/>
      </c>
      <c r="AF1756" s="2" t="str">
        <f>IF(D1756="","",IFERROR(MATCH(D1756,Projects!$A:$A,0),""))</f>
        <v/>
      </c>
    </row>
    <row r="1757" spans="31:32" x14ac:dyDescent="0.25">
      <c r="AE1757" s="39" t="str">
        <f>IF(D1757="","",IFERROR(VLOOKUP(D1757,Projects!$A$2:$A$20000,1,FALSE),""))</f>
        <v/>
      </c>
      <c r="AF1757" s="2" t="str">
        <f>IF(D1757="","",IFERROR(MATCH(D1757,Projects!$A:$A,0),""))</f>
        <v/>
      </c>
    </row>
    <row r="1758" spans="31:32" x14ac:dyDescent="0.25">
      <c r="AE1758" s="39" t="str">
        <f>IF(D1758="","",IFERROR(VLOOKUP(D1758,Projects!$A$2:$A$20000,1,FALSE),""))</f>
        <v/>
      </c>
      <c r="AF1758" s="2" t="str">
        <f>IF(D1758="","",IFERROR(MATCH(D1758,Projects!$A:$A,0),""))</f>
        <v/>
      </c>
    </row>
    <row r="1759" spans="31:32" x14ac:dyDescent="0.25">
      <c r="AE1759" s="39" t="str">
        <f>IF(D1759="","",IFERROR(VLOOKUP(D1759,Projects!$A$2:$A$20000,1,FALSE),""))</f>
        <v/>
      </c>
      <c r="AF1759" s="2" t="str">
        <f>IF(D1759="","",IFERROR(MATCH(D1759,Projects!$A:$A,0),""))</f>
        <v/>
      </c>
    </row>
    <row r="1760" spans="31:32" x14ac:dyDescent="0.25">
      <c r="AE1760" s="39" t="str">
        <f>IF(D1760="","",IFERROR(VLOOKUP(D1760,Projects!$A$2:$A$20000,1,FALSE),""))</f>
        <v/>
      </c>
      <c r="AF1760" s="2" t="str">
        <f>IF(D1760="","",IFERROR(MATCH(D1760,Projects!$A:$A,0),""))</f>
        <v/>
      </c>
    </row>
    <row r="1761" spans="31:32" x14ac:dyDescent="0.25">
      <c r="AE1761" s="39" t="str">
        <f>IF(D1761="","",IFERROR(VLOOKUP(D1761,Projects!$A$2:$A$20000,1,FALSE),""))</f>
        <v/>
      </c>
      <c r="AF1761" s="2" t="str">
        <f>IF(D1761="","",IFERROR(MATCH(D1761,Projects!$A:$A,0),""))</f>
        <v/>
      </c>
    </row>
    <row r="1762" spans="31:32" x14ac:dyDescent="0.25">
      <c r="AE1762" s="39" t="str">
        <f>IF(D1762="","",IFERROR(VLOOKUP(D1762,Projects!$A$2:$A$20000,1,FALSE),""))</f>
        <v/>
      </c>
      <c r="AF1762" s="2" t="str">
        <f>IF(D1762="","",IFERROR(MATCH(D1762,Projects!$A:$A,0),""))</f>
        <v/>
      </c>
    </row>
    <row r="1763" spans="31:32" x14ac:dyDescent="0.25">
      <c r="AE1763" s="39" t="str">
        <f>IF(D1763="","",IFERROR(VLOOKUP(D1763,Projects!$A$2:$A$20000,1,FALSE),""))</f>
        <v/>
      </c>
      <c r="AF1763" s="2" t="str">
        <f>IF(D1763="","",IFERROR(MATCH(D1763,Projects!$A:$A,0),""))</f>
        <v/>
      </c>
    </row>
    <row r="1764" spans="31:32" x14ac:dyDescent="0.25">
      <c r="AE1764" s="39" t="str">
        <f>IF(D1764="","",IFERROR(VLOOKUP(D1764,Projects!$A$2:$A$20000,1,FALSE),""))</f>
        <v/>
      </c>
      <c r="AF1764" s="2" t="str">
        <f>IF(D1764="","",IFERROR(MATCH(D1764,Projects!$A:$A,0),""))</f>
        <v/>
      </c>
    </row>
    <row r="1765" spans="31:32" x14ac:dyDescent="0.25">
      <c r="AE1765" s="39" t="str">
        <f>IF(D1765="","",IFERROR(VLOOKUP(D1765,Projects!$A$2:$A$20000,1,FALSE),""))</f>
        <v/>
      </c>
      <c r="AF1765" s="2" t="str">
        <f>IF(D1765="","",IFERROR(MATCH(D1765,Projects!$A:$A,0),""))</f>
        <v/>
      </c>
    </row>
    <row r="1766" spans="31:32" x14ac:dyDescent="0.25">
      <c r="AE1766" s="39" t="str">
        <f>IF(D1766="","",IFERROR(VLOOKUP(D1766,Projects!$A$2:$A$20000,1,FALSE),""))</f>
        <v/>
      </c>
      <c r="AF1766" s="2" t="str">
        <f>IF(D1766="","",IFERROR(MATCH(D1766,Projects!$A:$A,0),""))</f>
        <v/>
      </c>
    </row>
    <row r="1767" spans="31:32" x14ac:dyDescent="0.25">
      <c r="AE1767" s="39" t="str">
        <f>IF(D1767="","",IFERROR(VLOOKUP(D1767,Projects!$A$2:$A$20000,1,FALSE),""))</f>
        <v/>
      </c>
      <c r="AF1767" s="2" t="str">
        <f>IF(D1767="","",IFERROR(MATCH(D1767,Projects!$A:$A,0),""))</f>
        <v/>
      </c>
    </row>
    <row r="1768" spans="31:32" x14ac:dyDescent="0.25">
      <c r="AE1768" s="39" t="str">
        <f>IF(D1768="","",IFERROR(VLOOKUP(D1768,Projects!$A$2:$A$20000,1,FALSE),""))</f>
        <v/>
      </c>
      <c r="AF1768" s="2" t="str">
        <f>IF(D1768="","",IFERROR(MATCH(D1768,Projects!$A:$A,0),""))</f>
        <v/>
      </c>
    </row>
    <row r="1769" spans="31:32" x14ac:dyDescent="0.25">
      <c r="AE1769" s="39" t="str">
        <f>IF(D1769="","",IFERROR(VLOOKUP(D1769,Projects!$A$2:$A$20000,1,FALSE),""))</f>
        <v/>
      </c>
      <c r="AF1769" s="2" t="str">
        <f>IF(D1769="","",IFERROR(MATCH(D1769,Projects!$A:$A,0),""))</f>
        <v/>
      </c>
    </row>
    <row r="1770" spans="31:32" x14ac:dyDescent="0.25">
      <c r="AE1770" s="39" t="str">
        <f>IF(D1770="","",IFERROR(VLOOKUP(D1770,Projects!$A$2:$A$20000,1,FALSE),""))</f>
        <v/>
      </c>
      <c r="AF1770" s="2" t="str">
        <f>IF(D1770="","",IFERROR(MATCH(D1770,Projects!$A:$A,0),""))</f>
        <v/>
      </c>
    </row>
    <row r="1771" spans="31:32" x14ac:dyDescent="0.25">
      <c r="AE1771" s="39" t="str">
        <f>IF(D1771="","",IFERROR(VLOOKUP(D1771,Projects!$A$2:$A$20000,1,FALSE),""))</f>
        <v/>
      </c>
      <c r="AF1771" s="2" t="str">
        <f>IF(D1771="","",IFERROR(MATCH(D1771,Projects!$A:$A,0),""))</f>
        <v/>
      </c>
    </row>
    <row r="1772" spans="31:32" x14ac:dyDescent="0.25">
      <c r="AE1772" s="39" t="str">
        <f>IF(D1772="","",IFERROR(VLOOKUP(D1772,Projects!$A$2:$A$20000,1,FALSE),""))</f>
        <v/>
      </c>
      <c r="AF1772" s="2" t="str">
        <f>IF(D1772="","",IFERROR(MATCH(D1772,Projects!$A:$A,0),""))</f>
        <v/>
      </c>
    </row>
    <row r="1773" spans="31:32" x14ac:dyDescent="0.25">
      <c r="AE1773" s="39" t="str">
        <f>IF(D1773="","",IFERROR(VLOOKUP(D1773,Projects!$A$2:$A$20000,1,FALSE),""))</f>
        <v/>
      </c>
      <c r="AF1773" s="2" t="str">
        <f>IF(D1773="","",IFERROR(MATCH(D1773,Projects!$A:$A,0),""))</f>
        <v/>
      </c>
    </row>
    <row r="1774" spans="31:32" x14ac:dyDescent="0.25">
      <c r="AE1774" s="39" t="str">
        <f>IF(D1774="","",IFERROR(VLOOKUP(D1774,Projects!$A$2:$A$20000,1,FALSE),""))</f>
        <v/>
      </c>
      <c r="AF1774" s="2" t="str">
        <f>IF(D1774="","",IFERROR(MATCH(D1774,Projects!$A:$A,0),""))</f>
        <v/>
      </c>
    </row>
    <row r="1775" spans="31:32" x14ac:dyDescent="0.25">
      <c r="AE1775" s="39" t="str">
        <f>IF(D1775="","",IFERROR(VLOOKUP(D1775,Projects!$A$2:$A$20000,1,FALSE),""))</f>
        <v/>
      </c>
      <c r="AF1775" s="2" t="str">
        <f>IF(D1775="","",IFERROR(MATCH(D1775,Projects!$A:$A,0),""))</f>
        <v/>
      </c>
    </row>
    <row r="1776" spans="31:32" x14ac:dyDescent="0.25">
      <c r="AE1776" s="39" t="str">
        <f>IF(D1776="","",IFERROR(VLOOKUP(D1776,Projects!$A$2:$A$20000,1,FALSE),""))</f>
        <v/>
      </c>
      <c r="AF1776" s="2" t="str">
        <f>IF(D1776="","",IFERROR(MATCH(D1776,Projects!$A:$A,0),""))</f>
        <v/>
      </c>
    </row>
    <row r="1777" spans="31:32" x14ac:dyDescent="0.25">
      <c r="AE1777" s="39" t="str">
        <f>IF(D1777="","",IFERROR(VLOOKUP(D1777,Projects!$A$2:$A$20000,1,FALSE),""))</f>
        <v/>
      </c>
      <c r="AF1777" s="2" t="str">
        <f>IF(D1777="","",IFERROR(MATCH(D1777,Projects!$A:$A,0),""))</f>
        <v/>
      </c>
    </row>
    <row r="1778" spans="31:32" x14ac:dyDescent="0.25">
      <c r="AE1778" s="39" t="str">
        <f>IF(D1778="","",IFERROR(VLOOKUP(D1778,Projects!$A$2:$A$20000,1,FALSE),""))</f>
        <v/>
      </c>
      <c r="AF1778" s="2" t="str">
        <f>IF(D1778="","",IFERROR(MATCH(D1778,Projects!$A:$A,0),""))</f>
        <v/>
      </c>
    </row>
    <row r="1779" spans="31:32" x14ac:dyDescent="0.25">
      <c r="AE1779" s="39" t="str">
        <f>IF(D1779="","",IFERROR(VLOOKUP(D1779,Projects!$A$2:$A$20000,1,FALSE),""))</f>
        <v/>
      </c>
      <c r="AF1779" s="2" t="str">
        <f>IF(D1779="","",IFERROR(MATCH(D1779,Projects!$A:$A,0),""))</f>
        <v/>
      </c>
    </row>
    <row r="1780" spans="31:32" x14ac:dyDescent="0.25">
      <c r="AE1780" s="39" t="str">
        <f>IF(D1780="","",IFERROR(VLOOKUP(D1780,Projects!$A$2:$A$20000,1,FALSE),""))</f>
        <v/>
      </c>
      <c r="AF1780" s="2" t="str">
        <f>IF(D1780="","",IFERROR(MATCH(D1780,Projects!$A:$A,0),""))</f>
        <v/>
      </c>
    </row>
    <row r="1781" spans="31:32" x14ac:dyDescent="0.25">
      <c r="AE1781" s="39" t="str">
        <f>IF(D1781="","",IFERROR(VLOOKUP(D1781,Projects!$A$2:$A$20000,1,FALSE),""))</f>
        <v/>
      </c>
      <c r="AF1781" s="2" t="str">
        <f>IF(D1781="","",IFERROR(MATCH(D1781,Projects!$A:$A,0),""))</f>
        <v/>
      </c>
    </row>
    <row r="1782" spans="31:32" x14ac:dyDescent="0.25">
      <c r="AE1782" s="39" t="str">
        <f>IF(D1782="","",IFERROR(VLOOKUP(D1782,Projects!$A$2:$A$20000,1,FALSE),""))</f>
        <v/>
      </c>
      <c r="AF1782" s="2" t="str">
        <f>IF(D1782="","",IFERROR(MATCH(D1782,Projects!$A:$A,0),""))</f>
        <v/>
      </c>
    </row>
    <row r="1783" spans="31:32" x14ac:dyDescent="0.25">
      <c r="AE1783" s="39" t="str">
        <f>IF(D1783="","",IFERROR(VLOOKUP(D1783,Projects!$A$2:$A$20000,1,FALSE),""))</f>
        <v/>
      </c>
      <c r="AF1783" s="2" t="str">
        <f>IF(D1783="","",IFERROR(MATCH(D1783,Projects!$A:$A,0),""))</f>
        <v/>
      </c>
    </row>
    <row r="1784" spans="31:32" x14ac:dyDescent="0.25">
      <c r="AE1784" s="39" t="str">
        <f>IF(D1784="","",IFERROR(VLOOKUP(D1784,Projects!$A$2:$A$20000,1,FALSE),""))</f>
        <v/>
      </c>
      <c r="AF1784" s="2" t="str">
        <f>IF(D1784="","",IFERROR(MATCH(D1784,Projects!$A:$A,0),""))</f>
        <v/>
      </c>
    </row>
    <row r="1785" spans="31:32" x14ac:dyDescent="0.25">
      <c r="AE1785" s="39" t="str">
        <f>IF(D1785="","",IFERROR(VLOOKUP(D1785,Projects!$A$2:$A$20000,1,FALSE),""))</f>
        <v/>
      </c>
      <c r="AF1785" s="2" t="str">
        <f>IF(D1785="","",IFERROR(MATCH(D1785,Projects!$A:$A,0),""))</f>
        <v/>
      </c>
    </row>
    <row r="1786" spans="31:32" x14ac:dyDescent="0.25">
      <c r="AE1786" s="39" t="str">
        <f>IF(D1786="","",IFERROR(VLOOKUP(D1786,Projects!$A$2:$A$20000,1,FALSE),""))</f>
        <v/>
      </c>
      <c r="AF1786" s="2" t="str">
        <f>IF(D1786="","",IFERROR(MATCH(D1786,Projects!$A:$A,0),""))</f>
        <v/>
      </c>
    </row>
    <row r="1787" spans="31:32" x14ac:dyDescent="0.25">
      <c r="AE1787" s="39" t="str">
        <f>IF(D1787="","",IFERROR(VLOOKUP(D1787,Projects!$A$2:$A$20000,1,FALSE),""))</f>
        <v/>
      </c>
      <c r="AF1787" s="2" t="str">
        <f>IF(D1787="","",IFERROR(MATCH(D1787,Projects!$A:$A,0),""))</f>
        <v/>
      </c>
    </row>
    <row r="1788" spans="31:32" x14ac:dyDescent="0.25">
      <c r="AE1788" s="39" t="str">
        <f>IF(D1788="","",IFERROR(VLOOKUP(D1788,Projects!$A$2:$A$20000,1,FALSE),""))</f>
        <v/>
      </c>
      <c r="AF1788" s="2" t="str">
        <f>IF(D1788="","",IFERROR(MATCH(D1788,Projects!$A:$A,0),""))</f>
        <v/>
      </c>
    </row>
    <row r="1789" spans="31:32" x14ac:dyDescent="0.25">
      <c r="AE1789" s="39" t="str">
        <f>IF(D1789="","",IFERROR(VLOOKUP(D1789,Projects!$A$2:$A$20000,1,FALSE),""))</f>
        <v/>
      </c>
      <c r="AF1789" s="2" t="str">
        <f>IF(D1789="","",IFERROR(MATCH(D1789,Projects!$A:$A,0),""))</f>
        <v/>
      </c>
    </row>
    <row r="1790" spans="31:32" x14ac:dyDescent="0.25">
      <c r="AE1790" s="39" t="str">
        <f>IF(D1790="","",IFERROR(VLOOKUP(D1790,Projects!$A$2:$A$20000,1,FALSE),""))</f>
        <v/>
      </c>
      <c r="AF1790" s="2" t="str">
        <f>IF(D1790="","",IFERROR(MATCH(D1790,Projects!$A:$A,0),""))</f>
        <v/>
      </c>
    </row>
    <row r="1791" spans="31:32" x14ac:dyDescent="0.25">
      <c r="AE1791" s="39" t="str">
        <f>IF(D1791="","",IFERROR(VLOOKUP(D1791,Projects!$A$2:$A$20000,1,FALSE),""))</f>
        <v/>
      </c>
      <c r="AF1791" s="2" t="str">
        <f>IF(D1791="","",IFERROR(MATCH(D1791,Projects!$A:$A,0),""))</f>
        <v/>
      </c>
    </row>
    <row r="1792" spans="31:32" x14ac:dyDescent="0.25">
      <c r="AE1792" s="39" t="str">
        <f>IF(D1792="","",IFERROR(VLOOKUP(D1792,Projects!$A$2:$A$20000,1,FALSE),""))</f>
        <v/>
      </c>
      <c r="AF1792" s="2" t="str">
        <f>IF(D1792="","",IFERROR(MATCH(D1792,Projects!$A:$A,0),""))</f>
        <v/>
      </c>
    </row>
    <row r="1793" spans="31:32" x14ac:dyDescent="0.25">
      <c r="AE1793" s="39" t="str">
        <f>IF(D1793="","",IFERROR(VLOOKUP(D1793,Projects!$A$2:$A$20000,1,FALSE),""))</f>
        <v/>
      </c>
      <c r="AF1793" s="2" t="str">
        <f>IF(D1793="","",IFERROR(MATCH(D1793,Projects!$A:$A,0),""))</f>
        <v/>
      </c>
    </row>
    <row r="1794" spans="31:32" x14ac:dyDescent="0.25">
      <c r="AE1794" s="39" t="str">
        <f>IF(D1794="","",IFERROR(VLOOKUP(D1794,Projects!$A$2:$A$20000,1,FALSE),""))</f>
        <v/>
      </c>
      <c r="AF1794" s="2" t="str">
        <f>IF(D1794="","",IFERROR(MATCH(D1794,Projects!$A:$A,0),""))</f>
        <v/>
      </c>
    </row>
    <row r="1795" spans="31:32" x14ac:dyDescent="0.25">
      <c r="AE1795" s="39" t="str">
        <f>IF(D1795="","",IFERROR(VLOOKUP(D1795,Projects!$A$2:$A$20000,1,FALSE),""))</f>
        <v/>
      </c>
      <c r="AF1795" s="2" t="str">
        <f>IF(D1795="","",IFERROR(MATCH(D1795,Projects!$A:$A,0),""))</f>
        <v/>
      </c>
    </row>
    <row r="1796" spans="31:32" x14ac:dyDescent="0.25">
      <c r="AE1796" s="39" t="str">
        <f>IF(D1796="","",IFERROR(VLOOKUP(D1796,Projects!$A$2:$A$20000,1,FALSE),""))</f>
        <v/>
      </c>
      <c r="AF1796" s="2" t="str">
        <f>IF(D1796="","",IFERROR(MATCH(D1796,Projects!$A:$A,0),""))</f>
        <v/>
      </c>
    </row>
    <row r="1797" spans="31:32" x14ac:dyDescent="0.25">
      <c r="AE1797" s="39" t="str">
        <f>IF(D1797="","",IFERROR(VLOOKUP(D1797,Projects!$A$2:$A$20000,1,FALSE),""))</f>
        <v/>
      </c>
      <c r="AF1797" s="2" t="str">
        <f>IF(D1797="","",IFERROR(MATCH(D1797,Projects!$A:$A,0),""))</f>
        <v/>
      </c>
    </row>
    <row r="1798" spans="31:32" x14ac:dyDescent="0.25">
      <c r="AE1798" s="39" t="str">
        <f>IF(D1798="","",IFERROR(VLOOKUP(D1798,Projects!$A$2:$A$20000,1,FALSE),""))</f>
        <v/>
      </c>
      <c r="AF1798" s="2" t="str">
        <f>IF(D1798="","",IFERROR(MATCH(D1798,Projects!$A:$A,0),""))</f>
        <v/>
      </c>
    </row>
    <row r="1799" spans="31:32" x14ac:dyDescent="0.25">
      <c r="AE1799" s="39" t="str">
        <f>IF(D1799="","",IFERROR(VLOOKUP(D1799,Projects!$A$2:$A$20000,1,FALSE),""))</f>
        <v/>
      </c>
      <c r="AF1799" s="2" t="str">
        <f>IF(D1799="","",IFERROR(MATCH(D1799,Projects!$A:$A,0),""))</f>
        <v/>
      </c>
    </row>
    <row r="1800" spans="31:32" x14ac:dyDescent="0.25">
      <c r="AE1800" s="39" t="str">
        <f>IF(D1800="","",IFERROR(VLOOKUP(D1800,Projects!$A$2:$A$20000,1,FALSE),""))</f>
        <v/>
      </c>
      <c r="AF1800" s="2" t="str">
        <f>IF(D1800="","",IFERROR(MATCH(D1800,Projects!$A:$A,0),""))</f>
        <v/>
      </c>
    </row>
    <row r="1801" spans="31:32" x14ac:dyDescent="0.25">
      <c r="AE1801" s="39" t="str">
        <f>IF(D1801="","",IFERROR(VLOOKUP(D1801,Projects!$A$2:$A$20000,1,FALSE),""))</f>
        <v/>
      </c>
      <c r="AF1801" s="2" t="str">
        <f>IF(D1801="","",IFERROR(MATCH(D1801,Projects!$A:$A,0),""))</f>
        <v/>
      </c>
    </row>
    <row r="1802" spans="31:32" x14ac:dyDescent="0.25">
      <c r="AE1802" s="39" t="str">
        <f>IF(D1802="","",IFERROR(VLOOKUP(D1802,Projects!$A$2:$A$20000,1,FALSE),""))</f>
        <v/>
      </c>
      <c r="AF1802" s="2" t="str">
        <f>IF(D1802="","",IFERROR(MATCH(D1802,Projects!$A:$A,0),""))</f>
        <v/>
      </c>
    </row>
    <row r="1803" spans="31:32" x14ac:dyDescent="0.25">
      <c r="AE1803" s="39" t="str">
        <f>IF(D1803="","",IFERROR(VLOOKUP(D1803,Projects!$A$2:$A$20000,1,FALSE),""))</f>
        <v/>
      </c>
      <c r="AF1803" s="2" t="str">
        <f>IF(D1803="","",IFERROR(MATCH(D1803,Projects!$A:$A,0),""))</f>
        <v/>
      </c>
    </row>
    <row r="1804" spans="31:32" x14ac:dyDescent="0.25">
      <c r="AE1804" s="39" t="str">
        <f>IF(D1804="","",IFERROR(VLOOKUP(D1804,Projects!$A$2:$A$20000,1,FALSE),""))</f>
        <v/>
      </c>
      <c r="AF1804" s="2" t="str">
        <f>IF(D1804="","",IFERROR(MATCH(D1804,Projects!$A:$A,0),""))</f>
        <v/>
      </c>
    </row>
    <row r="1805" spans="31:32" x14ac:dyDescent="0.25">
      <c r="AE1805" s="39" t="str">
        <f>IF(D1805="","",IFERROR(VLOOKUP(D1805,Projects!$A$2:$A$20000,1,FALSE),""))</f>
        <v/>
      </c>
      <c r="AF1805" s="2" t="str">
        <f>IF(D1805="","",IFERROR(MATCH(D1805,Projects!$A:$A,0),""))</f>
        <v/>
      </c>
    </row>
    <row r="1806" spans="31:32" x14ac:dyDescent="0.25">
      <c r="AE1806" s="39" t="str">
        <f>IF(D1806="","",IFERROR(VLOOKUP(D1806,Projects!$A$2:$A$20000,1,FALSE),""))</f>
        <v/>
      </c>
      <c r="AF1806" s="2" t="str">
        <f>IF(D1806="","",IFERROR(MATCH(D1806,Projects!$A:$A,0),""))</f>
        <v/>
      </c>
    </row>
    <row r="1807" spans="31:32" x14ac:dyDescent="0.25">
      <c r="AE1807" s="39" t="str">
        <f>IF(D1807="","",IFERROR(VLOOKUP(D1807,Projects!$A$2:$A$20000,1,FALSE),""))</f>
        <v/>
      </c>
      <c r="AF1807" s="2" t="str">
        <f>IF(D1807="","",IFERROR(MATCH(D1807,Projects!$A:$A,0),""))</f>
        <v/>
      </c>
    </row>
    <row r="1808" spans="31:32" x14ac:dyDescent="0.25">
      <c r="AE1808" s="39" t="str">
        <f>IF(D1808="","",IFERROR(VLOOKUP(D1808,Projects!$A$2:$A$20000,1,FALSE),""))</f>
        <v/>
      </c>
      <c r="AF1808" s="2" t="str">
        <f>IF(D1808="","",IFERROR(MATCH(D1808,Projects!$A:$A,0),""))</f>
        <v/>
      </c>
    </row>
    <row r="1809" spans="31:32" x14ac:dyDescent="0.25">
      <c r="AE1809" s="39" t="str">
        <f>IF(D1809="","",IFERROR(VLOOKUP(D1809,Projects!$A$2:$A$20000,1,FALSE),""))</f>
        <v/>
      </c>
      <c r="AF1809" s="2" t="str">
        <f>IF(D1809="","",IFERROR(MATCH(D1809,Projects!$A:$A,0),""))</f>
        <v/>
      </c>
    </row>
    <row r="1810" spans="31:32" x14ac:dyDescent="0.25">
      <c r="AE1810" s="39" t="str">
        <f>IF(D1810="","",IFERROR(VLOOKUP(D1810,Projects!$A$2:$A$20000,1,FALSE),""))</f>
        <v/>
      </c>
      <c r="AF1810" s="2" t="str">
        <f>IF(D1810="","",IFERROR(MATCH(D1810,Projects!$A:$A,0),""))</f>
        <v/>
      </c>
    </row>
    <row r="1811" spans="31:32" x14ac:dyDescent="0.25">
      <c r="AE1811" s="39" t="str">
        <f>IF(D1811="","",IFERROR(VLOOKUP(D1811,Projects!$A$2:$A$20000,1,FALSE),""))</f>
        <v/>
      </c>
      <c r="AF1811" s="2" t="str">
        <f>IF(D1811="","",IFERROR(MATCH(D1811,Projects!$A:$A,0),""))</f>
        <v/>
      </c>
    </row>
    <row r="1812" spans="31:32" x14ac:dyDescent="0.25">
      <c r="AE1812" s="39" t="str">
        <f>IF(D1812="","",IFERROR(VLOOKUP(D1812,Projects!$A$2:$A$20000,1,FALSE),""))</f>
        <v/>
      </c>
      <c r="AF1812" s="2" t="str">
        <f>IF(D1812="","",IFERROR(MATCH(D1812,Projects!$A:$A,0),""))</f>
        <v/>
      </c>
    </row>
    <row r="1813" spans="31:32" x14ac:dyDescent="0.25">
      <c r="AE1813" s="39" t="str">
        <f>IF(D1813="","",IFERROR(VLOOKUP(D1813,Projects!$A$2:$A$20000,1,FALSE),""))</f>
        <v/>
      </c>
      <c r="AF1813" s="2" t="str">
        <f>IF(D1813="","",IFERROR(MATCH(D1813,Projects!$A:$A,0),""))</f>
        <v/>
      </c>
    </row>
    <row r="1814" spans="31:32" x14ac:dyDescent="0.25">
      <c r="AE1814" s="39" t="str">
        <f>IF(D1814="","",IFERROR(VLOOKUP(D1814,Projects!$A$2:$A$20000,1,FALSE),""))</f>
        <v/>
      </c>
      <c r="AF1814" s="2" t="str">
        <f>IF(D1814="","",IFERROR(MATCH(D1814,Projects!$A:$A,0),""))</f>
        <v/>
      </c>
    </row>
    <row r="1815" spans="31:32" x14ac:dyDescent="0.25">
      <c r="AE1815" s="39" t="str">
        <f>IF(D1815="","",IFERROR(VLOOKUP(D1815,Projects!$A$2:$A$20000,1,FALSE),""))</f>
        <v/>
      </c>
      <c r="AF1815" s="2" t="str">
        <f>IF(D1815="","",IFERROR(MATCH(D1815,Projects!$A:$A,0),""))</f>
        <v/>
      </c>
    </row>
    <row r="1816" spans="31:32" x14ac:dyDescent="0.25">
      <c r="AE1816" s="39" t="str">
        <f>IF(D1816="","",IFERROR(VLOOKUP(D1816,Projects!$A$2:$A$20000,1,FALSE),""))</f>
        <v/>
      </c>
      <c r="AF1816" s="2" t="str">
        <f>IF(D1816="","",IFERROR(MATCH(D1816,Projects!$A:$A,0),""))</f>
        <v/>
      </c>
    </row>
    <row r="1817" spans="31:32" x14ac:dyDescent="0.25">
      <c r="AE1817" s="39" t="str">
        <f>IF(D1817="","",IFERROR(VLOOKUP(D1817,Projects!$A$2:$A$20000,1,FALSE),""))</f>
        <v/>
      </c>
      <c r="AF1817" s="2" t="str">
        <f>IF(D1817="","",IFERROR(MATCH(D1817,Projects!$A:$A,0),""))</f>
        <v/>
      </c>
    </row>
    <row r="1818" spans="31:32" x14ac:dyDescent="0.25">
      <c r="AE1818" s="39" t="str">
        <f>IF(D1818="","",IFERROR(VLOOKUP(D1818,Projects!$A$2:$A$20000,1,FALSE),""))</f>
        <v/>
      </c>
      <c r="AF1818" s="2" t="str">
        <f>IF(D1818="","",IFERROR(MATCH(D1818,Projects!$A:$A,0),""))</f>
        <v/>
      </c>
    </row>
    <row r="1819" spans="31:32" x14ac:dyDescent="0.25">
      <c r="AE1819" s="39" t="str">
        <f>IF(D1819="","",IFERROR(VLOOKUP(D1819,Projects!$A$2:$A$20000,1,FALSE),""))</f>
        <v/>
      </c>
      <c r="AF1819" s="2" t="str">
        <f>IF(D1819="","",IFERROR(MATCH(D1819,Projects!$A:$A,0),""))</f>
        <v/>
      </c>
    </row>
    <row r="1820" spans="31:32" x14ac:dyDescent="0.25">
      <c r="AE1820" s="39" t="str">
        <f>IF(D1820="","",IFERROR(VLOOKUP(D1820,Projects!$A$2:$A$20000,1,FALSE),""))</f>
        <v/>
      </c>
      <c r="AF1820" s="2" t="str">
        <f>IF(D1820="","",IFERROR(MATCH(D1820,Projects!$A:$A,0),""))</f>
        <v/>
      </c>
    </row>
    <row r="1821" spans="31:32" x14ac:dyDescent="0.25">
      <c r="AE1821" s="39" t="str">
        <f>IF(D1821="","",IFERROR(VLOOKUP(D1821,Projects!$A$2:$A$20000,1,FALSE),""))</f>
        <v/>
      </c>
      <c r="AF1821" s="2" t="str">
        <f>IF(D1821="","",IFERROR(MATCH(D1821,Projects!$A:$A,0),""))</f>
        <v/>
      </c>
    </row>
    <row r="1822" spans="31:32" x14ac:dyDescent="0.25">
      <c r="AE1822" s="39" t="str">
        <f>IF(D1822="","",IFERROR(VLOOKUP(D1822,Projects!$A$2:$A$20000,1,FALSE),""))</f>
        <v/>
      </c>
      <c r="AF1822" s="2" t="str">
        <f>IF(D1822="","",IFERROR(MATCH(D1822,Projects!$A:$A,0),""))</f>
        <v/>
      </c>
    </row>
    <row r="1823" spans="31:32" x14ac:dyDescent="0.25">
      <c r="AE1823" s="39" t="str">
        <f>IF(D1823="","",IFERROR(VLOOKUP(D1823,Projects!$A$2:$A$20000,1,FALSE),""))</f>
        <v/>
      </c>
      <c r="AF1823" s="2" t="str">
        <f>IF(D1823="","",IFERROR(MATCH(D1823,Projects!$A:$A,0),""))</f>
        <v/>
      </c>
    </row>
    <row r="1824" spans="31:32" x14ac:dyDescent="0.25">
      <c r="AE1824" s="39" t="str">
        <f>IF(D1824="","",IFERROR(VLOOKUP(D1824,Projects!$A$2:$A$20000,1,FALSE),""))</f>
        <v/>
      </c>
      <c r="AF1824" s="2" t="str">
        <f>IF(D1824="","",IFERROR(MATCH(D1824,Projects!$A:$A,0),""))</f>
        <v/>
      </c>
    </row>
    <row r="1825" spans="31:32" x14ac:dyDescent="0.25">
      <c r="AE1825" s="39" t="str">
        <f>IF(D1825="","",IFERROR(VLOOKUP(D1825,Projects!$A$2:$A$20000,1,FALSE),""))</f>
        <v/>
      </c>
      <c r="AF1825" s="2" t="str">
        <f>IF(D1825="","",IFERROR(MATCH(D1825,Projects!$A:$A,0),""))</f>
        <v/>
      </c>
    </row>
    <row r="1826" spans="31:32" x14ac:dyDescent="0.25">
      <c r="AE1826" s="39" t="str">
        <f>IF(D1826="","",IFERROR(VLOOKUP(D1826,Projects!$A$2:$A$20000,1,FALSE),""))</f>
        <v/>
      </c>
      <c r="AF1826" s="2" t="str">
        <f>IF(D1826="","",IFERROR(MATCH(D1826,Projects!$A:$A,0),""))</f>
        <v/>
      </c>
    </row>
    <row r="1827" spans="31:32" x14ac:dyDescent="0.25">
      <c r="AE1827" s="39" t="str">
        <f>IF(D1827="","",IFERROR(VLOOKUP(D1827,Projects!$A$2:$A$20000,1,FALSE),""))</f>
        <v/>
      </c>
      <c r="AF1827" s="2" t="str">
        <f>IF(D1827="","",IFERROR(MATCH(D1827,Projects!$A:$A,0),""))</f>
        <v/>
      </c>
    </row>
    <row r="1828" spans="31:32" x14ac:dyDescent="0.25">
      <c r="AE1828" s="39" t="str">
        <f>IF(D1828="","",IFERROR(VLOOKUP(D1828,Projects!$A$2:$A$20000,1,FALSE),""))</f>
        <v/>
      </c>
      <c r="AF1828" s="2" t="str">
        <f>IF(D1828="","",IFERROR(MATCH(D1828,Projects!$A:$A,0),""))</f>
        <v/>
      </c>
    </row>
    <row r="1829" spans="31:32" x14ac:dyDescent="0.25">
      <c r="AE1829" s="39" t="str">
        <f>IF(D1829="","",IFERROR(VLOOKUP(D1829,Projects!$A$2:$A$20000,1,FALSE),""))</f>
        <v/>
      </c>
      <c r="AF1829" s="2" t="str">
        <f>IF(D1829="","",IFERROR(MATCH(D1829,Projects!$A:$A,0),""))</f>
        <v/>
      </c>
    </row>
    <row r="1830" spans="31:32" x14ac:dyDescent="0.25">
      <c r="AE1830" s="39" t="str">
        <f>IF(D1830="","",IFERROR(VLOOKUP(D1830,Projects!$A$2:$A$20000,1,FALSE),""))</f>
        <v/>
      </c>
      <c r="AF1830" s="2" t="str">
        <f>IF(D1830="","",IFERROR(MATCH(D1830,Projects!$A:$A,0),""))</f>
        <v/>
      </c>
    </row>
    <row r="1831" spans="31:32" x14ac:dyDescent="0.25">
      <c r="AE1831" s="39" t="str">
        <f>IF(D1831="","",IFERROR(VLOOKUP(D1831,Projects!$A$2:$A$20000,1,FALSE),""))</f>
        <v/>
      </c>
      <c r="AF1831" s="2" t="str">
        <f>IF(D1831="","",IFERROR(MATCH(D1831,Projects!$A:$A,0),""))</f>
        <v/>
      </c>
    </row>
    <row r="1832" spans="31:32" x14ac:dyDescent="0.25">
      <c r="AE1832" s="39" t="str">
        <f>IF(D1832="","",IFERROR(VLOOKUP(D1832,Projects!$A$2:$A$20000,1,FALSE),""))</f>
        <v/>
      </c>
      <c r="AF1832" s="2" t="str">
        <f>IF(D1832="","",IFERROR(MATCH(D1832,Projects!$A:$A,0),""))</f>
        <v/>
      </c>
    </row>
    <row r="1833" spans="31:32" x14ac:dyDescent="0.25">
      <c r="AE1833" s="39" t="str">
        <f>IF(D1833="","",IFERROR(VLOOKUP(D1833,Projects!$A$2:$A$20000,1,FALSE),""))</f>
        <v/>
      </c>
      <c r="AF1833" s="2" t="str">
        <f>IF(D1833="","",IFERROR(MATCH(D1833,Projects!$A:$A,0),""))</f>
        <v/>
      </c>
    </row>
    <row r="1834" spans="31:32" x14ac:dyDescent="0.25">
      <c r="AE1834" s="39" t="str">
        <f>IF(D1834="","",IFERROR(VLOOKUP(D1834,Projects!$A$2:$A$20000,1,FALSE),""))</f>
        <v/>
      </c>
      <c r="AF1834" s="2" t="str">
        <f>IF(D1834="","",IFERROR(MATCH(D1834,Projects!$A:$A,0),""))</f>
        <v/>
      </c>
    </row>
    <row r="1835" spans="31:32" x14ac:dyDescent="0.25">
      <c r="AE1835" s="39" t="str">
        <f>IF(D1835="","",IFERROR(VLOOKUP(D1835,Projects!$A$2:$A$20000,1,FALSE),""))</f>
        <v/>
      </c>
      <c r="AF1835" s="2" t="str">
        <f>IF(D1835="","",IFERROR(MATCH(D1835,Projects!$A:$A,0),""))</f>
        <v/>
      </c>
    </row>
    <row r="1836" spans="31:32" x14ac:dyDescent="0.25">
      <c r="AE1836" s="39" t="str">
        <f>IF(D1836="","",IFERROR(VLOOKUP(D1836,Projects!$A$2:$A$20000,1,FALSE),""))</f>
        <v/>
      </c>
      <c r="AF1836" s="2" t="str">
        <f>IF(D1836="","",IFERROR(MATCH(D1836,Projects!$A:$A,0),""))</f>
        <v/>
      </c>
    </row>
    <row r="1837" spans="31:32" x14ac:dyDescent="0.25">
      <c r="AE1837" s="39" t="str">
        <f>IF(D1837="","",IFERROR(VLOOKUP(D1837,Projects!$A$2:$A$20000,1,FALSE),""))</f>
        <v/>
      </c>
      <c r="AF1837" s="2" t="str">
        <f>IF(D1837="","",IFERROR(MATCH(D1837,Projects!$A:$A,0),""))</f>
        <v/>
      </c>
    </row>
    <row r="1838" spans="31:32" x14ac:dyDescent="0.25">
      <c r="AE1838" s="39" t="str">
        <f>IF(D1838="","",IFERROR(VLOOKUP(D1838,Projects!$A$2:$A$20000,1,FALSE),""))</f>
        <v/>
      </c>
      <c r="AF1838" s="2" t="str">
        <f>IF(D1838="","",IFERROR(MATCH(D1838,Projects!$A:$A,0),""))</f>
        <v/>
      </c>
    </row>
    <row r="1839" spans="31:32" x14ac:dyDescent="0.25">
      <c r="AE1839" s="39" t="str">
        <f>IF(D1839="","",IFERROR(VLOOKUP(D1839,Projects!$A$2:$A$20000,1,FALSE),""))</f>
        <v/>
      </c>
      <c r="AF1839" s="2" t="str">
        <f>IF(D1839="","",IFERROR(MATCH(D1839,Projects!$A:$A,0),""))</f>
        <v/>
      </c>
    </row>
    <row r="1840" spans="31:32" x14ac:dyDescent="0.25">
      <c r="AE1840" s="39" t="str">
        <f>IF(D1840="","",IFERROR(VLOOKUP(D1840,Projects!$A$2:$A$20000,1,FALSE),""))</f>
        <v/>
      </c>
      <c r="AF1840" s="2" t="str">
        <f>IF(D1840="","",IFERROR(MATCH(D1840,Projects!$A:$A,0),""))</f>
        <v/>
      </c>
    </row>
    <row r="1841" spans="31:32" x14ac:dyDescent="0.25">
      <c r="AE1841" s="39" t="str">
        <f>IF(D1841="","",IFERROR(VLOOKUP(D1841,Projects!$A$2:$A$20000,1,FALSE),""))</f>
        <v/>
      </c>
      <c r="AF1841" s="2" t="str">
        <f>IF(D1841="","",IFERROR(MATCH(D1841,Projects!$A:$A,0),""))</f>
        <v/>
      </c>
    </row>
    <row r="1842" spans="31:32" x14ac:dyDescent="0.25">
      <c r="AE1842" s="39" t="str">
        <f>IF(D1842="","",IFERROR(VLOOKUP(D1842,Projects!$A$2:$A$20000,1,FALSE),""))</f>
        <v/>
      </c>
      <c r="AF1842" s="2" t="str">
        <f>IF(D1842="","",IFERROR(MATCH(D1842,Projects!$A:$A,0),""))</f>
        <v/>
      </c>
    </row>
    <row r="1843" spans="31:32" x14ac:dyDescent="0.25">
      <c r="AE1843" s="39" t="str">
        <f>IF(D1843="","",IFERROR(VLOOKUP(D1843,Projects!$A$2:$A$20000,1,FALSE),""))</f>
        <v/>
      </c>
      <c r="AF1843" s="2" t="str">
        <f>IF(D1843="","",IFERROR(MATCH(D1843,Projects!$A:$A,0),""))</f>
        <v/>
      </c>
    </row>
    <row r="1844" spans="31:32" x14ac:dyDescent="0.25">
      <c r="AE1844" s="39" t="str">
        <f>IF(D1844="","",IFERROR(VLOOKUP(D1844,Projects!$A$2:$A$20000,1,FALSE),""))</f>
        <v/>
      </c>
      <c r="AF1844" s="2" t="str">
        <f>IF(D1844="","",IFERROR(MATCH(D1844,Projects!$A:$A,0),""))</f>
        <v/>
      </c>
    </row>
    <row r="1845" spans="31:32" x14ac:dyDescent="0.25">
      <c r="AE1845" s="39" t="str">
        <f>IF(D1845="","",IFERROR(VLOOKUP(D1845,Projects!$A$2:$A$20000,1,FALSE),""))</f>
        <v/>
      </c>
      <c r="AF1845" s="2" t="str">
        <f>IF(D1845="","",IFERROR(MATCH(D1845,Projects!$A:$A,0),""))</f>
        <v/>
      </c>
    </row>
    <row r="1846" spans="31:32" x14ac:dyDescent="0.25">
      <c r="AE1846" s="39" t="str">
        <f>IF(D1846="","",IFERROR(VLOOKUP(D1846,Projects!$A$2:$A$20000,1,FALSE),""))</f>
        <v/>
      </c>
      <c r="AF1846" s="2" t="str">
        <f>IF(D1846="","",IFERROR(MATCH(D1846,Projects!$A:$A,0),""))</f>
        <v/>
      </c>
    </row>
    <row r="1847" spans="31:32" x14ac:dyDescent="0.25">
      <c r="AE1847" s="39" t="str">
        <f>IF(D1847="","",IFERROR(VLOOKUP(D1847,Projects!$A$2:$A$20000,1,FALSE),""))</f>
        <v/>
      </c>
      <c r="AF1847" s="2" t="str">
        <f>IF(D1847="","",IFERROR(MATCH(D1847,Projects!$A:$A,0),""))</f>
        <v/>
      </c>
    </row>
    <row r="1848" spans="31:32" x14ac:dyDescent="0.25">
      <c r="AE1848" s="39" t="str">
        <f>IF(D1848="","",IFERROR(VLOOKUP(D1848,Projects!$A$2:$A$20000,1,FALSE),""))</f>
        <v/>
      </c>
      <c r="AF1848" s="2" t="str">
        <f>IF(D1848="","",IFERROR(MATCH(D1848,Projects!$A:$A,0),""))</f>
        <v/>
      </c>
    </row>
    <row r="1849" spans="31:32" x14ac:dyDescent="0.25">
      <c r="AE1849" s="39" t="str">
        <f>IF(D1849="","",IFERROR(VLOOKUP(D1849,Projects!$A$2:$A$20000,1,FALSE),""))</f>
        <v/>
      </c>
      <c r="AF1849" s="2" t="str">
        <f>IF(D1849="","",IFERROR(MATCH(D1849,Projects!$A:$A,0),""))</f>
        <v/>
      </c>
    </row>
    <row r="1850" spans="31:32" x14ac:dyDescent="0.25">
      <c r="AE1850" s="39" t="str">
        <f>IF(D1850="","",IFERROR(VLOOKUP(D1850,Projects!$A$2:$A$20000,1,FALSE),""))</f>
        <v/>
      </c>
      <c r="AF1850" s="2" t="str">
        <f>IF(D1850="","",IFERROR(MATCH(D1850,Projects!$A:$A,0),""))</f>
        <v/>
      </c>
    </row>
    <row r="1851" spans="31:32" x14ac:dyDescent="0.25">
      <c r="AE1851" s="39" t="str">
        <f>IF(D1851="","",IFERROR(VLOOKUP(D1851,Projects!$A$2:$A$20000,1,FALSE),""))</f>
        <v/>
      </c>
      <c r="AF1851" s="2" t="str">
        <f>IF(D1851="","",IFERROR(MATCH(D1851,Projects!$A:$A,0),""))</f>
        <v/>
      </c>
    </row>
    <row r="1852" spans="31:32" x14ac:dyDescent="0.25">
      <c r="AE1852" s="39" t="str">
        <f>IF(D1852="","",IFERROR(VLOOKUP(D1852,Projects!$A$2:$A$20000,1,FALSE),""))</f>
        <v/>
      </c>
      <c r="AF1852" s="2" t="str">
        <f>IF(D1852="","",IFERROR(MATCH(D1852,Projects!$A:$A,0),""))</f>
        <v/>
      </c>
    </row>
    <row r="1853" spans="31:32" x14ac:dyDescent="0.25">
      <c r="AE1853" s="39" t="str">
        <f>IF(D1853="","",IFERROR(VLOOKUP(D1853,Projects!$A$2:$A$20000,1,FALSE),""))</f>
        <v/>
      </c>
      <c r="AF1853" s="2" t="str">
        <f>IF(D1853="","",IFERROR(MATCH(D1853,Projects!$A:$A,0),""))</f>
        <v/>
      </c>
    </row>
    <row r="1854" spans="31:32" x14ac:dyDescent="0.25">
      <c r="AE1854" s="39" t="str">
        <f>IF(D1854="","",IFERROR(VLOOKUP(D1854,Projects!$A$2:$A$20000,1,FALSE),""))</f>
        <v/>
      </c>
      <c r="AF1854" s="2" t="str">
        <f>IF(D1854="","",IFERROR(MATCH(D1854,Projects!$A:$A,0),""))</f>
        <v/>
      </c>
    </row>
    <row r="1855" spans="31:32" x14ac:dyDescent="0.25">
      <c r="AE1855" s="39" t="str">
        <f>IF(D1855="","",IFERROR(VLOOKUP(D1855,Projects!$A$2:$A$20000,1,FALSE),""))</f>
        <v/>
      </c>
      <c r="AF1855" s="2" t="str">
        <f>IF(D1855="","",IFERROR(MATCH(D1855,Projects!$A:$A,0),""))</f>
        <v/>
      </c>
    </row>
    <row r="1856" spans="31:32" x14ac:dyDescent="0.25">
      <c r="AE1856" s="39" t="str">
        <f>IF(D1856="","",IFERROR(VLOOKUP(D1856,Projects!$A$2:$A$20000,1,FALSE),""))</f>
        <v/>
      </c>
      <c r="AF1856" s="2" t="str">
        <f>IF(D1856="","",IFERROR(MATCH(D1856,Projects!$A:$A,0),""))</f>
        <v/>
      </c>
    </row>
    <row r="1857" spans="31:32" x14ac:dyDescent="0.25">
      <c r="AE1857" s="39" t="str">
        <f>IF(D1857="","",IFERROR(VLOOKUP(D1857,Projects!$A$2:$A$20000,1,FALSE),""))</f>
        <v/>
      </c>
      <c r="AF1857" s="2" t="str">
        <f>IF(D1857="","",IFERROR(MATCH(D1857,Projects!$A:$A,0),""))</f>
        <v/>
      </c>
    </row>
    <row r="1858" spans="31:32" x14ac:dyDescent="0.25">
      <c r="AE1858" s="39" t="str">
        <f>IF(D1858="","",IFERROR(VLOOKUP(D1858,Projects!$A$2:$A$20000,1,FALSE),""))</f>
        <v/>
      </c>
      <c r="AF1858" s="2" t="str">
        <f>IF(D1858="","",IFERROR(MATCH(D1858,Projects!$A:$A,0),""))</f>
        <v/>
      </c>
    </row>
    <row r="1859" spans="31:32" x14ac:dyDescent="0.25">
      <c r="AE1859" s="39" t="str">
        <f>IF(D1859="","",IFERROR(VLOOKUP(D1859,Projects!$A$2:$A$20000,1,FALSE),""))</f>
        <v/>
      </c>
      <c r="AF1859" s="2" t="str">
        <f>IF(D1859="","",IFERROR(MATCH(D1859,Projects!$A:$A,0),""))</f>
        <v/>
      </c>
    </row>
    <row r="1860" spans="31:32" x14ac:dyDescent="0.25">
      <c r="AE1860" s="39" t="str">
        <f>IF(D1860="","",IFERROR(VLOOKUP(D1860,Projects!$A$2:$A$20000,1,FALSE),""))</f>
        <v/>
      </c>
      <c r="AF1860" s="2" t="str">
        <f>IF(D1860="","",IFERROR(MATCH(D1860,Projects!$A:$A,0),""))</f>
        <v/>
      </c>
    </row>
    <row r="1861" spans="31:32" x14ac:dyDescent="0.25">
      <c r="AE1861" s="39" t="str">
        <f>IF(D1861="","",IFERROR(VLOOKUP(D1861,Projects!$A$2:$A$20000,1,FALSE),""))</f>
        <v/>
      </c>
      <c r="AF1861" s="2" t="str">
        <f>IF(D1861="","",IFERROR(MATCH(D1861,Projects!$A:$A,0),""))</f>
        <v/>
      </c>
    </row>
    <row r="1862" spans="31:32" x14ac:dyDescent="0.25">
      <c r="AE1862" s="39" t="str">
        <f>IF(D1862="","",IFERROR(VLOOKUP(D1862,Projects!$A$2:$A$20000,1,FALSE),""))</f>
        <v/>
      </c>
      <c r="AF1862" s="2" t="str">
        <f>IF(D1862="","",IFERROR(MATCH(D1862,Projects!$A:$A,0),""))</f>
        <v/>
      </c>
    </row>
    <row r="1863" spans="31:32" x14ac:dyDescent="0.25">
      <c r="AE1863" s="39" t="str">
        <f>IF(D1863="","",IFERROR(VLOOKUP(D1863,Projects!$A$2:$A$20000,1,FALSE),""))</f>
        <v/>
      </c>
      <c r="AF1863" s="2" t="str">
        <f>IF(D1863="","",IFERROR(MATCH(D1863,Projects!$A:$A,0),""))</f>
        <v/>
      </c>
    </row>
    <row r="1864" spans="31:32" x14ac:dyDescent="0.25">
      <c r="AE1864" s="39" t="str">
        <f>IF(D1864="","",IFERROR(VLOOKUP(D1864,Projects!$A$2:$A$20000,1,FALSE),""))</f>
        <v/>
      </c>
      <c r="AF1864" s="2" t="str">
        <f>IF(D1864="","",IFERROR(MATCH(D1864,Projects!$A:$A,0),""))</f>
        <v/>
      </c>
    </row>
    <row r="1865" spans="31:32" x14ac:dyDescent="0.25">
      <c r="AE1865" s="39" t="str">
        <f>IF(D1865="","",IFERROR(VLOOKUP(D1865,Projects!$A$2:$A$20000,1,FALSE),""))</f>
        <v/>
      </c>
      <c r="AF1865" s="2" t="str">
        <f>IF(D1865="","",IFERROR(MATCH(D1865,Projects!$A:$A,0),""))</f>
        <v/>
      </c>
    </row>
    <row r="1866" spans="31:32" x14ac:dyDescent="0.25">
      <c r="AE1866" s="39" t="str">
        <f>IF(D1866="","",IFERROR(VLOOKUP(D1866,Projects!$A$2:$A$20000,1,FALSE),""))</f>
        <v/>
      </c>
      <c r="AF1866" s="2" t="str">
        <f>IF(D1866="","",IFERROR(MATCH(D1866,Projects!$A:$A,0),""))</f>
        <v/>
      </c>
    </row>
    <row r="1867" spans="31:32" x14ac:dyDescent="0.25">
      <c r="AE1867" s="39" t="str">
        <f>IF(D1867="","",IFERROR(VLOOKUP(D1867,Projects!$A$2:$A$20000,1,FALSE),""))</f>
        <v/>
      </c>
      <c r="AF1867" s="2" t="str">
        <f>IF(D1867="","",IFERROR(MATCH(D1867,Projects!$A:$A,0),""))</f>
        <v/>
      </c>
    </row>
    <row r="1868" spans="31:32" x14ac:dyDescent="0.25">
      <c r="AE1868" s="39" t="str">
        <f>IF(D1868="","",IFERROR(VLOOKUP(D1868,Projects!$A$2:$A$20000,1,FALSE),""))</f>
        <v/>
      </c>
      <c r="AF1868" s="2" t="str">
        <f>IF(D1868="","",IFERROR(MATCH(D1868,Projects!$A:$A,0),""))</f>
        <v/>
      </c>
    </row>
    <row r="1869" spans="31:32" x14ac:dyDescent="0.25">
      <c r="AE1869" s="39" t="str">
        <f>IF(D1869="","",IFERROR(VLOOKUP(D1869,Projects!$A$2:$A$20000,1,FALSE),""))</f>
        <v/>
      </c>
      <c r="AF1869" s="2" t="str">
        <f>IF(D1869="","",IFERROR(MATCH(D1869,Projects!$A:$A,0),""))</f>
        <v/>
      </c>
    </row>
    <row r="1870" spans="31:32" x14ac:dyDescent="0.25">
      <c r="AE1870" s="39" t="str">
        <f>IF(D1870="","",IFERROR(VLOOKUP(D1870,Projects!$A$2:$A$20000,1,FALSE),""))</f>
        <v/>
      </c>
      <c r="AF1870" s="2" t="str">
        <f>IF(D1870="","",IFERROR(MATCH(D1870,Projects!$A:$A,0),""))</f>
        <v/>
      </c>
    </row>
    <row r="1871" spans="31:32" x14ac:dyDescent="0.25">
      <c r="AE1871" s="39" t="str">
        <f>IF(D1871="","",IFERROR(VLOOKUP(D1871,Projects!$A$2:$A$20000,1,FALSE),""))</f>
        <v/>
      </c>
      <c r="AF1871" s="2" t="str">
        <f>IF(D1871="","",IFERROR(MATCH(D1871,Projects!$A:$A,0),""))</f>
        <v/>
      </c>
    </row>
    <row r="1872" spans="31:32" x14ac:dyDescent="0.25">
      <c r="AE1872" s="39" t="str">
        <f>IF(D1872="","",IFERROR(VLOOKUP(D1872,Projects!$A$2:$A$20000,1,FALSE),""))</f>
        <v/>
      </c>
      <c r="AF1872" s="2" t="str">
        <f>IF(D1872="","",IFERROR(MATCH(D1872,Projects!$A:$A,0),""))</f>
        <v/>
      </c>
    </row>
    <row r="1873" spans="31:32" x14ac:dyDescent="0.25">
      <c r="AE1873" s="39" t="str">
        <f>IF(D1873="","",IFERROR(VLOOKUP(D1873,Projects!$A$2:$A$20000,1,FALSE),""))</f>
        <v/>
      </c>
      <c r="AF1873" s="2" t="str">
        <f>IF(D1873="","",IFERROR(MATCH(D1873,Projects!$A:$A,0),""))</f>
        <v/>
      </c>
    </row>
    <row r="1874" spans="31:32" x14ac:dyDescent="0.25">
      <c r="AE1874" s="39" t="str">
        <f>IF(D1874="","",IFERROR(VLOOKUP(D1874,Projects!$A$2:$A$20000,1,FALSE),""))</f>
        <v/>
      </c>
      <c r="AF1874" s="2" t="str">
        <f>IF(D1874="","",IFERROR(MATCH(D1874,Projects!$A:$A,0),""))</f>
        <v/>
      </c>
    </row>
    <row r="1875" spans="31:32" x14ac:dyDescent="0.25">
      <c r="AE1875" s="39" t="str">
        <f>IF(D1875="","",IFERROR(VLOOKUP(D1875,Projects!$A$2:$A$20000,1,FALSE),""))</f>
        <v/>
      </c>
      <c r="AF1875" s="2" t="str">
        <f>IF(D1875="","",IFERROR(MATCH(D1875,Projects!$A:$A,0),""))</f>
        <v/>
      </c>
    </row>
    <row r="1876" spans="31:32" x14ac:dyDescent="0.25">
      <c r="AE1876" s="39" t="str">
        <f>IF(D1876="","",IFERROR(VLOOKUP(D1876,Projects!$A$2:$A$20000,1,FALSE),""))</f>
        <v/>
      </c>
      <c r="AF1876" s="2" t="str">
        <f>IF(D1876="","",IFERROR(MATCH(D1876,Projects!$A:$A,0),""))</f>
        <v/>
      </c>
    </row>
    <row r="1877" spans="31:32" x14ac:dyDescent="0.25">
      <c r="AE1877" s="39" t="str">
        <f>IF(D1877="","",IFERROR(VLOOKUP(D1877,Projects!$A$2:$A$20000,1,FALSE),""))</f>
        <v/>
      </c>
      <c r="AF1877" s="2" t="str">
        <f>IF(D1877="","",IFERROR(MATCH(D1877,Projects!$A:$A,0),""))</f>
        <v/>
      </c>
    </row>
    <row r="1878" spans="31:32" x14ac:dyDescent="0.25">
      <c r="AE1878" s="39" t="str">
        <f>IF(D1878="","",IFERROR(VLOOKUP(D1878,Projects!$A$2:$A$20000,1,FALSE),""))</f>
        <v/>
      </c>
      <c r="AF1878" s="2" t="str">
        <f>IF(D1878="","",IFERROR(MATCH(D1878,Projects!$A:$A,0),""))</f>
        <v/>
      </c>
    </row>
    <row r="1879" spans="31:32" x14ac:dyDescent="0.25">
      <c r="AE1879" s="39" t="str">
        <f>IF(D1879="","",IFERROR(VLOOKUP(D1879,Projects!$A$2:$A$20000,1,FALSE),""))</f>
        <v/>
      </c>
      <c r="AF1879" s="2" t="str">
        <f>IF(D1879="","",IFERROR(MATCH(D1879,Projects!$A:$A,0),""))</f>
        <v/>
      </c>
    </row>
    <row r="1880" spans="31:32" x14ac:dyDescent="0.25">
      <c r="AE1880" s="39" t="str">
        <f>IF(D1880="","",IFERROR(VLOOKUP(D1880,Projects!$A$2:$A$20000,1,FALSE),""))</f>
        <v/>
      </c>
      <c r="AF1880" s="2" t="str">
        <f>IF(D1880="","",IFERROR(MATCH(D1880,Projects!$A:$A,0),""))</f>
        <v/>
      </c>
    </row>
    <row r="1881" spans="31:32" x14ac:dyDescent="0.25">
      <c r="AE1881" s="39" t="str">
        <f>IF(D1881="","",IFERROR(VLOOKUP(D1881,Projects!$A$2:$A$20000,1,FALSE),""))</f>
        <v/>
      </c>
      <c r="AF1881" s="2" t="str">
        <f>IF(D1881="","",IFERROR(MATCH(D1881,Projects!$A:$A,0),""))</f>
        <v/>
      </c>
    </row>
    <row r="1882" spans="31:32" x14ac:dyDescent="0.25">
      <c r="AE1882" s="39" t="str">
        <f>IF(D1882="","",IFERROR(VLOOKUP(D1882,Projects!$A$2:$A$20000,1,FALSE),""))</f>
        <v/>
      </c>
      <c r="AF1882" s="2" t="str">
        <f>IF(D1882="","",IFERROR(MATCH(D1882,Projects!$A:$A,0),""))</f>
        <v/>
      </c>
    </row>
    <row r="1883" spans="31:32" x14ac:dyDescent="0.25">
      <c r="AE1883" s="39" t="str">
        <f>IF(D1883="","",IFERROR(VLOOKUP(D1883,Projects!$A$2:$A$20000,1,FALSE),""))</f>
        <v/>
      </c>
      <c r="AF1883" s="2" t="str">
        <f>IF(D1883="","",IFERROR(MATCH(D1883,Projects!$A:$A,0),""))</f>
        <v/>
      </c>
    </row>
    <row r="1884" spans="31:32" x14ac:dyDescent="0.25">
      <c r="AE1884" s="39" t="str">
        <f>IF(D1884="","",IFERROR(VLOOKUP(D1884,Projects!$A$2:$A$20000,1,FALSE),""))</f>
        <v/>
      </c>
      <c r="AF1884" s="2" t="str">
        <f>IF(D1884="","",IFERROR(MATCH(D1884,Projects!$A:$A,0),""))</f>
        <v/>
      </c>
    </row>
    <row r="1885" spans="31:32" x14ac:dyDescent="0.25">
      <c r="AE1885" s="39" t="str">
        <f>IF(D1885="","",IFERROR(VLOOKUP(D1885,Projects!$A$2:$A$20000,1,FALSE),""))</f>
        <v/>
      </c>
      <c r="AF1885" s="2" t="str">
        <f>IF(D1885="","",IFERROR(MATCH(D1885,Projects!$A:$A,0),""))</f>
        <v/>
      </c>
    </row>
    <row r="1886" spans="31:32" x14ac:dyDescent="0.25">
      <c r="AE1886" s="39" t="str">
        <f>IF(D1886="","",IFERROR(VLOOKUP(D1886,Projects!$A$2:$A$20000,1,FALSE),""))</f>
        <v/>
      </c>
      <c r="AF1886" s="2" t="str">
        <f>IF(D1886="","",IFERROR(MATCH(D1886,Projects!$A:$A,0),""))</f>
        <v/>
      </c>
    </row>
    <row r="1887" spans="31:32" x14ac:dyDescent="0.25">
      <c r="AE1887" s="39" t="str">
        <f>IF(D1887="","",IFERROR(VLOOKUP(D1887,Projects!$A$2:$A$20000,1,FALSE),""))</f>
        <v/>
      </c>
      <c r="AF1887" s="2" t="str">
        <f>IF(D1887="","",IFERROR(MATCH(D1887,Projects!$A:$A,0),""))</f>
        <v/>
      </c>
    </row>
    <row r="1888" spans="31:32" x14ac:dyDescent="0.25">
      <c r="AE1888" s="39" t="str">
        <f>IF(D1888="","",IFERROR(VLOOKUP(D1888,Projects!$A$2:$A$20000,1,FALSE),""))</f>
        <v/>
      </c>
      <c r="AF1888" s="2" t="str">
        <f>IF(D1888="","",IFERROR(MATCH(D1888,Projects!$A:$A,0),""))</f>
        <v/>
      </c>
    </row>
    <row r="1889" spans="31:32" x14ac:dyDescent="0.25">
      <c r="AE1889" s="39" t="str">
        <f>IF(D1889="","",IFERROR(VLOOKUP(D1889,Projects!$A$2:$A$20000,1,FALSE),""))</f>
        <v/>
      </c>
      <c r="AF1889" s="2" t="str">
        <f>IF(D1889="","",IFERROR(MATCH(D1889,Projects!$A:$A,0),""))</f>
        <v/>
      </c>
    </row>
    <row r="1890" spans="31:32" x14ac:dyDescent="0.25">
      <c r="AE1890" s="39" t="str">
        <f>IF(D1890="","",IFERROR(VLOOKUP(D1890,Projects!$A$2:$A$20000,1,FALSE),""))</f>
        <v/>
      </c>
      <c r="AF1890" s="2" t="str">
        <f>IF(D1890="","",IFERROR(MATCH(D1890,Projects!$A:$A,0),""))</f>
        <v/>
      </c>
    </row>
    <row r="1891" spans="31:32" x14ac:dyDescent="0.25">
      <c r="AE1891" s="39" t="str">
        <f>IF(D1891="","",IFERROR(VLOOKUP(D1891,Projects!$A$2:$A$20000,1,FALSE),""))</f>
        <v/>
      </c>
      <c r="AF1891" s="2" t="str">
        <f>IF(D1891="","",IFERROR(MATCH(D1891,Projects!$A:$A,0),""))</f>
        <v/>
      </c>
    </row>
    <row r="1892" spans="31:32" x14ac:dyDescent="0.25">
      <c r="AE1892" s="39" t="str">
        <f>IF(D1892="","",IFERROR(VLOOKUP(D1892,Projects!$A$2:$A$20000,1,FALSE),""))</f>
        <v/>
      </c>
      <c r="AF1892" s="2" t="str">
        <f>IF(D1892="","",IFERROR(MATCH(D1892,Projects!$A:$A,0),""))</f>
        <v/>
      </c>
    </row>
    <row r="1893" spans="31:32" x14ac:dyDescent="0.25">
      <c r="AE1893" s="39" t="str">
        <f>IF(D1893="","",IFERROR(VLOOKUP(D1893,Projects!$A$2:$A$20000,1,FALSE),""))</f>
        <v/>
      </c>
      <c r="AF1893" s="2" t="str">
        <f>IF(D1893="","",IFERROR(MATCH(D1893,Projects!$A:$A,0),""))</f>
        <v/>
      </c>
    </row>
    <row r="1894" spans="31:32" x14ac:dyDescent="0.25">
      <c r="AE1894" s="39" t="str">
        <f>IF(D1894="","",IFERROR(VLOOKUP(D1894,Projects!$A$2:$A$20000,1,FALSE),""))</f>
        <v/>
      </c>
      <c r="AF1894" s="2" t="str">
        <f>IF(D1894="","",IFERROR(MATCH(D1894,Projects!$A:$A,0),""))</f>
        <v/>
      </c>
    </row>
    <row r="1895" spans="31:32" x14ac:dyDescent="0.25">
      <c r="AE1895" s="39" t="str">
        <f>IF(D1895="","",IFERROR(VLOOKUP(D1895,Projects!$A$2:$A$20000,1,FALSE),""))</f>
        <v/>
      </c>
      <c r="AF1895" s="2" t="str">
        <f>IF(D1895="","",IFERROR(MATCH(D1895,Projects!$A:$A,0),""))</f>
        <v/>
      </c>
    </row>
    <row r="1896" spans="31:32" x14ac:dyDescent="0.25">
      <c r="AE1896" s="39" t="str">
        <f>IF(D1896="","",IFERROR(VLOOKUP(D1896,Projects!$A$2:$A$20000,1,FALSE),""))</f>
        <v/>
      </c>
      <c r="AF1896" s="2" t="str">
        <f>IF(D1896="","",IFERROR(MATCH(D1896,Projects!$A:$A,0),""))</f>
        <v/>
      </c>
    </row>
    <row r="1897" spans="31:32" x14ac:dyDescent="0.25">
      <c r="AE1897" s="39" t="str">
        <f>IF(D1897="","",IFERROR(VLOOKUP(D1897,Projects!$A$2:$A$20000,1,FALSE),""))</f>
        <v/>
      </c>
      <c r="AF1897" s="2" t="str">
        <f>IF(D1897="","",IFERROR(MATCH(D1897,Projects!$A:$A,0),""))</f>
        <v/>
      </c>
    </row>
    <row r="1898" spans="31:32" x14ac:dyDescent="0.25">
      <c r="AE1898" s="39" t="str">
        <f>IF(D1898="","",IFERROR(VLOOKUP(D1898,Projects!$A$2:$A$20000,1,FALSE),""))</f>
        <v/>
      </c>
      <c r="AF1898" s="2" t="str">
        <f>IF(D1898="","",IFERROR(MATCH(D1898,Projects!$A:$A,0),""))</f>
        <v/>
      </c>
    </row>
    <row r="1899" spans="31:32" x14ac:dyDescent="0.25">
      <c r="AE1899" s="39" t="str">
        <f>IF(D1899="","",IFERROR(VLOOKUP(D1899,Projects!$A$2:$A$20000,1,FALSE),""))</f>
        <v/>
      </c>
      <c r="AF1899" s="2" t="str">
        <f>IF(D1899="","",IFERROR(MATCH(D1899,Projects!$A:$A,0),""))</f>
        <v/>
      </c>
    </row>
    <row r="1900" spans="31:32" x14ac:dyDescent="0.25">
      <c r="AE1900" s="39" t="str">
        <f>IF(D1900="","",IFERROR(VLOOKUP(D1900,Projects!$A$2:$A$20000,1,FALSE),""))</f>
        <v/>
      </c>
      <c r="AF1900" s="2" t="str">
        <f>IF(D1900="","",IFERROR(MATCH(D1900,Projects!$A:$A,0),""))</f>
        <v/>
      </c>
    </row>
    <row r="1901" spans="31:32" x14ac:dyDescent="0.25">
      <c r="AE1901" s="39" t="str">
        <f>IF(D1901="","",IFERROR(VLOOKUP(D1901,Projects!$A$2:$A$20000,1,FALSE),""))</f>
        <v/>
      </c>
      <c r="AF1901" s="2" t="str">
        <f>IF(D1901="","",IFERROR(MATCH(D1901,Projects!$A:$A,0),""))</f>
        <v/>
      </c>
    </row>
    <row r="1902" spans="31:32" x14ac:dyDescent="0.25">
      <c r="AE1902" s="39" t="str">
        <f>IF(D1902="","",IFERROR(VLOOKUP(D1902,Projects!$A$2:$A$20000,1,FALSE),""))</f>
        <v/>
      </c>
      <c r="AF1902" s="2" t="str">
        <f>IF(D1902="","",IFERROR(MATCH(D1902,Projects!$A:$A,0),""))</f>
        <v/>
      </c>
    </row>
    <row r="1903" spans="31:32" x14ac:dyDescent="0.25">
      <c r="AE1903" s="39" t="str">
        <f>IF(D1903="","",IFERROR(VLOOKUP(D1903,Projects!$A$2:$A$20000,1,FALSE),""))</f>
        <v/>
      </c>
      <c r="AF1903" s="2" t="str">
        <f>IF(D1903="","",IFERROR(MATCH(D1903,Projects!$A:$A,0),""))</f>
        <v/>
      </c>
    </row>
    <row r="1904" spans="31:32" x14ac:dyDescent="0.25">
      <c r="AE1904" s="39" t="str">
        <f>IF(D1904="","",IFERROR(VLOOKUP(D1904,Projects!$A$2:$A$20000,1,FALSE),""))</f>
        <v/>
      </c>
      <c r="AF1904" s="2" t="str">
        <f>IF(D1904="","",IFERROR(MATCH(D1904,Projects!$A:$A,0),""))</f>
        <v/>
      </c>
    </row>
    <row r="1905" spans="31:32" x14ac:dyDescent="0.25">
      <c r="AE1905" s="39" t="str">
        <f>IF(D1905="","",IFERROR(VLOOKUP(D1905,Projects!$A$2:$A$20000,1,FALSE),""))</f>
        <v/>
      </c>
      <c r="AF1905" s="2" t="str">
        <f>IF(D1905="","",IFERROR(MATCH(D1905,Projects!$A:$A,0),""))</f>
        <v/>
      </c>
    </row>
    <row r="1906" spans="31:32" x14ac:dyDescent="0.25">
      <c r="AE1906" s="39" t="str">
        <f>IF(D1906="","",IFERROR(VLOOKUP(D1906,Projects!$A$2:$A$20000,1,FALSE),""))</f>
        <v/>
      </c>
      <c r="AF1906" s="2" t="str">
        <f>IF(D1906="","",IFERROR(MATCH(D1906,Projects!$A:$A,0),""))</f>
        <v/>
      </c>
    </row>
    <row r="1907" spans="31:32" x14ac:dyDescent="0.25">
      <c r="AE1907" s="39" t="str">
        <f>IF(D1907="","",IFERROR(VLOOKUP(D1907,Projects!$A$2:$A$20000,1,FALSE),""))</f>
        <v/>
      </c>
      <c r="AF1907" s="2" t="str">
        <f>IF(D1907="","",IFERROR(MATCH(D1907,Projects!$A:$A,0),""))</f>
        <v/>
      </c>
    </row>
    <row r="1908" spans="31:32" x14ac:dyDescent="0.25">
      <c r="AE1908" s="39" t="str">
        <f>IF(D1908="","",IFERROR(VLOOKUP(D1908,Projects!$A$2:$A$20000,1,FALSE),""))</f>
        <v/>
      </c>
      <c r="AF1908" s="2" t="str">
        <f>IF(D1908="","",IFERROR(MATCH(D1908,Projects!$A:$A,0),""))</f>
        <v/>
      </c>
    </row>
    <row r="1909" spans="31:32" x14ac:dyDescent="0.25">
      <c r="AE1909" s="39" t="str">
        <f>IF(D1909="","",IFERROR(VLOOKUP(D1909,Projects!$A$2:$A$20000,1,FALSE),""))</f>
        <v/>
      </c>
      <c r="AF1909" s="2" t="str">
        <f>IF(D1909="","",IFERROR(MATCH(D1909,Projects!$A:$A,0),""))</f>
        <v/>
      </c>
    </row>
    <row r="1910" spans="31:32" x14ac:dyDescent="0.25">
      <c r="AE1910" s="39" t="str">
        <f>IF(D1910="","",IFERROR(VLOOKUP(D1910,Projects!$A$2:$A$20000,1,FALSE),""))</f>
        <v/>
      </c>
      <c r="AF1910" s="2" t="str">
        <f>IF(D1910="","",IFERROR(MATCH(D1910,Projects!$A:$A,0),""))</f>
        <v/>
      </c>
    </row>
    <row r="1911" spans="31:32" x14ac:dyDescent="0.25">
      <c r="AE1911" s="39" t="str">
        <f>IF(D1911="","",IFERROR(VLOOKUP(D1911,Projects!$A$2:$A$20000,1,FALSE),""))</f>
        <v/>
      </c>
      <c r="AF1911" s="2" t="str">
        <f>IF(D1911="","",IFERROR(MATCH(D1911,Projects!$A:$A,0),""))</f>
        <v/>
      </c>
    </row>
    <row r="1912" spans="31:32" x14ac:dyDescent="0.25">
      <c r="AE1912" s="39" t="str">
        <f>IF(D1912="","",IFERROR(VLOOKUP(D1912,Projects!$A$2:$A$20000,1,FALSE),""))</f>
        <v/>
      </c>
      <c r="AF1912" s="2" t="str">
        <f>IF(D1912="","",IFERROR(MATCH(D1912,Projects!$A:$A,0),""))</f>
        <v/>
      </c>
    </row>
    <row r="1913" spans="31:32" x14ac:dyDescent="0.25">
      <c r="AE1913" s="39" t="str">
        <f>IF(D1913="","",IFERROR(VLOOKUP(D1913,Projects!$A$2:$A$20000,1,FALSE),""))</f>
        <v/>
      </c>
      <c r="AF1913" s="2" t="str">
        <f>IF(D1913="","",IFERROR(MATCH(D1913,Projects!$A:$A,0),""))</f>
        <v/>
      </c>
    </row>
    <row r="1914" spans="31:32" x14ac:dyDescent="0.25">
      <c r="AE1914" s="39" t="str">
        <f>IF(D1914="","",IFERROR(VLOOKUP(D1914,Projects!$A$2:$A$20000,1,FALSE),""))</f>
        <v/>
      </c>
      <c r="AF1914" s="2" t="str">
        <f>IF(D1914="","",IFERROR(MATCH(D1914,Projects!$A:$A,0),""))</f>
        <v/>
      </c>
    </row>
    <row r="1915" spans="31:32" x14ac:dyDescent="0.25">
      <c r="AE1915" s="39" t="str">
        <f>IF(D1915="","",IFERROR(VLOOKUP(D1915,Projects!$A$2:$A$20000,1,FALSE),""))</f>
        <v/>
      </c>
      <c r="AF1915" s="2" t="str">
        <f>IF(D1915="","",IFERROR(MATCH(D1915,Projects!$A:$A,0),""))</f>
        <v/>
      </c>
    </row>
    <row r="1916" spans="31:32" x14ac:dyDescent="0.25">
      <c r="AE1916" s="39" t="str">
        <f>IF(D1916="","",IFERROR(VLOOKUP(D1916,Projects!$A$2:$A$20000,1,FALSE),""))</f>
        <v/>
      </c>
      <c r="AF1916" s="2" t="str">
        <f>IF(D1916="","",IFERROR(MATCH(D1916,Projects!$A:$A,0),""))</f>
        <v/>
      </c>
    </row>
    <row r="1917" spans="31:32" x14ac:dyDescent="0.25">
      <c r="AE1917" s="39" t="str">
        <f>IF(D1917="","",IFERROR(VLOOKUP(D1917,Projects!$A$2:$A$20000,1,FALSE),""))</f>
        <v/>
      </c>
      <c r="AF1917" s="2" t="str">
        <f>IF(D1917="","",IFERROR(MATCH(D1917,Projects!$A:$A,0),""))</f>
        <v/>
      </c>
    </row>
    <row r="1918" spans="31:32" x14ac:dyDescent="0.25">
      <c r="AE1918" s="39" t="str">
        <f>IF(D1918="","",IFERROR(VLOOKUP(D1918,Projects!$A$2:$A$20000,1,FALSE),""))</f>
        <v/>
      </c>
      <c r="AF1918" s="2" t="str">
        <f>IF(D1918="","",IFERROR(MATCH(D1918,Projects!$A:$A,0),""))</f>
        <v/>
      </c>
    </row>
    <row r="1919" spans="31:32" x14ac:dyDescent="0.25">
      <c r="AE1919" s="39" t="str">
        <f>IF(D1919="","",IFERROR(VLOOKUP(D1919,Projects!$A$2:$A$20000,1,FALSE),""))</f>
        <v/>
      </c>
      <c r="AF1919" s="2" t="str">
        <f>IF(D1919="","",IFERROR(MATCH(D1919,Projects!$A:$A,0),""))</f>
        <v/>
      </c>
    </row>
    <row r="1920" spans="31:32" x14ac:dyDescent="0.25">
      <c r="AE1920" s="39" t="str">
        <f>IF(D1920="","",IFERROR(VLOOKUP(D1920,Projects!$A$2:$A$20000,1,FALSE),""))</f>
        <v/>
      </c>
      <c r="AF1920" s="2" t="str">
        <f>IF(D1920="","",IFERROR(MATCH(D1920,Projects!$A:$A,0),""))</f>
        <v/>
      </c>
    </row>
    <row r="1921" spans="31:32" x14ac:dyDescent="0.25">
      <c r="AE1921" s="39" t="str">
        <f>IF(D1921="","",IFERROR(VLOOKUP(D1921,Projects!$A$2:$A$20000,1,FALSE),""))</f>
        <v/>
      </c>
      <c r="AF1921" s="2" t="str">
        <f>IF(D1921="","",IFERROR(MATCH(D1921,Projects!$A:$A,0),""))</f>
        <v/>
      </c>
    </row>
    <row r="1922" spans="31:32" x14ac:dyDescent="0.25">
      <c r="AE1922" s="39" t="str">
        <f>IF(D1922="","",IFERROR(VLOOKUP(D1922,Projects!$A$2:$A$20000,1,FALSE),""))</f>
        <v/>
      </c>
      <c r="AF1922" s="2" t="str">
        <f>IF(D1922="","",IFERROR(MATCH(D1922,Projects!$A:$A,0),""))</f>
        <v/>
      </c>
    </row>
    <row r="1923" spans="31:32" x14ac:dyDescent="0.25">
      <c r="AE1923" s="39" t="str">
        <f>IF(D1923="","",IFERROR(VLOOKUP(D1923,Projects!$A$2:$A$20000,1,FALSE),""))</f>
        <v/>
      </c>
      <c r="AF1923" s="2" t="str">
        <f>IF(D1923="","",IFERROR(MATCH(D1923,Projects!$A:$A,0),""))</f>
        <v/>
      </c>
    </row>
    <row r="1924" spans="31:32" x14ac:dyDescent="0.25">
      <c r="AE1924" s="39" t="str">
        <f>IF(D1924="","",IFERROR(VLOOKUP(D1924,Projects!$A$2:$A$20000,1,FALSE),""))</f>
        <v/>
      </c>
      <c r="AF1924" s="2" t="str">
        <f>IF(D1924="","",IFERROR(MATCH(D1924,Projects!$A:$A,0),""))</f>
        <v/>
      </c>
    </row>
    <row r="1925" spans="31:32" x14ac:dyDescent="0.25">
      <c r="AE1925" s="39" t="str">
        <f>IF(D1925="","",IFERROR(VLOOKUP(D1925,Projects!$A$2:$A$20000,1,FALSE),""))</f>
        <v/>
      </c>
      <c r="AF1925" s="2" t="str">
        <f>IF(D1925="","",IFERROR(MATCH(D1925,Projects!$A:$A,0),""))</f>
        <v/>
      </c>
    </row>
    <row r="1926" spans="31:32" x14ac:dyDescent="0.25">
      <c r="AE1926" s="39" t="str">
        <f>IF(D1926="","",IFERROR(VLOOKUP(D1926,Projects!$A$2:$A$20000,1,FALSE),""))</f>
        <v/>
      </c>
      <c r="AF1926" s="2" t="str">
        <f>IF(D1926="","",IFERROR(MATCH(D1926,Projects!$A:$A,0),""))</f>
        <v/>
      </c>
    </row>
    <row r="1927" spans="31:32" x14ac:dyDescent="0.25">
      <c r="AE1927" s="39" t="str">
        <f>IF(D1927="","",IFERROR(VLOOKUP(D1927,Projects!$A$2:$A$20000,1,FALSE),""))</f>
        <v/>
      </c>
      <c r="AF1927" s="2" t="str">
        <f>IF(D1927="","",IFERROR(MATCH(D1927,Projects!$A:$A,0),""))</f>
        <v/>
      </c>
    </row>
    <row r="1928" spans="31:32" x14ac:dyDescent="0.25">
      <c r="AE1928" s="39" t="str">
        <f>IF(D1928="","",IFERROR(VLOOKUP(D1928,Projects!$A$2:$A$20000,1,FALSE),""))</f>
        <v/>
      </c>
      <c r="AF1928" s="2" t="str">
        <f>IF(D1928="","",IFERROR(MATCH(D1928,Projects!$A:$A,0),""))</f>
        <v/>
      </c>
    </row>
    <row r="1929" spans="31:32" x14ac:dyDescent="0.25">
      <c r="AE1929" s="39" t="str">
        <f>IF(D1929="","",IFERROR(VLOOKUP(D1929,Projects!$A$2:$A$20000,1,FALSE),""))</f>
        <v/>
      </c>
      <c r="AF1929" s="2" t="str">
        <f>IF(D1929="","",IFERROR(MATCH(D1929,Projects!$A:$A,0),""))</f>
        <v/>
      </c>
    </row>
    <row r="1930" spans="31:32" x14ac:dyDescent="0.25">
      <c r="AE1930" s="39" t="str">
        <f>IF(D1930="","",IFERROR(VLOOKUP(D1930,Projects!$A$2:$A$20000,1,FALSE),""))</f>
        <v/>
      </c>
      <c r="AF1930" s="2" t="str">
        <f>IF(D1930="","",IFERROR(MATCH(D1930,Projects!$A:$A,0),""))</f>
        <v/>
      </c>
    </row>
    <row r="1931" spans="31:32" x14ac:dyDescent="0.25">
      <c r="AE1931" s="39" t="str">
        <f>IF(D1931="","",IFERROR(VLOOKUP(D1931,Projects!$A$2:$A$20000,1,FALSE),""))</f>
        <v/>
      </c>
      <c r="AF1931" s="2" t="str">
        <f>IF(D1931="","",IFERROR(MATCH(D1931,Projects!$A:$A,0),""))</f>
        <v/>
      </c>
    </row>
    <row r="1932" spans="31:32" x14ac:dyDescent="0.25">
      <c r="AE1932" s="39" t="str">
        <f>IF(D1932="","",IFERROR(VLOOKUP(D1932,Projects!$A$2:$A$20000,1,FALSE),""))</f>
        <v/>
      </c>
      <c r="AF1932" s="2" t="str">
        <f>IF(D1932="","",IFERROR(MATCH(D1932,Projects!$A:$A,0),""))</f>
        <v/>
      </c>
    </row>
    <row r="1933" spans="31:32" x14ac:dyDescent="0.25">
      <c r="AE1933" s="39" t="str">
        <f>IF(D1933="","",IFERROR(VLOOKUP(D1933,Projects!$A$2:$A$20000,1,FALSE),""))</f>
        <v/>
      </c>
      <c r="AF1933" s="2" t="str">
        <f>IF(D1933="","",IFERROR(MATCH(D1933,Projects!$A:$A,0),""))</f>
        <v/>
      </c>
    </row>
    <row r="1934" spans="31:32" x14ac:dyDescent="0.25">
      <c r="AE1934" s="39" t="str">
        <f>IF(D1934="","",IFERROR(VLOOKUP(D1934,Projects!$A$2:$A$20000,1,FALSE),""))</f>
        <v/>
      </c>
      <c r="AF1934" s="2" t="str">
        <f>IF(D1934="","",IFERROR(MATCH(D1934,Projects!$A:$A,0),""))</f>
        <v/>
      </c>
    </row>
    <row r="1935" spans="31:32" x14ac:dyDescent="0.25">
      <c r="AE1935" s="39" t="str">
        <f>IF(D1935="","",IFERROR(VLOOKUP(D1935,Projects!$A$2:$A$20000,1,FALSE),""))</f>
        <v/>
      </c>
      <c r="AF1935" s="2" t="str">
        <f>IF(D1935="","",IFERROR(MATCH(D1935,Projects!$A:$A,0),""))</f>
        <v/>
      </c>
    </row>
    <row r="1936" spans="31:32" x14ac:dyDescent="0.25">
      <c r="AE1936" s="39" t="str">
        <f>IF(D1936="","",IFERROR(VLOOKUP(D1936,Projects!$A$2:$A$20000,1,FALSE),""))</f>
        <v/>
      </c>
      <c r="AF1936" s="2" t="str">
        <f>IF(D1936="","",IFERROR(MATCH(D1936,Projects!$A:$A,0),""))</f>
        <v/>
      </c>
    </row>
    <row r="1937" spans="31:32" x14ac:dyDescent="0.25">
      <c r="AE1937" s="39" t="str">
        <f>IF(D1937="","",IFERROR(VLOOKUP(D1937,Projects!$A$2:$A$20000,1,FALSE),""))</f>
        <v/>
      </c>
      <c r="AF1937" s="2" t="str">
        <f>IF(D1937="","",IFERROR(MATCH(D1937,Projects!$A:$A,0),""))</f>
        <v/>
      </c>
    </row>
    <row r="1938" spans="31:32" x14ac:dyDescent="0.25">
      <c r="AE1938" s="39" t="str">
        <f>IF(D1938="","",IFERROR(VLOOKUP(D1938,Projects!$A$2:$A$20000,1,FALSE),""))</f>
        <v/>
      </c>
      <c r="AF1938" s="2" t="str">
        <f>IF(D1938="","",IFERROR(MATCH(D1938,Projects!$A:$A,0),""))</f>
        <v/>
      </c>
    </row>
    <row r="1939" spans="31:32" x14ac:dyDescent="0.25">
      <c r="AE1939" s="39" t="str">
        <f>IF(D1939="","",IFERROR(VLOOKUP(D1939,Projects!$A$2:$A$20000,1,FALSE),""))</f>
        <v/>
      </c>
      <c r="AF1939" s="2" t="str">
        <f>IF(D1939="","",IFERROR(MATCH(D1939,Projects!$A:$A,0),""))</f>
        <v/>
      </c>
    </row>
    <row r="1940" spans="31:32" x14ac:dyDescent="0.25">
      <c r="AE1940" s="39" t="str">
        <f>IF(D1940="","",IFERROR(VLOOKUP(D1940,Projects!$A$2:$A$20000,1,FALSE),""))</f>
        <v/>
      </c>
      <c r="AF1940" s="2" t="str">
        <f>IF(D1940="","",IFERROR(MATCH(D1940,Projects!$A:$A,0),""))</f>
        <v/>
      </c>
    </row>
    <row r="1941" spans="31:32" x14ac:dyDescent="0.25">
      <c r="AE1941" s="39" t="str">
        <f>IF(D1941="","",IFERROR(VLOOKUP(D1941,Projects!$A$2:$A$20000,1,FALSE),""))</f>
        <v/>
      </c>
      <c r="AF1941" s="2" t="str">
        <f>IF(D1941="","",IFERROR(MATCH(D1941,Projects!$A:$A,0),""))</f>
        <v/>
      </c>
    </row>
    <row r="1942" spans="31:32" x14ac:dyDescent="0.25">
      <c r="AE1942" s="39" t="str">
        <f>IF(D1942="","",IFERROR(VLOOKUP(D1942,Projects!$A$2:$A$20000,1,FALSE),""))</f>
        <v/>
      </c>
      <c r="AF1942" s="2" t="str">
        <f>IF(D1942="","",IFERROR(MATCH(D1942,Projects!$A:$A,0),""))</f>
        <v/>
      </c>
    </row>
    <row r="1943" spans="31:32" x14ac:dyDescent="0.25">
      <c r="AE1943" s="39" t="str">
        <f>IF(D1943="","",IFERROR(VLOOKUP(D1943,Projects!$A$2:$A$20000,1,FALSE),""))</f>
        <v/>
      </c>
      <c r="AF1943" s="2" t="str">
        <f>IF(D1943="","",IFERROR(MATCH(D1943,Projects!$A:$A,0),""))</f>
        <v/>
      </c>
    </row>
    <row r="1944" spans="31:32" x14ac:dyDescent="0.25">
      <c r="AE1944" s="39" t="str">
        <f>IF(D1944="","",IFERROR(VLOOKUP(D1944,Projects!$A$2:$A$20000,1,FALSE),""))</f>
        <v/>
      </c>
      <c r="AF1944" s="2" t="str">
        <f>IF(D1944="","",IFERROR(MATCH(D1944,Projects!$A:$A,0),""))</f>
        <v/>
      </c>
    </row>
    <row r="1945" spans="31:32" x14ac:dyDescent="0.25">
      <c r="AE1945" s="39" t="str">
        <f>IF(D1945="","",IFERROR(VLOOKUP(D1945,Projects!$A$2:$A$20000,1,FALSE),""))</f>
        <v/>
      </c>
      <c r="AF1945" s="2" t="str">
        <f>IF(D1945="","",IFERROR(MATCH(D1945,Projects!$A:$A,0),""))</f>
        <v/>
      </c>
    </row>
    <row r="1946" spans="31:32" x14ac:dyDescent="0.25">
      <c r="AE1946" s="39" t="str">
        <f>IF(D1946="","",IFERROR(VLOOKUP(D1946,Projects!$A$2:$A$20000,1,FALSE),""))</f>
        <v/>
      </c>
      <c r="AF1946" s="2" t="str">
        <f>IF(D1946="","",IFERROR(MATCH(D1946,Projects!$A:$A,0),""))</f>
        <v/>
      </c>
    </row>
    <row r="1947" spans="31:32" x14ac:dyDescent="0.25">
      <c r="AE1947" s="39" t="str">
        <f>IF(D1947="","",IFERROR(VLOOKUP(D1947,Projects!$A$2:$A$20000,1,FALSE),""))</f>
        <v/>
      </c>
      <c r="AF1947" s="2" t="str">
        <f>IF(D1947="","",IFERROR(MATCH(D1947,Projects!$A:$A,0),""))</f>
        <v/>
      </c>
    </row>
    <row r="1948" spans="31:32" x14ac:dyDescent="0.25">
      <c r="AE1948" s="39" t="str">
        <f>IF(D1948="","",IFERROR(VLOOKUP(D1948,Projects!$A$2:$A$20000,1,FALSE),""))</f>
        <v/>
      </c>
      <c r="AF1948" s="2" t="str">
        <f>IF(D1948="","",IFERROR(MATCH(D1948,Projects!$A:$A,0),""))</f>
        <v/>
      </c>
    </row>
    <row r="1949" spans="31:32" x14ac:dyDescent="0.25">
      <c r="AE1949" s="39" t="str">
        <f>IF(D1949="","",IFERROR(VLOOKUP(D1949,Projects!$A$2:$A$20000,1,FALSE),""))</f>
        <v/>
      </c>
      <c r="AF1949" s="2" t="str">
        <f>IF(D1949="","",IFERROR(MATCH(D1949,Projects!$A:$A,0),""))</f>
        <v/>
      </c>
    </row>
    <row r="1950" spans="31:32" x14ac:dyDescent="0.25">
      <c r="AE1950" s="39" t="str">
        <f>IF(D1950="","",IFERROR(VLOOKUP(D1950,Projects!$A$2:$A$20000,1,FALSE),""))</f>
        <v/>
      </c>
      <c r="AF1950" s="2" t="str">
        <f>IF(D1950="","",IFERROR(MATCH(D1950,Projects!$A:$A,0),""))</f>
        <v/>
      </c>
    </row>
    <row r="1951" spans="31:32" x14ac:dyDescent="0.25">
      <c r="AE1951" s="39" t="str">
        <f>IF(D1951="","",IFERROR(VLOOKUP(D1951,Projects!$A$2:$A$20000,1,FALSE),""))</f>
        <v/>
      </c>
      <c r="AF1951" s="2" t="str">
        <f>IF(D1951="","",IFERROR(MATCH(D1951,Projects!$A:$A,0),""))</f>
        <v/>
      </c>
    </row>
    <row r="1952" spans="31:32" x14ac:dyDescent="0.25">
      <c r="AE1952" s="39" t="str">
        <f>IF(D1952="","",IFERROR(VLOOKUP(D1952,Projects!$A$2:$A$20000,1,FALSE),""))</f>
        <v/>
      </c>
      <c r="AF1952" s="2" t="str">
        <f>IF(D1952="","",IFERROR(MATCH(D1952,Projects!$A:$A,0),""))</f>
        <v/>
      </c>
    </row>
    <row r="1953" spans="31:32" x14ac:dyDescent="0.25">
      <c r="AE1953" s="39" t="str">
        <f>IF(D1953="","",IFERROR(VLOOKUP(D1953,Projects!$A$2:$A$20000,1,FALSE),""))</f>
        <v/>
      </c>
      <c r="AF1953" s="2" t="str">
        <f>IF(D1953="","",IFERROR(MATCH(D1953,Projects!$A:$A,0),""))</f>
        <v/>
      </c>
    </row>
    <row r="1954" spans="31:32" x14ac:dyDescent="0.25">
      <c r="AE1954" s="39" t="str">
        <f>IF(D1954="","",IFERROR(VLOOKUP(D1954,Projects!$A$2:$A$20000,1,FALSE),""))</f>
        <v/>
      </c>
      <c r="AF1954" s="2" t="str">
        <f>IF(D1954="","",IFERROR(MATCH(D1954,Projects!$A:$A,0),""))</f>
        <v/>
      </c>
    </row>
    <row r="1955" spans="31:32" x14ac:dyDescent="0.25">
      <c r="AE1955" s="39" t="str">
        <f>IF(D1955="","",IFERROR(VLOOKUP(D1955,Projects!$A$2:$A$20000,1,FALSE),""))</f>
        <v/>
      </c>
      <c r="AF1955" s="2" t="str">
        <f>IF(D1955="","",IFERROR(MATCH(D1955,Projects!$A:$A,0),""))</f>
        <v/>
      </c>
    </row>
    <row r="1956" spans="31:32" x14ac:dyDescent="0.25">
      <c r="AE1956" s="39" t="str">
        <f>IF(D1956="","",IFERROR(VLOOKUP(D1956,Projects!$A$2:$A$20000,1,FALSE),""))</f>
        <v/>
      </c>
      <c r="AF1956" s="2" t="str">
        <f>IF(D1956="","",IFERROR(MATCH(D1956,Projects!$A:$A,0),""))</f>
        <v/>
      </c>
    </row>
    <row r="1957" spans="31:32" x14ac:dyDescent="0.25">
      <c r="AE1957" s="39" t="str">
        <f>IF(D1957="","",IFERROR(VLOOKUP(D1957,Projects!$A$2:$A$20000,1,FALSE),""))</f>
        <v/>
      </c>
      <c r="AF1957" s="2" t="str">
        <f>IF(D1957="","",IFERROR(MATCH(D1957,Projects!$A:$A,0),""))</f>
        <v/>
      </c>
    </row>
    <row r="1958" spans="31:32" x14ac:dyDescent="0.25">
      <c r="AE1958" s="39" t="str">
        <f>IF(D1958="","",IFERROR(VLOOKUP(D1958,Projects!$A$2:$A$20000,1,FALSE),""))</f>
        <v/>
      </c>
      <c r="AF1958" s="2" t="str">
        <f>IF(D1958="","",IFERROR(MATCH(D1958,Projects!$A:$A,0),""))</f>
        <v/>
      </c>
    </row>
    <row r="1959" spans="31:32" x14ac:dyDescent="0.25">
      <c r="AE1959" s="39" t="str">
        <f>IF(D1959="","",IFERROR(VLOOKUP(D1959,Projects!$A$2:$A$20000,1,FALSE),""))</f>
        <v/>
      </c>
      <c r="AF1959" s="2" t="str">
        <f>IF(D1959="","",IFERROR(MATCH(D1959,Projects!$A:$A,0),""))</f>
        <v/>
      </c>
    </row>
    <row r="1960" spans="31:32" x14ac:dyDescent="0.25">
      <c r="AE1960" s="39" t="str">
        <f>IF(D1960="","",IFERROR(VLOOKUP(D1960,Projects!$A$2:$A$20000,1,FALSE),""))</f>
        <v/>
      </c>
      <c r="AF1960" s="2" t="str">
        <f>IF(D1960="","",IFERROR(MATCH(D1960,Projects!$A:$A,0),""))</f>
        <v/>
      </c>
    </row>
    <row r="1961" spans="31:32" x14ac:dyDescent="0.25">
      <c r="AE1961" s="39" t="str">
        <f>IF(D1961="","",IFERROR(VLOOKUP(D1961,Projects!$A$2:$A$20000,1,FALSE),""))</f>
        <v/>
      </c>
      <c r="AF1961" s="2" t="str">
        <f>IF(D1961="","",IFERROR(MATCH(D1961,Projects!$A:$A,0),""))</f>
        <v/>
      </c>
    </row>
    <row r="1962" spans="31:32" x14ac:dyDescent="0.25">
      <c r="AE1962" s="39" t="str">
        <f>IF(D1962="","",IFERROR(VLOOKUP(D1962,Projects!$A$2:$A$20000,1,FALSE),""))</f>
        <v/>
      </c>
      <c r="AF1962" s="2" t="str">
        <f>IF(D1962="","",IFERROR(MATCH(D1962,Projects!$A:$A,0),""))</f>
        <v/>
      </c>
    </row>
    <row r="1963" spans="31:32" x14ac:dyDescent="0.25">
      <c r="AE1963" s="39" t="str">
        <f>IF(D1963="","",IFERROR(VLOOKUP(D1963,Projects!$A$2:$A$20000,1,FALSE),""))</f>
        <v/>
      </c>
      <c r="AF1963" s="2" t="str">
        <f>IF(D1963="","",IFERROR(MATCH(D1963,Projects!$A:$A,0),""))</f>
        <v/>
      </c>
    </row>
    <row r="1964" spans="31:32" x14ac:dyDescent="0.25">
      <c r="AE1964" s="39" t="str">
        <f>IF(D1964="","",IFERROR(VLOOKUP(D1964,Projects!$A$2:$A$20000,1,FALSE),""))</f>
        <v/>
      </c>
      <c r="AF1964" s="2" t="str">
        <f>IF(D1964="","",IFERROR(MATCH(D1964,Projects!$A:$A,0),""))</f>
        <v/>
      </c>
    </row>
    <row r="1965" spans="31:32" x14ac:dyDescent="0.25">
      <c r="AE1965" s="39" t="str">
        <f>IF(D1965="","",IFERROR(VLOOKUP(D1965,Projects!$A$2:$A$20000,1,FALSE),""))</f>
        <v/>
      </c>
      <c r="AF1965" s="2" t="str">
        <f>IF(D1965="","",IFERROR(MATCH(D1965,Projects!$A:$A,0),""))</f>
        <v/>
      </c>
    </row>
    <row r="1966" spans="31:32" x14ac:dyDescent="0.25">
      <c r="AE1966" s="39" t="str">
        <f>IF(D1966="","",IFERROR(VLOOKUP(D1966,Projects!$A$2:$A$20000,1,FALSE),""))</f>
        <v/>
      </c>
      <c r="AF1966" s="2" t="str">
        <f>IF(D1966="","",IFERROR(MATCH(D1966,Projects!$A:$A,0),""))</f>
        <v/>
      </c>
    </row>
    <row r="1967" spans="31:32" x14ac:dyDescent="0.25">
      <c r="AE1967" s="39" t="str">
        <f>IF(D1967="","",IFERROR(VLOOKUP(D1967,Projects!$A$2:$A$20000,1,FALSE),""))</f>
        <v/>
      </c>
      <c r="AF1967" s="2" t="str">
        <f>IF(D1967="","",IFERROR(MATCH(D1967,Projects!$A:$A,0),""))</f>
        <v/>
      </c>
    </row>
    <row r="1968" spans="31:32" x14ac:dyDescent="0.25">
      <c r="AE1968" s="39" t="str">
        <f>IF(D1968="","",IFERROR(VLOOKUP(D1968,Projects!$A$2:$A$20000,1,FALSE),""))</f>
        <v/>
      </c>
      <c r="AF1968" s="2" t="str">
        <f>IF(D1968="","",IFERROR(MATCH(D1968,Projects!$A:$A,0),""))</f>
        <v/>
      </c>
    </row>
    <row r="1969" spans="31:32" x14ac:dyDescent="0.25">
      <c r="AE1969" s="39" t="str">
        <f>IF(D1969="","",IFERROR(VLOOKUP(D1969,Projects!$A$2:$A$20000,1,FALSE),""))</f>
        <v/>
      </c>
      <c r="AF1969" s="2" t="str">
        <f>IF(D1969="","",IFERROR(MATCH(D1969,Projects!$A:$A,0),""))</f>
        <v/>
      </c>
    </row>
    <row r="1970" spans="31:32" x14ac:dyDescent="0.25">
      <c r="AE1970" s="39" t="str">
        <f>IF(D1970="","",IFERROR(VLOOKUP(D1970,Projects!$A$2:$A$20000,1,FALSE),""))</f>
        <v/>
      </c>
      <c r="AF1970" s="2" t="str">
        <f>IF(D1970="","",IFERROR(MATCH(D1970,Projects!$A:$A,0),""))</f>
        <v/>
      </c>
    </row>
    <row r="1971" spans="31:32" x14ac:dyDescent="0.25">
      <c r="AE1971" s="39" t="str">
        <f>IF(D1971="","",IFERROR(VLOOKUP(D1971,Projects!$A$2:$A$20000,1,FALSE),""))</f>
        <v/>
      </c>
      <c r="AF1971" s="2" t="str">
        <f>IF(D1971="","",IFERROR(MATCH(D1971,Projects!$A:$A,0),""))</f>
        <v/>
      </c>
    </row>
    <row r="1972" spans="31:32" x14ac:dyDescent="0.25">
      <c r="AE1972" s="39" t="str">
        <f>IF(D1972="","",IFERROR(VLOOKUP(D1972,Projects!$A$2:$A$20000,1,FALSE),""))</f>
        <v/>
      </c>
      <c r="AF1972" s="2" t="str">
        <f>IF(D1972="","",IFERROR(MATCH(D1972,Projects!$A:$A,0),""))</f>
        <v/>
      </c>
    </row>
    <row r="1973" spans="31:32" x14ac:dyDescent="0.25">
      <c r="AE1973" s="39" t="str">
        <f>IF(D1973="","",IFERROR(VLOOKUP(D1973,Projects!$A$2:$A$20000,1,FALSE),""))</f>
        <v/>
      </c>
      <c r="AF1973" s="2" t="str">
        <f>IF(D1973="","",IFERROR(MATCH(D1973,Projects!$A:$A,0),""))</f>
        <v/>
      </c>
    </row>
    <row r="1974" spans="31:32" x14ac:dyDescent="0.25">
      <c r="AE1974" s="39" t="str">
        <f>IF(D1974="","",IFERROR(VLOOKUP(D1974,Projects!$A$2:$A$20000,1,FALSE),""))</f>
        <v/>
      </c>
      <c r="AF1974" s="2" t="str">
        <f>IF(D1974="","",IFERROR(MATCH(D1974,Projects!$A:$A,0),""))</f>
        <v/>
      </c>
    </row>
    <row r="1975" spans="31:32" x14ac:dyDescent="0.25">
      <c r="AE1975" s="39" t="str">
        <f>IF(D1975="","",IFERROR(VLOOKUP(D1975,Projects!$A$2:$A$20000,1,FALSE),""))</f>
        <v/>
      </c>
      <c r="AF1975" s="2" t="str">
        <f>IF(D1975="","",IFERROR(MATCH(D1975,Projects!$A:$A,0),""))</f>
        <v/>
      </c>
    </row>
    <row r="1976" spans="31:32" x14ac:dyDescent="0.25">
      <c r="AE1976" s="39" t="str">
        <f>IF(D1976="","",IFERROR(VLOOKUP(D1976,Projects!$A$2:$A$20000,1,FALSE),""))</f>
        <v/>
      </c>
      <c r="AF1976" s="2" t="str">
        <f>IF(D1976="","",IFERROR(MATCH(D1976,Projects!$A:$A,0),""))</f>
        <v/>
      </c>
    </row>
    <row r="1977" spans="31:32" x14ac:dyDescent="0.25">
      <c r="AE1977" s="39" t="str">
        <f>IF(D1977="","",IFERROR(VLOOKUP(D1977,Projects!$A$2:$A$20000,1,FALSE),""))</f>
        <v/>
      </c>
      <c r="AF1977" s="2" t="str">
        <f>IF(D1977="","",IFERROR(MATCH(D1977,Projects!$A:$A,0),""))</f>
        <v/>
      </c>
    </row>
    <row r="1978" spans="31:32" x14ac:dyDescent="0.25">
      <c r="AE1978" s="39" t="str">
        <f>IF(D1978="","",IFERROR(VLOOKUP(D1978,Projects!$A$2:$A$20000,1,FALSE),""))</f>
        <v/>
      </c>
      <c r="AF1978" s="2" t="str">
        <f>IF(D1978="","",IFERROR(MATCH(D1978,Projects!$A:$A,0),""))</f>
        <v/>
      </c>
    </row>
    <row r="1979" spans="31:32" x14ac:dyDescent="0.25">
      <c r="AE1979" s="39" t="str">
        <f>IF(D1979="","",IFERROR(VLOOKUP(D1979,Projects!$A$2:$A$20000,1,FALSE),""))</f>
        <v/>
      </c>
      <c r="AF1979" s="2" t="str">
        <f>IF(D1979="","",IFERROR(MATCH(D1979,Projects!$A:$A,0),""))</f>
        <v/>
      </c>
    </row>
    <row r="1980" spans="31:32" x14ac:dyDescent="0.25">
      <c r="AE1980" s="39" t="str">
        <f>IF(D1980="","",IFERROR(VLOOKUP(D1980,Projects!$A$2:$A$20000,1,FALSE),""))</f>
        <v/>
      </c>
      <c r="AF1980" s="2" t="str">
        <f>IF(D1980="","",IFERROR(MATCH(D1980,Projects!$A:$A,0),""))</f>
        <v/>
      </c>
    </row>
    <row r="1981" spans="31:32" x14ac:dyDescent="0.25">
      <c r="AE1981" s="39" t="str">
        <f>IF(D1981="","",IFERROR(VLOOKUP(D1981,Projects!$A$2:$A$20000,1,FALSE),""))</f>
        <v/>
      </c>
      <c r="AF1981" s="2" t="str">
        <f>IF(D1981="","",IFERROR(MATCH(D1981,Projects!$A:$A,0),""))</f>
        <v/>
      </c>
    </row>
    <row r="1982" spans="31:32" x14ac:dyDescent="0.25">
      <c r="AE1982" s="39" t="str">
        <f>IF(D1982="","",IFERROR(VLOOKUP(D1982,Projects!$A$2:$A$20000,1,FALSE),""))</f>
        <v/>
      </c>
      <c r="AF1982" s="2" t="str">
        <f>IF(D1982="","",IFERROR(MATCH(D1982,Projects!$A:$A,0),""))</f>
        <v/>
      </c>
    </row>
    <row r="1983" spans="31:32" x14ac:dyDescent="0.25">
      <c r="AE1983" s="39" t="str">
        <f>IF(D1983="","",IFERROR(VLOOKUP(D1983,Projects!$A$2:$A$20000,1,FALSE),""))</f>
        <v/>
      </c>
      <c r="AF1983" s="2" t="str">
        <f>IF(D1983="","",IFERROR(MATCH(D1983,Projects!$A:$A,0),""))</f>
        <v/>
      </c>
    </row>
    <row r="1984" spans="31:32" x14ac:dyDescent="0.25">
      <c r="AE1984" s="39" t="str">
        <f>IF(D1984="","",IFERROR(VLOOKUP(D1984,Projects!$A$2:$A$20000,1,FALSE),""))</f>
        <v/>
      </c>
      <c r="AF1984" s="2" t="str">
        <f>IF(D1984="","",IFERROR(MATCH(D1984,Projects!$A:$A,0),""))</f>
        <v/>
      </c>
    </row>
    <row r="1985" spans="31:32" x14ac:dyDescent="0.25">
      <c r="AE1985" s="39" t="str">
        <f>IF(D1985="","",IFERROR(VLOOKUP(D1985,Projects!$A$2:$A$20000,1,FALSE),""))</f>
        <v/>
      </c>
      <c r="AF1985" s="2" t="str">
        <f>IF(D1985="","",IFERROR(MATCH(D1985,Projects!$A:$A,0),""))</f>
        <v/>
      </c>
    </row>
    <row r="1986" spans="31:32" x14ac:dyDescent="0.25">
      <c r="AE1986" s="39" t="str">
        <f>IF(D1986="","",IFERROR(VLOOKUP(D1986,Projects!$A$2:$A$20000,1,FALSE),""))</f>
        <v/>
      </c>
      <c r="AF1986" s="2" t="str">
        <f>IF(D1986="","",IFERROR(MATCH(D1986,Projects!$A:$A,0),""))</f>
        <v/>
      </c>
    </row>
    <row r="1987" spans="31:32" x14ac:dyDescent="0.25">
      <c r="AE1987" s="39" t="str">
        <f>IF(D1987="","",IFERROR(VLOOKUP(D1987,Projects!$A$2:$A$20000,1,FALSE),""))</f>
        <v/>
      </c>
      <c r="AF1987" s="2" t="str">
        <f>IF(D1987="","",IFERROR(MATCH(D1987,Projects!$A:$A,0),""))</f>
        <v/>
      </c>
    </row>
    <row r="1988" spans="31:32" x14ac:dyDescent="0.25">
      <c r="AE1988" s="39" t="str">
        <f>IF(D1988="","",IFERROR(VLOOKUP(D1988,Projects!$A$2:$A$20000,1,FALSE),""))</f>
        <v/>
      </c>
      <c r="AF1988" s="2" t="str">
        <f>IF(D1988="","",IFERROR(MATCH(D1988,Projects!$A:$A,0),""))</f>
        <v/>
      </c>
    </row>
    <row r="1989" spans="31:32" x14ac:dyDescent="0.25">
      <c r="AE1989" s="39" t="str">
        <f>IF(D1989="","",IFERROR(VLOOKUP(D1989,Projects!$A$2:$A$20000,1,FALSE),""))</f>
        <v/>
      </c>
      <c r="AF1989" s="2" t="str">
        <f>IF(D1989="","",IFERROR(MATCH(D1989,Projects!$A:$A,0),""))</f>
        <v/>
      </c>
    </row>
    <row r="1990" spans="31:32" x14ac:dyDescent="0.25">
      <c r="AE1990" s="39" t="str">
        <f>IF(D1990="","",IFERROR(VLOOKUP(D1990,Projects!$A$2:$A$20000,1,FALSE),""))</f>
        <v/>
      </c>
      <c r="AF1990" s="2" t="str">
        <f>IF(D1990="","",IFERROR(MATCH(D1990,Projects!$A:$A,0),""))</f>
        <v/>
      </c>
    </row>
    <row r="1991" spans="31:32" x14ac:dyDescent="0.25">
      <c r="AE1991" s="39" t="str">
        <f>IF(D1991="","",IFERROR(VLOOKUP(D1991,Projects!$A$2:$A$20000,1,FALSE),""))</f>
        <v/>
      </c>
      <c r="AF1991" s="2" t="str">
        <f>IF(D1991="","",IFERROR(MATCH(D1991,Projects!$A:$A,0),""))</f>
        <v/>
      </c>
    </row>
    <row r="1992" spans="31:32" x14ac:dyDescent="0.25">
      <c r="AE1992" s="39" t="str">
        <f>IF(D1992="","",IFERROR(VLOOKUP(D1992,Projects!$A$2:$A$20000,1,FALSE),""))</f>
        <v/>
      </c>
      <c r="AF1992" s="2" t="str">
        <f>IF(D1992="","",IFERROR(MATCH(D1992,Projects!$A:$A,0),""))</f>
        <v/>
      </c>
    </row>
    <row r="1993" spans="31:32" x14ac:dyDescent="0.25">
      <c r="AE1993" s="39" t="str">
        <f>IF(D1993="","",IFERROR(VLOOKUP(D1993,Projects!$A$2:$A$20000,1,FALSE),""))</f>
        <v/>
      </c>
      <c r="AF1993" s="2" t="str">
        <f>IF(D1993="","",IFERROR(MATCH(D1993,Projects!$A:$A,0),""))</f>
        <v/>
      </c>
    </row>
    <row r="1994" spans="31:32" x14ac:dyDescent="0.25">
      <c r="AE1994" s="39" t="str">
        <f>IF(D1994="","",IFERROR(VLOOKUP(D1994,Projects!$A$2:$A$20000,1,FALSE),""))</f>
        <v/>
      </c>
      <c r="AF1994" s="2" t="str">
        <f>IF(D1994="","",IFERROR(MATCH(D1994,Projects!$A:$A,0),""))</f>
        <v/>
      </c>
    </row>
    <row r="1995" spans="31:32" x14ac:dyDescent="0.25">
      <c r="AE1995" s="39" t="str">
        <f>IF(D1995="","",IFERROR(VLOOKUP(D1995,Projects!$A$2:$A$20000,1,FALSE),""))</f>
        <v/>
      </c>
      <c r="AF1995" s="2" t="str">
        <f>IF(D1995="","",IFERROR(MATCH(D1995,Projects!$A:$A,0),""))</f>
        <v/>
      </c>
    </row>
    <row r="1996" spans="31:32" x14ac:dyDescent="0.25">
      <c r="AE1996" s="39" t="str">
        <f>IF(D1996="","",IFERROR(VLOOKUP(D1996,Projects!$A$2:$A$20000,1,FALSE),""))</f>
        <v/>
      </c>
      <c r="AF1996" s="2" t="str">
        <f>IF(D1996="","",IFERROR(MATCH(D1996,Projects!$A:$A,0),""))</f>
        <v/>
      </c>
    </row>
    <row r="1997" spans="31:32" x14ac:dyDescent="0.25">
      <c r="AE1997" s="39" t="str">
        <f>IF(D1997="","",IFERROR(VLOOKUP(D1997,Projects!$A$2:$A$20000,1,FALSE),""))</f>
        <v/>
      </c>
      <c r="AF1997" s="2" t="str">
        <f>IF(D1997="","",IFERROR(MATCH(D1997,Projects!$A:$A,0),""))</f>
        <v/>
      </c>
    </row>
    <row r="1998" spans="31:32" x14ac:dyDescent="0.25">
      <c r="AE1998" s="39" t="str">
        <f>IF(D1998="","",IFERROR(VLOOKUP(D1998,Projects!$A$2:$A$20000,1,FALSE),""))</f>
        <v/>
      </c>
      <c r="AF1998" s="2" t="str">
        <f>IF(D1998="","",IFERROR(MATCH(D1998,Projects!$A:$A,0),""))</f>
        <v/>
      </c>
    </row>
    <row r="1999" spans="31:32" x14ac:dyDescent="0.25">
      <c r="AE1999" s="39" t="str">
        <f>IF(D1999="","",IFERROR(VLOOKUP(D1999,Projects!$A$2:$A$20000,1,FALSE),""))</f>
        <v/>
      </c>
      <c r="AF1999" s="2" t="str">
        <f>IF(D1999="","",IFERROR(MATCH(D1999,Projects!$A:$A,0),""))</f>
        <v/>
      </c>
    </row>
    <row r="2000" spans="31:32" x14ac:dyDescent="0.25">
      <c r="AE2000" s="39" t="str">
        <f>IF(D2000="","",IFERROR(VLOOKUP(D2000,Projects!$A$2:$A$20000,1,FALSE),""))</f>
        <v/>
      </c>
      <c r="AF2000" s="2" t="str">
        <f>IF(D2000="","",IFERROR(MATCH(D2000,Projects!$A:$A,0),""))</f>
        <v/>
      </c>
    </row>
    <row r="2001" spans="31:32" x14ac:dyDescent="0.25">
      <c r="AE2001" s="39" t="str">
        <f>IF(D2001="","",IFERROR(VLOOKUP(D2001,Projects!$A$2:$A$20000,1,FALSE),""))</f>
        <v/>
      </c>
      <c r="AF2001" s="2" t="str">
        <f>IF(D2001="","",IFERROR(MATCH(D2001,Projects!$A:$A,0),""))</f>
        <v/>
      </c>
    </row>
    <row r="2002" spans="31:32" x14ac:dyDescent="0.25">
      <c r="AE2002" s="39" t="str">
        <f>IF(D2002="","",IFERROR(VLOOKUP(D2002,Projects!$A$2:$A$20000,1,FALSE),""))</f>
        <v/>
      </c>
      <c r="AF2002" s="2" t="str">
        <f>IF(D2002="","",IFERROR(MATCH(D2002,Projects!$A:$A,0),""))</f>
        <v/>
      </c>
    </row>
    <row r="2003" spans="31:32" x14ac:dyDescent="0.25">
      <c r="AE2003" s="39" t="str">
        <f>IF(D2003="","",IFERROR(VLOOKUP(D2003,Projects!$A$2:$A$20000,1,FALSE),""))</f>
        <v/>
      </c>
      <c r="AF2003" s="2" t="str">
        <f>IF(D2003="","",IFERROR(MATCH(D2003,Projects!$A:$A,0),""))</f>
        <v/>
      </c>
    </row>
    <row r="2004" spans="31:32" x14ac:dyDescent="0.25">
      <c r="AE2004" s="39" t="str">
        <f>IF(D2004="","",IFERROR(VLOOKUP(D2004,Projects!$A$2:$A$20000,1,FALSE),""))</f>
        <v/>
      </c>
      <c r="AF2004" s="2" t="str">
        <f>IF(D2004="","",IFERROR(MATCH(D2004,Projects!$A:$A,0),""))</f>
        <v/>
      </c>
    </row>
    <row r="2005" spans="31:32" x14ac:dyDescent="0.25">
      <c r="AE2005" s="39" t="str">
        <f>IF(D2005="","",IFERROR(VLOOKUP(D2005,Projects!$A$2:$A$20000,1,FALSE),""))</f>
        <v/>
      </c>
      <c r="AF2005" s="2" t="str">
        <f>IF(D2005="","",IFERROR(MATCH(D2005,Projects!$A:$A,0),""))</f>
        <v/>
      </c>
    </row>
    <row r="2006" spans="31:32" x14ac:dyDescent="0.25">
      <c r="AE2006" s="39" t="str">
        <f>IF(D2006="","",IFERROR(VLOOKUP(D2006,Projects!$A$2:$A$20000,1,FALSE),""))</f>
        <v/>
      </c>
      <c r="AF2006" s="2" t="str">
        <f>IF(D2006="","",IFERROR(MATCH(D2006,Projects!$A:$A,0),""))</f>
        <v/>
      </c>
    </row>
    <row r="2007" spans="31:32" x14ac:dyDescent="0.25">
      <c r="AE2007" s="39" t="str">
        <f>IF(D2007="","",IFERROR(VLOOKUP(D2007,Projects!$A$2:$A$20000,1,FALSE),""))</f>
        <v/>
      </c>
      <c r="AF2007" s="2" t="str">
        <f>IF(D2007="","",IFERROR(MATCH(D2007,Projects!$A:$A,0),""))</f>
        <v/>
      </c>
    </row>
    <row r="2008" spans="31:32" x14ac:dyDescent="0.25">
      <c r="AE2008" s="39" t="str">
        <f>IF(D2008="","",IFERROR(VLOOKUP(D2008,Projects!$A$2:$A$20000,1,FALSE),""))</f>
        <v/>
      </c>
      <c r="AF2008" s="2" t="str">
        <f>IF(D2008="","",IFERROR(MATCH(D2008,Projects!$A:$A,0),""))</f>
        <v/>
      </c>
    </row>
    <row r="2009" spans="31:32" x14ac:dyDescent="0.25">
      <c r="AE2009" s="39" t="str">
        <f>IF(D2009="","",IFERROR(VLOOKUP(D2009,Projects!$A$2:$A$20000,1,FALSE),""))</f>
        <v/>
      </c>
      <c r="AF2009" s="2" t="str">
        <f>IF(D2009="","",IFERROR(MATCH(D2009,Projects!$A:$A,0),""))</f>
        <v/>
      </c>
    </row>
    <row r="2010" spans="31:32" x14ac:dyDescent="0.25">
      <c r="AE2010" s="39" t="str">
        <f>IF(D2010="","",IFERROR(VLOOKUP(D2010,Projects!$A$2:$A$20000,1,FALSE),""))</f>
        <v/>
      </c>
      <c r="AF2010" s="2" t="str">
        <f>IF(D2010="","",IFERROR(MATCH(D2010,Projects!$A:$A,0),""))</f>
        <v/>
      </c>
    </row>
    <row r="2011" spans="31:32" x14ac:dyDescent="0.25">
      <c r="AE2011" s="39" t="str">
        <f>IF(D2011="","",IFERROR(VLOOKUP(D2011,Projects!$A$2:$A$20000,1,FALSE),""))</f>
        <v/>
      </c>
      <c r="AF2011" s="2" t="str">
        <f>IF(D2011="","",IFERROR(MATCH(D2011,Projects!$A:$A,0),""))</f>
        <v/>
      </c>
    </row>
    <row r="2012" spans="31:32" x14ac:dyDescent="0.25">
      <c r="AE2012" s="39" t="str">
        <f>IF(D2012="","",IFERROR(VLOOKUP(D2012,Projects!$A$2:$A$20000,1,FALSE),""))</f>
        <v/>
      </c>
      <c r="AF2012" s="2" t="str">
        <f>IF(D2012="","",IFERROR(MATCH(D2012,Projects!$A:$A,0),""))</f>
        <v/>
      </c>
    </row>
    <row r="2013" spans="31:32" x14ac:dyDescent="0.25">
      <c r="AE2013" s="39" t="str">
        <f>IF(D2013="","",IFERROR(VLOOKUP(D2013,Projects!$A$2:$A$20000,1,FALSE),""))</f>
        <v/>
      </c>
      <c r="AF2013" s="2" t="str">
        <f>IF(D2013="","",IFERROR(MATCH(D2013,Projects!$A:$A,0),""))</f>
        <v/>
      </c>
    </row>
    <row r="2014" spans="31:32" x14ac:dyDescent="0.25">
      <c r="AE2014" s="39" t="str">
        <f>IF(D2014="","",IFERROR(VLOOKUP(D2014,Projects!$A$2:$A$20000,1,FALSE),""))</f>
        <v/>
      </c>
      <c r="AF2014" s="2" t="str">
        <f>IF(D2014="","",IFERROR(MATCH(D2014,Projects!$A:$A,0),""))</f>
        <v/>
      </c>
    </row>
    <row r="2015" spans="31:32" x14ac:dyDescent="0.25">
      <c r="AE2015" s="39" t="str">
        <f>IF(D2015="","",IFERROR(VLOOKUP(D2015,Projects!$A$2:$A$20000,1,FALSE),""))</f>
        <v/>
      </c>
      <c r="AF2015" s="2" t="str">
        <f>IF(D2015="","",IFERROR(MATCH(D2015,Projects!$A:$A,0),""))</f>
        <v/>
      </c>
    </row>
    <row r="2016" spans="31:32" x14ac:dyDescent="0.25">
      <c r="AE2016" s="39" t="str">
        <f>IF(D2016="","",IFERROR(VLOOKUP(D2016,Projects!$A$2:$A$20000,1,FALSE),""))</f>
        <v/>
      </c>
      <c r="AF2016" s="2" t="str">
        <f>IF(D2016="","",IFERROR(MATCH(D2016,Projects!$A:$A,0),""))</f>
        <v/>
      </c>
    </row>
    <row r="2017" spans="31:32" x14ac:dyDescent="0.25">
      <c r="AE2017" s="39" t="str">
        <f>IF(D2017="","",IFERROR(VLOOKUP(D2017,Projects!$A$2:$A$20000,1,FALSE),""))</f>
        <v/>
      </c>
      <c r="AF2017" s="2" t="str">
        <f>IF(D2017="","",IFERROR(MATCH(D2017,Projects!$A:$A,0),""))</f>
        <v/>
      </c>
    </row>
    <row r="2018" spans="31:32" x14ac:dyDescent="0.25">
      <c r="AE2018" s="39" t="str">
        <f>IF(D2018="","",IFERROR(VLOOKUP(D2018,Projects!$A$2:$A$20000,1,FALSE),""))</f>
        <v/>
      </c>
      <c r="AF2018" s="2" t="str">
        <f>IF(D2018="","",IFERROR(MATCH(D2018,Projects!$A:$A,0),""))</f>
        <v/>
      </c>
    </row>
    <row r="2019" spans="31:32" x14ac:dyDescent="0.25">
      <c r="AE2019" s="39" t="str">
        <f>IF(D2019="","",IFERROR(VLOOKUP(D2019,Projects!$A$2:$A$20000,1,FALSE),""))</f>
        <v/>
      </c>
      <c r="AF2019" s="2" t="str">
        <f>IF(D2019="","",IFERROR(MATCH(D2019,Projects!$A:$A,0),""))</f>
        <v/>
      </c>
    </row>
    <row r="2020" spans="31:32" x14ac:dyDescent="0.25">
      <c r="AE2020" s="39" t="str">
        <f>IF(D2020="","",IFERROR(VLOOKUP(D2020,Projects!$A$2:$A$20000,1,FALSE),""))</f>
        <v/>
      </c>
      <c r="AF2020" s="2" t="str">
        <f>IF(D2020="","",IFERROR(MATCH(D2020,Projects!$A:$A,0),""))</f>
        <v/>
      </c>
    </row>
    <row r="2021" spans="31:32" x14ac:dyDescent="0.25">
      <c r="AE2021" s="39" t="str">
        <f>IF(D2021="","",IFERROR(VLOOKUP(D2021,Projects!$A$2:$A$20000,1,FALSE),""))</f>
        <v/>
      </c>
      <c r="AF2021" s="2" t="str">
        <f>IF(D2021="","",IFERROR(MATCH(D2021,Projects!$A:$A,0),""))</f>
        <v/>
      </c>
    </row>
    <row r="2022" spans="31:32" x14ac:dyDescent="0.25">
      <c r="AE2022" s="39" t="str">
        <f>IF(D2022="","",IFERROR(VLOOKUP(D2022,Projects!$A$2:$A$20000,1,FALSE),""))</f>
        <v/>
      </c>
      <c r="AF2022" s="2" t="str">
        <f>IF(D2022="","",IFERROR(MATCH(D2022,Projects!$A:$A,0),""))</f>
        <v/>
      </c>
    </row>
    <row r="2023" spans="31:32" x14ac:dyDescent="0.25">
      <c r="AE2023" s="39" t="str">
        <f>IF(D2023="","",IFERROR(VLOOKUP(D2023,Projects!$A$2:$A$20000,1,FALSE),""))</f>
        <v/>
      </c>
      <c r="AF2023" s="2" t="str">
        <f>IF(D2023="","",IFERROR(MATCH(D2023,Projects!$A:$A,0),""))</f>
        <v/>
      </c>
    </row>
    <row r="2024" spans="31:32" x14ac:dyDescent="0.25">
      <c r="AE2024" s="39" t="str">
        <f>IF(D2024="","",IFERROR(VLOOKUP(D2024,Projects!$A$2:$A$20000,1,FALSE),""))</f>
        <v/>
      </c>
      <c r="AF2024" s="2" t="str">
        <f>IF(D2024="","",IFERROR(MATCH(D2024,Projects!$A:$A,0),""))</f>
        <v/>
      </c>
    </row>
    <row r="2025" spans="31:32" x14ac:dyDescent="0.25">
      <c r="AE2025" s="39" t="str">
        <f>IF(D2025="","",IFERROR(VLOOKUP(D2025,Projects!$A$2:$A$20000,1,FALSE),""))</f>
        <v/>
      </c>
      <c r="AF2025" s="2" t="str">
        <f>IF(D2025="","",IFERROR(MATCH(D2025,Projects!$A:$A,0),""))</f>
        <v/>
      </c>
    </row>
    <row r="2026" spans="31:32" x14ac:dyDescent="0.25">
      <c r="AE2026" s="39" t="str">
        <f>IF(D2026="","",IFERROR(VLOOKUP(D2026,Projects!$A$2:$A$20000,1,FALSE),""))</f>
        <v/>
      </c>
      <c r="AF2026" s="2" t="str">
        <f>IF(D2026="","",IFERROR(MATCH(D2026,Projects!$A:$A,0),""))</f>
        <v/>
      </c>
    </row>
    <row r="2027" spans="31:32" x14ac:dyDescent="0.25">
      <c r="AE2027" s="39" t="str">
        <f>IF(D2027="","",IFERROR(VLOOKUP(D2027,Projects!$A$2:$A$20000,1,FALSE),""))</f>
        <v/>
      </c>
      <c r="AF2027" s="2" t="str">
        <f>IF(D2027="","",IFERROR(MATCH(D2027,Projects!$A:$A,0),""))</f>
        <v/>
      </c>
    </row>
    <row r="2028" spans="31:32" x14ac:dyDescent="0.25">
      <c r="AE2028" s="39" t="str">
        <f>IF(D2028="","",IFERROR(VLOOKUP(D2028,Projects!$A$2:$A$20000,1,FALSE),""))</f>
        <v/>
      </c>
      <c r="AF2028" s="2" t="str">
        <f>IF(D2028="","",IFERROR(MATCH(D2028,Projects!$A:$A,0),""))</f>
        <v/>
      </c>
    </row>
    <row r="2029" spans="31:32" x14ac:dyDescent="0.25">
      <c r="AE2029" s="39" t="str">
        <f>IF(D2029="","",IFERROR(VLOOKUP(D2029,Projects!$A$2:$A$20000,1,FALSE),""))</f>
        <v/>
      </c>
      <c r="AF2029" s="2" t="str">
        <f>IF(D2029="","",IFERROR(MATCH(D2029,Projects!$A:$A,0),""))</f>
        <v/>
      </c>
    </row>
    <row r="2030" spans="31:32" x14ac:dyDescent="0.25">
      <c r="AE2030" s="39" t="str">
        <f>IF(D2030="","",IFERROR(VLOOKUP(D2030,Projects!$A$2:$A$20000,1,FALSE),""))</f>
        <v/>
      </c>
      <c r="AF2030" s="2" t="str">
        <f>IF(D2030="","",IFERROR(MATCH(D2030,Projects!$A:$A,0),""))</f>
        <v/>
      </c>
    </row>
    <row r="2031" spans="31:32" x14ac:dyDescent="0.25">
      <c r="AE2031" s="39" t="str">
        <f>IF(D2031="","",IFERROR(VLOOKUP(D2031,Projects!$A$2:$A$20000,1,FALSE),""))</f>
        <v/>
      </c>
      <c r="AF2031" s="2" t="str">
        <f>IF(D2031="","",IFERROR(MATCH(D2031,Projects!$A:$A,0),""))</f>
        <v/>
      </c>
    </row>
    <row r="2032" spans="31:32" x14ac:dyDescent="0.25">
      <c r="AE2032" s="39" t="str">
        <f>IF(D2032="","",IFERROR(VLOOKUP(D2032,Projects!$A$2:$A$20000,1,FALSE),""))</f>
        <v/>
      </c>
      <c r="AF2032" s="2" t="str">
        <f>IF(D2032="","",IFERROR(MATCH(D2032,Projects!$A:$A,0),""))</f>
        <v/>
      </c>
    </row>
    <row r="2033" spans="31:32" x14ac:dyDescent="0.25">
      <c r="AE2033" s="39" t="str">
        <f>IF(D2033="","",IFERROR(VLOOKUP(D2033,Projects!$A$2:$A$20000,1,FALSE),""))</f>
        <v/>
      </c>
      <c r="AF2033" s="2" t="str">
        <f>IF(D2033="","",IFERROR(MATCH(D2033,Projects!$A:$A,0),""))</f>
        <v/>
      </c>
    </row>
    <row r="2034" spans="31:32" x14ac:dyDescent="0.25">
      <c r="AE2034" s="39" t="str">
        <f>IF(D2034="","",IFERROR(VLOOKUP(D2034,Projects!$A$2:$A$20000,1,FALSE),""))</f>
        <v/>
      </c>
      <c r="AF2034" s="2" t="str">
        <f>IF(D2034="","",IFERROR(MATCH(D2034,Projects!$A:$A,0),""))</f>
        <v/>
      </c>
    </row>
    <row r="2035" spans="31:32" x14ac:dyDescent="0.25">
      <c r="AE2035" s="39" t="str">
        <f>IF(D2035="","",IFERROR(VLOOKUP(D2035,Projects!$A$2:$A$20000,1,FALSE),""))</f>
        <v/>
      </c>
      <c r="AF2035" s="2" t="str">
        <f>IF(D2035="","",IFERROR(MATCH(D2035,Projects!$A:$A,0),""))</f>
        <v/>
      </c>
    </row>
    <row r="2036" spans="31:32" x14ac:dyDescent="0.25">
      <c r="AE2036" s="39" t="str">
        <f>IF(D2036="","",IFERROR(VLOOKUP(D2036,Projects!$A$2:$A$20000,1,FALSE),""))</f>
        <v/>
      </c>
      <c r="AF2036" s="2" t="str">
        <f>IF(D2036="","",IFERROR(MATCH(D2036,Projects!$A:$A,0),""))</f>
        <v/>
      </c>
    </row>
    <row r="2037" spans="31:32" x14ac:dyDescent="0.25">
      <c r="AE2037" s="39" t="str">
        <f>IF(D2037="","",IFERROR(VLOOKUP(D2037,Projects!$A$2:$A$20000,1,FALSE),""))</f>
        <v/>
      </c>
      <c r="AF2037" s="2" t="str">
        <f>IF(D2037="","",IFERROR(MATCH(D2037,Projects!$A:$A,0),""))</f>
        <v/>
      </c>
    </row>
    <row r="2038" spans="31:32" x14ac:dyDescent="0.25">
      <c r="AE2038" s="39" t="str">
        <f>IF(D2038="","",IFERROR(VLOOKUP(D2038,Projects!$A$2:$A$20000,1,FALSE),""))</f>
        <v/>
      </c>
      <c r="AF2038" s="2" t="str">
        <f>IF(D2038="","",IFERROR(MATCH(D2038,Projects!$A:$A,0),""))</f>
        <v/>
      </c>
    </row>
    <row r="2039" spans="31:32" x14ac:dyDescent="0.25">
      <c r="AE2039" s="39" t="str">
        <f>IF(D2039="","",IFERROR(VLOOKUP(D2039,Projects!$A$2:$A$20000,1,FALSE),""))</f>
        <v/>
      </c>
      <c r="AF2039" s="2" t="str">
        <f>IF(D2039="","",IFERROR(MATCH(D2039,Projects!$A:$A,0),""))</f>
        <v/>
      </c>
    </row>
    <row r="2040" spans="31:32" x14ac:dyDescent="0.25">
      <c r="AE2040" s="39" t="str">
        <f>IF(D2040="","",IFERROR(VLOOKUP(D2040,Projects!$A$2:$A$20000,1,FALSE),""))</f>
        <v/>
      </c>
      <c r="AF2040" s="2" t="str">
        <f>IF(D2040="","",IFERROR(MATCH(D2040,Projects!$A:$A,0),""))</f>
        <v/>
      </c>
    </row>
    <row r="2041" spans="31:32" x14ac:dyDescent="0.25">
      <c r="AE2041" s="39" t="str">
        <f>IF(D2041="","",IFERROR(VLOOKUP(D2041,Projects!$A$2:$A$20000,1,FALSE),""))</f>
        <v/>
      </c>
      <c r="AF2041" s="2" t="str">
        <f>IF(D2041="","",IFERROR(MATCH(D2041,Projects!$A:$A,0),""))</f>
        <v/>
      </c>
    </row>
    <row r="2042" spans="31:32" x14ac:dyDescent="0.25">
      <c r="AE2042" s="39" t="str">
        <f>IF(D2042="","",IFERROR(VLOOKUP(D2042,Projects!$A$2:$A$20000,1,FALSE),""))</f>
        <v/>
      </c>
      <c r="AF2042" s="2" t="str">
        <f>IF(D2042="","",IFERROR(MATCH(D2042,Projects!$A:$A,0),""))</f>
        <v/>
      </c>
    </row>
    <row r="2043" spans="31:32" x14ac:dyDescent="0.25">
      <c r="AE2043" s="39" t="str">
        <f>IF(D2043="","",IFERROR(VLOOKUP(D2043,Projects!$A$2:$A$20000,1,FALSE),""))</f>
        <v/>
      </c>
      <c r="AF2043" s="2" t="str">
        <f>IF(D2043="","",IFERROR(MATCH(D2043,Projects!$A:$A,0),""))</f>
        <v/>
      </c>
    </row>
    <row r="2044" spans="31:32" x14ac:dyDescent="0.25">
      <c r="AE2044" s="39" t="str">
        <f>IF(D2044="","",IFERROR(VLOOKUP(D2044,Projects!$A$2:$A$20000,1,FALSE),""))</f>
        <v/>
      </c>
      <c r="AF2044" s="2" t="str">
        <f>IF(D2044="","",IFERROR(MATCH(D2044,Projects!$A:$A,0),""))</f>
        <v/>
      </c>
    </row>
    <row r="2045" spans="31:32" x14ac:dyDescent="0.25">
      <c r="AE2045" s="39" t="str">
        <f>IF(D2045="","",IFERROR(VLOOKUP(D2045,Projects!$A$2:$A$20000,1,FALSE),""))</f>
        <v/>
      </c>
      <c r="AF2045" s="2" t="str">
        <f>IF(D2045="","",IFERROR(MATCH(D2045,Projects!$A:$A,0),""))</f>
        <v/>
      </c>
    </row>
    <row r="2046" spans="31:32" x14ac:dyDescent="0.25">
      <c r="AE2046" s="39" t="str">
        <f>IF(D2046="","",IFERROR(VLOOKUP(D2046,Projects!$A$2:$A$20000,1,FALSE),""))</f>
        <v/>
      </c>
      <c r="AF2046" s="2" t="str">
        <f>IF(D2046="","",IFERROR(MATCH(D2046,Projects!$A:$A,0),""))</f>
        <v/>
      </c>
    </row>
    <row r="2047" spans="31:32" x14ac:dyDescent="0.25">
      <c r="AE2047" s="39" t="str">
        <f>IF(D2047="","",IFERROR(VLOOKUP(D2047,Projects!$A$2:$A$20000,1,FALSE),""))</f>
        <v/>
      </c>
      <c r="AF2047" s="2" t="str">
        <f>IF(D2047="","",IFERROR(MATCH(D2047,Projects!$A:$A,0),""))</f>
        <v/>
      </c>
    </row>
    <row r="2048" spans="31:32" x14ac:dyDescent="0.25">
      <c r="AE2048" s="39" t="str">
        <f>IF(D2048="","",IFERROR(VLOOKUP(D2048,Projects!$A$2:$A$20000,1,FALSE),""))</f>
        <v/>
      </c>
      <c r="AF2048" s="2" t="str">
        <f>IF(D2048="","",IFERROR(MATCH(D2048,Projects!$A:$A,0),""))</f>
        <v/>
      </c>
    </row>
    <row r="2049" spans="31:32" x14ac:dyDescent="0.25">
      <c r="AE2049" s="39" t="str">
        <f>IF(D2049="","",IFERROR(VLOOKUP(D2049,Projects!$A$2:$A$20000,1,FALSE),""))</f>
        <v/>
      </c>
      <c r="AF2049" s="2" t="str">
        <f>IF(D2049="","",IFERROR(MATCH(D2049,Projects!$A:$A,0),""))</f>
        <v/>
      </c>
    </row>
    <row r="2050" spans="31:32" x14ac:dyDescent="0.25">
      <c r="AE2050" s="39" t="str">
        <f>IF(D2050="","",IFERROR(VLOOKUP(D2050,Projects!$A$2:$A$20000,1,FALSE),""))</f>
        <v/>
      </c>
      <c r="AF2050" s="2" t="str">
        <f>IF(D2050="","",IFERROR(MATCH(D2050,Projects!$A:$A,0),""))</f>
        <v/>
      </c>
    </row>
    <row r="2051" spans="31:32" x14ac:dyDescent="0.25">
      <c r="AE2051" s="39" t="str">
        <f>IF(D2051="","",IFERROR(VLOOKUP(D2051,Projects!$A$2:$A$20000,1,FALSE),""))</f>
        <v/>
      </c>
      <c r="AF2051" s="2" t="str">
        <f>IF(D2051="","",IFERROR(MATCH(D2051,Projects!$A:$A,0),""))</f>
        <v/>
      </c>
    </row>
    <row r="2052" spans="31:32" x14ac:dyDescent="0.25">
      <c r="AE2052" s="39" t="str">
        <f>IF(D2052="","",IFERROR(VLOOKUP(D2052,Projects!$A$2:$A$20000,1,FALSE),""))</f>
        <v/>
      </c>
      <c r="AF2052" s="2" t="str">
        <f>IF(D2052="","",IFERROR(MATCH(D2052,Projects!$A:$A,0),""))</f>
        <v/>
      </c>
    </row>
    <row r="2053" spans="31:32" x14ac:dyDescent="0.25">
      <c r="AE2053" s="39" t="str">
        <f>IF(D2053="","",IFERROR(VLOOKUP(D2053,Projects!$A$2:$A$20000,1,FALSE),""))</f>
        <v/>
      </c>
      <c r="AF2053" s="2" t="str">
        <f>IF(D2053="","",IFERROR(MATCH(D2053,Projects!$A:$A,0),""))</f>
        <v/>
      </c>
    </row>
    <row r="2054" spans="31:32" x14ac:dyDescent="0.25">
      <c r="AE2054" s="39" t="str">
        <f>IF(D2054="","",IFERROR(VLOOKUP(D2054,Projects!$A$2:$A$20000,1,FALSE),""))</f>
        <v/>
      </c>
      <c r="AF2054" s="2" t="str">
        <f>IF(D2054="","",IFERROR(MATCH(D2054,Projects!$A:$A,0),""))</f>
        <v/>
      </c>
    </row>
    <row r="2055" spans="31:32" x14ac:dyDescent="0.25">
      <c r="AE2055" s="39" t="str">
        <f>IF(D2055="","",IFERROR(VLOOKUP(D2055,Projects!$A$2:$A$20000,1,FALSE),""))</f>
        <v/>
      </c>
      <c r="AF2055" s="2" t="str">
        <f>IF(D2055="","",IFERROR(MATCH(D2055,Projects!$A:$A,0),""))</f>
        <v/>
      </c>
    </row>
    <row r="2056" spans="31:32" x14ac:dyDescent="0.25">
      <c r="AE2056" s="39" t="str">
        <f>IF(D2056="","",IFERROR(VLOOKUP(D2056,Projects!$A$2:$A$20000,1,FALSE),""))</f>
        <v/>
      </c>
      <c r="AF2056" s="2" t="str">
        <f>IF(D2056="","",IFERROR(MATCH(D2056,Projects!$A:$A,0),""))</f>
        <v/>
      </c>
    </row>
    <row r="2057" spans="31:32" x14ac:dyDescent="0.25">
      <c r="AE2057" s="39" t="str">
        <f>IF(D2057="","",IFERROR(VLOOKUP(D2057,Projects!$A$2:$A$20000,1,FALSE),""))</f>
        <v/>
      </c>
      <c r="AF2057" s="2" t="str">
        <f>IF(D2057="","",IFERROR(MATCH(D2057,Projects!$A:$A,0),""))</f>
        <v/>
      </c>
    </row>
    <row r="2058" spans="31:32" x14ac:dyDescent="0.25">
      <c r="AE2058" s="39" t="str">
        <f>IF(D2058="","",IFERROR(VLOOKUP(D2058,Projects!$A$2:$A$20000,1,FALSE),""))</f>
        <v/>
      </c>
      <c r="AF2058" s="2" t="str">
        <f>IF(D2058="","",IFERROR(MATCH(D2058,Projects!$A:$A,0),""))</f>
        <v/>
      </c>
    </row>
    <row r="2059" spans="31:32" x14ac:dyDescent="0.25">
      <c r="AE2059" s="39" t="str">
        <f>IF(D2059="","",IFERROR(VLOOKUP(D2059,Projects!$A$2:$A$20000,1,FALSE),""))</f>
        <v/>
      </c>
      <c r="AF2059" s="2" t="str">
        <f>IF(D2059="","",IFERROR(MATCH(D2059,Projects!$A:$A,0),""))</f>
        <v/>
      </c>
    </row>
    <row r="2060" spans="31:32" x14ac:dyDescent="0.25">
      <c r="AE2060" s="39" t="str">
        <f>IF(D2060="","",IFERROR(VLOOKUP(D2060,Projects!$A$2:$A$20000,1,FALSE),""))</f>
        <v/>
      </c>
      <c r="AF2060" s="2" t="str">
        <f>IF(D2060="","",IFERROR(MATCH(D2060,Projects!$A:$A,0),""))</f>
        <v/>
      </c>
    </row>
    <row r="2061" spans="31:32" x14ac:dyDescent="0.25">
      <c r="AE2061" s="39" t="str">
        <f>IF(D2061="","",IFERROR(VLOOKUP(D2061,Projects!$A$2:$A$20000,1,FALSE),""))</f>
        <v/>
      </c>
      <c r="AF2061" s="2" t="str">
        <f>IF(D2061="","",IFERROR(MATCH(D2061,Projects!$A:$A,0),""))</f>
        <v/>
      </c>
    </row>
    <row r="2062" spans="31:32" x14ac:dyDescent="0.25">
      <c r="AE2062" s="39" t="str">
        <f>IF(D2062="","",IFERROR(VLOOKUP(D2062,Projects!$A$2:$A$20000,1,FALSE),""))</f>
        <v/>
      </c>
      <c r="AF2062" s="2" t="str">
        <f>IF(D2062="","",IFERROR(MATCH(D2062,Projects!$A:$A,0),""))</f>
        <v/>
      </c>
    </row>
    <row r="2063" spans="31:32" x14ac:dyDescent="0.25">
      <c r="AE2063" s="39" t="str">
        <f>IF(D2063="","",IFERROR(VLOOKUP(D2063,Projects!$A$2:$A$20000,1,FALSE),""))</f>
        <v/>
      </c>
      <c r="AF2063" s="2" t="str">
        <f>IF(D2063="","",IFERROR(MATCH(D2063,Projects!$A:$A,0),""))</f>
        <v/>
      </c>
    </row>
    <row r="2064" spans="31:32" x14ac:dyDescent="0.25">
      <c r="AE2064" s="39" t="str">
        <f>IF(D2064="","",IFERROR(VLOOKUP(D2064,Projects!$A$2:$A$20000,1,FALSE),""))</f>
        <v/>
      </c>
      <c r="AF2064" s="2" t="str">
        <f>IF(D2064="","",IFERROR(MATCH(D2064,Projects!$A:$A,0),""))</f>
        <v/>
      </c>
    </row>
    <row r="2065" spans="31:32" x14ac:dyDescent="0.25">
      <c r="AE2065" s="39" t="str">
        <f>IF(D2065="","",IFERROR(VLOOKUP(D2065,Projects!$A$2:$A$20000,1,FALSE),""))</f>
        <v/>
      </c>
      <c r="AF2065" s="2" t="str">
        <f>IF(D2065="","",IFERROR(MATCH(D2065,Projects!$A:$A,0),""))</f>
        <v/>
      </c>
    </row>
    <row r="2066" spans="31:32" x14ac:dyDescent="0.25">
      <c r="AE2066" s="39" t="str">
        <f>IF(D2066="","",IFERROR(VLOOKUP(D2066,Projects!$A$2:$A$20000,1,FALSE),""))</f>
        <v/>
      </c>
      <c r="AF2066" s="2" t="str">
        <f>IF(D2066="","",IFERROR(MATCH(D2066,Projects!$A:$A,0),""))</f>
        <v/>
      </c>
    </row>
    <row r="2067" spans="31:32" x14ac:dyDescent="0.25">
      <c r="AE2067" s="39" t="str">
        <f>IF(D2067="","",IFERROR(VLOOKUP(D2067,Projects!$A$2:$A$20000,1,FALSE),""))</f>
        <v/>
      </c>
      <c r="AF2067" s="2" t="str">
        <f>IF(D2067="","",IFERROR(MATCH(D2067,Projects!$A:$A,0),""))</f>
        <v/>
      </c>
    </row>
    <row r="2068" spans="31:32" x14ac:dyDescent="0.25">
      <c r="AE2068" s="39" t="str">
        <f>IF(D2068="","",IFERROR(VLOOKUP(D2068,Projects!$A$2:$A$20000,1,FALSE),""))</f>
        <v/>
      </c>
      <c r="AF2068" s="2" t="str">
        <f>IF(D2068="","",IFERROR(MATCH(D2068,Projects!$A:$A,0),""))</f>
        <v/>
      </c>
    </row>
    <row r="2069" spans="31:32" x14ac:dyDescent="0.25">
      <c r="AE2069" s="39" t="str">
        <f>IF(D2069="","",IFERROR(VLOOKUP(D2069,Projects!$A$2:$A$20000,1,FALSE),""))</f>
        <v/>
      </c>
      <c r="AF2069" s="2" t="str">
        <f>IF(D2069="","",IFERROR(MATCH(D2069,Projects!$A:$A,0),""))</f>
        <v/>
      </c>
    </row>
    <row r="2070" spans="31:32" x14ac:dyDescent="0.25">
      <c r="AE2070" s="39" t="str">
        <f>IF(D2070="","",IFERROR(VLOOKUP(D2070,Projects!$A$2:$A$20000,1,FALSE),""))</f>
        <v/>
      </c>
      <c r="AF2070" s="2" t="str">
        <f>IF(D2070="","",IFERROR(MATCH(D2070,Projects!$A:$A,0),""))</f>
        <v/>
      </c>
    </row>
    <row r="2071" spans="31:32" x14ac:dyDescent="0.25">
      <c r="AE2071" s="39" t="str">
        <f>IF(D2071="","",IFERROR(VLOOKUP(D2071,Projects!$A$2:$A$20000,1,FALSE),""))</f>
        <v/>
      </c>
      <c r="AF2071" s="2" t="str">
        <f>IF(D2071="","",IFERROR(MATCH(D2071,Projects!$A:$A,0),""))</f>
        <v/>
      </c>
    </row>
    <row r="2072" spans="31:32" x14ac:dyDescent="0.25">
      <c r="AE2072" s="39" t="str">
        <f>IF(D2072="","",IFERROR(VLOOKUP(D2072,Projects!$A$2:$A$20000,1,FALSE),""))</f>
        <v/>
      </c>
      <c r="AF2072" s="2" t="str">
        <f>IF(D2072="","",IFERROR(MATCH(D2072,Projects!$A:$A,0),""))</f>
        <v/>
      </c>
    </row>
    <row r="2073" spans="31:32" x14ac:dyDescent="0.25">
      <c r="AE2073" s="39" t="str">
        <f>IF(D2073="","",IFERROR(VLOOKUP(D2073,Projects!$A$2:$A$20000,1,FALSE),""))</f>
        <v/>
      </c>
      <c r="AF2073" s="2" t="str">
        <f>IF(D2073="","",IFERROR(MATCH(D2073,Projects!$A:$A,0),""))</f>
        <v/>
      </c>
    </row>
    <row r="2074" spans="31:32" x14ac:dyDescent="0.25">
      <c r="AE2074" s="39" t="str">
        <f>IF(D2074="","",IFERROR(VLOOKUP(D2074,Projects!$A$2:$A$20000,1,FALSE),""))</f>
        <v/>
      </c>
      <c r="AF2074" s="2" t="str">
        <f>IF(D2074="","",IFERROR(MATCH(D2074,Projects!$A:$A,0),""))</f>
        <v/>
      </c>
    </row>
    <row r="2075" spans="31:32" x14ac:dyDescent="0.25">
      <c r="AE2075" s="39" t="str">
        <f>IF(D2075="","",IFERROR(VLOOKUP(D2075,Projects!$A$2:$A$20000,1,FALSE),""))</f>
        <v/>
      </c>
      <c r="AF2075" s="2" t="str">
        <f>IF(D2075="","",IFERROR(MATCH(D2075,Projects!$A:$A,0),""))</f>
        <v/>
      </c>
    </row>
    <row r="2076" spans="31:32" x14ac:dyDescent="0.25">
      <c r="AE2076" s="39" t="str">
        <f>IF(D2076="","",IFERROR(VLOOKUP(D2076,Projects!$A$2:$A$20000,1,FALSE),""))</f>
        <v/>
      </c>
      <c r="AF2076" s="2" t="str">
        <f>IF(D2076="","",IFERROR(MATCH(D2076,Projects!$A:$A,0),""))</f>
        <v/>
      </c>
    </row>
    <row r="2077" spans="31:32" x14ac:dyDescent="0.25">
      <c r="AE2077" s="39" t="str">
        <f>IF(D2077="","",IFERROR(VLOOKUP(D2077,Projects!$A$2:$A$20000,1,FALSE),""))</f>
        <v/>
      </c>
      <c r="AF2077" s="2" t="str">
        <f>IF(D2077="","",IFERROR(MATCH(D2077,Projects!$A:$A,0),""))</f>
        <v/>
      </c>
    </row>
    <row r="2078" spans="31:32" x14ac:dyDescent="0.25">
      <c r="AE2078" s="39" t="str">
        <f>IF(D2078="","",IFERROR(VLOOKUP(D2078,Projects!$A$2:$A$20000,1,FALSE),""))</f>
        <v/>
      </c>
      <c r="AF2078" s="2" t="str">
        <f>IF(D2078="","",IFERROR(MATCH(D2078,Projects!$A:$A,0),""))</f>
        <v/>
      </c>
    </row>
    <row r="2079" spans="31:32" x14ac:dyDescent="0.25">
      <c r="AE2079" s="39" t="str">
        <f>IF(D2079="","",IFERROR(VLOOKUP(D2079,Projects!$A$2:$A$20000,1,FALSE),""))</f>
        <v/>
      </c>
      <c r="AF2079" s="2" t="str">
        <f>IF(D2079="","",IFERROR(MATCH(D2079,Projects!$A:$A,0),""))</f>
        <v/>
      </c>
    </row>
    <row r="2080" spans="31:32" x14ac:dyDescent="0.25">
      <c r="AE2080" s="39" t="str">
        <f>IF(D2080="","",IFERROR(VLOOKUP(D2080,Projects!$A$2:$A$20000,1,FALSE),""))</f>
        <v/>
      </c>
      <c r="AF2080" s="2" t="str">
        <f>IF(D2080="","",IFERROR(MATCH(D2080,Projects!$A:$A,0),""))</f>
        <v/>
      </c>
    </row>
    <row r="2081" spans="31:32" x14ac:dyDescent="0.25">
      <c r="AE2081" s="39" t="str">
        <f>IF(D2081="","",IFERROR(VLOOKUP(D2081,Projects!$A$2:$A$20000,1,FALSE),""))</f>
        <v/>
      </c>
      <c r="AF2081" s="2" t="str">
        <f>IF(D2081="","",IFERROR(MATCH(D2081,Projects!$A:$A,0),""))</f>
        <v/>
      </c>
    </row>
    <row r="2082" spans="31:32" x14ac:dyDescent="0.25">
      <c r="AE2082" s="39" t="str">
        <f>IF(D2082="","",IFERROR(VLOOKUP(D2082,Projects!$A$2:$A$20000,1,FALSE),""))</f>
        <v/>
      </c>
      <c r="AF2082" s="2" t="str">
        <f>IF(D2082="","",IFERROR(MATCH(D2082,Projects!$A:$A,0),""))</f>
        <v/>
      </c>
    </row>
    <row r="2083" spans="31:32" x14ac:dyDescent="0.25">
      <c r="AE2083" s="39" t="str">
        <f>IF(D2083="","",IFERROR(VLOOKUP(D2083,Projects!$A$2:$A$20000,1,FALSE),""))</f>
        <v/>
      </c>
      <c r="AF2083" s="2" t="str">
        <f>IF(D2083="","",IFERROR(MATCH(D2083,Projects!$A:$A,0),""))</f>
        <v/>
      </c>
    </row>
    <row r="2084" spans="31:32" x14ac:dyDescent="0.25">
      <c r="AE2084" s="39" t="str">
        <f>IF(D2084="","",IFERROR(VLOOKUP(D2084,Projects!$A$2:$A$20000,1,FALSE),""))</f>
        <v/>
      </c>
      <c r="AF2084" s="2" t="str">
        <f>IF(D2084="","",IFERROR(MATCH(D2084,Projects!$A:$A,0),""))</f>
        <v/>
      </c>
    </row>
    <row r="2085" spans="31:32" x14ac:dyDescent="0.25">
      <c r="AE2085" s="39" t="str">
        <f>IF(D2085="","",IFERROR(VLOOKUP(D2085,Projects!$A$2:$A$20000,1,FALSE),""))</f>
        <v/>
      </c>
      <c r="AF2085" s="2" t="str">
        <f>IF(D2085="","",IFERROR(MATCH(D2085,Projects!$A:$A,0),""))</f>
        <v/>
      </c>
    </row>
    <row r="2086" spans="31:32" x14ac:dyDescent="0.25">
      <c r="AE2086" s="39" t="str">
        <f>IF(D2086="","",IFERROR(VLOOKUP(D2086,Projects!$A$2:$A$20000,1,FALSE),""))</f>
        <v/>
      </c>
      <c r="AF2086" s="2" t="str">
        <f>IF(D2086="","",IFERROR(MATCH(D2086,Projects!$A:$A,0),""))</f>
        <v/>
      </c>
    </row>
    <row r="2087" spans="31:32" x14ac:dyDescent="0.25">
      <c r="AE2087" s="39" t="str">
        <f>IF(D2087="","",IFERROR(VLOOKUP(D2087,Projects!$A$2:$A$20000,1,FALSE),""))</f>
        <v/>
      </c>
      <c r="AF2087" s="2" t="str">
        <f>IF(D2087="","",IFERROR(MATCH(D2087,Projects!$A:$A,0),""))</f>
        <v/>
      </c>
    </row>
    <row r="2088" spans="31:32" x14ac:dyDescent="0.25">
      <c r="AE2088" s="39" t="str">
        <f>IF(D2088="","",IFERROR(VLOOKUP(D2088,Projects!$A$2:$A$20000,1,FALSE),""))</f>
        <v/>
      </c>
      <c r="AF2088" s="2" t="str">
        <f>IF(D2088="","",IFERROR(MATCH(D2088,Projects!$A:$A,0),""))</f>
        <v/>
      </c>
    </row>
    <row r="2089" spans="31:32" x14ac:dyDescent="0.25">
      <c r="AE2089" s="39" t="str">
        <f>IF(D2089="","",IFERROR(VLOOKUP(D2089,Projects!$A$2:$A$20000,1,FALSE),""))</f>
        <v/>
      </c>
      <c r="AF2089" s="2" t="str">
        <f>IF(D2089="","",IFERROR(MATCH(D2089,Projects!$A:$A,0),""))</f>
        <v/>
      </c>
    </row>
    <row r="2090" spans="31:32" x14ac:dyDescent="0.25">
      <c r="AE2090" s="39" t="str">
        <f>IF(D2090="","",IFERROR(VLOOKUP(D2090,Projects!$A$2:$A$20000,1,FALSE),""))</f>
        <v/>
      </c>
      <c r="AF2090" s="2" t="str">
        <f>IF(D2090="","",IFERROR(MATCH(D2090,Projects!$A:$A,0),""))</f>
        <v/>
      </c>
    </row>
    <row r="2091" spans="31:32" x14ac:dyDescent="0.25">
      <c r="AE2091" s="39" t="str">
        <f>IF(D2091="","",IFERROR(VLOOKUP(D2091,Projects!$A$2:$A$20000,1,FALSE),""))</f>
        <v/>
      </c>
      <c r="AF2091" s="2" t="str">
        <f>IF(D2091="","",IFERROR(MATCH(D2091,Projects!$A:$A,0),""))</f>
        <v/>
      </c>
    </row>
    <row r="2092" spans="31:32" x14ac:dyDescent="0.25">
      <c r="AE2092" s="39" t="str">
        <f>IF(D2092="","",IFERROR(VLOOKUP(D2092,Projects!$A$2:$A$20000,1,FALSE),""))</f>
        <v/>
      </c>
      <c r="AF2092" s="2" t="str">
        <f>IF(D2092="","",IFERROR(MATCH(D2092,Projects!$A:$A,0),""))</f>
        <v/>
      </c>
    </row>
    <row r="2093" spans="31:32" x14ac:dyDescent="0.25">
      <c r="AE2093" s="39" t="str">
        <f>IF(D2093="","",IFERROR(VLOOKUP(D2093,Projects!$A$2:$A$20000,1,FALSE),""))</f>
        <v/>
      </c>
      <c r="AF2093" s="2" t="str">
        <f>IF(D2093="","",IFERROR(MATCH(D2093,Projects!$A:$A,0),""))</f>
        <v/>
      </c>
    </row>
    <row r="2094" spans="31:32" x14ac:dyDescent="0.25">
      <c r="AE2094" s="39" t="str">
        <f>IF(D2094="","",IFERROR(VLOOKUP(D2094,Projects!$A$2:$A$20000,1,FALSE),""))</f>
        <v/>
      </c>
      <c r="AF2094" s="2" t="str">
        <f>IF(D2094="","",IFERROR(MATCH(D2094,Projects!$A:$A,0),""))</f>
        <v/>
      </c>
    </row>
    <row r="2095" spans="31:32" x14ac:dyDescent="0.25">
      <c r="AE2095" s="39" t="str">
        <f>IF(D2095="","",IFERROR(VLOOKUP(D2095,Projects!$A$2:$A$20000,1,FALSE),""))</f>
        <v/>
      </c>
      <c r="AF2095" s="2" t="str">
        <f>IF(D2095="","",IFERROR(MATCH(D2095,Projects!$A:$A,0),""))</f>
        <v/>
      </c>
    </row>
    <row r="2096" spans="31:32" x14ac:dyDescent="0.25">
      <c r="AE2096" s="39" t="str">
        <f>IF(D2096="","",IFERROR(VLOOKUP(D2096,Projects!$A$2:$A$20000,1,FALSE),""))</f>
        <v/>
      </c>
      <c r="AF2096" s="2" t="str">
        <f>IF(D2096="","",IFERROR(MATCH(D2096,Projects!$A:$A,0),""))</f>
        <v/>
      </c>
    </row>
    <row r="2097" spans="31:32" x14ac:dyDescent="0.25">
      <c r="AE2097" s="39" t="str">
        <f>IF(D2097="","",IFERROR(VLOOKUP(D2097,Projects!$A$2:$A$20000,1,FALSE),""))</f>
        <v/>
      </c>
      <c r="AF2097" s="2" t="str">
        <f>IF(D2097="","",IFERROR(MATCH(D2097,Projects!$A:$A,0),""))</f>
        <v/>
      </c>
    </row>
    <row r="2098" spans="31:32" x14ac:dyDescent="0.25">
      <c r="AE2098" s="39" t="str">
        <f>IF(D2098="","",IFERROR(VLOOKUP(D2098,Projects!$A$2:$A$20000,1,FALSE),""))</f>
        <v/>
      </c>
      <c r="AF2098" s="2" t="str">
        <f>IF(D2098="","",IFERROR(MATCH(D2098,Projects!$A:$A,0),""))</f>
        <v/>
      </c>
    </row>
    <row r="2099" spans="31:32" x14ac:dyDescent="0.25">
      <c r="AE2099" s="39" t="str">
        <f>IF(D2099="","",IFERROR(VLOOKUP(D2099,Projects!$A$2:$A$20000,1,FALSE),""))</f>
        <v/>
      </c>
      <c r="AF2099" s="2" t="str">
        <f>IF(D2099="","",IFERROR(MATCH(D2099,Projects!$A:$A,0),""))</f>
        <v/>
      </c>
    </row>
    <row r="2100" spans="31:32" x14ac:dyDescent="0.25">
      <c r="AE2100" s="39" t="str">
        <f>IF(D2100="","",IFERROR(VLOOKUP(D2100,Projects!$A$2:$A$20000,1,FALSE),""))</f>
        <v/>
      </c>
      <c r="AF2100" s="2" t="str">
        <f>IF(D2100="","",IFERROR(MATCH(D2100,Projects!$A:$A,0),""))</f>
        <v/>
      </c>
    </row>
    <row r="2101" spans="31:32" x14ac:dyDescent="0.25">
      <c r="AE2101" s="39" t="str">
        <f>IF(D2101="","",IFERROR(VLOOKUP(D2101,Projects!$A$2:$A$20000,1,FALSE),""))</f>
        <v/>
      </c>
      <c r="AF2101" s="2" t="str">
        <f>IF(D2101="","",IFERROR(MATCH(D2101,Projects!$A:$A,0),""))</f>
        <v/>
      </c>
    </row>
    <row r="2102" spans="31:32" x14ac:dyDescent="0.25">
      <c r="AE2102" s="39" t="str">
        <f>IF(D2102="","",IFERROR(VLOOKUP(D2102,Projects!$A$2:$A$20000,1,FALSE),""))</f>
        <v/>
      </c>
      <c r="AF2102" s="2" t="str">
        <f>IF(D2102="","",IFERROR(MATCH(D2102,Projects!$A:$A,0),""))</f>
        <v/>
      </c>
    </row>
    <row r="2103" spans="31:32" x14ac:dyDescent="0.25">
      <c r="AE2103" s="39" t="str">
        <f>IF(D2103="","",IFERROR(VLOOKUP(D2103,Projects!$A$2:$A$20000,1,FALSE),""))</f>
        <v/>
      </c>
      <c r="AF2103" s="2" t="str">
        <f>IF(D2103="","",IFERROR(MATCH(D2103,Projects!$A:$A,0),""))</f>
        <v/>
      </c>
    </row>
    <row r="2104" spans="31:32" x14ac:dyDescent="0.25">
      <c r="AE2104" s="39" t="str">
        <f>IF(D2104="","",IFERROR(VLOOKUP(D2104,Projects!$A$2:$A$20000,1,FALSE),""))</f>
        <v/>
      </c>
      <c r="AF2104" s="2" t="str">
        <f>IF(D2104="","",IFERROR(MATCH(D2104,Projects!$A:$A,0),""))</f>
        <v/>
      </c>
    </row>
    <row r="2105" spans="31:32" x14ac:dyDescent="0.25">
      <c r="AE2105" s="39" t="str">
        <f>IF(D2105="","",IFERROR(VLOOKUP(D2105,Projects!$A$2:$A$20000,1,FALSE),""))</f>
        <v/>
      </c>
      <c r="AF2105" s="2" t="str">
        <f>IF(D2105="","",IFERROR(MATCH(D2105,Projects!$A:$A,0),""))</f>
        <v/>
      </c>
    </row>
    <row r="2106" spans="31:32" x14ac:dyDescent="0.25">
      <c r="AE2106" s="39" t="str">
        <f>IF(D2106="","",IFERROR(VLOOKUP(D2106,Projects!$A$2:$A$20000,1,FALSE),""))</f>
        <v/>
      </c>
      <c r="AF2106" s="2" t="str">
        <f>IF(D2106="","",IFERROR(MATCH(D2106,Projects!$A:$A,0),""))</f>
        <v/>
      </c>
    </row>
    <row r="2107" spans="31:32" x14ac:dyDescent="0.25">
      <c r="AE2107" s="39" t="str">
        <f>IF(D2107="","",IFERROR(VLOOKUP(D2107,Projects!$A$2:$A$20000,1,FALSE),""))</f>
        <v/>
      </c>
      <c r="AF2107" s="2" t="str">
        <f>IF(D2107="","",IFERROR(MATCH(D2107,Projects!$A:$A,0),""))</f>
        <v/>
      </c>
    </row>
    <row r="2108" spans="31:32" x14ac:dyDescent="0.25">
      <c r="AE2108" s="39" t="str">
        <f>IF(D2108="","",IFERROR(VLOOKUP(D2108,Projects!$A$2:$A$20000,1,FALSE),""))</f>
        <v/>
      </c>
      <c r="AF2108" s="2" t="str">
        <f>IF(D2108="","",IFERROR(MATCH(D2108,Projects!$A:$A,0),""))</f>
        <v/>
      </c>
    </row>
    <row r="2109" spans="31:32" x14ac:dyDescent="0.25">
      <c r="AE2109" s="39" t="str">
        <f>IF(D2109="","",IFERROR(VLOOKUP(D2109,Projects!$A$2:$A$20000,1,FALSE),""))</f>
        <v/>
      </c>
      <c r="AF2109" s="2" t="str">
        <f>IF(D2109="","",IFERROR(MATCH(D2109,Projects!$A:$A,0),""))</f>
        <v/>
      </c>
    </row>
    <row r="2110" spans="31:32" x14ac:dyDescent="0.25">
      <c r="AE2110" s="39" t="str">
        <f>IF(D2110="","",IFERROR(VLOOKUP(D2110,Projects!$A$2:$A$20000,1,FALSE),""))</f>
        <v/>
      </c>
      <c r="AF2110" s="2" t="str">
        <f>IF(D2110="","",IFERROR(MATCH(D2110,Projects!$A:$A,0),""))</f>
        <v/>
      </c>
    </row>
    <row r="2111" spans="31:32" x14ac:dyDescent="0.25">
      <c r="AE2111" s="39" t="str">
        <f>IF(D2111="","",IFERROR(VLOOKUP(D2111,Projects!$A$2:$A$20000,1,FALSE),""))</f>
        <v/>
      </c>
      <c r="AF2111" s="2" t="str">
        <f>IF(D2111="","",IFERROR(MATCH(D2111,Projects!$A:$A,0),""))</f>
        <v/>
      </c>
    </row>
    <row r="2112" spans="31:32" x14ac:dyDescent="0.25">
      <c r="AE2112" s="39" t="str">
        <f>IF(D2112="","",IFERROR(VLOOKUP(D2112,Projects!$A$2:$A$20000,1,FALSE),""))</f>
        <v/>
      </c>
      <c r="AF2112" s="2" t="str">
        <f>IF(D2112="","",IFERROR(MATCH(D2112,Projects!$A:$A,0),""))</f>
        <v/>
      </c>
    </row>
    <row r="2113" spans="31:32" x14ac:dyDescent="0.25">
      <c r="AE2113" s="39" t="str">
        <f>IF(D2113="","",IFERROR(VLOOKUP(D2113,Projects!$A$2:$A$20000,1,FALSE),""))</f>
        <v/>
      </c>
      <c r="AF2113" s="2" t="str">
        <f>IF(D2113="","",IFERROR(MATCH(D2113,Projects!$A:$A,0),""))</f>
        <v/>
      </c>
    </row>
    <row r="2114" spans="31:32" x14ac:dyDescent="0.25">
      <c r="AE2114" s="39" t="str">
        <f>IF(D2114="","",IFERROR(VLOOKUP(D2114,Projects!$A$2:$A$20000,1,FALSE),""))</f>
        <v/>
      </c>
      <c r="AF2114" s="2" t="str">
        <f>IF(D2114="","",IFERROR(MATCH(D2114,Projects!$A:$A,0),""))</f>
        <v/>
      </c>
    </row>
    <row r="2115" spans="31:32" x14ac:dyDescent="0.25">
      <c r="AE2115" s="39" t="str">
        <f>IF(D2115="","",IFERROR(VLOOKUP(D2115,Projects!$A$2:$A$20000,1,FALSE),""))</f>
        <v/>
      </c>
      <c r="AF2115" s="2" t="str">
        <f>IF(D2115="","",IFERROR(MATCH(D2115,Projects!$A:$A,0),""))</f>
        <v/>
      </c>
    </row>
    <row r="2116" spans="31:32" x14ac:dyDescent="0.25">
      <c r="AE2116" s="39" t="str">
        <f>IF(D2116="","",IFERROR(VLOOKUP(D2116,Projects!$A$2:$A$20000,1,FALSE),""))</f>
        <v/>
      </c>
      <c r="AF2116" s="2" t="str">
        <f>IF(D2116="","",IFERROR(MATCH(D2116,Projects!$A:$A,0),""))</f>
        <v/>
      </c>
    </row>
    <row r="2117" spans="31:32" x14ac:dyDescent="0.25">
      <c r="AE2117" s="39" t="str">
        <f>IF(D2117="","",IFERROR(VLOOKUP(D2117,Projects!$A$2:$A$20000,1,FALSE),""))</f>
        <v/>
      </c>
      <c r="AF2117" s="2" t="str">
        <f>IF(D2117="","",IFERROR(MATCH(D2117,Projects!$A:$A,0),""))</f>
        <v/>
      </c>
    </row>
    <row r="2118" spans="31:32" x14ac:dyDescent="0.25">
      <c r="AE2118" s="39" t="str">
        <f>IF(D2118="","",IFERROR(VLOOKUP(D2118,Projects!$A$2:$A$20000,1,FALSE),""))</f>
        <v/>
      </c>
      <c r="AF2118" s="2" t="str">
        <f>IF(D2118="","",IFERROR(MATCH(D2118,Projects!$A:$A,0),""))</f>
        <v/>
      </c>
    </row>
    <row r="2119" spans="31:32" x14ac:dyDescent="0.25">
      <c r="AE2119" s="39" t="str">
        <f>IF(D2119="","",IFERROR(VLOOKUP(D2119,Projects!$A$2:$A$20000,1,FALSE),""))</f>
        <v/>
      </c>
      <c r="AF2119" s="2" t="str">
        <f>IF(D2119="","",IFERROR(MATCH(D2119,Projects!$A:$A,0),""))</f>
        <v/>
      </c>
    </row>
    <row r="2120" spans="31:32" x14ac:dyDescent="0.25">
      <c r="AE2120" s="39" t="str">
        <f>IF(D2120="","",IFERROR(VLOOKUP(D2120,Projects!$A$2:$A$20000,1,FALSE),""))</f>
        <v/>
      </c>
      <c r="AF2120" s="2" t="str">
        <f>IF(D2120="","",IFERROR(MATCH(D2120,Projects!$A:$A,0),""))</f>
        <v/>
      </c>
    </row>
    <row r="2121" spans="31:32" x14ac:dyDescent="0.25">
      <c r="AE2121" s="39" t="str">
        <f>IF(D2121="","",IFERROR(VLOOKUP(D2121,Projects!$A$2:$A$20000,1,FALSE),""))</f>
        <v/>
      </c>
      <c r="AF2121" s="2" t="str">
        <f>IF(D2121="","",IFERROR(MATCH(D2121,Projects!$A:$A,0),""))</f>
        <v/>
      </c>
    </row>
    <row r="2122" spans="31:32" x14ac:dyDescent="0.25">
      <c r="AE2122" s="39" t="str">
        <f>IF(D2122="","",IFERROR(VLOOKUP(D2122,Projects!$A$2:$A$20000,1,FALSE),""))</f>
        <v/>
      </c>
      <c r="AF2122" s="2" t="str">
        <f>IF(D2122="","",IFERROR(MATCH(D2122,Projects!$A:$A,0),""))</f>
        <v/>
      </c>
    </row>
    <row r="2123" spans="31:32" x14ac:dyDescent="0.25">
      <c r="AE2123" s="39" t="str">
        <f>IF(D2123="","",IFERROR(VLOOKUP(D2123,Projects!$A$2:$A$20000,1,FALSE),""))</f>
        <v/>
      </c>
      <c r="AF2123" s="2" t="str">
        <f>IF(D2123="","",IFERROR(MATCH(D2123,Projects!$A:$A,0),""))</f>
        <v/>
      </c>
    </row>
    <row r="2124" spans="31:32" x14ac:dyDescent="0.25">
      <c r="AE2124" s="39" t="str">
        <f>IF(D2124="","",IFERROR(VLOOKUP(D2124,Projects!$A$2:$A$20000,1,FALSE),""))</f>
        <v/>
      </c>
      <c r="AF2124" s="2" t="str">
        <f>IF(D2124="","",IFERROR(MATCH(D2124,Projects!$A:$A,0),""))</f>
        <v/>
      </c>
    </row>
    <row r="2125" spans="31:32" x14ac:dyDescent="0.25">
      <c r="AE2125" s="39" t="str">
        <f>IF(D2125="","",IFERROR(VLOOKUP(D2125,Projects!$A$2:$A$20000,1,FALSE),""))</f>
        <v/>
      </c>
      <c r="AF2125" s="2" t="str">
        <f>IF(D2125="","",IFERROR(MATCH(D2125,Projects!$A:$A,0),""))</f>
        <v/>
      </c>
    </row>
    <row r="2126" spans="31:32" x14ac:dyDescent="0.25">
      <c r="AE2126" s="39" t="str">
        <f>IF(D2126="","",IFERROR(VLOOKUP(D2126,Projects!$A$2:$A$20000,1,FALSE),""))</f>
        <v/>
      </c>
      <c r="AF2126" s="2" t="str">
        <f>IF(D2126="","",IFERROR(MATCH(D2126,Projects!$A:$A,0),""))</f>
        <v/>
      </c>
    </row>
    <row r="2127" spans="31:32" x14ac:dyDescent="0.25">
      <c r="AE2127" s="39" t="str">
        <f>IF(D2127="","",IFERROR(VLOOKUP(D2127,Projects!$A$2:$A$20000,1,FALSE),""))</f>
        <v/>
      </c>
      <c r="AF2127" s="2" t="str">
        <f>IF(D2127="","",IFERROR(MATCH(D2127,Projects!$A:$A,0),""))</f>
        <v/>
      </c>
    </row>
    <row r="2128" spans="31:32" x14ac:dyDescent="0.25">
      <c r="AE2128" s="39" t="str">
        <f>IF(D2128="","",IFERROR(VLOOKUP(D2128,Projects!$A$2:$A$20000,1,FALSE),""))</f>
        <v/>
      </c>
      <c r="AF2128" s="2" t="str">
        <f>IF(D2128="","",IFERROR(MATCH(D2128,Projects!$A:$A,0),""))</f>
        <v/>
      </c>
    </row>
    <row r="2129" spans="31:32" x14ac:dyDescent="0.25">
      <c r="AE2129" s="39" t="str">
        <f>IF(D2129="","",IFERROR(VLOOKUP(D2129,Projects!$A$2:$A$20000,1,FALSE),""))</f>
        <v/>
      </c>
      <c r="AF2129" s="2" t="str">
        <f>IF(D2129="","",IFERROR(MATCH(D2129,Projects!$A:$A,0),""))</f>
        <v/>
      </c>
    </row>
    <row r="2130" spans="31:32" x14ac:dyDescent="0.25">
      <c r="AE2130" s="39" t="str">
        <f>IF(D2130="","",IFERROR(VLOOKUP(D2130,Projects!$A$2:$A$20000,1,FALSE),""))</f>
        <v/>
      </c>
      <c r="AF2130" s="2" t="str">
        <f>IF(D2130="","",IFERROR(MATCH(D2130,Projects!$A:$A,0),""))</f>
        <v/>
      </c>
    </row>
    <row r="2131" spans="31:32" x14ac:dyDescent="0.25">
      <c r="AE2131" s="39" t="str">
        <f>IF(D2131="","",IFERROR(VLOOKUP(D2131,Projects!$A$2:$A$20000,1,FALSE),""))</f>
        <v/>
      </c>
      <c r="AF2131" s="2" t="str">
        <f>IF(D2131="","",IFERROR(MATCH(D2131,Projects!$A:$A,0),""))</f>
        <v/>
      </c>
    </row>
    <row r="2132" spans="31:32" x14ac:dyDescent="0.25">
      <c r="AE2132" s="39" t="str">
        <f>IF(D2132="","",IFERROR(VLOOKUP(D2132,Projects!$A$2:$A$20000,1,FALSE),""))</f>
        <v/>
      </c>
      <c r="AF2132" s="2" t="str">
        <f>IF(D2132="","",IFERROR(MATCH(D2132,Projects!$A:$A,0),""))</f>
        <v/>
      </c>
    </row>
    <row r="2133" spans="31:32" x14ac:dyDescent="0.25">
      <c r="AE2133" s="39" t="str">
        <f>IF(D2133="","",IFERROR(VLOOKUP(D2133,Projects!$A$2:$A$20000,1,FALSE),""))</f>
        <v/>
      </c>
      <c r="AF2133" s="2" t="str">
        <f>IF(D2133="","",IFERROR(MATCH(D2133,Projects!$A:$A,0),""))</f>
        <v/>
      </c>
    </row>
    <row r="2134" spans="31:32" x14ac:dyDescent="0.25">
      <c r="AE2134" s="39" t="str">
        <f>IF(D2134="","",IFERROR(VLOOKUP(D2134,Projects!$A$2:$A$20000,1,FALSE),""))</f>
        <v/>
      </c>
      <c r="AF2134" s="2" t="str">
        <f>IF(D2134="","",IFERROR(MATCH(D2134,Projects!$A:$A,0),""))</f>
        <v/>
      </c>
    </row>
    <row r="2135" spans="31:32" x14ac:dyDescent="0.25">
      <c r="AE2135" s="39" t="str">
        <f>IF(D2135="","",IFERROR(VLOOKUP(D2135,Projects!$A$2:$A$20000,1,FALSE),""))</f>
        <v/>
      </c>
      <c r="AF2135" s="2" t="str">
        <f>IF(D2135="","",IFERROR(MATCH(D2135,Projects!$A:$A,0),""))</f>
        <v/>
      </c>
    </row>
    <row r="2136" spans="31:32" x14ac:dyDescent="0.25">
      <c r="AE2136" s="39" t="str">
        <f>IF(D2136="","",IFERROR(VLOOKUP(D2136,Projects!$A$2:$A$20000,1,FALSE),""))</f>
        <v/>
      </c>
      <c r="AF2136" s="2" t="str">
        <f>IF(D2136="","",IFERROR(MATCH(D2136,Projects!$A:$A,0),""))</f>
        <v/>
      </c>
    </row>
    <row r="2137" spans="31:32" x14ac:dyDescent="0.25">
      <c r="AE2137" s="39" t="str">
        <f>IF(D2137="","",IFERROR(VLOOKUP(D2137,Projects!$A$2:$A$20000,1,FALSE),""))</f>
        <v/>
      </c>
      <c r="AF2137" s="2" t="str">
        <f>IF(D2137="","",IFERROR(MATCH(D2137,Projects!$A:$A,0),""))</f>
        <v/>
      </c>
    </row>
    <row r="2138" spans="31:32" x14ac:dyDescent="0.25">
      <c r="AE2138" s="39" t="str">
        <f>IF(D2138="","",IFERROR(VLOOKUP(D2138,Projects!$A$2:$A$20000,1,FALSE),""))</f>
        <v/>
      </c>
      <c r="AF2138" s="2" t="str">
        <f>IF(D2138="","",IFERROR(MATCH(D2138,Projects!$A:$A,0),""))</f>
        <v/>
      </c>
    </row>
    <row r="2139" spans="31:32" x14ac:dyDescent="0.25">
      <c r="AE2139" s="39" t="str">
        <f>IF(D2139="","",IFERROR(VLOOKUP(D2139,Projects!$A$2:$A$20000,1,FALSE),""))</f>
        <v/>
      </c>
      <c r="AF2139" s="2" t="str">
        <f>IF(D2139="","",IFERROR(MATCH(D2139,Projects!$A:$A,0),""))</f>
        <v/>
      </c>
    </row>
    <row r="2140" spans="31:32" x14ac:dyDescent="0.25">
      <c r="AE2140" s="39" t="str">
        <f>IF(D2140="","",IFERROR(VLOOKUP(D2140,Projects!$A$2:$A$20000,1,FALSE),""))</f>
        <v/>
      </c>
      <c r="AF2140" s="2" t="str">
        <f>IF(D2140="","",IFERROR(MATCH(D2140,Projects!$A:$A,0),""))</f>
        <v/>
      </c>
    </row>
    <row r="2141" spans="31:32" x14ac:dyDescent="0.25">
      <c r="AE2141" s="39" t="str">
        <f>IF(D2141="","",IFERROR(VLOOKUP(D2141,Projects!$A$2:$A$20000,1,FALSE),""))</f>
        <v/>
      </c>
      <c r="AF2141" s="2" t="str">
        <f>IF(D2141="","",IFERROR(MATCH(D2141,Projects!$A:$A,0),""))</f>
        <v/>
      </c>
    </row>
    <row r="2142" spans="31:32" x14ac:dyDescent="0.25">
      <c r="AE2142" s="39" t="str">
        <f>IF(D2142="","",IFERROR(VLOOKUP(D2142,Projects!$A$2:$A$20000,1,FALSE),""))</f>
        <v/>
      </c>
      <c r="AF2142" s="2" t="str">
        <f>IF(D2142="","",IFERROR(MATCH(D2142,Projects!$A:$A,0),""))</f>
        <v/>
      </c>
    </row>
    <row r="2143" spans="31:32" x14ac:dyDescent="0.25">
      <c r="AE2143" s="39" t="str">
        <f>IF(D2143="","",IFERROR(VLOOKUP(D2143,Projects!$A$2:$A$20000,1,FALSE),""))</f>
        <v/>
      </c>
      <c r="AF2143" s="2" t="str">
        <f>IF(D2143="","",IFERROR(MATCH(D2143,Projects!$A:$A,0),""))</f>
        <v/>
      </c>
    </row>
    <row r="2144" spans="31:32" x14ac:dyDescent="0.25">
      <c r="AE2144" s="39" t="str">
        <f>IF(D2144="","",IFERROR(VLOOKUP(D2144,Projects!$A$2:$A$20000,1,FALSE),""))</f>
        <v/>
      </c>
      <c r="AF2144" s="2" t="str">
        <f>IF(D2144="","",IFERROR(MATCH(D2144,Projects!$A:$A,0),""))</f>
        <v/>
      </c>
    </row>
    <row r="2145" spans="31:32" x14ac:dyDescent="0.25">
      <c r="AE2145" s="39" t="str">
        <f>IF(D2145="","",IFERROR(VLOOKUP(D2145,Projects!$A$2:$A$20000,1,FALSE),""))</f>
        <v/>
      </c>
      <c r="AF2145" s="2" t="str">
        <f>IF(D2145="","",IFERROR(MATCH(D2145,Projects!$A:$A,0),""))</f>
        <v/>
      </c>
    </row>
    <row r="2146" spans="31:32" x14ac:dyDescent="0.25">
      <c r="AE2146" s="39" t="str">
        <f>IF(D2146="","",IFERROR(VLOOKUP(D2146,Projects!$A$2:$A$20000,1,FALSE),""))</f>
        <v/>
      </c>
      <c r="AF2146" s="2" t="str">
        <f>IF(D2146="","",IFERROR(MATCH(D2146,Projects!$A:$A,0),""))</f>
        <v/>
      </c>
    </row>
    <row r="2147" spans="31:32" x14ac:dyDescent="0.25">
      <c r="AE2147" s="39" t="str">
        <f>IF(D2147="","",IFERROR(VLOOKUP(D2147,Projects!$A$2:$A$20000,1,FALSE),""))</f>
        <v/>
      </c>
      <c r="AF2147" s="2" t="str">
        <f>IF(D2147="","",IFERROR(MATCH(D2147,Projects!$A:$A,0),""))</f>
        <v/>
      </c>
    </row>
    <row r="2148" spans="31:32" x14ac:dyDescent="0.25">
      <c r="AE2148" s="39" t="str">
        <f>IF(D2148="","",IFERROR(VLOOKUP(D2148,Projects!$A$2:$A$20000,1,FALSE),""))</f>
        <v/>
      </c>
      <c r="AF2148" s="2" t="str">
        <f>IF(D2148="","",IFERROR(MATCH(D2148,Projects!$A:$A,0),""))</f>
        <v/>
      </c>
    </row>
    <row r="2149" spans="31:32" x14ac:dyDescent="0.25">
      <c r="AE2149" s="39" t="str">
        <f>IF(D2149="","",IFERROR(VLOOKUP(D2149,Projects!$A$2:$A$20000,1,FALSE),""))</f>
        <v/>
      </c>
      <c r="AF2149" s="2" t="str">
        <f>IF(D2149="","",IFERROR(MATCH(D2149,Projects!$A:$A,0),""))</f>
        <v/>
      </c>
    </row>
    <row r="2150" spans="31:32" x14ac:dyDescent="0.25">
      <c r="AE2150" s="39" t="str">
        <f>IF(D2150="","",IFERROR(VLOOKUP(D2150,Projects!$A$2:$A$20000,1,FALSE),""))</f>
        <v/>
      </c>
      <c r="AF2150" s="2" t="str">
        <f>IF(D2150="","",IFERROR(MATCH(D2150,Projects!$A:$A,0),""))</f>
        <v/>
      </c>
    </row>
    <row r="2151" spans="31:32" x14ac:dyDescent="0.25">
      <c r="AE2151" s="39" t="str">
        <f>IF(D2151="","",IFERROR(VLOOKUP(D2151,Projects!$A$2:$A$20000,1,FALSE),""))</f>
        <v/>
      </c>
      <c r="AF2151" s="2" t="str">
        <f>IF(D2151="","",IFERROR(MATCH(D2151,Projects!$A:$A,0),""))</f>
        <v/>
      </c>
    </row>
    <row r="2152" spans="31:32" x14ac:dyDescent="0.25">
      <c r="AE2152" s="39" t="str">
        <f>IF(D2152="","",IFERROR(VLOOKUP(D2152,Projects!$A$2:$A$20000,1,FALSE),""))</f>
        <v/>
      </c>
      <c r="AF2152" s="2" t="str">
        <f>IF(D2152="","",IFERROR(MATCH(D2152,Projects!$A:$A,0),""))</f>
        <v/>
      </c>
    </row>
    <row r="2153" spans="31:32" x14ac:dyDescent="0.25">
      <c r="AE2153" s="39" t="str">
        <f>IF(D2153="","",IFERROR(VLOOKUP(D2153,Projects!$A$2:$A$20000,1,FALSE),""))</f>
        <v/>
      </c>
      <c r="AF2153" s="2" t="str">
        <f>IF(D2153="","",IFERROR(MATCH(D2153,Projects!$A:$A,0),""))</f>
        <v/>
      </c>
    </row>
    <row r="2154" spans="31:32" x14ac:dyDescent="0.25">
      <c r="AE2154" s="39" t="str">
        <f>IF(D2154="","",IFERROR(VLOOKUP(D2154,Projects!$A$2:$A$20000,1,FALSE),""))</f>
        <v/>
      </c>
      <c r="AF2154" s="2" t="str">
        <f>IF(D2154="","",IFERROR(MATCH(D2154,Projects!$A:$A,0),""))</f>
        <v/>
      </c>
    </row>
    <row r="2155" spans="31:32" x14ac:dyDescent="0.25">
      <c r="AE2155" s="39" t="str">
        <f>IF(D2155="","",IFERROR(VLOOKUP(D2155,Projects!$A$2:$A$20000,1,FALSE),""))</f>
        <v/>
      </c>
      <c r="AF2155" s="2" t="str">
        <f>IF(D2155="","",IFERROR(MATCH(D2155,Projects!$A:$A,0),""))</f>
        <v/>
      </c>
    </row>
    <row r="2156" spans="31:32" x14ac:dyDescent="0.25">
      <c r="AE2156" s="39" t="str">
        <f>IF(D2156="","",IFERROR(VLOOKUP(D2156,Projects!$A$2:$A$20000,1,FALSE),""))</f>
        <v/>
      </c>
      <c r="AF2156" s="2" t="str">
        <f>IF(D2156="","",IFERROR(MATCH(D2156,Projects!$A:$A,0),""))</f>
        <v/>
      </c>
    </row>
    <row r="2157" spans="31:32" x14ac:dyDescent="0.25">
      <c r="AE2157" s="39" t="str">
        <f>IF(D2157="","",IFERROR(VLOOKUP(D2157,Projects!$A$2:$A$20000,1,FALSE),""))</f>
        <v/>
      </c>
      <c r="AF2157" s="2" t="str">
        <f>IF(D2157="","",IFERROR(MATCH(D2157,Projects!$A:$A,0),""))</f>
        <v/>
      </c>
    </row>
    <row r="2158" spans="31:32" x14ac:dyDescent="0.25">
      <c r="AE2158" s="39" t="str">
        <f>IF(D2158="","",IFERROR(VLOOKUP(D2158,Projects!$A$2:$A$20000,1,FALSE),""))</f>
        <v/>
      </c>
      <c r="AF2158" s="2" t="str">
        <f>IF(D2158="","",IFERROR(MATCH(D2158,Projects!$A:$A,0),""))</f>
        <v/>
      </c>
    </row>
    <row r="2159" spans="31:32" x14ac:dyDescent="0.25">
      <c r="AE2159" s="39" t="str">
        <f>IF(D2159="","",IFERROR(VLOOKUP(D2159,Projects!$A$2:$A$20000,1,FALSE),""))</f>
        <v/>
      </c>
      <c r="AF2159" s="2" t="str">
        <f>IF(D2159="","",IFERROR(MATCH(D2159,Projects!$A:$A,0),""))</f>
        <v/>
      </c>
    </row>
    <row r="2160" spans="31:32" x14ac:dyDescent="0.25">
      <c r="AE2160" s="39" t="str">
        <f>IF(D2160="","",IFERROR(VLOOKUP(D2160,Projects!$A$2:$A$20000,1,FALSE),""))</f>
        <v/>
      </c>
      <c r="AF2160" s="2" t="str">
        <f>IF(D2160="","",IFERROR(MATCH(D2160,Projects!$A:$A,0),""))</f>
        <v/>
      </c>
    </row>
    <row r="2161" spans="31:32" x14ac:dyDescent="0.25">
      <c r="AE2161" s="39" t="str">
        <f>IF(D2161="","",IFERROR(VLOOKUP(D2161,Projects!$A$2:$A$20000,1,FALSE),""))</f>
        <v/>
      </c>
      <c r="AF2161" s="2" t="str">
        <f>IF(D2161="","",IFERROR(MATCH(D2161,Projects!$A:$A,0),""))</f>
        <v/>
      </c>
    </row>
    <row r="2162" spans="31:32" x14ac:dyDescent="0.25">
      <c r="AE2162" s="39" t="str">
        <f>IF(D2162="","",IFERROR(VLOOKUP(D2162,Projects!$A$2:$A$20000,1,FALSE),""))</f>
        <v/>
      </c>
      <c r="AF2162" s="2" t="str">
        <f>IF(D2162="","",IFERROR(MATCH(D2162,Projects!$A:$A,0),""))</f>
        <v/>
      </c>
    </row>
    <row r="2163" spans="31:32" x14ac:dyDescent="0.25">
      <c r="AE2163" s="39" t="str">
        <f>IF(D2163="","",IFERROR(VLOOKUP(D2163,Projects!$A$2:$A$20000,1,FALSE),""))</f>
        <v/>
      </c>
      <c r="AF2163" s="2" t="str">
        <f>IF(D2163="","",IFERROR(MATCH(D2163,Projects!$A:$A,0),""))</f>
        <v/>
      </c>
    </row>
    <row r="2164" spans="31:32" x14ac:dyDescent="0.25">
      <c r="AE2164" s="39" t="str">
        <f>IF(D2164="","",IFERROR(VLOOKUP(D2164,Projects!$A$2:$A$20000,1,FALSE),""))</f>
        <v/>
      </c>
      <c r="AF2164" s="2" t="str">
        <f>IF(D2164="","",IFERROR(MATCH(D2164,Projects!$A:$A,0),""))</f>
        <v/>
      </c>
    </row>
    <row r="2165" spans="31:32" x14ac:dyDescent="0.25">
      <c r="AE2165" s="39" t="str">
        <f>IF(D2165="","",IFERROR(VLOOKUP(D2165,Projects!$A$2:$A$20000,1,FALSE),""))</f>
        <v/>
      </c>
      <c r="AF2165" s="2" t="str">
        <f>IF(D2165="","",IFERROR(MATCH(D2165,Projects!$A:$A,0),""))</f>
        <v/>
      </c>
    </row>
    <row r="2166" spans="31:32" x14ac:dyDescent="0.25">
      <c r="AE2166" s="39" t="str">
        <f>IF(D2166="","",IFERROR(VLOOKUP(D2166,Projects!$A$2:$A$20000,1,FALSE),""))</f>
        <v/>
      </c>
      <c r="AF2166" s="2" t="str">
        <f>IF(D2166="","",IFERROR(MATCH(D2166,Projects!$A:$A,0),""))</f>
        <v/>
      </c>
    </row>
    <row r="2167" spans="31:32" x14ac:dyDescent="0.25">
      <c r="AE2167" s="39" t="str">
        <f>IF(D2167="","",IFERROR(VLOOKUP(D2167,Projects!$A$2:$A$20000,1,FALSE),""))</f>
        <v/>
      </c>
      <c r="AF2167" s="2" t="str">
        <f>IF(D2167="","",IFERROR(MATCH(D2167,Projects!$A:$A,0),""))</f>
        <v/>
      </c>
    </row>
    <row r="2168" spans="31:32" x14ac:dyDescent="0.25">
      <c r="AE2168" s="39" t="str">
        <f>IF(D2168="","",IFERROR(VLOOKUP(D2168,Projects!$A$2:$A$20000,1,FALSE),""))</f>
        <v/>
      </c>
      <c r="AF2168" s="2" t="str">
        <f>IF(D2168="","",IFERROR(MATCH(D2168,Projects!$A:$A,0),""))</f>
        <v/>
      </c>
    </row>
    <row r="2169" spans="31:32" x14ac:dyDescent="0.25">
      <c r="AE2169" s="39" t="str">
        <f>IF(D2169="","",IFERROR(VLOOKUP(D2169,Projects!$A$2:$A$20000,1,FALSE),""))</f>
        <v/>
      </c>
      <c r="AF2169" s="2" t="str">
        <f>IF(D2169="","",IFERROR(MATCH(D2169,Projects!$A:$A,0),""))</f>
        <v/>
      </c>
    </row>
    <row r="2170" spans="31:32" x14ac:dyDescent="0.25">
      <c r="AE2170" s="39" t="str">
        <f>IF(D2170="","",IFERROR(VLOOKUP(D2170,Projects!$A$2:$A$20000,1,FALSE),""))</f>
        <v/>
      </c>
      <c r="AF2170" s="2" t="str">
        <f>IF(D2170="","",IFERROR(MATCH(D2170,Projects!$A:$A,0),""))</f>
        <v/>
      </c>
    </row>
    <row r="2171" spans="31:32" x14ac:dyDescent="0.25">
      <c r="AE2171" s="39" t="str">
        <f>IF(D2171="","",IFERROR(VLOOKUP(D2171,Projects!$A$2:$A$20000,1,FALSE),""))</f>
        <v/>
      </c>
      <c r="AF2171" s="2" t="str">
        <f>IF(D2171="","",IFERROR(MATCH(D2171,Projects!$A:$A,0),""))</f>
        <v/>
      </c>
    </row>
    <row r="2172" spans="31:32" x14ac:dyDescent="0.25">
      <c r="AE2172" s="39" t="str">
        <f>IF(D2172="","",IFERROR(VLOOKUP(D2172,Projects!$A$2:$A$20000,1,FALSE),""))</f>
        <v/>
      </c>
      <c r="AF2172" s="2" t="str">
        <f>IF(D2172="","",IFERROR(MATCH(D2172,Projects!$A:$A,0),""))</f>
        <v/>
      </c>
    </row>
    <row r="2173" spans="31:32" x14ac:dyDescent="0.25">
      <c r="AE2173" s="39" t="str">
        <f>IF(D2173="","",IFERROR(VLOOKUP(D2173,Projects!$A$2:$A$20000,1,FALSE),""))</f>
        <v/>
      </c>
      <c r="AF2173" s="2" t="str">
        <f>IF(D2173="","",IFERROR(MATCH(D2173,Projects!$A:$A,0),""))</f>
        <v/>
      </c>
    </row>
    <row r="2174" spans="31:32" x14ac:dyDescent="0.25">
      <c r="AE2174" s="39" t="str">
        <f>IF(D2174="","",IFERROR(VLOOKUP(D2174,Projects!$A$2:$A$20000,1,FALSE),""))</f>
        <v/>
      </c>
      <c r="AF2174" s="2" t="str">
        <f>IF(D2174="","",IFERROR(MATCH(D2174,Projects!$A:$A,0),""))</f>
        <v/>
      </c>
    </row>
    <row r="2175" spans="31:32" x14ac:dyDescent="0.25">
      <c r="AE2175" s="39" t="str">
        <f>IF(D2175="","",IFERROR(VLOOKUP(D2175,Projects!$A$2:$A$20000,1,FALSE),""))</f>
        <v/>
      </c>
      <c r="AF2175" s="2" t="str">
        <f>IF(D2175="","",IFERROR(MATCH(D2175,Projects!$A:$A,0),""))</f>
        <v/>
      </c>
    </row>
    <row r="2176" spans="31:32" x14ac:dyDescent="0.25">
      <c r="AE2176" s="39" t="str">
        <f>IF(D2176="","",IFERROR(VLOOKUP(D2176,Projects!$A$2:$A$20000,1,FALSE),""))</f>
        <v/>
      </c>
      <c r="AF2176" s="2" t="str">
        <f>IF(D2176="","",IFERROR(MATCH(D2176,Projects!$A:$A,0),""))</f>
        <v/>
      </c>
    </row>
    <row r="2177" spans="31:32" x14ac:dyDescent="0.25">
      <c r="AE2177" s="39" t="str">
        <f>IF(D2177="","",IFERROR(VLOOKUP(D2177,Projects!$A$2:$A$20000,1,FALSE),""))</f>
        <v/>
      </c>
      <c r="AF2177" s="2" t="str">
        <f>IF(D2177="","",IFERROR(MATCH(D2177,Projects!$A:$A,0),""))</f>
        <v/>
      </c>
    </row>
    <row r="2178" spans="31:32" x14ac:dyDescent="0.25">
      <c r="AE2178" s="39" t="str">
        <f>IF(D2178="","",IFERROR(VLOOKUP(D2178,Projects!$A$2:$A$20000,1,FALSE),""))</f>
        <v/>
      </c>
      <c r="AF2178" s="2" t="str">
        <f>IF(D2178="","",IFERROR(MATCH(D2178,Projects!$A:$A,0),""))</f>
        <v/>
      </c>
    </row>
    <row r="2179" spans="31:32" x14ac:dyDescent="0.25">
      <c r="AE2179" s="39" t="str">
        <f>IF(D2179="","",IFERROR(VLOOKUP(D2179,Projects!$A$2:$A$20000,1,FALSE),""))</f>
        <v/>
      </c>
      <c r="AF2179" s="2" t="str">
        <f>IF(D2179="","",IFERROR(MATCH(D2179,Projects!$A:$A,0),""))</f>
        <v/>
      </c>
    </row>
    <row r="2180" spans="31:32" x14ac:dyDescent="0.25">
      <c r="AE2180" s="39" t="str">
        <f>IF(D2180="","",IFERROR(VLOOKUP(D2180,Projects!$A$2:$A$20000,1,FALSE),""))</f>
        <v/>
      </c>
      <c r="AF2180" s="2" t="str">
        <f>IF(D2180="","",IFERROR(MATCH(D2180,Projects!$A:$A,0),""))</f>
        <v/>
      </c>
    </row>
    <row r="2181" spans="31:32" x14ac:dyDescent="0.25">
      <c r="AE2181" s="39" t="str">
        <f>IF(D2181="","",IFERROR(VLOOKUP(D2181,Projects!$A$2:$A$20000,1,FALSE),""))</f>
        <v/>
      </c>
      <c r="AF2181" s="2" t="str">
        <f>IF(D2181="","",IFERROR(MATCH(D2181,Projects!$A:$A,0),""))</f>
        <v/>
      </c>
    </row>
    <row r="2182" spans="31:32" x14ac:dyDescent="0.25">
      <c r="AE2182" s="39" t="str">
        <f>IF(D2182="","",IFERROR(VLOOKUP(D2182,Projects!$A$2:$A$20000,1,FALSE),""))</f>
        <v/>
      </c>
      <c r="AF2182" s="2" t="str">
        <f>IF(D2182="","",IFERROR(MATCH(D2182,Projects!$A:$A,0),""))</f>
        <v/>
      </c>
    </row>
    <row r="2183" spans="31:32" x14ac:dyDescent="0.25">
      <c r="AE2183" s="39" t="str">
        <f>IF(D2183="","",IFERROR(VLOOKUP(D2183,Projects!$A$2:$A$20000,1,FALSE),""))</f>
        <v/>
      </c>
      <c r="AF2183" s="2" t="str">
        <f>IF(D2183="","",IFERROR(MATCH(D2183,Projects!$A:$A,0),""))</f>
        <v/>
      </c>
    </row>
    <row r="2184" spans="31:32" x14ac:dyDescent="0.25">
      <c r="AE2184" s="39" t="str">
        <f>IF(D2184="","",IFERROR(VLOOKUP(D2184,Projects!$A$2:$A$20000,1,FALSE),""))</f>
        <v/>
      </c>
      <c r="AF2184" s="2" t="str">
        <f>IF(D2184="","",IFERROR(MATCH(D2184,Projects!$A:$A,0),""))</f>
        <v/>
      </c>
    </row>
    <row r="2185" spans="31:32" x14ac:dyDescent="0.25">
      <c r="AE2185" s="39" t="str">
        <f>IF(D2185="","",IFERROR(VLOOKUP(D2185,Projects!$A$2:$A$20000,1,FALSE),""))</f>
        <v/>
      </c>
      <c r="AF2185" s="2" t="str">
        <f>IF(D2185="","",IFERROR(MATCH(D2185,Projects!$A:$A,0),""))</f>
        <v/>
      </c>
    </row>
    <row r="2186" spans="31:32" x14ac:dyDescent="0.25">
      <c r="AE2186" s="39" t="str">
        <f>IF(D2186="","",IFERROR(VLOOKUP(D2186,Projects!$A$2:$A$20000,1,FALSE),""))</f>
        <v/>
      </c>
      <c r="AF2186" s="2" t="str">
        <f>IF(D2186="","",IFERROR(MATCH(D2186,Projects!$A:$A,0),""))</f>
        <v/>
      </c>
    </row>
    <row r="2187" spans="31:32" x14ac:dyDescent="0.25">
      <c r="AE2187" s="39" t="str">
        <f>IF(D2187="","",IFERROR(VLOOKUP(D2187,Projects!$A$2:$A$20000,1,FALSE),""))</f>
        <v/>
      </c>
      <c r="AF2187" s="2" t="str">
        <f>IF(D2187="","",IFERROR(MATCH(D2187,Projects!$A:$A,0),""))</f>
        <v/>
      </c>
    </row>
    <row r="2188" spans="31:32" x14ac:dyDescent="0.25">
      <c r="AE2188" s="39" t="str">
        <f>IF(D2188="","",IFERROR(VLOOKUP(D2188,Projects!$A$2:$A$20000,1,FALSE),""))</f>
        <v/>
      </c>
      <c r="AF2188" s="2" t="str">
        <f>IF(D2188="","",IFERROR(MATCH(D2188,Projects!$A:$A,0),""))</f>
        <v/>
      </c>
    </row>
    <row r="2189" spans="31:32" x14ac:dyDescent="0.25">
      <c r="AE2189" s="39" t="str">
        <f>IF(D2189="","",IFERROR(VLOOKUP(D2189,Projects!$A$2:$A$20000,1,FALSE),""))</f>
        <v/>
      </c>
      <c r="AF2189" s="2" t="str">
        <f>IF(D2189="","",IFERROR(MATCH(D2189,Projects!$A:$A,0),""))</f>
        <v/>
      </c>
    </row>
    <row r="2190" spans="31:32" x14ac:dyDescent="0.25">
      <c r="AE2190" s="39" t="str">
        <f>IF(D2190="","",IFERROR(VLOOKUP(D2190,Projects!$A$2:$A$20000,1,FALSE),""))</f>
        <v/>
      </c>
      <c r="AF2190" s="2" t="str">
        <f>IF(D2190="","",IFERROR(MATCH(D2190,Projects!$A:$A,0),""))</f>
        <v/>
      </c>
    </row>
    <row r="2191" spans="31:32" x14ac:dyDescent="0.25">
      <c r="AE2191" s="39" t="str">
        <f>IF(D2191="","",IFERROR(VLOOKUP(D2191,Projects!$A$2:$A$20000,1,FALSE),""))</f>
        <v/>
      </c>
      <c r="AF2191" s="2" t="str">
        <f>IF(D2191="","",IFERROR(MATCH(D2191,Projects!$A:$A,0),""))</f>
        <v/>
      </c>
    </row>
    <row r="2192" spans="31:32" x14ac:dyDescent="0.25">
      <c r="AE2192" s="39" t="str">
        <f>IF(D2192="","",IFERROR(VLOOKUP(D2192,Projects!$A$2:$A$20000,1,FALSE),""))</f>
        <v/>
      </c>
      <c r="AF2192" s="2" t="str">
        <f>IF(D2192="","",IFERROR(MATCH(D2192,Projects!$A:$A,0),""))</f>
        <v/>
      </c>
    </row>
    <row r="2193" spans="31:32" x14ac:dyDescent="0.25">
      <c r="AE2193" s="39" t="str">
        <f>IF(D2193="","",IFERROR(VLOOKUP(D2193,Projects!$A$2:$A$20000,1,FALSE),""))</f>
        <v/>
      </c>
      <c r="AF2193" s="2" t="str">
        <f>IF(D2193="","",IFERROR(MATCH(D2193,Projects!$A:$A,0),""))</f>
        <v/>
      </c>
    </row>
    <row r="2194" spans="31:32" x14ac:dyDescent="0.25">
      <c r="AE2194" s="39" t="str">
        <f>IF(D2194="","",IFERROR(VLOOKUP(D2194,Projects!$A$2:$A$20000,1,FALSE),""))</f>
        <v/>
      </c>
      <c r="AF2194" s="2" t="str">
        <f>IF(D2194="","",IFERROR(MATCH(D2194,Projects!$A:$A,0),""))</f>
        <v/>
      </c>
    </row>
    <row r="2195" spans="31:32" x14ac:dyDescent="0.25">
      <c r="AE2195" s="39" t="str">
        <f>IF(D2195="","",IFERROR(VLOOKUP(D2195,Projects!$A$2:$A$20000,1,FALSE),""))</f>
        <v/>
      </c>
      <c r="AF2195" s="2" t="str">
        <f>IF(D2195="","",IFERROR(MATCH(D2195,Projects!$A:$A,0),""))</f>
        <v/>
      </c>
    </row>
    <row r="2196" spans="31:32" x14ac:dyDescent="0.25">
      <c r="AE2196" s="39" t="str">
        <f>IF(D2196="","",IFERROR(VLOOKUP(D2196,Projects!$A$2:$A$20000,1,FALSE),""))</f>
        <v/>
      </c>
      <c r="AF2196" s="2" t="str">
        <f>IF(D2196="","",IFERROR(MATCH(D2196,Projects!$A:$A,0),""))</f>
        <v/>
      </c>
    </row>
    <row r="2197" spans="31:32" x14ac:dyDescent="0.25">
      <c r="AE2197" s="39" t="str">
        <f>IF(D2197="","",IFERROR(VLOOKUP(D2197,Projects!$A$2:$A$20000,1,FALSE),""))</f>
        <v/>
      </c>
      <c r="AF2197" s="2" t="str">
        <f>IF(D2197="","",IFERROR(MATCH(D2197,Projects!$A:$A,0),""))</f>
        <v/>
      </c>
    </row>
    <row r="2198" spans="31:32" x14ac:dyDescent="0.25">
      <c r="AE2198" s="39" t="str">
        <f>IF(D2198="","",IFERROR(VLOOKUP(D2198,Projects!$A$2:$A$20000,1,FALSE),""))</f>
        <v/>
      </c>
      <c r="AF2198" s="2" t="str">
        <f>IF(D2198="","",IFERROR(MATCH(D2198,Projects!$A:$A,0),""))</f>
        <v/>
      </c>
    </row>
    <row r="2199" spans="31:32" x14ac:dyDescent="0.25">
      <c r="AE2199" s="39" t="str">
        <f>IF(D2199="","",IFERROR(VLOOKUP(D2199,Projects!$A$2:$A$20000,1,FALSE),""))</f>
        <v/>
      </c>
      <c r="AF2199" s="2" t="str">
        <f>IF(D2199="","",IFERROR(MATCH(D2199,Projects!$A:$A,0),""))</f>
        <v/>
      </c>
    </row>
    <row r="2200" spans="31:32" x14ac:dyDescent="0.25">
      <c r="AE2200" s="39" t="str">
        <f>IF(D2200="","",IFERROR(VLOOKUP(D2200,Projects!$A$2:$A$20000,1,FALSE),""))</f>
        <v/>
      </c>
      <c r="AF2200" s="2" t="str">
        <f>IF(D2200="","",IFERROR(MATCH(D2200,Projects!$A:$A,0),""))</f>
        <v/>
      </c>
    </row>
    <row r="2201" spans="31:32" x14ac:dyDescent="0.25">
      <c r="AE2201" s="39" t="str">
        <f>IF(D2201="","",IFERROR(VLOOKUP(D2201,Projects!$A$2:$A$20000,1,FALSE),""))</f>
        <v/>
      </c>
      <c r="AF2201" s="2" t="str">
        <f>IF(D2201="","",IFERROR(MATCH(D2201,Projects!$A:$A,0),""))</f>
        <v/>
      </c>
    </row>
    <row r="2202" spans="31:32" x14ac:dyDescent="0.25">
      <c r="AE2202" s="39" t="str">
        <f>IF(D2202="","",IFERROR(VLOOKUP(D2202,Projects!$A$2:$A$20000,1,FALSE),""))</f>
        <v/>
      </c>
      <c r="AF2202" s="2" t="str">
        <f>IF(D2202="","",IFERROR(MATCH(D2202,Projects!$A:$A,0),""))</f>
        <v/>
      </c>
    </row>
    <row r="2203" spans="31:32" x14ac:dyDescent="0.25">
      <c r="AE2203" s="39" t="str">
        <f>IF(D2203="","",IFERROR(VLOOKUP(D2203,Projects!$A$2:$A$20000,1,FALSE),""))</f>
        <v/>
      </c>
      <c r="AF2203" s="2" t="str">
        <f>IF(D2203="","",IFERROR(MATCH(D2203,Projects!$A:$A,0),""))</f>
        <v/>
      </c>
    </row>
    <row r="2204" spans="31:32" x14ac:dyDescent="0.25">
      <c r="AE2204" s="39" t="str">
        <f>IF(D2204="","",IFERROR(VLOOKUP(D2204,Projects!$A$2:$A$20000,1,FALSE),""))</f>
        <v/>
      </c>
      <c r="AF2204" s="2" t="str">
        <f>IF(D2204="","",IFERROR(MATCH(D2204,Projects!$A:$A,0),""))</f>
        <v/>
      </c>
    </row>
    <row r="2205" spans="31:32" x14ac:dyDescent="0.25">
      <c r="AE2205" s="39" t="str">
        <f>IF(D2205="","",IFERROR(VLOOKUP(D2205,Projects!$A$2:$A$20000,1,FALSE),""))</f>
        <v/>
      </c>
      <c r="AF2205" s="2" t="str">
        <f>IF(D2205="","",IFERROR(MATCH(D2205,Projects!$A:$A,0),""))</f>
        <v/>
      </c>
    </row>
    <row r="2206" spans="31:32" x14ac:dyDescent="0.25">
      <c r="AE2206" s="39" t="str">
        <f>IF(D2206="","",IFERROR(VLOOKUP(D2206,Projects!$A$2:$A$20000,1,FALSE),""))</f>
        <v/>
      </c>
      <c r="AF2206" s="2" t="str">
        <f>IF(D2206="","",IFERROR(MATCH(D2206,Projects!$A:$A,0),""))</f>
        <v/>
      </c>
    </row>
    <row r="2207" spans="31:32" x14ac:dyDescent="0.25">
      <c r="AE2207" s="39" t="str">
        <f>IF(D2207="","",IFERROR(VLOOKUP(D2207,Projects!$A$2:$A$20000,1,FALSE),""))</f>
        <v/>
      </c>
      <c r="AF2207" s="2" t="str">
        <f>IF(D2207="","",IFERROR(MATCH(D2207,Projects!$A:$A,0),""))</f>
        <v/>
      </c>
    </row>
    <row r="2208" spans="31:32" x14ac:dyDescent="0.25">
      <c r="AE2208" s="39" t="str">
        <f>IF(D2208="","",IFERROR(VLOOKUP(D2208,Projects!$A$2:$A$20000,1,FALSE),""))</f>
        <v/>
      </c>
      <c r="AF2208" s="2" t="str">
        <f>IF(D2208="","",IFERROR(MATCH(D2208,Projects!$A:$A,0),""))</f>
        <v/>
      </c>
    </row>
    <row r="2209" spans="31:32" x14ac:dyDescent="0.25">
      <c r="AE2209" s="39" t="str">
        <f>IF(D2209="","",IFERROR(VLOOKUP(D2209,Projects!$A$2:$A$20000,1,FALSE),""))</f>
        <v/>
      </c>
      <c r="AF2209" s="2" t="str">
        <f>IF(D2209="","",IFERROR(MATCH(D2209,Projects!$A:$A,0),""))</f>
        <v/>
      </c>
    </row>
    <row r="2210" spans="31:32" x14ac:dyDescent="0.25">
      <c r="AE2210" s="39" t="str">
        <f>IF(D2210="","",IFERROR(VLOOKUP(D2210,Projects!$A$2:$A$20000,1,FALSE),""))</f>
        <v/>
      </c>
      <c r="AF2210" s="2" t="str">
        <f>IF(D2210="","",IFERROR(MATCH(D2210,Projects!$A:$A,0),""))</f>
        <v/>
      </c>
    </row>
    <row r="2211" spans="31:32" x14ac:dyDescent="0.25">
      <c r="AE2211" s="39" t="str">
        <f>IF(D2211="","",IFERROR(VLOOKUP(D2211,Projects!$A$2:$A$20000,1,FALSE),""))</f>
        <v/>
      </c>
      <c r="AF2211" s="2" t="str">
        <f>IF(D2211="","",IFERROR(MATCH(D2211,Projects!$A:$A,0),""))</f>
        <v/>
      </c>
    </row>
    <row r="2212" spans="31:32" x14ac:dyDescent="0.25">
      <c r="AE2212" s="39" t="str">
        <f>IF(D2212="","",IFERROR(VLOOKUP(D2212,Projects!$A$2:$A$20000,1,FALSE),""))</f>
        <v/>
      </c>
      <c r="AF2212" s="2" t="str">
        <f>IF(D2212="","",IFERROR(MATCH(D2212,Projects!$A:$A,0),""))</f>
        <v/>
      </c>
    </row>
    <row r="2213" spans="31:32" x14ac:dyDescent="0.25">
      <c r="AE2213" s="39" t="str">
        <f>IF(D2213="","",IFERROR(VLOOKUP(D2213,Projects!$A$2:$A$20000,1,FALSE),""))</f>
        <v/>
      </c>
      <c r="AF2213" s="2" t="str">
        <f>IF(D2213="","",IFERROR(MATCH(D2213,Projects!$A:$A,0),""))</f>
        <v/>
      </c>
    </row>
    <row r="2214" spans="31:32" x14ac:dyDescent="0.25">
      <c r="AE2214" s="39" t="str">
        <f>IF(D2214="","",IFERROR(VLOOKUP(D2214,Projects!$A$2:$A$20000,1,FALSE),""))</f>
        <v/>
      </c>
      <c r="AF2214" s="2" t="str">
        <f>IF(D2214="","",IFERROR(MATCH(D2214,Projects!$A:$A,0),""))</f>
        <v/>
      </c>
    </row>
    <row r="2215" spans="31:32" x14ac:dyDescent="0.25">
      <c r="AE2215" s="39" t="str">
        <f>IF(D2215="","",IFERROR(VLOOKUP(D2215,Projects!$A$2:$A$20000,1,FALSE),""))</f>
        <v/>
      </c>
      <c r="AF2215" s="2" t="str">
        <f>IF(D2215="","",IFERROR(MATCH(D2215,Projects!$A:$A,0),""))</f>
        <v/>
      </c>
    </row>
    <row r="2216" spans="31:32" x14ac:dyDescent="0.25">
      <c r="AE2216" s="39" t="str">
        <f>IF(D2216="","",IFERROR(VLOOKUP(D2216,Projects!$A$2:$A$20000,1,FALSE),""))</f>
        <v/>
      </c>
      <c r="AF2216" s="2" t="str">
        <f>IF(D2216="","",IFERROR(MATCH(D2216,Projects!$A:$A,0),""))</f>
        <v/>
      </c>
    </row>
    <row r="2217" spans="31:32" x14ac:dyDescent="0.25">
      <c r="AE2217" s="39" t="str">
        <f>IF(D2217="","",IFERROR(VLOOKUP(D2217,Projects!$A$2:$A$20000,1,FALSE),""))</f>
        <v/>
      </c>
      <c r="AF2217" s="2" t="str">
        <f>IF(D2217="","",IFERROR(MATCH(D2217,Projects!$A:$A,0),""))</f>
        <v/>
      </c>
    </row>
    <row r="2218" spans="31:32" x14ac:dyDescent="0.25">
      <c r="AE2218" s="39" t="str">
        <f>IF(D2218="","",IFERROR(VLOOKUP(D2218,Projects!$A$2:$A$20000,1,FALSE),""))</f>
        <v/>
      </c>
      <c r="AF2218" s="2" t="str">
        <f>IF(D2218="","",IFERROR(MATCH(D2218,Projects!$A:$A,0),""))</f>
        <v/>
      </c>
    </row>
    <row r="2219" spans="31:32" x14ac:dyDescent="0.25">
      <c r="AE2219" s="39" t="str">
        <f>IF(D2219="","",IFERROR(VLOOKUP(D2219,Projects!$A$2:$A$20000,1,FALSE),""))</f>
        <v/>
      </c>
      <c r="AF2219" s="2" t="str">
        <f>IF(D2219="","",IFERROR(MATCH(D2219,Projects!$A:$A,0),""))</f>
        <v/>
      </c>
    </row>
    <row r="2220" spans="31:32" x14ac:dyDescent="0.25">
      <c r="AE2220" s="39" t="str">
        <f>IF(D2220="","",IFERROR(VLOOKUP(D2220,Projects!$A$2:$A$20000,1,FALSE),""))</f>
        <v/>
      </c>
      <c r="AF2220" s="2" t="str">
        <f>IF(D2220="","",IFERROR(MATCH(D2220,Projects!$A:$A,0),""))</f>
        <v/>
      </c>
    </row>
    <row r="2221" spans="31:32" x14ac:dyDescent="0.25">
      <c r="AE2221" s="39" t="str">
        <f>IF(D2221="","",IFERROR(VLOOKUP(D2221,Projects!$A$2:$A$20000,1,FALSE),""))</f>
        <v/>
      </c>
      <c r="AF2221" s="2" t="str">
        <f>IF(D2221="","",IFERROR(MATCH(D2221,Projects!$A:$A,0),""))</f>
        <v/>
      </c>
    </row>
    <row r="2222" spans="31:32" x14ac:dyDescent="0.25">
      <c r="AE2222" s="39" t="str">
        <f>IF(D2222="","",IFERROR(VLOOKUP(D2222,Projects!$A$2:$A$20000,1,FALSE),""))</f>
        <v/>
      </c>
      <c r="AF2222" s="2" t="str">
        <f>IF(D2222="","",IFERROR(MATCH(D2222,Projects!$A:$A,0),""))</f>
        <v/>
      </c>
    </row>
    <row r="2223" spans="31:32" x14ac:dyDescent="0.25">
      <c r="AE2223" s="39" t="str">
        <f>IF(D2223="","",IFERROR(VLOOKUP(D2223,Projects!$A$2:$A$20000,1,FALSE),""))</f>
        <v/>
      </c>
      <c r="AF2223" s="2" t="str">
        <f>IF(D2223="","",IFERROR(MATCH(D2223,Projects!$A:$A,0),""))</f>
        <v/>
      </c>
    </row>
    <row r="2224" spans="31:32" x14ac:dyDescent="0.25">
      <c r="AE2224" s="39" t="str">
        <f>IF(D2224="","",IFERROR(VLOOKUP(D2224,Projects!$A$2:$A$20000,1,FALSE),""))</f>
        <v/>
      </c>
      <c r="AF2224" s="2" t="str">
        <f>IF(D2224="","",IFERROR(MATCH(D2224,Projects!$A:$A,0),""))</f>
        <v/>
      </c>
    </row>
    <row r="2225" spans="31:32" x14ac:dyDescent="0.25">
      <c r="AE2225" s="39" t="str">
        <f>IF(D2225="","",IFERROR(VLOOKUP(D2225,Projects!$A$2:$A$20000,1,FALSE),""))</f>
        <v/>
      </c>
      <c r="AF2225" s="2" t="str">
        <f>IF(D2225="","",IFERROR(MATCH(D2225,Projects!$A:$A,0),""))</f>
        <v/>
      </c>
    </row>
    <row r="2226" spans="31:32" x14ac:dyDescent="0.25">
      <c r="AE2226" s="39" t="str">
        <f>IF(D2226="","",IFERROR(VLOOKUP(D2226,Projects!$A$2:$A$20000,1,FALSE),""))</f>
        <v/>
      </c>
      <c r="AF2226" s="2" t="str">
        <f>IF(D2226="","",IFERROR(MATCH(D2226,Projects!$A:$A,0),""))</f>
        <v/>
      </c>
    </row>
    <row r="2227" spans="31:32" x14ac:dyDescent="0.25">
      <c r="AE2227" s="39" t="str">
        <f>IF(D2227="","",IFERROR(VLOOKUP(D2227,Projects!$A$2:$A$20000,1,FALSE),""))</f>
        <v/>
      </c>
      <c r="AF2227" s="2" t="str">
        <f>IF(D2227="","",IFERROR(MATCH(D2227,Projects!$A:$A,0),""))</f>
        <v/>
      </c>
    </row>
    <row r="2228" spans="31:32" x14ac:dyDescent="0.25">
      <c r="AE2228" s="39" t="str">
        <f>IF(D2228="","",IFERROR(VLOOKUP(D2228,Projects!$A$2:$A$20000,1,FALSE),""))</f>
        <v/>
      </c>
      <c r="AF2228" s="2" t="str">
        <f>IF(D2228="","",IFERROR(MATCH(D2228,Projects!$A:$A,0),""))</f>
        <v/>
      </c>
    </row>
    <row r="2229" spans="31:32" x14ac:dyDescent="0.25">
      <c r="AE2229" s="39" t="str">
        <f>IF(D2229="","",IFERROR(VLOOKUP(D2229,Projects!$A$2:$A$20000,1,FALSE),""))</f>
        <v/>
      </c>
      <c r="AF2229" s="2" t="str">
        <f>IF(D2229="","",IFERROR(MATCH(D2229,Projects!$A:$A,0),""))</f>
        <v/>
      </c>
    </row>
    <row r="2230" spans="31:32" x14ac:dyDescent="0.25">
      <c r="AE2230" s="39" t="str">
        <f>IF(D2230="","",IFERROR(VLOOKUP(D2230,Projects!$A$2:$A$20000,1,FALSE),""))</f>
        <v/>
      </c>
      <c r="AF2230" s="2" t="str">
        <f>IF(D2230="","",IFERROR(MATCH(D2230,Projects!$A:$A,0),""))</f>
        <v/>
      </c>
    </row>
    <row r="2231" spans="31:32" x14ac:dyDescent="0.25">
      <c r="AE2231" s="39" t="str">
        <f>IF(D2231="","",IFERROR(VLOOKUP(D2231,Projects!$A$2:$A$20000,1,FALSE),""))</f>
        <v/>
      </c>
      <c r="AF2231" s="2" t="str">
        <f>IF(D2231="","",IFERROR(MATCH(D2231,Projects!$A:$A,0),""))</f>
        <v/>
      </c>
    </row>
    <row r="2232" spans="31:32" x14ac:dyDescent="0.25">
      <c r="AE2232" s="39" t="str">
        <f>IF(D2232="","",IFERROR(VLOOKUP(D2232,Projects!$A$2:$A$20000,1,FALSE),""))</f>
        <v/>
      </c>
      <c r="AF2232" s="2" t="str">
        <f>IF(D2232="","",IFERROR(MATCH(D2232,Projects!$A:$A,0),""))</f>
        <v/>
      </c>
    </row>
    <row r="2233" spans="31:32" x14ac:dyDescent="0.25">
      <c r="AE2233" s="39" t="str">
        <f>IF(D2233="","",IFERROR(VLOOKUP(D2233,Projects!$A$2:$A$20000,1,FALSE),""))</f>
        <v/>
      </c>
      <c r="AF2233" s="2" t="str">
        <f>IF(D2233="","",IFERROR(MATCH(D2233,Projects!$A:$A,0),""))</f>
        <v/>
      </c>
    </row>
    <row r="2234" spans="31:32" x14ac:dyDescent="0.25">
      <c r="AE2234" s="39" t="str">
        <f>IF(D2234="","",IFERROR(VLOOKUP(D2234,Projects!$A$2:$A$20000,1,FALSE),""))</f>
        <v/>
      </c>
      <c r="AF2234" s="2" t="str">
        <f>IF(D2234="","",IFERROR(MATCH(D2234,Projects!$A:$A,0),""))</f>
        <v/>
      </c>
    </row>
    <row r="2235" spans="31:32" x14ac:dyDescent="0.25">
      <c r="AE2235" s="39" t="str">
        <f>IF(D2235="","",IFERROR(VLOOKUP(D2235,Projects!$A$2:$A$20000,1,FALSE),""))</f>
        <v/>
      </c>
      <c r="AF2235" s="2" t="str">
        <f>IF(D2235="","",IFERROR(MATCH(D2235,Projects!$A:$A,0),""))</f>
        <v/>
      </c>
    </row>
    <row r="2236" spans="31:32" x14ac:dyDescent="0.25">
      <c r="AE2236" s="39" t="str">
        <f>IF(D2236="","",IFERROR(VLOOKUP(D2236,Projects!$A$2:$A$20000,1,FALSE),""))</f>
        <v/>
      </c>
      <c r="AF2236" s="2" t="str">
        <f>IF(D2236="","",IFERROR(MATCH(D2236,Projects!$A:$A,0),""))</f>
        <v/>
      </c>
    </row>
    <row r="2237" spans="31:32" x14ac:dyDescent="0.25">
      <c r="AE2237" s="39" t="str">
        <f>IF(D2237="","",IFERROR(VLOOKUP(D2237,Projects!$A$2:$A$20000,1,FALSE),""))</f>
        <v/>
      </c>
      <c r="AF2237" s="2" t="str">
        <f>IF(D2237="","",IFERROR(MATCH(D2237,Projects!$A:$A,0),""))</f>
        <v/>
      </c>
    </row>
    <row r="2238" spans="31:32" x14ac:dyDescent="0.25">
      <c r="AE2238" s="39" t="str">
        <f>IF(D2238="","",IFERROR(VLOOKUP(D2238,Projects!$A$2:$A$20000,1,FALSE),""))</f>
        <v/>
      </c>
      <c r="AF2238" s="2" t="str">
        <f>IF(D2238="","",IFERROR(MATCH(D2238,Projects!$A:$A,0),""))</f>
        <v/>
      </c>
    </row>
    <row r="2239" spans="31:32" x14ac:dyDescent="0.25">
      <c r="AE2239" s="39" t="str">
        <f>IF(D2239="","",IFERROR(VLOOKUP(D2239,Projects!$A$2:$A$20000,1,FALSE),""))</f>
        <v/>
      </c>
      <c r="AF2239" s="2" t="str">
        <f>IF(D2239="","",IFERROR(MATCH(D2239,Projects!$A:$A,0),""))</f>
        <v/>
      </c>
    </row>
    <row r="2240" spans="31:32" x14ac:dyDescent="0.25">
      <c r="AE2240" s="39" t="str">
        <f>IF(D2240="","",IFERROR(VLOOKUP(D2240,Projects!$A$2:$A$20000,1,FALSE),""))</f>
        <v/>
      </c>
      <c r="AF2240" s="2" t="str">
        <f>IF(D2240="","",IFERROR(MATCH(D2240,Projects!$A:$A,0),""))</f>
        <v/>
      </c>
    </row>
    <row r="2241" spans="31:32" x14ac:dyDescent="0.25">
      <c r="AE2241" s="39" t="str">
        <f>IF(D2241="","",IFERROR(VLOOKUP(D2241,Projects!$A$2:$A$20000,1,FALSE),""))</f>
        <v/>
      </c>
      <c r="AF2241" s="2" t="str">
        <f>IF(D2241="","",IFERROR(MATCH(D2241,Projects!$A:$A,0),""))</f>
        <v/>
      </c>
    </row>
    <row r="2242" spans="31:32" x14ac:dyDescent="0.25">
      <c r="AE2242" s="39" t="str">
        <f>IF(D2242="","",IFERROR(VLOOKUP(D2242,Projects!$A$2:$A$20000,1,FALSE),""))</f>
        <v/>
      </c>
      <c r="AF2242" s="2" t="str">
        <f>IF(D2242="","",IFERROR(MATCH(D2242,Projects!$A:$A,0),""))</f>
        <v/>
      </c>
    </row>
    <row r="2243" spans="31:32" x14ac:dyDescent="0.25">
      <c r="AE2243" s="39" t="str">
        <f>IF(D2243="","",IFERROR(VLOOKUP(D2243,Projects!$A$2:$A$20000,1,FALSE),""))</f>
        <v/>
      </c>
      <c r="AF2243" s="2" t="str">
        <f>IF(D2243="","",IFERROR(MATCH(D2243,Projects!$A:$A,0),""))</f>
        <v/>
      </c>
    </row>
    <row r="2244" spans="31:32" x14ac:dyDescent="0.25">
      <c r="AE2244" s="39" t="str">
        <f>IF(D2244="","",IFERROR(VLOOKUP(D2244,Projects!$A$2:$A$20000,1,FALSE),""))</f>
        <v/>
      </c>
      <c r="AF2244" s="2" t="str">
        <f>IF(D2244="","",IFERROR(MATCH(D2244,Projects!$A:$A,0),""))</f>
        <v/>
      </c>
    </row>
    <row r="2245" spans="31:32" x14ac:dyDescent="0.25">
      <c r="AE2245" s="39" t="str">
        <f>IF(D2245="","",IFERROR(VLOOKUP(D2245,Projects!$A$2:$A$20000,1,FALSE),""))</f>
        <v/>
      </c>
      <c r="AF2245" s="2" t="str">
        <f>IF(D2245="","",IFERROR(MATCH(D2245,Projects!$A:$A,0),""))</f>
        <v/>
      </c>
    </row>
    <row r="2246" spans="31:32" x14ac:dyDescent="0.25">
      <c r="AE2246" s="39" t="str">
        <f>IF(D2246="","",IFERROR(VLOOKUP(D2246,Projects!$A$2:$A$20000,1,FALSE),""))</f>
        <v/>
      </c>
      <c r="AF2246" s="2" t="str">
        <f>IF(D2246="","",IFERROR(MATCH(D2246,Projects!$A:$A,0),""))</f>
        <v/>
      </c>
    </row>
    <row r="2247" spans="31:32" x14ac:dyDescent="0.25">
      <c r="AE2247" s="39" t="str">
        <f>IF(D2247="","",IFERROR(VLOOKUP(D2247,Projects!$A$2:$A$20000,1,FALSE),""))</f>
        <v/>
      </c>
      <c r="AF2247" s="2" t="str">
        <f>IF(D2247="","",IFERROR(MATCH(D2247,Projects!$A:$A,0),""))</f>
        <v/>
      </c>
    </row>
    <row r="2248" spans="31:32" x14ac:dyDescent="0.25">
      <c r="AE2248" s="39" t="str">
        <f>IF(D2248="","",IFERROR(VLOOKUP(D2248,Projects!$A$2:$A$20000,1,FALSE),""))</f>
        <v/>
      </c>
      <c r="AF2248" s="2" t="str">
        <f>IF(D2248="","",IFERROR(MATCH(D2248,Projects!$A:$A,0),""))</f>
        <v/>
      </c>
    </row>
    <row r="2249" spans="31:32" x14ac:dyDescent="0.25">
      <c r="AE2249" s="39" t="str">
        <f>IF(D2249="","",IFERROR(VLOOKUP(D2249,Projects!$A$2:$A$20000,1,FALSE),""))</f>
        <v/>
      </c>
      <c r="AF2249" s="2" t="str">
        <f>IF(D2249="","",IFERROR(MATCH(D2249,Projects!$A:$A,0),""))</f>
        <v/>
      </c>
    </row>
    <row r="2250" spans="31:32" x14ac:dyDescent="0.25">
      <c r="AE2250" s="39" t="str">
        <f>IF(D2250="","",IFERROR(VLOOKUP(D2250,Projects!$A$2:$A$20000,1,FALSE),""))</f>
        <v/>
      </c>
      <c r="AF2250" s="2" t="str">
        <f>IF(D2250="","",IFERROR(MATCH(D2250,Projects!$A:$A,0),""))</f>
        <v/>
      </c>
    </row>
    <row r="2251" spans="31:32" x14ac:dyDescent="0.25">
      <c r="AE2251" s="39" t="str">
        <f>IF(D2251="","",IFERROR(VLOOKUP(D2251,Projects!$A$2:$A$20000,1,FALSE),""))</f>
        <v/>
      </c>
      <c r="AF2251" s="2" t="str">
        <f>IF(D2251="","",IFERROR(MATCH(D2251,Projects!$A:$A,0),""))</f>
        <v/>
      </c>
    </row>
    <row r="2252" spans="31:32" x14ac:dyDescent="0.25">
      <c r="AE2252" s="39" t="str">
        <f>IF(D2252="","",IFERROR(VLOOKUP(D2252,Projects!$A$2:$A$20000,1,FALSE),""))</f>
        <v/>
      </c>
      <c r="AF2252" s="2" t="str">
        <f>IF(D2252="","",IFERROR(MATCH(D2252,Projects!$A:$A,0),""))</f>
        <v/>
      </c>
    </row>
    <row r="2253" spans="31:32" x14ac:dyDescent="0.25">
      <c r="AE2253" s="39" t="str">
        <f>IF(D2253="","",IFERROR(VLOOKUP(D2253,Projects!$A$2:$A$20000,1,FALSE),""))</f>
        <v/>
      </c>
      <c r="AF2253" s="2" t="str">
        <f>IF(D2253="","",IFERROR(MATCH(D2253,Projects!$A:$A,0),""))</f>
        <v/>
      </c>
    </row>
    <row r="2254" spans="31:32" x14ac:dyDescent="0.25">
      <c r="AE2254" s="39" t="str">
        <f>IF(D2254="","",IFERROR(VLOOKUP(D2254,Projects!$A$2:$A$20000,1,FALSE),""))</f>
        <v/>
      </c>
      <c r="AF2254" s="2" t="str">
        <f>IF(D2254="","",IFERROR(MATCH(D2254,Projects!$A:$A,0),""))</f>
        <v/>
      </c>
    </row>
    <row r="2255" spans="31:32" x14ac:dyDescent="0.25">
      <c r="AE2255" s="39" t="str">
        <f>IF(D2255="","",IFERROR(VLOOKUP(D2255,Projects!$A$2:$A$20000,1,FALSE),""))</f>
        <v/>
      </c>
      <c r="AF2255" s="2" t="str">
        <f>IF(D2255="","",IFERROR(MATCH(D2255,Projects!$A:$A,0),""))</f>
        <v/>
      </c>
    </row>
    <row r="2256" spans="31:32" x14ac:dyDescent="0.25">
      <c r="AE2256" s="39" t="str">
        <f>IF(D2256="","",IFERROR(VLOOKUP(D2256,Projects!$A$2:$A$20000,1,FALSE),""))</f>
        <v/>
      </c>
      <c r="AF2256" s="2" t="str">
        <f>IF(D2256="","",IFERROR(MATCH(D2256,Projects!$A:$A,0),""))</f>
        <v/>
      </c>
    </row>
    <row r="2257" spans="31:32" x14ac:dyDescent="0.25">
      <c r="AE2257" s="39" t="str">
        <f>IF(D2257="","",IFERROR(VLOOKUP(D2257,Projects!$A$2:$A$20000,1,FALSE),""))</f>
        <v/>
      </c>
      <c r="AF2257" s="2" t="str">
        <f>IF(D2257="","",IFERROR(MATCH(D2257,Projects!$A:$A,0),""))</f>
        <v/>
      </c>
    </row>
    <row r="2258" spans="31:32" x14ac:dyDescent="0.25">
      <c r="AE2258" s="39" t="str">
        <f>IF(D2258="","",IFERROR(VLOOKUP(D2258,Projects!$A$2:$A$20000,1,FALSE),""))</f>
        <v/>
      </c>
      <c r="AF2258" s="2" t="str">
        <f>IF(D2258="","",IFERROR(MATCH(D2258,Projects!$A:$A,0),""))</f>
        <v/>
      </c>
    </row>
    <row r="2259" spans="31:32" x14ac:dyDescent="0.25">
      <c r="AE2259" s="39" t="str">
        <f>IF(D2259="","",IFERROR(VLOOKUP(D2259,Projects!$A$2:$A$20000,1,FALSE),""))</f>
        <v/>
      </c>
      <c r="AF2259" s="2" t="str">
        <f>IF(D2259="","",IFERROR(MATCH(D2259,Projects!$A:$A,0),""))</f>
        <v/>
      </c>
    </row>
    <row r="2260" spans="31:32" x14ac:dyDescent="0.25">
      <c r="AE2260" s="39" t="str">
        <f>IF(D2260="","",IFERROR(VLOOKUP(D2260,Projects!$A$2:$A$20000,1,FALSE),""))</f>
        <v/>
      </c>
      <c r="AF2260" s="2" t="str">
        <f>IF(D2260="","",IFERROR(MATCH(D2260,Projects!$A:$A,0),""))</f>
        <v/>
      </c>
    </row>
    <row r="2261" spans="31:32" x14ac:dyDescent="0.25">
      <c r="AE2261" s="39" t="str">
        <f>IF(D2261="","",IFERROR(VLOOKUP(D2261,Projects!$A$2:$A$20000,1,FALSE),""))</f>
        <v/>
      </c>
      <c r="AF2261" s="2" t="str">
        <f>IF(D2261="","",IFERROR(MATCH(D2261,Projects!$A:$A,0),""))</f>
        <v/>
      </c>
    </row>
    <row r="2262" spans="31:32" x14ac:dyDescent="0.25">
      <c r="AE2262" s="39" t="str">
        <f>IF(D2262="","",IFERROR(VLOOKUP(D2262,Projects!$A$2:$A$20000,1,FALSE),""))</f>
        <v/>
      </c>
      <c r="AF2262" s="2" t="str">
        <f>IF(D2262="","",IFERROR(MATCH(D2262,Projects!$A:$A,0),""))</f>
        <v/>
      </c>
    </row>
    <row r="2263" spans="31:32" x14ac:dyDescent="0.25">
      <c r="AE2263" s="39" t="str">
        <f>IF(D2263="","",IFERROR(VLOOKUP(D2263,Projects!$A$2:$A$20000,1,FALSE),""))</f>
        <v/>
      </c>
      <c r="AF2263" s="2" t="str">
        <f>IF(D2263="","",IFERROR(MATCH(D2263,Projects!$A:$A,0),""))</f>
        <v/>
      </c>
    </row>
    <row r="2264" spans="31:32" x14ac:dyDescent="0.25">
      <c r="AE2264" s="39" t="str">
        <f>IF(D2264="","",IFERROR(VLOOKUP(D2264,Projects!$A$2:$A$20000,1,FALSE),""))</f>
        <v/>
      </c>
      <c r="AF2264" s="2" t="str">
        <f>IF(D2264="","",IFERROR(MATCH(D2264,Projects!$A:$A,0),""))</f>
        <v/>
      </c>
    </row>
    <row r="2265" spans="31:32" x14ac:dyDescent="0.25">
      <c r="AE2265" s="39" t="str">
        <f>IF(D2265="","",IFERROR(VLOOKUP(D2265,Projects!$A$2:$A$20000,1,FALSE),""))</f>
        <v/>
      </c>
      <c r="AF2265" s="2" t="str">
        <f>IF(D2265="","",IFERROR(MATCH(D2265,Projects!$A:$A,0),""))</f>
        <v/>
      </c>
    </row>
    <row r="2266" spans="31:32" x14ac:dyDescent="0.25">
      <c r="AE2266" s="39" t="str">
        <f>IF(D2266="","",IFERROR(VLOOKUP(D2266,Projects!$A$2:$A$20000,1,FALSE),""))</f>
        <v/>
      </c>
      <c r="AF2266" s="2" t="str">
        <f>IF(D2266="","",IFERROR(MATCH(D2266,Projects!$A:$A,0),""))</f>
        <v/>
      </c>
    </row>
    <row r="2267" spans="31:32" x14ac:dyDescent="0.25">
      <c r="AE2267" s="39" t="str">
        <f>IF(D2267="","",IFERROR(VLOOKUP(D2267,Projects!$A$2:$A$20000,1,FALSE),""))</f>
        <v/>
      </c>
      <c r="AF2267" s="2" t="str">
        <f>IF(D2267="","",IFERROR(MATCH(D2267,Projects!$A:$A,0),""))</f>
        <v/>
      </c>
    </row>
    <row r="2268" spans="31:32" x14ac:dyDescent="0.25">
      <c r="AE2268" s="39" t="str">
        <f>IF(D2268="","",IFERROR(VLOOKUP(D2268,Projects!$A$2:$A$20000,1,FALSE),""))</f>
        <v/>
      </c>
      <c r="AF2268" s="2" t="str">
        <f>IF(D2268="","",IFERROR(MATCH(D2268,Projects!$A:$A,0),""))</f>
        <v/>
      </c>
    </row>
    <row r="2269" spans="31:32" x14ac:dyDescent="0.25">
      <c r="AE2269" s="39" t="str">
        <f>IF(D2269="","",IFERROR(VLOOKUP(D2269,Projects!$A$2:$A$20000,1,FALSE),""))</f>
        <v/>
      </c>
      <c r="AF2269" s="2" t="str">
        <f>IF(D2269="","",IFERROR(MATCH(D2269,Projects!$A:$A,0),""))</f>
        <v/>
      </c>
    </row>
    <row r="2270" spans="31:32" x14ac:dyDescent="0.25">
      <c r="AE2270" s="39" t="str">
        <f>IF(D2270="","",IFERROR(VLOOKUP(D2270,Projects!$A$2:$A$20000,1,FALSE),""))</f>
        <v/>
      </c>
      <c r="AF2270" s="2" t="str">
        <f>IF(D2270="","",IFERROR(MATCH(D2270,Projects!$A:$A,0),""))</f>
        <v/>
      </c>
    </row>
    <row r="2271" spans="31:32" x14ac:dyDescent="0.25">
      <c r="AE2271" s="39" t="str">
        <f>IF(D2271="","",IFERROR(VLOOKUP(D2271,Projects!$A$2:$A$20000,1,FALSE),""))</f>
        <v/>
      </c>
      <c r="AF2271" s="2" t="str">
        <f>IF(D2271="","",IFERROR(MATCH(D2271,Projects!$A:$A,0),""))</f>
        <v/>
      </c>
    </row>
    <row r="2272" spans="31:32" x14ac:dyDescent="0.25">
      <c r="AE2272" s="39" t="str">
        <f>IF(D2272="","",IFERROR(VLOOKUP(D2272,Projects!$A$2:$A$20000,1,FALSE),""))</f>
        <v/>
      </c>
      <c r="AF2272" s="2" t="str">
        <f>IF(D2272="","",IFERROR(MATCH(D2272,Projects!$A:$A,0),""))</f>
        <v/>
      </c>
    </row>
    <row r="2273" spans="31:32" x14ac:dyDescent="0.25">
      <c r="AE2273" s="39" t="str">
        <f>IF(D2273="","",IFERROR(VLOOKUP(D2273,Projects!$A$2:$A$20000,1,FALSE),""))</f>
        <v/>
      </c>
      <c r="AF2273" s="2" t="str">
        <f>IF(D2273="","",IFERROR(MATCH(D2273,Projects!$A:$A,0),""))</f>
        <v/>
      </c>
    </row>
    <row r="2274" spans="31:32" x14ac:dyDescent="0.25">
      <c r="AE2274" s="39" t="str">
        <f>IF(D2274="","",IFERROR(VLOOKUP(D2274,Projects!$A$2:$A$20000,1,FALSE),""))</f>
        <v/>
      </c>
      <c r="AF2274" s="2" t="str">
        <f>IF(D2274="","",IFERROR(MATCH(D2274,Projects!$A:$A,0),""))</f>
        <v/>
      </c>
    </row>
    <row r="2275" spans="31:32" x14ac:dyDescent="0.25">
      <c r="AE2275" s="39" t="str">
        <f>IF(D2275="","",IFERROR(VLOOKUP(D2275,Projects!$A$2:$A$20000,1,FALSE),""))</f>
        <v/>
      </c>
      <c r="AF2275" s="2" t="str">
        <f>IF(D2275="","",IFERROR(MATCH(D2275,Projects!$A:$A,0),""))</f>
        <v/>
      </c>
    </row>
    <row r="2276" spans="31:32" x14ac:dyDescent="0.25">
      <c r="AE2276" s="39" t="str">
        <f>IF(D2276="","",IFERROR(VLOOKUP(D2276,Projects!$A$2:$A$20000,1,FALSE),""))</f>
        <v/>
      </c>
      <c r="AF2276" s="2" t="str">
        <f>IF(D2276="","",IFERROR(MATCH(D2276,Projects!$A:$A,0),""))</f>
        <v/>
      </c>
    </row>
    <row r="2277" spans="31:32" x14ac:dyDescent="0.25">
      <c r="AE2277" s="39" t="str">
        <f>IF(D2277="","",IFERROR(VLOOKUP(D2277,Projects!$A$2:$A$20000,1,FALSE),""))</f>
        <v/>
      </c>
      <c r="AF2277" s="2" t="str">
        <f>IF(D2277="","",IFERROR(MATCH(D2277,Projects!$A:$A,0),""))</f>
        <v/>
      </c>
    </row>
    <row r="2278" spans="31:32" x14ac:dyDescent="0.25">
      <c r="AE2278" s="39" t="str">
        <f>IF(D2278="","",IFERROR(VLOOKUP(D2278,Projects!$A$2:$A$20000,1,FALSE),""))</f>
        <v/>
      </c>
      <c r="AF2278" s="2" t="str">
        <f>IF(D2278="","",IFERROR(MATCH(D2278,Projects!$A:$A,0),""))</f>
        <v/>
      </c>
    </row>
    <row r="2279" spans="31:32" x14ac:dyDescent="0.25">
      <c r="AE2279" s="39" t="str">
        <f>IF(D2279="","",IFERROR(VLOOKUP(D2279,Projects!$A$2:$A$20000,1,FALSE),""))</f>
        <v/>
      </c>
      <c r="AF2279" s="2" t="str">
        <f>IF(D2279="","",IFERROR(MATCH(D2279,Projects!$A:$A,0),""))</f>
        <v/>
      </c>
    </row>
    <row r="2280" spans="31:32" x14ac:dyDescent="0.25">
      <c r="AE2280" s="39" t="str">
        <f>IF(D2280="","",IFERROR(VLOOKUP(D2280,Projects!$A$2:$A$20000,1,FALSE),""))</f>
        <v/>
      </c>
      <c r="AF2280" s="2" t="str">
        <f>IF(D2280="","",IFERROR(MATCH(D2280,Projects!$A:$A,0),""))</f>
        <v/>
      </c>
    </row>
    <row r="2281" spans="31:32" x14ac:dyDescent="0.25">
      <c r="AE2281" s="39" t="str">
        <f>IF(D2281="","",IFERROR(VLOOKUP(D2281,Projects!$A$2:$A$20000,1,FALSE),""))</f>
        <v/>
      </c>
      <c r="AF2281" s="2" t="str">
        <f>IF(D2281="","",IFERROR(MATCH(D2281,Projects!$A:$A,0),""))</f>
        <v/>
      </c>
    </row>
    <row r="2282" spans="31:32" x14ac:dyDescent="0.25">
      <c r="AE2282" s="39" t="str">
        <f>IF(D2282="","",IFERROR(VLOOKUP(D2282,Projects!$A$2:$A$20000,1,FALSE),""))</f>
        <v/>
      </c>
      <c r="AF2282" s="2" t="str">
        <f>IF(D2282="","",IFERROR(MATCH(D2282,Projects!$A:$A,0),""))</f>
        <v/>
      </c>
    </row>
    <row r="2283" spans="31:32" x14ac:dyDescent="0.25">
      <c r="AE2283" s="39" t="str">
        <f>IF(D2283="","",IFERROR(VLOOKUP(D2283,Projects!$A$2:$A$20000,1,FALSE),""))</f>
        <v/>
      </c>
      <c r="AF2283" s="2" t="str">
        <f>IF(D2283="","",IFERROR(MATCH(D2283,Projects!$A:$A,0),""))</f>
        <v/>
      </c>
    </row>
    <row r="2284" spans="31:32" x14ac:dyDescent="0.25">
      <c r="AE2284" s="39" t="str">
        <f>IF(D2284="","",IFERROR(VLOOKUP(D2284,Projects!$A$2:$A$20000,1,FALSE),""))</f>
        <v/>
      </c>
      <c r="AF2284" s="2" t="str">
        <f>IF(D2284="","",IFERROR(MATCH(D2284,Projects!$A:$A,0),""))</f>
        <v/>
      </c>
    </row>
    <row r="2285" spans="31:32" x14ac:dyDescent="0.25">
      <c r="AE2285" s="39" t="str">
        <f>IF(D2285="","",IFERROR(VLOOKUP(D2285,Projects!$A$2:$A$20000,1,FALSE),""))</f>
        <v/>
      </c>
      <c r="AF2285" s="2" t="str">
        <f>IF(D2285="","",IFERROR(MATCH(D2285,Projects!$A:$A,0),""))</f>
        <v/>
      </c>
    </row>
    <row r="2286" spans="31:32" x14ac:dyDescent="0.25">
      <c r="AE2286" s="39" t="str">
        <f>IF(D2286="","",IFERROR(VLOOKUP(D2286,Projects!$A$2:$A$20000,1,FALSE),""))</f>
        <v/>
      </c>
      <c r="AF2286" s="2" t="str">
        <f>IF(D2286="","",IFERROR(MATCH(D2286,Projects!$A:$A,0),""))</f>
        <v/>
      </c>
    </row>
    <row r="2287" spans="31:32" x14ac:dyDescent="0.25">
      <c r="AE2287" s="39" t="str">
        <f>IF(D2287="","",IFERROR(VLOOKUP(D2287,Projects!$A$2:$A$20000,1,FALSE),""))</f>
        <v/>
      </c>
      <c r="AF2287" s="2" t="str">
        <f>IF(D2287="","",IFERROR(MATCH(D2287,Projects!$A:$A,0),""))</f>
        <v/>
      </c>
    </row>
    <row r="2288" spans="31:32" x14ac:dyDescent="0.25">
      <c r="AE2288" s="39" t="str">
        <f>IF(D2288="","",IFERROR(VLOOKUP(D2288,Projects!$A$2:$A$20000,1,FALSE),""))</f>
        <v/>
      </c>
      <c r="AF2288" s="2" t="str">
        <f>IF(D2288="","",IFERROR(MATCH(D2288,Projects!$A:$A,0),""))</f>
        <v/>
      </c>
    </row>
    <row r="2289" spans="31:32" x14ac:dyDescent="0.25">
      <c r="AE2289" s="39" t="str">
        <f>IF(D2289="","",IFERROR(VLOOKUP(D2289,Projects!$A$2:$A$20000,1,FALSE),""))</f>
        <v/>
      </c>
      <c r="AF2289" s="2" t="str">
        <f>IF(D2289="","",IFERROR(MATCH(D2289,Projects!$A:$A,0),""))</f>
        <v/>
      </c>
    </row>
    <row r="2290" spans="31:32" x14ac:dyDescent="0.25">
      <c r="AE2290" s="39" t="str">
        <f>IF(D2290="","",IFERROR(VLOOKUP(D2290,Projects!$A$2:$A$20000,1,FALSE),""))</f>
        <v/>
      </c>
      <c r="AF2290" s="2" t="str">
        <f>IF(D2290="","",IFERROR(MATCH(D2290,Projects!$A:$A,0),""))</f>
        <v/>
      </c>
    </row>
    <row r="2291" spans="31:32" x14ac:dyDescent="0.25">
      <c r="AE2291" s="39" t="str">
        <f>IF(D2291="","",IFERROR(VLOOKUP(D2291,Projects!$A$2:$A$20000,1,FALSE),""))</f>
        <v/>
      </c>
      <c r="AF2291" s="2" t="str">
        <f>IF(D2291="","",IFERROR(MATCH(D2291,Projects!$A:$A,0),""))</f>
        <v/>
      </c>
    </row>
    <row r="2292" spans="31:32" x14ac:dyDescent="0.25">
      <c r="AE2292" s="39" t="str">
        <f>IF(D2292="","",IFERROR(VLOOKUP(D2292,Projects!$A$2:$A$20000,1,FALSE),""))</f>
        <v/>
      </c>
      <c r="AF2292" s="2" t="str">
        <f>IF(D2292="","",IFERROR(MATCH(D2292,Projects!$A:$A,0),""))</f>
        <v/>
      </c>
    </row>
    <row r="2293" spans="31:32" x14ac:dyDescent="0.25">
      <c r="AE2293" s="39" t="str">
        <f>IF(D2293="","",IFERROR(VLOOKUP(D2293,Projects!$A$2:$A$20000,1,FALSE),""))</f>
        <v/>
      </c>
      <c r="AF2293" s="2" t="str">
        <f>IF(D2293="","",IFERROR(MATCH(D2293,Projects!$A:$A,0),""))</f>
        <v/>
      </c>
    </row>
    <row r="2294" spans="31:32" x14ac:dyDescent="0.25">
      <c r="AE2294" s="39" t="str">
        <f>IF(D2294="","",IFERROR(VLOOKUP(D2294,Projects!$A$2:$A$20000,1,FALSE),""))</f>
        <v/>
      </c>
      <c r="AF2294" s="2" t="str">
        <f>IF(D2294="","",IFERROR(MATCH(D2294,Projects!$A:$A,0),""))</f>
        <v/>
      </c>
    </row>
    <row r="2295" spans="31:32" x14ac:dyDescent="0.25">
      <c r="AE2295" s="39" t="str">
        <f>IF(D2295="","",IFERROR(VLOOKUP(D2295,Projects!$A$2:$A$20000,1,FALSE),""))</f>
        <v/>
      </c>
      <c r="AF2295" s="2" t="str">
        <f>IF(D2295="","",IFERROR(MATCH(D2295,Projects!$A:$A,0),""))</f>
        <v/>
      </c>
    </row>
    <row r="2296" spans="31:32" x14ac:dyDescent="0.25">
      <c r="AE2296" s="39" t="str">
        <f>IF(D2296="","",IFERROR(VLOOKUP(D2296,Projects!$A$2:$A$20000,1,FALSE),""))</f>
        <v/>
      </c>
      <c r="AF2296" s="2" t="str">
        <f>IF(D2296="","",IFERROR(MATCH(D2296,Projects!$A:$A,0),""))</f>
        <v/>
      </c>
    </row>
    <row r="2297" spans="31:32" x14ac:dyDescent="0.25">
      <c r="AE2297" s="39" t="str">
        <f>IF(D2297="","",IFERROR(VLOOKUP(D2297,Projects!$A$2:$A$20000,1,FALSE),""))</f>
        <v/>
      </c>
      <c r="AF2297" s="2" t="str">
        <f>IF(D2297="","",IFERROR(MATCH(D2297,Projects!$A:$A,0),""))</f>
        <v/>
      </c>
    </row>
    <row r="2298" spans="31:32" x14ac:dyDescent="0.25">
      <c r="AE2298" s="39" t="str">
        <f>IF(D2298="","",IFERROR(VLOOKUP(D2298,Projects!$A$2:$A$20000,1,FALSE),""))</f>
        <v/>
      </c>
      <c r="AF2298" s="2" t="str">
        <f>IF(D2298="","",IFERROR(MATCH(D2298,Projects!$A:$A,0),""))</f>
        <v/>
      </c>
    </row>
    <row r="2299" spans="31:32" x14ac:dyDescent="0.25">
      <c r="AE2299" s="39" t="str">
        <f>IF(D2299="","",IFERROR(VLOOKUP(D2299,Projects!$A$2:$A$20000,1,FALSE),""))</f>
        <v/>
      </c>
      <c r="AF2299" s="2" t="str">
        <f>IF(D2299="","",IFERROR(MATCH(D2299,Projects!$A:$A,0),""))</f>
        <v/>
      </c>
    </row>
    <row r="2300" spans="31:32" x14ac:dyDescent="0.25">
      <c r="AE2300" s="39" t="str">
        <f>IF(D2300="","",IFERROR(VLOOKUP(D2300,Projects!$A$2:$A$20000,1,FALSE),""))</f>
        <v/>
      </c>
      <c r="AF2300" s="2" t="str">
        <f>IF(D2300="","",IFERROR(MATCH(D2300,Projects!$A:$A,0),""))</f>
        <v/>
      </c>
    </row>
    <row r="2301" spans="31:32" x14ac:dyDescent="0.25">
      <c r="AE2301" s="39" t="str">
        <f>IF(D2301="","",IFERROR(VLOOKUP(D2301,Projects!$A$2:$A$20000,1,FALSE),""))</f>
        <v/>
      </c>
      <c r="AF2301" s="2" t="str">
        <f>IF(D2301="","",IFERROR(MATCH(D2301,Projects!$A:$A,0),""))</f>
        <v/>
      </c>
    </row>
    <row r="2302" spans="31:32" x14ac:dyDescent="0.25">
      <c r="AE2302" s="39" t="str">
        <f>IF(D2302="","",IFERROR(VLOOKUP(D2302,Projects!$A$2:$A$20000,1,FALSE),""))</f>
        <v/>
      </c>
      <c r="AF2302" s="2" t="str">
        <f>IF(D2302="","",IFERROR(MATCH(D2302,Projects!$A:$A,0),""))</f>
        <v/>
      </c>
    </row>
    <row r="2303" spans="31:32" x14ac:dyDescent="0.25">
      <c r="AE2303" s="39" t="str">
        <f>IF(D2303="","",IFERROR(VLOOKUP(D2303,Projects!$A$2:$A$20000,1,FALSE),""))</f>
        <v/>
      </c>
      <c r="AF2303" s="2" t="str">
        <f>IF(D2303="","",IFERROR(MATCH(D2303,Projects!$A:$A,0),""))</f>
        <v/>
      </c>
    </row>
    <row r="2304" spans="31:32" x14ac:dyDescent="0.25">
      <c r="AE2304" s="39" t="str">
        <f>IF(D2304="","",IFERROR(VLOOKUP(D2304,Projects!$A$2:$A$20000,1,FALSE),""))</f>
        <v/>
      </c>
      <c r="AF2304" s="2" t="str">
        <f>IF(D2304="","",IFERROR(MATCH(D2304,Projects!$A:$A,0),""))</f>
        <v/>
      </c>
    </row>
    <row r="2305" spans="31:32" x14ac:dyDescent="0.25">
      <c r="AE2305" s="39" t="str">
        <f>IF(D2305="","",IFERROR(VLOOKUP(D2305,Projects!$A$2:$A$20000,1,FALSE),""))</f>
        <v/>
      </c>
      <c r="AF2305" s="2" t="str">
        <f>IF(D2305="","",IFERROR(MATCH(D2305,Projects!$A:$A,0),""))</f>
        <v/>
      </c>
    </row>
    <row r="2306" spans="31:32" x14ac:dyDescent="0.25">
      <c r="AE2306" s="39" t="str">
        <f>IF(D2306="","",IFERROR(VLOOKUP(D2306,Projects!$A$2:$A$20000,1,FALSE),""))</f>
        <v/>
      </c>
      <c r="AF2306" s="2" t="str">
        <f>IF(D2306="","",IFERROR(MATCH(D2306,Projects!$A:$A,0),""))</f>
        <v/>
      </c>
    </row>
    <row r="2307" spans="31:32" x14ac:dyDescent="0.25">
      <c r="AE2307" s="39" t="str">
        <f>IF(D2307="","",IFERROR(VLOOKUP(D2307,Projects!$A$2:$A$20000,1,FALSE),""))</f>
        <v/>
      </c>
      <c r="AF2307" s="2" t="str">
        <f>IF(D2307="","",IFERROR(MATCH(D2307,Projects!$A:$A,0),""))</f>
        <v/>
      </c>
    </row>
    <row r="2308" spans="31:32" x14ac:dyDescent="0.25">
      <c r="AE2308" s="39" t="str">
        <f>IF(D2308="","",IFERROR(VLOOKUP(D2308,Projects!$A$2:$A$20000,1,FALSE),""))</f>
        <v/>
      </c>
      <c r="AF2308" s="2" t="str">
        <f>IF(D2308="","",IFERROR(MATCH(D2308,Projects!$A:$A,0),""))</f>
        <v/>
      </c>
    </row>
    <row r="2309" spans="31:32" x14ac:dyDescent="0.25">
      <c r="AE2309" s="39" t="str">
        <f>IF(D2309="","",IFERROR(VLOOKUP(D2309,Projects!$A$2:$A$20000,1,FALSE),""))</f>
        <v/>
      </c>
      <c r="AF2309" s="2" t="str">
        <f>IF(D2309="","",IFERROR(MATCH(D2309,Projects!$A:$A,0),""))</f>
        <v/>
      </c>
    </row>
    <row r="2310" spans="31:32" x14ac:dyDescent="0.25">
      <c r="AE2310" s="39" t="str">
        <f>IF(D2310="","",IFERROR(VLOOKUP(D2310,Projects!$A$2:$A$20000,1,FALSE),""))</f>
        <v/>
      </c>
      <c r="AF2310" s="2" t="str">
        <f>IF(D2310="","",IFERROR(MATCH(D2310,Projects!$A:$A,0),""))</f>
        <v/>
      </c>
    </row>
    <row r="2311" spans="31:32" x14ac:dyDescent="0.25">
      <c r="AE2311" s="39" t="str">
        <f>IF(D2311="","",IFERROR(VLOOKUP(D2311,Projects!$A$2:$A$20000,1,FALSE),""))</f>
        <v/>
      </c>
      <c r="AF2311" s="2" t="str">
        <f>IF(D2311="","",IFERROR(MATCH(D2311,Projects!$A:$A,0),""))</f>
        <v/>
      </c>
    </row>
    <row r="2312" spans="31:32" x14ac:dyDescent="0.25">
      <c r="AE2312" s="39" t="str">
        <f>IF(D2312="","",IFERROR(VLOOKUP(D2312,Projects!$A$2:$A$20000,1,FALSE),""))</f>
        <v/>
      </c>
      <c r="AF2312" s="2" t="str">
        <f>IF(D2312="","",IFERROR(MATCH(D2312,Projects!$A:$A,0),""))</f>
        <v/>
      </c>
    </row>
    <row r="2313" spans="31:32" x14ac:dyDescent="0.25">
      <c r="AE2313" s="39" t="str">
        <f>IF(D2313="","",IFERROR(VLOOKUP(D2313,Projects!$A$2:$A$20000,1,FALSE),""))</f>
        <v/>
      </c>
      <c r="AF2313" s="2" t="str">
        <f>IF(D2313="","",IFERROR(MATCH(D2313,Projects!$A:$A,0),""))</f>
        <v/>
      </c>
    </row>
    <row r="2314" spans="31:32" x14ac:dyDescent="0.25">
      <c r="AE2314" s="39" t="str">
        <f>IF(D2314="","",IFERROR(VLOOKUP(D2314,Projects!$A$2:$A$20000,1,FALSE),""))</f>
        <v/>
      </c>
      <c r="AF2314" s="2" t="str">
        <f>IF(D2314="","",IFERROR(MATCH(D2314,Projects!$A:$A,0),""))</f>
        <v/>
      </c>
    </row>
    <row r="2315" spans="31:32" x14ac:dyDescent="0.25">
      <c r="AE2315" s="39" t="str">
        <f>IF(D2315="","",IFERROR(VLOOKUP(D2315,Projects!$A$2:$A$20000,1,FALSE),""))</f>
        <v/>
      </c>
      <c r="AF2315" s="2" t="str">
        <f>IF(D2315="","",IFERROR(MATCH(D2315,Projects!$A:$A,0),""))</f>
        <v/>
      </c>
    </row>
    <row r="2316" spans="31:32" x14ac:dyDescent="0.25">
      <c r="AE2316" s="39" t="str">
        <f>IF(D2316="","",IFERROR(VLOOKUP(D2316,Projects!$A$2:$A$20000,1,FALSE),""))</f>
        <v/>
      </c>
      <c r="AF2316" s="2" t="str">
        <f>IF(D2316="","",IFERROR(MATCH(D2316,Projects!$A:$A,0),""))</f>
        <v/>
      </c>
    </row>
    <row r="2317" spans="31:32" x14ac:dyDescent="0.25">
      <c r="AE2317" s="39" t="str">
        <f>IF(D2317="","",IFERROR(VLOOKUP(D2317,Projects!$A$2:$A$20000,1,FALSE),""))</f>
        <v/>
      </c>
      <c r="AF2317" s="2" t="str">
        <f>IF(D2317="","",IFERROR(MATCH(D2317,Projects!$A:$A,0),""))</f>
        <v/>
      </c>
    </row>
    <row r="2318" spans="31:32" x14ac:dyDescent="0.25">
      <c r="AE2318" s="39" t="str">
        <f>IF(D2318="","",IFERROR(VLOOKUP(D2318,Projects!$A$2:$A$20000,1,FALSE),""))</f>
        <v/>
      </c>
      <c r="AF2318" s="2" t="str">
        <f>IF(D2318="","",IFERROR(MATCH(D2318,Projects!$A:$A,0),""))</f>
        <v/>
      </c>
    </row>
    <row r="2319" spans="31:32" x14ac:dyDescent="0.25">
      <c r="AE2319" s="39" t="str">
        <f>IF(D2319="","",IFERROR(VLOOKUP(D2319,Projects!$A$2:$A$20000,1,FALSE),""))</f>
        <v/>
      </c>
      <c r="AF2319" s="2" t="str">
        <f>IF(D2319="","",IFERROR(MATCH(D2319,Projects!$A:$A,0),""))</f>
        <v/>
      </c>
    </row>
    <row r="2320" spans="31:32" x14ac:dyDescent="0.25">
      <c r="AE2320" s="39" t="str">
        <f>IF(D2320="","",IFERROR(VLOOKUP(D2320,Projects!$A$2:$A$20000,1,FALSE),""))</f>
        <v/>
      </c>
      <c r="AF2320" s="2" t="str">
        <f>IF(D2320="","",IFERROR(MATCH(D2320,Projects!$A:$A,0),""))</f>
        <v/>
      </c>
    </row>
    <row r="2321" spans="31:32" x14ac:dyDescent="0.25">
      <c r="AE2321" s="39" t="str">
        <f>IF(D2321="","",IFERROR(VLOOKUP(D2321,Projects!$A$2:$A$20000,1,FALSE),""))</f>
        <v/>
      </c>
      <c r="AF2321" s="2" t="str">
        <f>IF(D2321="","",IFERROR(MATCH(D2321,Projects!$A:$A,0),""))</f>
        <v/>
      </c>
    </row>
    <row r="2322" spans="31:32" x14ac:dyDescent="0.25">
      <c r="AE2322" s="39" t="str">
        <f>IF(D2322="","",IFERROR(VLOOKUP(D2322,Projects!$A$2:$A$20000,1,FALSE),""))</f>
        <v/>
      </c>
      <c r="AF2322" s="2" t="str">
        <f>IF(D2322="","",IFERROR(MATCH(D2322,Projects!$A:$A,0),""))</f>
        <v/>
      </c>
    </row>
    <row r="2323" spans="31:32" x14ac:dyDescent="0.25">
      <c r="AE2323" s="39" t="str">
        <f>IF(D2323="","",IFERROR(VLOOKUP(D2323,Projects!$A$2:$A$20000,1,FALSE),""))</f>
        <v/>
      </c>
      <c r="AF2323" s="2" t="str">
        <f>IF(D2323="","",IFERROR(MATCH(D2323,Projects!$A:$A,0),""))</f>
        <v/>
      </c>
    </row>
    <row r="2324" spans="31:32" x14ac:dyDescent="0.25">
      <c r="AE2324" s="39" t="str">
        <f>IF(D2324="","",IFERROR(VLOOKUP(D2324,Projects!$A$2:$A$20000,1,FALSE),""))</f>
        <v/>
      </c>
      <c r="AF2324" s="2" t="str">
        <f>IF(D2324="","",IFERROR(MATCH(D2324,Projects!$A:$A,0),""))</f>
        <v/>
      </c>
    </row>
    <row r="2325" spans="31:32" x14ac:dyDescent="0.25">
      <c r="AE2325" s="39" t="str">
        <f>IF(D2325="","",IFERROR(VLOOKUP(D2325,Projects!$A$2:$A$20000,1,FALSE),""))</f>
        <v/>
      </c>
      <c r="AF2325" s="2" t="str">
        <f>IF(D2325="","",IFERROR(MATCH(D2325,Projects!$A:$A,0),""))</f>
        <v/>
      </c>
    </row>
    <row r="2326" spans="31:32" x14ac:dyDescent="0.25">
      <c r="AE2326" s="39" t="str">
        <f>IF(D2326="","",IFERROR(VLOOKUP(D2326,Projects!$A$2:$A$20000,1,FALSE),""))</f>
        <v/>
      </c>
      <c r="AF2326" s="2" t="str">
        <f>IF(D2326="","",IFERROR(MATCH(D2326,Projects!$A:$A,0),""))</f>
        <v/>
      </c>
    </row>
    <row r="2327" spans="31:32" x14ac:dyDescent="0.25">
      <c r="AE2327" s="39" t="str">
        <f>IF(D2327="","",IFERROR(VLOOKUP(D2327,Projects!$A$2:$A$20000,1,FALSE),""))</f>
        <v/>
      </c>
      <c r="AF2327" s="2" t="str">
        <f>IF(D2327="","",IFERROR(MATCH(D2327,Projects!$A:$A,0),""))</f>
        <v/>
      </c>
    </row>
    <row r="2328" spans="31:32" x14ac:dyDescent="0.25">
      <c r="AE2328" s="39" t="str">
        <f>IF(D2328="","",IFERROR(VLOOKUP(D2328,Projects!$A$2:$A$20000,1,FALSE),""))</f>
        <v/>
      </c>
      <c r="AF2328" s="2" t="str">
        <f>IF(D2328="","",IFERROR(MATCH(D2328,Projects!$A:$A,0),""))</f>
        <v/>
      </c>
    </row>
    <row r="2329" spans="31:32" x14ac:dyDescent="0.25">
      <c r="AE2329" s="39" t="str">
        <f>IF(D2329="","",IFERROR(VLOOKUP(D2329,Projects!$A$2:$A$20000,1,FALSE),""))</f>
        <v/>
      </c>
      <c r="AF2329" s="2" t="str">
        <f>IF(D2329="","",IFERROR(MATCH(D2329,Projects!$A:$A,0),""))</f>
        <v/>
      </c>
    </row>
    <row r="2330" spans="31:32" x14ac:dyDescent="0.25">
      <c r="AE2330" s="39" t="str">
        <f>IF(D2330="","",IFERROR(VLOOKUP(D2330,Projects!$A$2:$A$20000,1,FALSE),""))</f>
        <v/>
      </c>
      <c r="AF2330" s="2" t="str">
        <f>IF(D2330="","",IFERROR(MATCH(D2330,Projects!$A:$A,0),""))</f>
        <v/>
      </c>
    </row>
    <row r="2331" spans="31:32" x14ac:dyDescent="0.25">
      <c r="AE2331" s="39" t="str">
        <f>IF(D2331="","",IFERROR(VLOOKUP(D2331,Projects!$A$2:$A$20000,1,FALSE),""))</f>
        <v/>
      </c>
      <c r="AF2331" s="2" t="str">
        <f>IF(D2331="","",IFERROR(MATCH(D2331,Projects!$A:$A,0),""))</f>
        <v/>
      </c>
    </row>
    <row r="2332" spans="31:32" x14ac:dyDescent="0.25">
      <c r="AE2332" s="39" t="str">
        <f>IF(D2332="","",IFERROR(VLOOKUP(D2332,Projects!$A$2:$A$20000,1,FALSE),""))</f>
        <v/>
      </c>
      <c r="AF2332" s="2" t="str">
        <f>IF(D2332="","",IFERROR(MATCH(D2332,Projects!$A:$A,0),""))</f>
        <v/>
      </c>
    </row>
    <row r="2333" spans="31:32" x14ac:dyDescent="0.25">
      <c r="AE2333" s="39" t="str">
        <f>IF(D2333="","",IFERROR(VLOOKUP(D2333,Projects!$A$2:$A$20000,1,FALSE),""))</f>
        <v/>
      </c>
      <c r="AF2333" s="2" t="str">
        <f>IF(D2333="","",IFERROR(MATCH(D2333,Projects!$A:$A,0),""))</f>
        <v/>
      </c>
    </row>
    <row r="2334" spans="31:32" x14ac:dyDescent="0.25">
      <c r="AE2334" s="39" t="str">
        <f>IF(D2334="","",IFERROR(VLOOKUP(D2334,Projects!$A$2:$A$20000,1,FALSE),""))</f>
        <v/>
      </c>
      <c r="AF2334" s="2" t="str">
        <f>IF(D2334="","",IFERROR(MATCH(D2334,Projects!$A:$A,0),""))</f>
        <v/>
      </c>
    </row>
    <row r="2335" spans="31:32" x14ac:dyDescent="0.25">
      <c r="AE2335" s="39" t="str">
        <f>IF(D2335="","",IFERROR(VLOOKUP(D2335,Projects!$A$2:$A$20000,1,FALSE),""))</f>
        <v/>
      </c>
      <c r="AF2335" s="2" t="str">
        <f>IF(D2335="","",IFERROR(MATCH(D2335,Projects!$A:$A,0),""))</f>
        <v/>
      </c>
    </row>
    <row r="2336" spans="31:32" x14ac:dyDescent="0.25">
      <c r="AE2336" s="39" t="str">
        <f>IF(D2336="","",IFERROR(VLOOKUP(D2336,Projects!$A$2:$A$20000,1,FALSE),""))</f>
        <v/>
      </c>
      <c r="AF2336" s="2" t="str">
        <f>IF(D2336="","",IFERROR(MATCH(D2336,Projects!$A:$A,0),""))</f>
        <v/>
      </c>
    </row>
    <row r="2337" spans="31:32" x14ac:dyDescent="0.25">
      <c r="AE2337" s="39" t="str">
        <f>IF(D2337="","",IFERROR(VLOOKUP(D2337,Projects!$A$2:$A$20000,1,FALSE),""))</f>
        <v/>
      </c>
      <c r="AF2337" s="2" t="str">
        <f>IF(D2337="","",IFERROR(MATCH(D2337,Projects!$A:$A,0),""))</f>
        <v/>
      </c>
    </row>
    <row r="2338" spans="31:32" x14ac:dyDescent="0.25">
      <c r="AE2338" s="39" t="str">
        <f>IF(D2338="","",IFERROR(VLOOKUP(D2338,Projects!$A$2:$A$20000,1,FALSE),""))</f>
        <v/>
      </c>
      <c r="AF2338" s="2" t="str">
        <f>IF(D2338="","",IFERROR(MATCH(D2338,Projects!$A:$A,0),""))</f>
        <v/>
      </c>
    </row>
    <row r="2339" spans="31:32" x14ac:dyDescent="0.25">
      <c r="AE2339" s="39" t="str">
        <f>IF(D2339="","",IFERROR(VLOOKUP(D2339,Projects!$A$2:$A$20000,1,FALSE),""))</f>
        <v/>
      </c>
      <c r="AF2339" s="2" t="str">
        <f>IF(D2339="","",IFERROR(MATCH(D2339,Projects!$A:$A,0),""))</f>
        <v/>
      </c>
    </row>
    <row r="2340" spans="31:32" x14ac:dyDescent="0.25">
      <c r="AE2340" s="39" t="str">
        <f>IF(D2340="","",IFERROR(VLOOKUP(D2340,Projects!$A$2:$A$20000,1,FALSE),""))</f>
        <v/>
      </c>
      <c r="AF2340" s="2" t="str">
        <f>IF(D2340="","",IFERROR(MATCH(D2340,Projects!$A:$A,0),""))</f>
        <v/>
      </c>
    </row>
    <row r="2341" spans="31:32" x14ac:dyDescent="0.25">
      <c r="AE2341" s="39" t="str">
        <f>IF(D2341="","",IFERROR(VLOOKUP(D2341,Projects!$A$2:$A$20000,1,FALSE),""))</f>
        <v/>
      </c>
      <c r="AF2341" s="2" t="str">
        <f>IF(D2341="","",IFERROR(MATCH(D2341,Projects!$A:$A,0),""))</f>
        <v/>
      </c>
    </row>
    <row r="2342" spans="31:32" x14ac:dyDescent="0.25">
      <c r="AE2342" s="39" t="str">
        <f>IF(D2342="","",IFERROR(VLOOKUP(D2342,Projects!$A$2:$A$20000,1,FALSE),""))</f>
        <v/>
      </c>
      <c r="AF2342" s="2" t="str">
        <f>IF(D2342="","",IFERROR(MATCH(D2342,Projects!$A:$A,0),""))</f>
        <v/>
      </c>
    </row>
    <row r="2343" spans="31:32" x14ac:dyDescent="0.25">
      <c r="AE2343" s="39" t="str">
        <f>IF(D2343="","",IFERROR(VLOOKUP(D2343,Projects!$A$2:$A$20000,1,FALSE),""))</f>
        <v/>
      </c>
      <c r="AF2343" s="2" t="str">
        <f>IF(D2343="","",IFERROR(MATCH(D2343,Projects!$A:$A,0),""))</f>
        <v/>
      </c>
    </row>
    <row r="2344" spans="31:32" x14ac:dyDescent="0.25">
      <c r="AE2344" s="39" t="str">
        <f>IF(D2344="","",IFERROR(VLOOKUP(D2344,Projects!$A$2:$A$20000,1,FALSE),""))</f>
        <v/>
      </c>
      <c r="AF2344" s="2" t="str">
        <f>IF(D2344="","",IFERROR(MATCH(D2344,Projects!$A:$A,0),""))</f>
        <v/>
      </c>
    </row>
    <row r="2345" spans="31:32" x14ac:dyDescent="0.25">
      <c r="AE2345" s="39" t="str">
        <f>IF(D2345="","",IFERROR(VLOOKUP(D2345,Projects!$A$2:$A$20000,1,FALSE),""))</f>
        <v/>
      </c>
      <c r="AF2345" s="2" t="str">
        <f>IF(D2345="","",IFERROR(MATCH(D2345,Projects!$A:$A,0),""))</f>
        <v/>
      </c>
    </row>
    <row r="2346" spans="31:32" x14ac:dyDescent="0.25">
      <c r="AE2346" s="39" t="str">
        <f>IF(D2346="","",IFERROR(VLOOKUP(D2346,Projects!$A$2:$A$20000,1,FALSE),""))</f>
        <v/>
      </c>
      <c r="AF2346" s="2" t="str">
        <f>IF(D2346="","",IFERROR(MATCH(D2346,Projects!$A:$A,0),""))</f>
        <v/>
      </c>
    </row>
    <row r="2347" spans="31:32" x14ac:dyDescent="0.25">
      <c r="AE2347" s="39" t="str">
        <f>IF(D2347="","",IFERROR(VLOOKUP(D2347,Projects!$A$2:$A$20000,1,FALSE),""))</f>
        <v/>
      </c>
      <c r="AF2347" s="2" t="str">
        <f>IF(D2347="","",IFERROR(MATCH(D2347,Projects!$A:$A,0),""))</f>
        <v/>
      </c>
    </row>
    <row r="2348" spans="31:32" x14ac:dyDescent="0.25">
      <c r="AE2348" s="39" t="str">
        <f>IF(D2348="","",IFERROR(VLOOKUP(D2348,Projects!$A$2:$A$20000,1,FALSE),""))</f>
        <v/>
      </c>
      <c r="AF2348" s="2" t="str">
        <f>IF(D2348="","",IFERROR(MATCH(D2348,Projects!$A:$A,0),""))</f>
        <v/>
      </c>
    </row>
    <row r="2349" spans="31:32" x14ac:dyDescent="0.25">
      <c r="AE2349" s="39" t="str">
        <f>IF(D2349="","",IFERROR(VLOOKUP(D2349,Projects!$A$2:$A$20000,1,FALSE),""))</f>
        <v/>
      </c>
      <c r="AF2349" s="2" t="str">
        <f>IF(D2349="","",IFERROR(MATCH(D2349,Projects!$A:$A,0),""))</f>
        <v/>
      </c>
    </row>
    <row r="2350" spans="31:32" x14ac:dyDescent="0.25">
      <c r="AE2350" s="39" t="str">
        <f>IF(D2350="","",IFERROR(VLOOKUP(D2350,Projects!$A$2:$A$20000,1,FALSE),""))</f>
        <v/>
      </c>
      <c r="AF2350" s="2" t="str">
        <f>IF(D2350="","",IFERROR(MATCH(D2350,Projects!$A:$A,0),""))</f>
        <v/>
      </c>
    </row>
    <row r="2351" spans="31:32" x14ac:dyDescent="0.25">
      <c r="AE2351" s="39" t="str">
        <f>IF(D2351="","",IFERROR(VLOOKUP(D2351,Projects!$A$2:$A$20000,1,FALSE),""))</f>
        <v/>
      </c>
      <c r="AF2351" s="2" t="str">
        <f>IF(D2351="","",IFERROR(MATCH(D2351,Projects!$A:$A,0),""))</f>
        <v/>
      </c>
    </row>
    <row r="2352" spans="31:32" x14ac:dyDescent="0.25">
      <c r="AE2352" s="39" t="str">
        <f>IF(D2352="","",IFERROR(VLOOKUP(D2352,Projects!$A$2:$A$20000,1,FALSE),""))</f>
        <v/>
      </c>
      <c r="AF2352" s="2" t="str">
        <f>IF(D2352="","",IFERROR(MATCH(D2352,Projects!$A:$A,0),""))</f>
        <v/>
      </c>
    </row>
    <row r="2353" spans="31:32" x14ac:dyDescent="0.25">
      <c r="AE2353" s="39" t="str">
        <f>IF(D2353="","",IFERROR(VLOOKUP(D2353,Projects!$A$2:$A$20000,1,FALSE),""))</f>
        <v/>
      </c>
      <c r="AF2353" s="2" t="str">
        <f>IF(D2353="","",IFERROR(MATCH(D2353,Projects!$A:$A,0),""))</f>
        <v/>
      </c>
    </row>
    <row r="2354" spans="31:32" x14ac:dyDescent="0.25">
      <c r="AE2354" s="39" t="str">
        <f>IF(D2354="","",IFERROR(VLOOKUP(D2354,Projects!$A$2:$A$20000,1,FALSE),""))</f>
        <v/>
      </c>
      <c r="AF2354" s="2" t="str">
        <f>IF(D2354="","",IFERROR(MATCH(D2354,Projects!$A:$A,0),""))</f>
        <v/>
      </c>
    </row>
    <row r="2355" spans="31:32" x14ac:dyDescent="0.25">
      <c r="AE2355" s="39" t="str">
        <f>IF(D2355="","",IFERROR(VLOOKUP(D2355,Projects!$A$2:$A$20000,1,FALSE),""))</f>
        <v/>
      </c>
      <c r="AF2355" s="2" t="str">
        <f>IF(D2355="","",IFERROR(MATCH(D2355,Projects!$A:$A,0),""))</f>
        <v/>
      </c>
    </row>
    <row r="2356" spans="31:32" x14ac:dyDescent="0.25">
      <c r="AE2356" s="39" t="str">
        <f>IF(D2356="","",IFERROR(VLOOKUP(D2356,Projects!$A$2:$A$20000,1,FALSE),""))</f>
        <v/>
      </c>
      <c r="AF2356" s="2" t="str">
        <f>IF(D2356="","",IFERROR(MATCH(D2356,Projects!$A:$A,0),""))</f>
        <v/>
      </c>
    </row>
    <row r="2357" spans="31:32" x14ac:dyDescent="0.25">
      <c r="AE2357" s="39" t="str">
        <f>IF(D2357="","",IFERROR(VLOOKUP(D2357,Projects!$A$2:$A$20000,1,FALSE),""))</f>
        <v/>
      </c>
      <c r="AF2357" s="2" t="str">
        <f>IF(D2357="","",IFERROR(MATCH(D2357,Projects!$A:$A,0),""))</f>
        <v/>
      </c>
    </row>
    <row r="2358" spans="31:32" x14ac:dyDescent="0.25">
      <c r="AE2358" s="39" t="str">
        <f>IF(D2358="","",IFERROR(VLOOKUP(D2358,Projects!$A$2:$A$20000,1,FALSE),""))</f>
        <v/>
      </c>
      <c r="AF2358" s="2" t="str">
        <f>IF(D2358="","",IFERROR(MATCH(D2358,Projects!$A:$A,0),""))</f>
        <v/>
      </c>
    </row>
    <row r="2359" spans="31:32" x14ac:dyDescent="0.25">
      <c r="AE2359" s="39" t="str">
        <f>IF(D2359="","",IFERROR(VLOOKUP(D2359,Projects!$A$2:$A$20000,1,FALSE),""))</f>
        <v/>
      </c>
      <c r="AF2359" s="2" t="str">
        <f>IF(D2359="","",IFERROR(MATCH(D2359,Projects!$A:$A,0),""))</f>
        <v/>
      </c>
    </row>
    <row r="2360" spans="31:32" x14ac:dyDescent="0.25">
      <c r="AE2360" s="39" t="str">
        <f>IF(D2360="","",IFERROR(VLOOKUP(D2360,Projects!$A$2:$A$20000,1,FALSE),""))</f>
        <v/>
      </c>
      <c r="AF2360" s="2" t="str">
        <f>IF(D2360="","",IFERROR(MATCH(D2360,Projects!$A:$A,0),""))</f>
        <v/>
      </c>
    </row>
    <row r="2361" spans="31:32" x14ac:dyDescent="0.25">
      <c r="AE2361" s="39" t="str">
        <f>IF(D2361="","",IFERROR(VLOOKUP(D2361,Projects!$A$2:$A$20000,1,FALSE),""))</f>
        <v/>
      </c>
      <c r="AF2361" s="2" t="str">
        <f>IF(D2361="","",IFERROR(MATCH(D2361,Projects!$A:$A,0),""))</f>
        <v/>
      </c>
    </row>
    <row r="2362" spans="31:32" x14ac:dyDescent="0.25">
      <c r="AE2362" s="39" t="str">
        <f>IF(D2362="","",IFERROR(VLOOKUP(D2362,Projects!$A$2:$A$20000,1,FALSE),""))</f>
        <v/>
      </c>
      <c r="AF2362" s="2" t="str">
        <f>IF(D2362="","",IFERROR(MATCH(D2362,Projects!$A:$A,0),""))</f>
        <v/>
      </c>
    </row>
    <row r="2363" spans="31:32" x14ac:dyDescent="0.25">
      <c r="AE2363" s="39" t="str">
        <f>IF(D2363="","",IFERROR(VLOOKUP(D2363,Projects!$A$2:$A$20000,1,FALSE),""))</f>
        <v/>
      </c>
      <c r="AF2363" s="2" t="str">
        <f>IF(D2363="","",IFERROR(MATCH(D2363,Projects!$A:$A,0),""))</f>
        <v/>
      </c>
    </row>
    <row r="2364" spans="31:32" x14ac:dyDescent="0.25">
      <c r="AE2364" s="39" t="str">
        <f>IF(D2364="","",IFERROR(VLOOKUP(D2364,Projects!$A$2:$A$20000,1,FALSE),""))</f>
        <v/>
      </c>
      <c r="AF2364" s="2" t="str">
        <f>IF(D2364="","",IFERROR(MATCH(D2364,Projects!$A:$A,0),""))</f>
        <v/>
      </c>
    </row>
    <row r="2365" spans="31:32" x14ac:dyDescent="0.25">
      <c r="AE2365" s="39" t="str">
        <f>IF(D2365="","",IFERROR(VLOOKUP(D2365,Projects!$A$2:$A$20000,1,FALSE),""))</f>
        <v/>
      </c>
      <c r="AF2365" s="2" t="str">
        <f>IF(D2365="","",IFERROR(MATCH(D2365,Projects!$A:$A,0),""))</f>
        <v/>
      </c>
    </row>
    <row r="2366" spans="31:32" x14ac:dyDescent="0.25">
      <c r="AE2366" s="39" t="str">
        <f>IF(D2366="","",IFERROR(VLOOKUP(D2366,Projects!$A$2:$A$20000,1,FALSE),""))</f>
        <v/>
      </c>
      <c r="AF2366" s="2" t="str">
        <f>IF(D2366="","",IFERROR(MATCH(D2366,Projects!$A:$A,0),""))</f>
        <v/>
      </c>
    </row>
    <row r="2367" spans="31:32" x14ac:dyDescent="0.25">
      <c r="AE2367" s="39" t="str">
        <f>IF(D2367="","",IFERROR(VLOOKUP(D2367,Projects!$A$2:$A$20000,1,FALSE),""))</f>
        <v/>
      </c>
      <c r="AF2367" s="2" t="str">
        <f>IF(D2367="","",IFERROR(MATCH(D2367,Projects!$A:$A,0),""))</f>
        <v/>
      </c>
    </row>
    <row r="2368" spans="31:32" x14ac:dyDescent="0.25">
      <c r="AE2368" s="39" t="str">
        <f>IF(D2368="","",IFERROR(VLOOKUP(D2368,Projects!$A$2:$A$20000,1,FALSE),""))</f>
        <v/>
      </c>
      <c r="AF2368" s="2" t="str">
        <f>IF(D2368="","",IFERROR(MATCH(D2368,Projects!$A:$A,0),""))</f>
        <v/>
      </c>
    </row>
    <row r="2369" spans="31:32" x14ac:dyDescent="0.25">
      <c r="AE2369" s="39" t="str">
        <f>IF(D2369="","",IFERROR(VLOOKUP(D2369,Projects!$A$2:$A$20000,1,FALSE),""))</f>
        <v/>
      </c>
      <c r="AF2369" s="2" t="str">
        <f>IF(D2369="","",IFERROR(MATCH(D2369,Projects!$A:$A,0),""))</f>
        <v/>
      </c>
    </row>
    <row r="2370" spans="31:32" x14ac:dyDescent="0.25">
      <c r="AE2370" s="39" t="str">
        <f>IF(D2370="","",IFERROR(VLOOKUP(D2370,Projects!$A$2:$A$20000,1,FALSE),""))</f>
        <v/>
      </c>
      <c r="AF2370" s="2" t="str">
        <f>IF(D2370="","",IFERROR(MATCH(D2370,Projects!$A:$A,0),""))</f>
        <v/>
      </c>
    </row>
    <row r="2371" spans="31:32" x14ac:dyDescent="0.25">
      <c r="AE2371" s="39" t="str">
        <f>IF(D2371="","",IFERROR(VLOOKUP(D2371,Projects!$A$2:$A$20000,1,FALSE),""))</f>
        <v/>
      </c>
      <c r="AF2371" s="2" t="str">
        <f>IF(D2371="","",IFERROR(MATCH(D2371,Projects!$A:$A,0),""))</f>
        <v/>
      </c>
    </row>
    <row r="2372" spans="31:32" x14ac:dyDescent="0.25">
      <c r="AE2372" s="39" t="str">
        <f>IF(D2372="","",IFERROR(VLOOKUP(D2372,Projects!$A$2:$A$20000,1,FALSE),""))</f>
        <v/>
      </c>
      <c r="AF2372" s="2" t="str">
        <f>IF(D2372="","",IFERROR(MATCH(D2372,Projects!$A:$A,0),""))</f>
        <v/>
      </c>
    </row>
    <row r="2373" spans="31:32" x14ac:dyDescent="0.25">
      <c r="AE2373" s="39" t="str">
        <f>IF(D2373="","",IFERROR(VLOOKUP(D2373,Projects!$A$2:$A$20000,1,FALSE),""))</f>
        <v/>
      </c>
      <c r="AF2373" s="2" t="str">
        <f>IF(D2373="","",IFERROR(MATCH(D2373,Projects!$A:$A,0),""))</f>
        <v/>
      </c>
    </row>
    <row r="2374" spans="31:32" x14ac:dyDescent="0.25">
      <c r="AE2374" s="39" t="str">
        <f>IF(D2374="","",IFERROR(VLOOKUP(D2374,Projects!$A$2:$A$20000,1,FALSE),""))</f>
        <v/>
      </c>
      <c r="AF2374" s="2" t="str">
        <f>IF(D2374="","",IFERROR(MATCH(D2374,Projects!$A:$A,0),""))</f>
        <v/>
      </c>
    </row>
    <row r="2375" spans="31:32" x14ac:dyDescent="0.25">
      <c r="AE2375" s="39" t="str">
        <f>IF(D2375="","",IFERROR(VLOOKUP(D2375,Projects!$A$2:$A$20000,1,FALSE),""))</f>
        <v/>
      </c>
      <c r="AF2375" s="2" t="str">
        <f>IF(D2375="","",IFERROR(MATCH(D2375,Projects!$A:$A,0),""))</f>
        <v/>
      </c>
    </row>
    <row r="2376" spans="31:32" x14ac:dyDescent="0.25">
      <c r="AE2376" s="39" t="str">
        <f>IF(D2376="","",IFERROR(VLOOKUP(D2376,Projects!$A$2:$A$20000,1,FALSE),""))</f>
        <v/>
      </c>
      <c r="AF2376" s="2" t="str">
        <f>IF(D2376="","",IFERROR(MATCH(D2376,Projects!$A:$A,0),""))</f>
        <v/>
      </c>
    </row>
    <row r="2377" spans="31:32" x14ac:dyDescent="0.25">
      <c r="AE2377" s="39" t="str">
        <f>IF(D2377="","",IFERROR(VLOOKUP(D2377,Projects!$A$2:$A$20000,1,FALSE),""))</f>
        <v/>
      </c>
      <c r="AF2377" s="2" t="str">
        <f>IF(D2377="","",IFERROR(MATCH(D2377,Projects!$A:$A,0),""))</f>
        <v/>
      </c>
    </row>
    <row r="2378" spans="31:32" x14ac:dyDescent="0.25">
      <c r="AE2378" s="39" t="str">
        <f>IF(D2378="","",IFERROR(VLOOKUP(D2378,Projects!$A$2:$A$20000,1,FALSE),""))</f>
        <v/>
      </c>
      <c r="AF2378" s="2" t="str">
        <f>IF(D2378="","",IFERROR(MATCH(D2378,Projects!$A:$A,0),""))</f>
        <v/>
      </c>
    </row>
    <row r="2379" spans="31:32" x14ac:dyDescent="0.25">
      <c r="AE2379" s="39" t="str">
        <f>IF(D2379="","",IFERROR(VLOOKUP(D2379,Projects!$A$2:$A$20000,1,FALSE),""))</f>
        <v/>
      </c>
      <c r="AF2379" s="2" t="str">
        <f>IF(D2379="","",IFERROR(MATCH(D2379,Projects!$A:$A,0),""))</f>
        <v/>
      </c>
    </row>
    <row r="2380" spans="31:32" x14ac:dyDescent="0.25">
      <c r="AE2380" s="39" t="str">
        <f>IF(D2380="","",IFERROR(VLOOKUP(D2380,Projects!$A$2:$A$20000,1,FALSE),""))</f>
        <v/>
      </c>
      <c r="AF2380" s="2" t="str">
        <f>IF(D2380="","",IFERROR(MATCH(D2380,Projects!$A:$A,0),""))</f>
        <v/>
      </c>
    </row>
    <row r="2381" spans="31:32" x14ac:dyDescent="0.25">
      <c r="AE2381" s="39" t="str">
        <f>IF(D2381="","",IFERROR(VLOOKUP(D2381,Projects!$A$2:$A$20000,1,FALSE),""))</f>
        <v/>
      </c>
      <c r="AF2381" s="2" t="str">
        <f>IF(D2381="","",IFERROR(MATCH(D2381,Projects!$A:$A,0),""))</f>
        <v/>
      </c>
    </row>
    <row r="2382" spans="31:32" x14ac:dyDescent="0.25">
      <c r="AE2382" s="39" t="str">
        <f>IF(D2382="","",IFERROR(VLOOKUP(D2382,Projects!$A$2:$A$20000,1,FALSE),""))</f>
        <v/>
      </c>
      <c r="AF2382" s="2" t="str">
        <f>IF(D2382="","",IFERROR(MATCH(D2382,Projects!$A:$A,0),""))</f>
        <v/>
      </c>
    </row>
    <row r="2383" spans="31:32" x14ac:dyDescent="0.25">
      <c r="AE2383" s="39" t="str">
        <f>IF(D2383="","",IFERROR(VLOOKUP(D2383,Projects!$A$2:$A$20000,1,FALSE),""))</f>
        <v/>
      </c>
      <c r="AF2383" s="2" t="str">
        <f>IF(D2383="","",IFERROR(MATCH(D2383,Projects!$A:$A,0),""))</f>
        <v/>
      </c>
    </row>
    <row r="2384" spans="31:32" x14ac:dyDescent="0.25">
      <c r="AE2384" s="39" t="str">
        <f>IF(D2384="","",IFERROR(VLOOKUP(D2384,Projects!$A$2:$A$20000,1,FALSE),""))</f>
        <v/>
      </c>
      <c r="AF2384" s="2" t="str">
        <f>IF(D2384="","",IFERROR(MATCH(D2384,Projects!$A:$A,0),""))</f>
        <v/>
      </c>
    </row>
    <row r="2385" spans="31:32" x14ac:dyDescent="0.25">
      <c r="AE2385" s="39" t="str">
        <f>IF(D2385="","",IFERROR(VLOOKUP(D2385,Projects!$A$2:$A$20000,1,FALSE),""))</f>
        <v/>
      </c>
      <c r="AF2385" s="2" t="str">
        <f>IF(D2385="","",IFERROR(MATCH(D2385,Projects!$A:$A,0),""))</f>
        <v/>
      </c>
    </row>
    <row r="2386" spans="31:32" x14ac:dyDescent="0.25">
      <c r="AE2386" s="39" t="str">
        <f>IF(D2386="","",IFERROR(VLOOKUP(D2386,Projects!$A$2:$A$20000,1,FALSE),""))</f>
        <v/>
      </c>
      <c r="AF2386" s="2" t="str">
        <f>IF(D2386="","",IFERROR(MATCH(D2386,Projects!$A:$A,0),""))</f>
        <v/>
      </c>
    </row>
    <row r="2387" spans="31:32" x14ac:dyDescent="0.25">
      <c r="AE2387" s="39" t="str">
        <f>IF(D2387="","",IFERROR(VLOOKUP(D2387,Projects!$A$2:$A$20000,1,FALSE),""))</f>
        <v/>
      </c>
      <c r="AF2387" s="2" t="str">
        <f>IF(D2387="","",IFERROR(MATCH(D2387,Projects!$A:$A,0),""))</f>
        <v/>
      </c>
    </row>
    <row r="2388" spans="31:32" x14ac:dyDescent="0.25">
      <c r="AE2388" s="39" t="str">
        <f>IF(D2388="","",IFERROR(VLOOKUP(D2388,Projects!$A$2:$A$20000,1,FALSE),""))</f>
        <v/>
      </c>
      <c r="AF2388" s="2" t="str">
        <f>IF(D2388="","",IFERROR(MATCH(D2388,Projects!$A:$A,0),""))</f>
        <v/>
      </c>
    </row>
    <row r="2389" spans="31:32" x14ac:dyDescent="0.25">
      <c r="AE2389" s="39" t="str">
        <f>IF(D2389="","",IFERROR(VLOOKUP(D2389,Projects!$A$2:$A$20000,1,FALSE),""))</f>
        <v/>
      </c>
      <c r="AF2389" s="2" t="str">
        <f>IF(D2389="","",IFERROR(MATCH(D2389,Projects!$A:$A,0),""))</f>
        <v/>
      </c>
    </row>
    <row r="2390" spans="31:32" x14ac:dyDescent="0.25">
      <c r="AE2390" s="39" t="str">
        <f>IF(D2390="","",IFERROR(VLOOKUP(D2390,Projects!$A$2:$A$20000,1,FALSE),""))</f>
        <v/>
      </c>
      <c r="AF2390" s="2" t="str">
        <f>IF(D2390="","",IFERROR(MATCH(D2390,Projects!$A:$A,0),""))</f>
        <v/>
      </c>
    </row>
    <row r="2391" spans="31:32" x14ac:dyDescent="0.25">
      <c r="AE2391" s="39" t="str">
        <f>IF(D2391="","",IFERROR(VLOOKUP(D2391,Projects!$A$2:$A$20000,1,FALSE),""))</f>
        <v/>
      </c>
      <c r="AF2391" s="2" t="str">
        <f>IF(D2391="","",IFERROR(MATCH(D2391,Projects!$A:$A,0),""))</f>
        <v/>
      </c>
    </row>
    <row r="2392" spans="31:32" x14ac:dyDescent="0.25">
      <c r="AE2392" s="39" t="str">
        <f>IF(D2392="","",IFERROR(VLOOKUP(D2392,Projects!$A$2:$A$20000,1,FALSE),""))</f>
        <v/>
      </c>
      <c r="AF2392" s="2" t="str">
        <f>IF(D2392="","",IFERROR(MATCH(D2392,Projects!$A:$A,0),""))</f>
        <v/>
      </c>
    </row>
    <row r="2393" spans="31:32" x14ac:dyDescent="0.25">
      <c r="AE2393" s="39" t="str">
        <f>IF(D2393="","",IFERROR(VLOOKUP(D2393,Projects!$A$2:$A$20000,1,FALSE),""))</f>
        <v/>
      </c>
      <c r="AF2393" s="2" t="str">
        <f>IF(D2393="","",IFERROR(MATCH(D2393,Projects!$A:$A,0),""))</f>
        <v/>
      </c>
    </row>
    <row r="2394" spans="31:32" x14ac:dyDescent="0.25">
      <c r="AE2394" s="39" t="str">
        <f>IF(D2394="","",IFERROR(VLOOKUP(D2394,Projects!$A$2:$A$20000,1,FALSE),""))</f>
        <v/>
      </c>
      <c r="AF2394" s="2" t="str">
        <f>IF(D2394="","",IFERROR(MATCH(D2394,Projects!$A:$A,0),""))</f>
        <v/>
      </c>
    </row>
    <row r="2395" spans="31:32" x14ac:dyDescent="0.25">
      <c r="AE2395" s="39" t="str">
        <f>IF(D2395="","",IFERROR(VLOOKUP(D2395,Projects!$A$2:$A$20000,1,FALSE),""))</f>
        <v/>
      </c>
      <c r="AF2395" s="2" t="str">
        <f>IF(D2395="","",IFERROR(MATCH(D2395,Projects!$A:$A,0),""))</f>
        <v/>
      </c>
    </row>
    <row r="2396" spans="31:32" x14ac:dyDescent="0.25">
      <c r="AE2396" s="39" t="str">
        <f>IF(D2396="","",IFERROR(VLOOKUP(D2396,Projects!$A$2:$A$20000,1,FALSE),""))</f>
        <v/>
      </c>
      <c r="AF2396" s="2" t="str">
        <f>IF(D2396="","",IFERROR(MATCH(D2396,Projects!$A:$A,0),""))</f>
        <v/>
      </c>
    </row>
    <row r="2397" spans="31:32" x14ac:dyDescent="0.25">
      <c r="AE2397" s="39" t="str">
        <f>IF(D2397="","",IFERROR(VLOOKUP(D2397,Projects!$A$2:$A$20000,1,FALSE),""))</f>
        <v/>
      </c>
      <c r="AF2397" s="2" t="str">
        <f>IF(D2397="","",IFERROR(MATCH(D2397,Projects!$A:$A,0),""))</f>
        <v/>
      </c>
    </row>
    <row r="2398" spans="31:32" x14ac:dyDescent="0.25">
      <c r="AE2398" s="39" t="str">
        <f>IF(D2398="","",IFERROR(VLOOKUP(D2398,Projects!$A$2:$A$20000,1,FALSE),""))</f>
        <v/>
      </c>
      <c r="AF2398" s="2" t="str">
        <f>IF(D2398="","",IFERROR(MATCH(D2398,Projects!$A:$A,0),""))</f>
        <v/>
      </c>
    </row>
    <row r="2399" spans="31:32" x14ac:dyDescent="0.25">
      <c r="AE2399" s="39" t="str">
        <f>IF(D2399="","",IFERROR(VLOOKUP(D2399,Projects!$A$2:$A$20000,1,FALSE),""))</f>
        <v/>
      </c>
      <c r="AF2399" s="2" t="str">
        <f>IF(D2399="","",IFERROR(MATCH(D2399,Projects!$A:$A,0),""))</f>
        <v/>
      </c>
    </row>
    <row r="2400" spans="31:32" x14ac:dyDescent="0.25">
      <c r="AE2400" s="39" t="str">
        <f>IF(D2400="","",IFERROR(VLOOKUP(D2400,Projects!$A$2:$A$20000,1,FALSE),""))</f>
        <v/>
      </c>
      <c r="AF2400" s="2" t="str">
        <f>IF(D2400="","",IFERROR(MATCH(D2400,Projects!$A:$A,0),""))</f>
        <v/>
      </c>
    </row>
    <row r="2401" spans="31:32" x14ac:dyDescent="0.25">
      <c r="AE2401" s="39" t="str">
        <f>IF(D2401="","",IFERROR(VLOOKUP(D2401,Projects!$A$2:$A$20000,1,FALSE),""))</f>
        <v/>
      </c>
      <c r="AF2401" s="2" t="str">
        <f>IF(D2401="","",IFERROR(MATCH(D2401,Projects!$A:$A,0),""))</f>
        <v/>
      </c>
    </row>
    <row r="2402" spans="31:32" x14ac:dyDescent="0.25">
      <c r="AE2402" s="39" t="str">
        <f>IF(D2402="","",IFERROR(VLOOKUP(D2402,Projects!$A$2:$A$20000,1,FALSE),""))</f>
        <v/>
      </c>
      <c r="AF2402" s="2" t="str">
        <f>IF(D2402="","",IFERROR(MATCH(D2402,Projects!$A:$A,0),""))</f>
        <v/>
      </c>
    </row>
    <row r="2403" spans="31:32" x14ac:dyDescent="0.25">
      <c r="AE2403" s="39" t="str">
        <f>IF(D2403="","",IFERROR(VLOOKUP(D2403,Projects!$A$2:$A$20000,1,FALSE),""))</f>
        <v/>
      </c>
      <c r="AF2403" s="2" t="str">
        <f>IF(D2403="","",IFERROR(MATCH(D2403,Projects!$A:$A,0),""))</f>
        <v/>
      </c>
    </row>
    <row r="2404" spans="31:32" x14ac:dyDescent="0.25">
      <c r="AE2404" s="39" t="str">
        <f>IF(D2404="","",IFERROR(VLOOKUP(D2404,Projects!$A$2:$A$20000,1,FALSE),""))</f>
        <v/>
      </c>
      <c r="AF2404" s="2" t="str">
        <f>IF(D2404="","",IFERROR(MATCH(D2404,Projects!$A:$A,0),""))</f>
        <v/>
      </c>
    </row>
    <row r="2405" spans="31:32" x14ac:dyDescent="0.25">
      <c r="AE2405" s="39" t="str">
        <f>IF(D2405="","",IFERROR(VLOOKUP(D2405,Projects!$A$2:$A$20000,1,FALSE),""))</f>
        <v/>
      </c>
      <c r="AF2405" s="2" t="str">
        <f>IF(D2405="","",IFERROR(MATCH(D2405,Projects!$A:$A,0),""))</f>
        <v/>
      </c>
    </row>
    <row r="2406" spans="31:32" x14ac:dyDescent="0.25">
      <c r="AE2406" s="39" t="str">
        <f>IF(D2406="","",IFERROR(VLOOKUP(D2406,Projects!$A$2:$A$20000,1,FALSE),""))</f>
        <v/>
      </c>
      <c r="AF2406" s="2" t="str">
        <f>IF(D2406="","",IFERROR(MATCH(D2406,Projects!$A:$A,0),""))</f>
        <v/>
      </c>
    </row>
    <row r="2407" spans="31:32" x14ac:dyDescent="0.25">
      <c r="AE2407" s="39" t="str">
        <f>IF(D2407="","",IFERROR(VLOOKUP(D2407,Projects!$A$2:$A$20000,1,FALSE),""))</f>
        <v/>
      </c>
      <c r="AF2407" s="2" t="str">
        <f>IF(D2407="","",IFERROR(MATCH(D2407,Projects!$A:$A,0),""))</f>
        <v/>
      </c>
    </row>
    <row r="2408" spans="31:32" x14ac:dyDescent="0.25">
      <c r="AE2408" s="39" t="str">
        <f>IF(D2408="","",IFERROR(VLOOKUP(D2408,Projects!$A$2:$A$20000,1,FALSE),""))</f>
        <v/>
      </c>
      <c r="AF2408" s="2" t="str">
        <f>IF(D2408="","",IFERROR(MATCH(D2408,Projects!$A:$A,0),""))</f>
        <v/>
      </c>
    </row>
    <row r="2409" spans="31:32" x14ac:dyDescent="0.25">
      <c r="AE2409" s="39" t="str">
        <f>IF(D2409="","",IFERROR(VLOOKUP(D2409,Projects!$A$2:$A$20000,1,FALSE),""))</f>
        <v/>
      </c>
      <c r="AF2409" s="2" t="str">
        <f>IF(D2409="","",IFERROR(MATCH(D2409,Projects!$A:$A,0),""))</f>
        <v/>
      </c>
    </row>
    <row r="2410" spans="31:32" x14ac:dyDescent="0.25">
      <c r="AE2410" s="39" t="str">
        <f>IF(D2410="","",IFERROR(VLOOKUP(D2410,Projects!$A$2:$A$20000,1,FALSE),""))</f>
        <v/>
      </c>
      <c r="AF2410" s="2" t="str">
        <f>IF(D2410="","",IFERROR(MATCH(D2410,Projects!$A:$A,0),""))</f>
        <v/>
      </c>
    </row>
    <row r="2411" spans="31:32" x14ac:dyDescent="0.25">
      <c r="AE2411" s="39" t="str">
        <f>IF(D2411="","",IFERROR(VLOOKUP(D2411,Projects!$A$2:$A$20000,1,FALSE),""))</f>
        <v/>
      </c>
      <c r="AF2411" s="2" t="str">
        <f>IF(D2411="","",IFERROR(MATCH(D2411,Projects!$A:$A,0),""))</f>
        <v/>
      </c>
    </row>
    <row r="2412" spans="31:32" x14ac:dyDescent="0.25">
      <c r="AE2412" s="39" t="str">
        <f>IF(D2412="","",IFERROR(VLOOKUP(D2412,Projects!$A$2:$A$20000,1,FALSE),""))</f>
        <v/>
      </c>
      <c r="AF2412" s="2" t="str">
        <f>IF(D2412="","",IFERROR(MATCH(D2412,Projects!$A:$A,0),""))</f>
        <v/>
      </c>
    </row>
    <row r="2413" spans="31:32" x14ac:dyDescent="0.25">
      <c r="AE2413" s="39" t="str">
        <f>IF(D2413="","",IFERROR(VLOOKUP(D2413,Projects!$A$2:$A$20000,1,FALSE),""))</f>
        <v/>
      </c>
      <c r="AF2413" s="2" t="str">
        <f>IF(D2413="","",IFERROR(MATCH(D2413,Projects!$A:$A,0),""))</f>
        <v/>
      </c>
    </row>
    <row r="2414" spans="31:32" x14ac:dyDescent="0.25">
      <c r="AE2414" s="39" t="str">
        <f>IF(D2414="","",IFERROR(VLOOKUP(D2414,Projects!$A$2:$A$20000,1,FALSE),""))</f>
        <v/>
      </c>
      <c r="AF2414" s="2" t="str">
        <f>IF(D2414="","",IFERROR(MATCH(D2414,Projects!$A:$A,0),""))</f>
        <v/>
      </c>
    </row>
    <row r="2415" spans="31:32" x14ac:dyDescent="0.25">
      <c r="AE2415" s="39" t="str">
        <f>IF(D2415="","",IFERROR(VLOOKUP(D2415,Projects!$A$2:$A$20000,1,FALSE),""))</f>
        <v/>
      </c>
      <c r="AF2415" s="2" t="str">
        <f>IF(D2415="","",IFERROR(MATCH(D2415,Projects!$A:$A,0),""))</f>
        <v/>
      </c>
    </row>
    <row r="2416" spans="31:32" x14ac:dyDescent="0.25">
      <c r="AE2416" s="39" t="str">
        <f>IF(D2416="","",IFERROR(VLOOKUP(D2416,Projects!$A$2:$A$20000,1,FALSE),""))</f>
        <v/>
      </c>
      <c r="AF2416" s="2" t="str">
        <f>IF(D2416="","",IFERROR(MATCH(D2416,Projects!$A:$A,0),""))</f>
        <v/>
      </c>
    </row>
    <row r="2417" spans="31:32" x14ac:dyDescent="0.25">
      <c r="AE2417" s="39" t="str">
        <f>IF(D2417="","",IFERROR(VLOOKUP(D2417,Projects!$A$2:$A$20000,1,FALSE),""))</f>
        <v/>
      </c>
      <c r="AF2417" s="2" t="str">
        <f>IF(D2417="","",IFERROR(MATCH(D2417,Projects!$A:$A,0),""))</f>
        <v/>
      </c>
    </row>
    <row r="2418" spans="31:32" x14ac:dyDescent="0.25">
      <c r="AE2418" s="39" t="str">
        <f>IF(D2418="","",IFERROR(VLOOKUP(D2418,Projects!$A$2:$A$20000,1,FALSE),""))</f>
        <v/>
      </c>
      <c r="AF2418" s="2" t="str">
        <f>IF(D2418="","",IFERROR(MATCH(D2418,Projects!$A:$A,0),""))</f>
        <v/>
      </c>
    </row>
    <row r="2419" spans="31:32" x14ac:dyDescent="0.25">
      <c r="AE2419" s="39" t="str">
        <f>IF(D2419="","",IFERROR(VLOOKUP(D2419,Projects!$A$2:$A$20000,1,FALSE),""))</f>
        <v/>
      </c>
      <c r="AF2419" s="2" t="str">
        <f>IF(D2419="","",IFERROR(MATCH(D2419,Projects!$A:$A,0),""))</f>
        <v/>
      </c>
    </row>
    <row r="2420" spans="31:32" x14ac:dyDescent="0.25">
      <c r="AE2420" s="39" t="str">
        <f>IF(D2420="","",IFERROR(VLOOKUP(D2420,Projects!$A$2:$A$20000,1,FALSE),""))</f>
        <v/>
      </c>
      <c r="AF2420" s="2" t="str">
        <f>IF(D2420="","",IFERROR(MATCH(D2420,Projects!$A:$A,0),""))</f>
        <v/>
      </c>
    </row>
    <row r="2421" spans="31:32" x14ac:dyDescent="0.25">
      <c r="AE2421" s="39" t="str">
        <f>IF(D2421="","",IFERROR(VLOOKUP(D2421,Projects!$A$2:$A$20000,1,FALSE),""))</f>
        <v/>
      </c>
      <c r="AF2421" s="2" t="str">
        <f>IF(D2421="","",IFERROR(MATCH(D2421,Projects!$A:$A,0),""))</f>
        <v/>
      </c>
    </row>
    <row r="2422" spans="31:32" x14ac:dyDescent="0.25">
      <c r="AE2422" s="39" t="str">
        <f>IF(D2422="","",IFERROR(VLOOKUP(D2422,Projects!$A$2:$A$20000,1,FALSE),""))</f>
        <v/>
      </c>
      <c r="AF2422" s="2" t="str">
        <f>IF(D2422="","",IFERROR(MATCH(D2422,Projects!$A:$A,0),""))</f>
        <v/>
      </c>
    </row>
    <row r="2423" spans="31:32" x14ac:dyDescent="0.25">
      <c r="AE2423" s="39" t="str">
        <f>IF(D2423="","",IFERROR(VLOOKUP(D2423,Projects!$A$2:$A$20000,1,FALSE),""))</f>
        <v/>
      </c>
      <c r="AF2423" s="2" t="str">
        <f>IF(D2423="","",IFERROR(MATCH(D2423,Projects!$A:$A,0),""))</f>
        <v/>
      </c>
    </row>
    <row r="2424" spans="31:32" x14ac:dyDescent="0.25">
      <c r="AE2424" s="39" t="str">
        <f>IF(D2424="","",IFERROR(VLOOKUP(D2424,Projects!$A$2:$A$20000,1,FALSE),""))</f>
        <v/>
      </c>
      <c r="AF2424" s="2" t="str">
        <f>IF(D2424="","",IFERROR(MATCH(D2424,Projects!$A:$A,0),""))</f>
        <v/>
      </c>
    </row>
    <row r="2425" spans="31:32" x14ac:dyDescent="0.25">
      <c r="AE2425" s="39" t="str">
        <f>IF(D2425="","",IFERROR(VLOOKUP(D2425,Projects!$A$2:$A$20000,1,FALSE),""))</f>
        <v/>
      </c>
      <c r="AF2425" s="2" t="str">
        <f>IF(D2425="","",IFERROR(MATCH(D2425,Projects!$A:$A,0),""))</f>
        <v/>
      </c>
    </row>
    <row r="2426" spans="31:32" x14ac:dyDescent="0.25">
      <c r="AE2426" s="39" t="str">
        <f>IF(D2426="","",IFERROR(VLOOKUP(D2426,Projects!$A$2:$A$20000,1,FALSE),""))</f>
        <v/>
      </c>
      <c r="AF2426" s="2" t="str">
        <f>IF(D2426="","",IFERROR(MATCH(D2426,Projects!$A:$A,0),""))</f>
        <v/>
      </c>
    </row>
    <row r="2427" spans="31:32" x14ac:dyDescent="0.25">
      <c r="AE2427" s="39" t="str">
        <f>IF(D2427="","",IFERROR(VLOOKUP(D2427,Projects!$A$2:$A$20000,1,FALSE),""))</f>
        <v/>
      </c>
      <c r="AF2427" s="2" t="str">
        <f>IF(D2427="","",IFERROR(MATCH(D2427,Projects!$A:$A,0),""))</f>
        <v/>
      </c>
    </row>
    <row r="2428" spans="31:32" x14ac:dyDescent="0.25">
      <c r="AE2428" s="39" t="str">
        <f>IF(D2428="","",IFERROR(VLOOKUP(D2428,Projects!$A$2:$A$20000,1,FALSE),""))</f>
        <v/>
      </c>
      <c r="AF2428" s="2" t="str">
        <f>IF(D2428="","",IFERROR(MATCH(D2428,Projects!$A:$A,0),""))</f>
        <v/>
      </c>
    </row>
    <row r="2429" spans="31:32" x14ac:dyDescent="0.25">
      <c r="AE2429" s="39" t="str">
        <f>IF(D2429="","",IFERROR(VLOOKUP(D2429,Projects!$A$2:$A$20000,1,FALSE),""))</f>
        <v/>
      </c>
      <c r="AF2429" s="2" t="str">
        <f>IF(D2429="","",IFERROR(MATCH(D2429,Projects!$A:$A,0),""))</f>
        <v/>
      </c>
    </row>
    <row r="2430" spans="31:32" x14ac:dyDescent="0.25">
      <c r="AE2430" s="39" t="str">
        <f>IF(D2430="","",IFERROR(VLOOKUP(D2430,Projects!$A$2:$A$20000,1,FALSE),""))</f>
        <v/>
      </c>
      <c r="AF2430" s="2" t="str">
        <f>IF(D2430="","",IFERROR(MATCH(D2430,Projects!$A:$A,0),""))</f>
        <v/>
      </c>
    </row>
    <row r="2431" spans="31:32" x14ac:dyDescent="0.25">
      <c r="AE2431" s="39" t="str">
        <f>IF(D2431="","",IFERROR(VLOOKUP(D2431,Projects!$A$2:$A$20000,1,FALSE),""))</f>
        <v/>
      </c>
      <c r="AF2431" s="2" t="str">
        <f>IF(D2431="","",IFERROR(MATCH(D2431,Projects!$A:$A,0),""))</f>
        <v/>
      </c>
    </row>
    <row r="2432" spans="31:32" x14ac:dyDescent="0.25">
      <c r="AE2432" s="39" t="str">
        <f>IF(D2432="","",IFERROR(VLOOKUP(D2432,Projects!$A$2:$A$20000,1,FALSE),""))</f>
        <v/>
      </c>
      <c r="AF2432" s="2" t="str">
        <f>IF(D2432="","",IFERROR(MATCH(D2432,Projects!$A:$A,0),""))</f>
        <v/>
      </c>
    </row>
    <row r="2433" spans="31:32" x14ac:dyDescent="0.25">
      <c r="AE2433" s="39" t="str">
        <f>IF(D2433="","",IFERROR(VLOOKUP(D2433,Projects!$A$2:$A$20000,1,FALSE),""))</f>
        <v/>
      </c>
      <c r="AF2433" s="2" t="str">
        <f>IF(D2433="","",IFERROR(MATCH(D2433,Projects!$A:$A,0),""))</f>
        <v/>
      </c>
    </row>
    <row r="2434" spans="31:32" x14ac:dyDescent="0.25">
      <c r="AE2434" s="39" t="str">
        <f>IF(D2434="","",IFERROR(VLOOKUP(D2434,Projects!$A$2:$A$20000,1,FALSE),""))</f>
        <v/>
      </c>
      <c r="AF2434" s="2" t="str">
        <f>IF(D2434="","",IFERROR(MATCH(D2434,Projects!$A:$A,0),""))</f>
        <v/>
      </c>
    </row>
    <row r="2435" spans="31:32" x14ac:dyDescent="0.25">
      <c r="AE2435" s="39" t="str">
        <f>IF(D2435="","",IFERROR(VLOOKUP(D2435,Projects!$A$2:$A$20000,1,FALSE),""))</f>
        <v/>
      </c>
      <c r="AF2435" s="2" t="str">
        <f>IF(D2435="","",IFERROR(MATCH(D2435,Projects!$A:$A,0),""))</f>
        <v/>
      </c>
    </row>
    <row r="2436" spans="31:32" x14ac:dyDescent="0.25">
      <c r="AE2436" s="39" t="str">
        <f>IF(D2436="","",IFERROR(VLOOKUP(D2436,Projects!$A$2:$A$20000,1,FALSE),""))</f>
        <v/>
      </c>
      <c r="AF2436" s="2" t="str">
        <f>IF(D2436="","",IFERROR(MATCH(D2436,Projects!$A:$A,0),""))</f>
        <v/>
      </c>
    </row>
    <row r="2437" spans="31:32" x14ac:dyDescent="0.25">
      <c r="AE2437" s="39" t="str">
        <f>IF(D2437="","",IFERROR(VLOOKUP(D2437,Projects!$A$2:$A$20000,1,FALSE),""))</f>
        <v/>
      </c>
      <c r="AF2437" s="2" t="str">
        <f>IF(D2437="","",IFERROR(MATCH(D2437,Projects!$A:$A,0),""))</f>
        <v/>
      </c>
    </row>
    <row r="2438" spans="31:32" x14ac:dyDescent="0.25">
      <c r="AE2438" s="39" t="str">
        <f>IF(D2438="","",IFERROR(VLOOKUP(D2438,Projects!$A$2:$A$20000,1,FALSE),""))</f>
        <v/>
      </c>
      <c r="AF2438" s="2" t="str">
        <f>IF(D2438="","",IFERROR(MATCH(D2438,Projects!$A:$A,0),""))</f>
        <v/>
      </c>
    </row>
    <row r="2439" spans="31:32" x14ac:dyDescent="0.25">
      <c r="AE2439" s="39" t="str">
        <f>IF(D2439="","",IFERROR(VLOOKUP(D2439,Projects!$A$2:$A$20000,1,FALSE),""))</f>
        <v/>
      </c>
      <c r="AF2439" s="2" t="str">
        <f>IF(D2439="","",IFERROR(MATCH(D2439,Projects!$A:$A,0),""))</f>
        <v/>
      </c>
    </row>
    <row r="2440" spans="31:32" x14ac:dyDescent="0.25">
      <c r="AE2440" s="39" t="str">
        <f>IF(D2440="","",IFERROR(VLOOKUP(D2440,Projects!$A$2:$A$20000,1,FALSE),""))</f>
        <v/>
      </c>
      <c r="AF2440" s="2" t="str">
        <f>IF(D2440="","",IFERROR(MATCH(D2440,Projects!$A:$A,0),""))</f>
        <v/>
      </c>
    </row>
    <row r="2441" spans="31:32" x14ac:dyDescent="0.25">
      <c r="AE2441" s="39" t="str">
        <f>IF(D2441="","",IFERROR(VLOOKUP(D2441,Projects!$A$2:$A$20000,1,FALSE),""))</f>
        <v/>
      </c>
      <c r="AF2441" s="2" t="str">
        <f>IF(D2441="","",IFERROR(MATCH(D2441,Projects!$A:$A,0),""))</f>
        <v/>
      </c>
    </row>
    <row r="2442" spans="31:32" x14ac:dyDescent="0.25">
      <c r="AE2442" s="39" t="str">
        <f>IF(D2442="","",IFERROR(VLOOKUP(D2442,Projects!$A$2:$A$20000,1,FALSE),""))</f>
        <v/>
      </c>
      <c r="AF2442" s="2" t="str">
        <f>IF(D2442="","",IFERROR(MATCH(D2442,Projects!$A:$A,0),""))</f>
        <v/>
      </c>
    </row>
    <row r="2443" spans="31:32" x14ac:dyDescent="0.25">
      <c r="AE2443" s="39" t="str">
        <f>IF(D2443="","",IFERROR(VLOOKUP(D2443,Projects!$A$2:$A$20000,1,FALSE),""))</f>
        <v/>
      </c>
      <c r="AF2443" s="2" t="str">
        <f>IF(D2443="","",IFERROR(MATCH(D2443,Projects!$A:$A,0),""))</f>
        <v/>
      </c>
    </row>
    <row r="2444" spans="31:32" x14ac:dyDescent="0.25">
      <c r="AE2444" s="39" t="str">
        <f>IF(D2444="","",IFERROR(VLOOKUP(D2444,Projects!$A$2:$A$20000,1,FALSE),""))</f>
        <v/>
      </c>
      <c r="AF2444" s="2" t="str">
        <f>IF(D2444="","",IFERROR(MATCH(D2444,Projects!$A:$A,0),""))</f>
        <v/>
      </c>
    </row>
    <row r="2445" spans="31:32" x14ac:dyDescent="0.25">
      <c r="AE2445" s="39" t="str">
        <f>IF(D2445="","",IFERROR(VLOOKUP(D2445,Projects!$A$2:$A$20000,1,FALSE),""))</f>
        <v/>
      </c>
      <c r="AF2445" s="2" t="str">
        <f>IF(D2445="","",IFERROR(MATCH(D2445,Projects!$A:$A,0),""))</f>
        <v/>
      </c>
    </row>
    <row r="2446" spans="31:32" x14ac:dyDescent="0.25">
      <c r="AE2446" s="39" t="str">
        <f>IF(D2446="","",IFERROR(VLOOKUP(D2446,Projects!$A$2:$A$20000,1,FALSE),""))</f>
        <v/>
      </c>
      <c r="AF2446" s="2" t="str">
        <f>IF(D2446="","",IFERROR(MATCH(D2446,Projects!$A:$A,0),""))</f>
        <v/>
      </c>
    </row>
    <row r="2447" spans="31:32" x14ac:dyDescent="0.25">
      <c r="AE2447" s="39" t="str">
        <f>IF(D2447="","",IFERROR(VLOOKUP(D2447,Projects!$A$2:$A$20000,1,FALSE),""))</f>
        <v/>
      </c>
      <c r="AF2447" s="2" t="str">
        <f>IF(D2447="","",IFERROR(MATCH(D2447,Projects!$A:$A,0),""))</f>
        <v/>
      </c>
    </row>
    <row r="2448" spans="31:32" x14ac:dyDescent="0.25">
      <c r="AE2448" s="39" t="str">
        <f>IF(D2448="","",IFERROR(VLOOKUP(D2448,Projects!$A$2:$A$20000,1,FALSE),""))</f>
        <v/>
      </c>
      <c r="AF2448" s="2" t="str">
        <f>IF(D2448="","",IFERROR(MATCH(D2448,Projects!$A:$A,0),""))</f>
        <v/>
      </c>
    </row>
    <row r="2449" spans="31:32" x14ac:dyDescent="0.25">
      <c r="AE2449" s="39" t="str">
        <f>IF(D2449="","",IFERROR(VLOOKUP(D2449,Projects!$A$2:$A$20000,1,FALSE),""))</f>
        <v/>
      </c>
      <c r="AF2449" s="2" t="str">
        <f>IF(D2449="","",IFERROR(MATCH(D2449,Projects!$A:$A,0),""))</f>
        <v/>
      </c>
    </row>
    <row r="2450" spans="31:32" x14ac:dyDescent="0.25">
      <c r="AE2450" s="39" t="str">
        <f>IF(D2450="","",IFERROR(VLOOKUP(D2450,Projects!$A$2:$A$20000,1,FALSE),""))</f>
        <v/>
      </c>
      <c r="AF2450" s="2" t="str">
        <f>IF(D2450="","",IFERROR(MATCH(D2450,Projects!$A:$A,0),""))</f>
        <v/>
      </c>
    </row>
    <row r="2451" spans="31:32" x14ac:dyDescent="0.25">
      <c r="AE2451" s="39" t="str">
        <f>IF(D2451="","",IFERROR(VLOOKUP(D2451,Projects!$A$2:$A$20000,1,FALSE),""))</f>
        <v/>
      </c>
      <c r="AF2451" s="2" t="str">
        <f>IF(D2451="","",IFERROR(MATCH(D2451,Projects!$A:$A,0),""))</f>
        <v/>
      </c>
    </row>
    <row r="2452" spans="31:32" x14ac:dyDescent="0.25">
      <c r="AE2452" s="39" t="str">
        <f>IF(D2452="","",IFERROR(VLOOKUP(D2452,Projects!$A$2:$A$20000,1,FALSE),""))</f>
        <v/>
      </c>
      <c r="AF2452" s="2" t="str">
        <f>IF(D2452="","",IFERROR(MATCH(D2452,Projects!$A:$A,0),""))</f>
        <v/>
      </c>
    </row>
    <row r="2453" spans="31:32" x14ac:dyDescent="0.25">
      <c r="AE2453" s="39" t="str">
        <f>IF(D2453="","",IFERROR(VLOOKUP(D2453,Projects!$A$2:$A$20000,1,FALSE),""))</f>
        <v/>
      </c>
      <c r="AF2453" s="2" t="str">
        <f>IF(D2453="","",IFERROR(MATCH(D2453,Projects!$A:$A,0),""))</f>
        <v/>
      </c>
    </row>
    <row r="2454" spans="31:32" x14ac:dyDescent="0.25">
      <c r="AE2454" s="39" t="str">
        <f>IF(D2454="","",IFERROR(VLOOKUP(D2454,Projects!$A$2:$A$20000,1,FALSE),""))</f>
        <v/>
      </c>
      <c r="AF2454" s="2" t="str">
        <f>IF(D2454="","",IFERROR(MATCH(D2454,Projects!$A:$A,0),""))</f>
        <v/>
      </c>
    </row>
    <row r="2455" spans="31:32" x14ac:dyDescent="0.25">
      <c r="AE2455" s="39" t="str">
        <f>IF(D2455="","",IFERROR(VLOOKUP(D2455,Projects!$A$2:$A$20000,1,FALSE),""))</f>
        <v/>
      </c>
      <c r="AF2455" s="2" t="str">
        <f>IF(D2455="","",IFERROR(MATCH(D2455,Projects!$A:$A,0),""))</f>
        <v/>
      </c>
    </row>
    <row r="2456" spans="31:32" x14ac:dyDescent="0.25">
      <c r="AE2456" s="39" t="str">
        <f>IF(D2456="","",IFERROR(VLOOKUP(D2456,Projects!$A$2:$A$20000,1,FALSE),""))</f>
        <v/>
      </c>
      <c r="AF2456" s="2" t="str">
        <f>IF(D2456="","",IFERROR(MATCH(D2456,Projects!$A:$A,0),""))</f>
        <v/>
      </c>
    </row>
    <row r="2457" spans="31:32" x14ac:dyDescent="0.25">
      <c r="AE2457" s="39" t="str">
        <f>IF(D2457="","",IFERROR(VLOOKUP(D2457,Projects!$A$2:$A$20000,1,FALSE),""))</f>
        <v/>
      </c>
      <c r="AF2457" s="2" t="str">
        <f>IF(D2457="","",IFERROR(MATCH(D2457,Projects!$A:$A,0),""))</f>
        <v/>
      </c>
    </row>
    <row r="2458" spans="31:32" x14ac:dyDescent="0.25">
      <c r="AE2458" s="39" t="str">
        <f>IF(D2458="","",IFERROR(VLOOKUP(D2458,Projects!$A$2:$A$20000,1,FALSE),""))</f>
        <v/>
      </c>
      <c r="AF2458" s="2" t="str">
        <f>IF(D2458="","",IFERROR(MATCH(D2458,Projects!$A:$A,0),""))</f>
        <v/>
      </c>
    </row>
    <row r="2459" spans="31:32" x14ac:dyDescent="0.25">
      <c r="AE2459" s="39" t="str">
        <f>IF(D2459="","",IFERROR(VLOOKUP(D2459,Projects!$A$2:$A$20000,1,FALSE),""))</f>
        <v/>
      </c>
      <c r="AF2459" s="2" t="str">
        <f>IF(D2459="","",IFERROR(MATCH(D2459,Projects!$A:$A,0),""))</f>
        <v/>
      </c>
    </row>
    <row r="2460" spans="31:32" x14ac:dyDescent="0.25">
      <c r="AE2460" s="39" t="str">
        <f>IF(D2460="","",IFERROR(VLOOKUP(D2460,Projects!$A$2:$A$20000,1,FALSE),""))</f>
        <v/>
      </c>
      <c r="AF2460" s="2" t="str">
        <f>IF(D2460="","",IFERROR(MATCH(D2460,Projects!$A:$A,0),""))</f>
        <v/>
      </c>
    </row>
    <row r="2461" spans="31:32" x14ac:dyDescent="0.25">
      <c r="AE2461" s="39" t="str">
        <f>IF(D2461="","",IFERROR(VLOOKUP(D2461,Projects!$A$2:$A$20000,1,FALSE),""))</f>
        <v/>
      </c>
      <c r="AF2461" s="2" t="str">
        <f>IF(D2461="","",IFERROR(MATCH(D2461,Projects!$A:$A,0),""))</f>
        <v/>
      </c>
    </row>
    <row r="2462" spans="31:32" x14ac:dyDescent="0.25">
      <c r="AE2462" s="39" t="str">
        <f>IF(D2462="","",IFERROR(VLOOKUP(D2462,Projects!$A$2:$A$20000,1,FALSE),""))</f>
        <v/>
      </c>
      <c r="AF2462" s="2" t="str">
        <f>IF(D2462="","",IFERROR(MATCH(D2462,Projects!$A:$A,0),""))</f>
        <v/>
      </c>
    </row>
    <row r="2463" spans="31:32" x14ac:dyDescent="0.25">
      <c r="AE2463" s="39" t="str">
        <f>IF(D2463="","",IFERROR(VLOOKUP(D2463,Projects!$A$2:$A$20000,1,FALSE),""))</f>
        <v/>
      </c>
      <c r="AF2463" s="2" t="str">
        <f>IF(D2463="","",IFERROR(MATCH(D2463,Projects!$A:$A,0),""))</f>
        <v/>
      </c>
    </row>
    <row r="2464" spans="31:32" x14ac:dyDescent="0.25">
      <c r="AE2464" s="39" t="str">
        <f>IF(D2464="","",IFERROR(VLOOKUP(D2464,Projects!$A$2:$A$20000,1,FALSE),""))</f>
        <v/>
      </c>
      <c r="AF2464" s="2" t="str">
        <f>IF(D2464="","",IFERROR(MATCH(D2464,Projects!$A:$A,0),""))</f>
        <v/>
      </c>
    </row>
    <row r="2465" spans="31:32" x14ac:dyDescent="0.25">
      <c r="AE2465" s="39" t="str">
        <f>IF(D2465="","",IFERROR(VLOOKUP(D2465,Projects!$A$2:$A$20000,1,FALSE),""))</f>
        <v/>
      </c>
      <c r="AF2465" s="2" t="str">
        <f>IF(D2465="","",IFERROR(MATCH(D2465,Projects!$A:$A,0),""))</f>
        <v/>
      </c>
    </row>
    <row r="2466" spans="31:32" x14ac:dyDescent="0.25">
      <c r="AE2466" s="39" t="str">
        <f>IF(D2466="","",IFERROR(VLOOKUP(D2466,Projects!$A$2:$A$20000,1,FALSE),""))</f>
        <v/>
      </c>
      <c r="AF2466" s="2" t="str">
        <f>IF(D2466="","",IFERROR(MATCH(D2466,Projects!$A:$A,0),""))</f>
        <v/>
      </c>
    </row>
    <row r="2467" spans="31:32" x14ac:dyDescent="0.25">
      <c r="AE2467" s="39" t="str">
        <f>IF(D2467="","",IFERROR(VLOOKUP(D2467,Projects!$A$2:$A$20000,1,FALSE),""))</f>
        <v/>
      </c>
      <c r="AF2467" s="2" t="str">
        <f>IF(D2467="","",IFERROR(MATCH(D2467,Projects!$A:$A,0),""))</f>
        <v/>
      </c>
    </row>
    <row r="2468" spans="31:32" x14ac:dyDescent="0.25">
      <c r="AE2468" s="39" t="str">
        <f>IF(D2468="","",IFERROR(VLOOKUP(D2468,Projects!$A$2:$A$20000,1,FALSE),""))</f>
        <v/>
      </c>
      <c r="AF2468" s="2" t="str">
        <f>IF(D2468="","",IFERROR(MATCH(D2468,Projects!$A:$A,0),""))</f>
        <v/>
      </c>
    </row>
    <row r="2469" spans="31:32" x14ac:dyDescent="0.25">
      <c r="AE2469" s="39" t="str">
        <f>IF(D2469="","",IFERROR(VLOOKUP(D2469,Projects!$A$2:$A$20000,1,FALSE),""))</f>
        <v/>
      </c>
      <c r="AF2469" s="2" t="str">
        <f>IF(D2469="","",IFERROR(MATCH(D2469,Projects!$A:$A,0),""))</f>
        <v/>
      </c>
    </row>
    <row r="2470" spans="31:32" x14ac:dyDescent="0.25">
      <c r="AE2470" s="39" t="str">
        <f>IF(D2470="","",IFERROR(VLOOKUP(D2470,Projects!$A$2:$A$20000,1,FALSE),""))</f>
        <v/>
      </c>
      <c r="AF2470" s="2" t="str">
        <f>IF(D2470="","",IFERROR(MATCH(D2470,Projects!$A:$A,0),""))</f>
        <v/>
      </c>
    </row>
    <row r="2471" spans="31:32" x14ac:dyDescent="0.25">
      <c r="AE2471" s="39" t="str">
        <f>IF(D2471="","",IFERROR(VLOOKUP(D2471,Projects!$A$2:$A$20000,1,FALSE),""))</f>
        <v/>
      </c>
      <c r="AF2471" s="2" t="str">
        <f>IF(D2471="","",IFERROR(MATCH(D2471,Projects!$A:$A,0),""))</f>
        <v/>
      </c>
    </row>
    <row r="2472" spans="31:32" x14ac:dyDescent="0.25">
      <c r="AE2472" s="39" t="str">
        <f>IF(D2472="","",IFERROR(VLOOKUP(D2472,Projects!$A$2:$A$20000,1,FALSE),""))</f>
        <v/>
      </c>
      <c r="AF2472" s="2" t="str">
        <f>IF(D2472="","",IFERROR(MATCH(D2472,Projects!$A:$A,0),""))</f>
        <v/>
      </c>
    </row>
    <row r="2473" spans="31:32" x14ac:dyDescent="0.25">
      <c r="AE2473" s="39" t="str">
        <f>IF(D2473="","",IFERROR(VLOOKUP(D2473,Projects!$A$2:$A$20000,1,FALSE),""))</f>
        <v/>
      </c>
      <c r="AF2473" s="2" t="str">
        <f>IF(D2473="","",IFERROR(MATCH(D2473,Projects!$A:$A,0),""))</f>
        <v/>
      </c>
    </row>
    <row r="2474" spans="31:32" x14ac:dyDescent="0.25">
      <c r="AE2474" s="39" t="str">
        <f>IF(D2474="","",IFERROR(VLOOKUP(D2474,Projects!$A$2:$A$20000,1,FALSE),""))</f>
        <v/>
      </c>
      <c r="AF2474" s="2" t="str">
        <f>IF(D2474="","",IFERROR(MATCH(D2474,Projects!$A:$A,0),""))</f>
        <v/>
      </c>
    </row>
    <row r="2475" spans="31:32" x14ac:dyDescent="0.25">
      <c r="AE2475" s="39" t="str">
        <f>IF(D2475="","",IFERROR(VLOOKUP(D2475,Projects!$A$2:$A$20000,1,FALSE),""))</f>
        <v/>
      </c>
      <c r="AF2475" s="2" t="str">
        <f>IF(D2475="","",IFERROR(MATCH(D2475,Projects!$A:$A,0),""))</f>
        <v/>
      </c>
    </row>
    <row r="2476" spans="31:32" x14ac:dyDescent="0.25">
      <c r="AE2476" s="39" t="str">
        <f>IF(D2476="","",IFERROR(VLOOKUP(D2476,Projects!$A$2:$A$20000,1,FALSE),""))</f>
        <v/>
      </c>
      <c r="AF2476" s="2" t="str">
        <f>IF(D2476="","",IFERROR(MATCH(D2476,Projects!$A:$A,0),""))</f>
        <v/>
      </c>
    </row>
    <row r="2477" spans="31:32" x14ac:dyDescent="0.25">
      <c r="AE2477" s="39" t="str">
        <f>IF(D2477="","",IFERROR(VLOOKUP(D2477,Projects!$A$2:$A$20000,1,FALSE),""))</f>
        <v/>
      </c>
      <c r="AF2477" s="2" t="str">
        <f>IF(D2477="","",IFERROR(MATCH(D2477,Projects!$A:$A,0),""))</f>
        <v/>
      </c>
    </row>
    <row r="2478" spans="31:32" x14ac:dyDescent="0.25">
      <c r="AE2478" s="39" t="str">
        <f>IF(D2478="","",IFERROR(VLOOKUP(D2478,Projects!$A$2:$A$20000,1,FALSE),""))</f>
        <v/>
      </c>
      <c r="AF2478" s="2" t="str">
        <f>IF(D2478="","",IFERROR(MATCH(D2478,Projects!$A:$A,0),""))</f>
        <v/>
      </c>
    </row>
    <row r="2479" spans="31:32" x14ac:dyDescent="0.25">
      <c r="AE2479" s="39" t="str">
        <f>IF(D2479="","",IFERROR(VLOOKUP(D2479,Projects!$A$2:$A$20000,1,FALSE),""))</f>
        <v/>
      </c>
      <c r="AF2479" s="2" t="str">
        <f>IF(D2479="","",IFERROR(MATCH(D2479,Projects!$A:$A,0),""))</f>
        <v/>
      </c>
    </row>
    <row r="2480" spans="31:32" x14ac:dyDescent="0.25">
      <c r="AE2480" s="39" t="str">
        <f>IF(D2480="","",IFERROR(VLOOKUP(D2480,Projects!$A$2:$A$20000,1,FALSE),""))</f>
        <v/>
      </c>
      <c r="AF2480" s="2" t="str">
        <f>IF(D2480="","",IFERROR(MATCH(D2480,Projects!$A:$A,0),""))</f>
        <v/>
      </c>
    </row>
    <row r="2481" spans="31:32" x14ac:dyDescent="0.25">
      <c r="AE2481" s="39" t="str">
        <f>IF(D2481="","",IFERROR(VLOOKUP(D2481,Projects!$A$2:$A$20000,1,FALSE),""))</f>
        <v/>
      </c>
      <c r="AF2481" s="2" t="str">
        <f>IF(D2481="","",IFERROR(MATCH(D2481,Projects!$A:$A,0),""))</f>
        <v/>
      </c>
    </row>
    <row r="2482" spans="31:32" x14ac:dyDescent="0.25">
      <c r="AE2482" s="39" t="str">
        <f>IF(D2482="","",IFERROR(VLOOKUP(D2482,Projects!$A$2:$A$20000,1,FALSE),""))</f>
        <v/>
      </c>
      <c r="AF2482" s="2" t="str">
        <f>IF(D2482="","",IFERROR(MATCH(D2482,Projects!$A:$A,0),""))</f>
        <v/>
      </c>
    </row>
    <row r="2483" spans="31:32" x14ac:dyDescent="0.25">
      <c r="AE2483" s="39" t="str">
        <f>IF(D2483="","",IFERROR(VLOOKUP(D2483,Projects!$A$2:$A$20000,1,FALSE),""))</f>
        <v/>
      </c>
      <c r="AF2483" s="2" t="str">
        <f>IF(D2483="","",IFERROR(MATCH(D2483,Projects!$A:$A,0),""))</f>
        <v/>
      </c>
    </row>
    <row r="2484" spans="31:32" x14ac:dyDescent="0.25">
      <c r="AE2484" s="39" t="str">
        <f>IF(D2484="","",IFERROR(VLOOKUP(D2484,Projects!$A$2:$A$20000,1,FALSE),""))</f>
        <v/>
      </c>
      <c r="AF2484" s="2" t="str">
        <f>IF(D2484="","",IFERROR(MATCH(D2484,Projects!$A:$A,0),""))</f>
        <v/>
      </c>
    </row>
    <row r="2485" spans="31:32" x14ac:dyDescent="0.25">
      <c r="AE2485" s="39" t="str">
        <f>IF(D2485="","",IFERROR(VLOOKUP(D2485,Projects!$A$2:$A$20000,1,FALSE),""))</f>
        <v/>
      </c>
      <c r="AF2485" s="2" t="str">
        <f>IF(D2485="","",IFERROR(MATCH(D2485,Projects!$A:$A,0),""))</f>
        <v/>
      </c>
    </row>
    <row r="2486" spans="31:32" x14ac:dyDescent="0.25">
      <c r="AE2486" s="39" t="str">
        <f>IF(D2486="","",IFERROR(VLOOKUP(D2486,Projects!$A$2:$A$20000,1,FALSE),""))</f>
        <v/>
      </c>
      <c r="AF2486" s="2" t="str">
        <f>IF(D2486="","",IFERROR(MATCH(D2486,Projects!$A:$A,0),""))</f>
        <v/>
      </c>
    </row>
    <row r="2487" spans="31:32" x14ac:dyDescent="0.25">
      <c r="AE2487" s="39" t="str">
        <f>IF(D2487="","",IFERROR(VLOOKUP(D2487,Projects!$A$2:$A$20000,1,FALSE),""))</f>
        <v/>
      </c>
      <c r="AF2487" s="2" t="str">
        <f>IF(D2487="","",IFERROR(MATCH(D2487,Projects!$A:$A,0),""))</f>
        <v/>
      </c>
    </row>
    <row r="2488" spans="31:32" x14ac:dyDescent="0.25">
      <c r="AE2488" s="39" t="str">
        <f>IF(D2488="","",IFERROR(VLOOKUP(D2488,Projects!$A$2:$A$20000,1,FALSE),""))</f>
        <v/>
      </c>
      <c r="AF2488" s="2" t="str">
        <f>IF(D2488="","",IFERROR(MATCH(D2488,Projects!$A:$A,0),""))</f>
        <v/>
      </c>
    </row>
    <row r="2489" spans="31:32" x14ac:dyDescent="0.25">
      <c r="AE2489" s="39" t="str">
        <f>IF(D2489="","",IFERROR(VLOOKUP(D2489,Projects!$A$2:$A$20000,1,FALSE),""))</f>
        <v/>
      </c>
      <c r="AF2489" s="2" t="str">
        <f>IF(D2489="","",IFERROR(MATCH(D2489,Projects!$A:$A,0),""))</f>
        <v/>
      </c>
    </row>
    <row r="2490" spans="31:32" x14ac:dyDescent="0.25">
      <c r="AE2490" s="39" t="str">
        <f>IF(D2490="","",IFERROR(VLOOKUP(D2490,Projects!$A$2:$A$20000,1,FALSE),""))</f>
        <v/>
      </c>
      <c r="AF2490" s="2" t="str">
        <f>IF(D2490="","",IFERROR(MATCH(D2490,Projects!$A:$A,0),""))</f>
        <v/>
      </c>
    </row>
    <row r="2491" spans="31:32" x14ac:dyDescent="0.25">
      <c r="AE2491" s="39" t="str">
        <f>IF(D2491="","",IFERROR(VLOOKUP(D2491,Projects!$A$2:$A$20000,1,FALSE),""))</f>
        <v/>
      </c>
      <c r="AF2491" s="2" t="str">
        <f>IF(D2491="","",IFERROR(MATCH(D2491,Projects!$A:$A,0),""))</f>
        <v/>
      </c>
    </row>
    <row r="2492" spans="31:32" x14ac:dyDescent="0.25">
      <c r="AE2492" s="39" t="str">
        <f>IF(D2492="","",IFERROR(VLOOKUP(D2492,Projects!$A$2:$A$20000,1,FALSE),""))</f>
        <v/>
      </c>
      <c r="AF2492" s="2" t="str">
        <f>IF(D2492="","",IFERROR(MATCH(D2492,Projects!$A:$A,0),""))</f>
        <v/>
      </c>
    </row>
    <row r="2493" spans="31:32" x14ac:dyDescent="0.25">
      <c r="AE2493" s="39" t="str">
        <f>IF(D2493="","",IFERROR(VLOOKUP(D2493,Projects!$A$2:$A$20000,1,FALSE),""))</f>
        <v/>
      </c>
      <c r="AF2493" s="2" t="str">
        <f>IF(D2493="","",IFERROR(MATCH(D2493,Projects!$A:$A,0),""))</f>
        <v/>
      </c>
    </row>
    <row r="2494" spans="31:32" x14ac:dyDescent="0.25">
      <c r="AE2494" s="39" t="str">
        <f>IF(D2494="","",IFERROR(VLOOKUP(D2494,Projects!$A$2:$A$20000,1,FALSE),""))</f>
        <v/>
      </c>
      <c r="AF2494" s="2" t="str">
        <f>IF(D2494="","",IFERROR(MATCH(D2494,Projects!$A:$A,0),""))</f>
        <v/>
      </c>
    </row>
    <row r="2495" spans="31:32" x14ac:dyDescent="0.25">
      <c r="AE2495" s="39" t="str">
        <f>IF(D2495="","",IFERROR(VLOOKUP(D2495,Projects!$A$2:$A$20000,1,FALSE),""))</f>
        <v/>
      </c>
      <c r="AF2495" s="2" t="str">
        <f>IF(D2495="","",IFERROR(MATCH(D2495,Projects!$A:$A,0),""))</f>
        <v/>
      </c>
    </row>
    <row r="2496" spans="31:32" x14ac:dyDescent="0.25">
      <c r="AE2496" s="39" t="str">
        <f>IF(D2496="","",IFERROR(VLOOKUP(D2496,Projects!$A$2:$A$20000,1,FALSE),""))</f>
        <v/>
      </c>
      <c r="AF2496" s="2" t="str">
        <f>IF(D2496="","",IFERROR(MATCH(D2496,Projects!$A:$A,0),""))</f>
        <v/>
      </c>
    </row>
    <row r="2497" spans="31:32" x14ac:dyDescent="0.25">
      <c r="AE2497" s="39" t="str">
        <f>IF(D2497="","",IFERROR(VLOOKUP(D2497,Projects!$A$2:$A$20000,1,FALSE),""))</f>
        <v/>
      </c>
      <c r="AF2497" s="2" t="str">
        <f>IF(D2497="","",IFERROR(MATCH(D2497,Projects!$A:$A,0),""))</f>
        <v/>
      </c>
    </row>
    <row r="2498" spans="31:32" x14ac:dyDescent="0.25">
      <c r="AE2498" s="39" t="str">
        <f>IF(D2498="","",IFERROR(VLOOKUP(D2498,Projects!$A$2:$A$20000,1,FALSE),""))</f>
        <v/>
      </c>
      <c r="AF2498" s="2" t="str">
        <f>IF(D2498="","",IFERROR(MATCH(D2498,Projects!$A:$A,0),""))</f>
        <v/>
      </c>
    </row>
    <row r="2499" spans="31:32" x14ac:dyDescent="0.25">
      <c r="AE2499" s="39" t="str">
        <f>IF(D2499="","",IFERROR(VLOOKUP(D2499,Projects!$A$2:$A$20000,1,FALSE),""))</f>
        <v/>
      </c>
      <c r="AF2499" s="2" t="str">
        <f>IF(D2499="","",IFERROR(MATCH(D2499,Projects!$A:$A,0),""))</f>
        <v/>
      </c>
    </row>
    <row r="2500" spans="31:32" x14ac:dyDescent="0.25">
      <c r="AE2500" s="39" t="str">
        <f>IF(D2500="","",IFERROR(VLOOKUP(D2500,Projects!$A$2:$A$20000,1,FALSE),""))</f>
        <v/>
      </c>
      <c r="AF2500" s="2" t="str">
        <f>IF(D2500="","",IFERROR(MATCH(D2500,Projects!$A:$A,0),""))</f>
        <v/>
      </c>
    </row>
    <row r="2501" spans="31:32" x14ac:dyDescent="0.25">
      <c r="AE2501" s="39" t="str">
        <f>IF(D2501="","",IFERROR(VLOOKUP(D2501,Projects!$A$2:$A$20000,1,FALSE),""))</f>
        <v/>
      </c>
      <c r="AF2501" s="2" t="str">
        <f>IF(D2501="","",IFERROR(MATCH(D2501,Projects!$A:$A,0),""))</f>
        <v/>
      </c>
    </row>
    <row r="2502" spans="31:32" x14ac:dyDescent="0.25">
      <c r="AE2502" s="39" t="str">
        <f>IF(D2502="","",IFERROR(VLOOKUP(D2502,Projects!$A$2:$A$20000,1,FALSE),""))</f>
        <v/>
      </c>
      <c r="AF2502" s="2" t="str">
        <f>IF(D2502="","",IFERROR(MATCH(D2502,Projects!$A:$A,0),""))</f>
        <v/>
      </c>
    </row>
    <row r="2503" spans="31:32" x14ac:dyDescent="0.25">
      <c r="AE2503" s="39" t="str">
        <f>IF(D2503="","",IFERROR(VLOOKUP(D2503,Projects!$A$2:$A$20000,1,FALSE),""))</f>
        <v/>
      </c>
      <c r="AF2503" s="2" t="str">
        <f>IF(D2503="","",IFERROR(MATCH(D2503,Projects!$A:$A,0),""))</f>
        <v/>
      </c>
    </row>
    <row r="2504" spans="31:32" x14ac:dyDescent="0.25">
      <c r="AE2504" s="39" t="str">
        <f>IF(D2504="","",IFERROR(VLOOKUP(D2504,Projects!$A$2:$A$20000,1,FALSE),""))</f>
        <v/>
      </c>
      <c r="AF2504" s="2" t="str">
        <f>IF(D2504="","",IFERROR(MATCH(D2504,Projects!$A:$A,0),""))</f>
        <v/>
      </c>
    </row>
    <row r="2505" spans="31:32" x14ac:dyDescent="0.25">
      <c r="AE2505" s="39" t="str">
        <f>IF(D2505="","",IFERROR(VLOOKUP(D2505,Projects!$A$2:$A$20000,1,FALSE),""))</f>
        <v/>
      </c>
      <c r="AF2505" s="2" t="str">
        <f>IF(D2505="","",IFERROR(MATCH(D2505,Projects!$A:$A,0),""))</f>
        <v/>
      </c>
    </row>
    <row r="2506" spans="31:32" x14ac:dyDescent="0.25">
      <c r="AE2506" s="39" t="str">
        <f>IF(D2506="","",IFERROR(VLOOKUP(D2506,Projects!$A$2:$A$20000,1,FALSE),""))</f>
        <v/>
      </c>
      <c r="AF2506" s="2" t="str">
        <f>IF(D2506="","",IFERROR(MATCH(D2506,Projects!$A:$A,0),""))</f>
        <v/>
      </c>
    </row>
    <row r="2507" spans="31:32" x14ac:dyDescent="0.25">
      <c r="AE2507" s="39" t="str">
        <f>IF(D2507="","",IFERROR(VLOOKUP(D2507,Projects!$A$2:$A$20000,1,FALSE),""))</f>
        <v/>
      </c>
      <c r="AF2507" s="2" t="str">
        <f>IF(D2507="","",IFERROR(MATCH(D2507,Projects!$A:$A,0),""))</f>
        <v/>
      </c>
    </row>
    <row r="2508" spans="31:32" x14ac:dyDescent="0.25">
      <c r="AE2508" s="39" t="str">
        <f>IF(D2508="","",IFERROR(VLOOKUP(D2508,Projects!$A$2:$A$20000,1,FALSE),""))</f>
        <v/>
      </c>
      <c r="AF2508" s="2" t="str">
        <f>IF(D2508="","",IFERROR(MATCH(D2508,Projects!$A:$A,0),""))</f>
        <v/>
      </c>
    </row>
    <row r="2509" spans="31:32" x14ac:dyDescent="0.25">
      <c r="AE2509" s="39" t="str">
        <f>IF(D2509="","",IFERROR(VLOOKUP(D2509,Projects!$A$2:$A$20000,1,FALSE),""))</f>
        <v/>
      </c>
      <c r="AF2509" s="2" t="str">
        <f>IF(D2509="","",IFERROR(MATCH(D2509,Projects!$A:$A,0),""))</f>
        <v/>
      </c>
    </row>
    <row r="2510" spans="31:32" x14ac:dyDescent="0.25">
      <c r="AE2510" s="39" t="str">
        <f>IF(D2510="","",IFERROR(VLOOKUP(D2510,Projects!$A$2:$A$20000,1,FALSE),""))</f>
        <v/>
      </c>
      <c r="AF2510" s="2" t="str">
        <f>IF(D2510="","",IFERROR(MATCH(D2510,Projects!$A:$A,0),""))</f>
        <v/>
      </c>
    </row>
    <row r="2511" spans="31:32" x14ac:dyDescent="0.25">
      <c r="AE2511" s="39" t="str">
        <f>IF(D2511="","",IFERROR(VLOOKUP(D2511,Projects!$A$2:$A$20000,1,FALSE),""))</f>
        <v/>
      </c>
      <c r="AF2511" s="2" t="str">
        <f>IF(D2511="","",IFERROR(MATCH(D2511,Projects!$A:$A,0),""))</f>
        <v/>
      </c>
    </row>
    <row r="2512" spans="31:32" x14ac:dyDescent="0.25">
      <c r="AE2512" s="39" t="str">
        <f>IF(D2512="","",IFERROR(VLOOKUP(D2512,Projects!$A$2:$A$20000,1,FALSE),""))</f>
        <v/>
      </c>
      <c r="AF2512" s="2" t="str">
        <f>IF(D2512="","",IFERROR(MATCH(D2512,Projects!$A:$A,0),""))</f>
        <v/>
      </c>
    </row>
    <row r="2513" spans="31:32" x14ac:dyDescent="0.25">
      <c r="AE2513" s="39" t="str">
        <f>IF(D2513="","",IFERROR(VLOOKUP(D2513,Projects!$A$2:$A$20000,1,FALSE),""))</f>
        <v/>
      </c>
      <c r="AF2513" s="2" t="str">
        <f>IF(D2513="","",IFERROR(MATCH(D2513,Projects!$A:$A,0),""))</f>
        <v/>
      </c>
    </row>
    <row r="2514" spans="31:32" x14ac:dyDescent="0.25">
      <c r="AE2514" s="39" t="str">
        <f>IF(D2514="","",IFERROR(VLOOKUP(D2514,Projects!$A$2:$A$20000,1,FALSE),""))</f>
        <v/>
      </c>
      <c r="AF2514" s="2" t="str">
        <f>IF(D2514="","",IFERROR(MATCH(D2514,Projects!$A:$A,0),""))</f>
        <v/>
      </c>
    </row>
    <row r="2515" spans="31:32" x14ac:dyDescent="0.25">
      <c r="AE2515" s="39" t="str">
        <f>IF(D2515="","",IFERROR(VLOOKUP(D2515,Projects!$A$2:$A$20000,1,FALSE),""))</f>
        <v/>
      </c>
      <c r="AF2515" s="2" t="str">
        <f>IF(D2515="","",IFERROR(MATCH(D2515,Projects!$A:$A,0),""))</f>
        <v/>
      </c>
    </row>
    <row r="2516" spans="31:32" x14ac:dyDescent="0.25">
      <c r="AE2516" s="39" t="str">
        <f>IF(D2516="","",IFERROR(VLOOKUP(D2516,Projects!$A$2:$A$20000,1,FALSE),""))</f>
        <v/>
      </c>
      <c r="AF2516" s="2" t="str">
        <f>IF(D2516="","",IFERROR(MATCH(D2516,Projects!$A:$A,0),""))</f>
        <v/>
      </c>
    </row>
    <row r="2517" spans="31:32" x14ac:dyDescent="0.25">
      <c r="AE2517" s="39" t="str">
        <f>IF(D2517="","",IFERROR(VLOOKUP(D2517,Projects!$A$2:$A$20000,1,FALSE),""))</f>
        <v/>
      </c>
      <c r="AF2517" s="2" t="str">
        <f>IF(D2517="","",IFERROR(MATCH(D2517,Projects!$A:$A,0),""))</f>
        <v/>
      </c>
    </row>
    <row r="2518" spans="31:32" x14ac:dyDescent="0.25">
      <c r="AE2518" s="39" t="str">
        <f>IF(D2518="","",IFERROR(VLOOKUP(D2518,Projects!$A$2:$A$20000,1,FALSE),""))</f>
        <v/>
      </c>
      <c r="AF2518" s="2" t="str">
        <f>IF(D2518="","",IFERROR(MATCH(D2518,Projects!$A:$A,0),""))</f>
        <v/>
      </c>
    </row>
    <row r="2519" spans="31:32" x14ac:dyDescent="0.25">
      <c r="AE2519" s="39" t="str">
        <f>IF(D2519="","",IFERROR(VLOOKUP(D2519,Projects!$A$2:$A$20000,1,FALSE),""))</f>
        <v/>
      </c>
      <c r="AF2519" s="2" t="str">
        <f>IF(D2519="","",IFERROR(MATCH(D2519,Projects!$A:$A,0),""))</f>
        <v/>
      </c>
    </row>
    <row r="2520" spans="31:32" x14ac:dyDescent="0.25">
      <c r="AE2520" s="39" t="str">
        <f>IF(D2520="","",IFERROR(VLOOKUP(D2520,Projects!$A$2:$A$20000,1,FALSE),""))</f>
        <v/>
      </c>
      <c r="AF2520" s="2" t="str">
        <f>IF(D2520="","",IFERROR(MATCH(D2520,Projects!$A:$A,0),""))</f>
        <v/>
      </c>
    </row>
    <row r="2521" spans="31:32" x14ac:dyDescent="0.25">
      <c r="AE2521" s="39" t="str">
        <f>IF(D2521="","",IFERROR(VLOOKUP(D2521,Projects!$A$2:$A$20000,1,FALSE),""))</f>
        <v/>
      </c>
      <c r="AF2521" s="2" t="str">
        <f>IF(D2521="","",IFERROR(MATCH(D2521,Projects!$A:$A,0),""))</f>
        <v/>
      </c>
    </row>
    <row r="2522" spans="31:32" x14ac:dyDescent="0.25">
      <c r="AE2522" s="39" t="str">
        <f>IF(D2522="","",IFERROR(VLOOKUP(D2522,Projects!$A$2:$A$20000,1,FALSE),""))</f>
        <v/>
      </c>
      <c r="AF2522" s="2" t="str">
        <f>IF(D2522="","",IFERROR(MATCH(D2522,Projects!$A:$A,0),""))</f>
        <v/>
      </c>
    </row>
    <row r="2523" spans="31:32" x14ac:dyDescent="0.25">
      <c r="AE2523" s="39" t="str">
        <f>IF(D2523="","",IFERROR(VLOOKUP(D2523,Projects!$A$2:$A$20000,1,FALSE),""))</f>
        <v/>
      </c>
      <c r="AF2523" s="2" t="str">
        <f>IF(D2523="","",IFERROR(MATCH(D2523,Projects!$A:$A,0),""))</f>
        <v/>
      </c>
    </row>
    <row r="2524" spans="31:32" x14ac:dyDescent="0.25">
      <c r="AE2524" s="39" t="str">
        <f>IF(D2524="","",IFERROR(VLOOKUP(D2524,Projects!$A$2:$A$20000,1,FALSE),""))</f>
        <v/>
      </c>
      <c r="AF2524" s="2" t="str">
        <f>IF(D2524="","",IFERROR(MATCH(D2524,Projects!$A:$A,0),""))</f>
        <v/>
      </c>
    </row>
    <row r="2525" spans="31:32" x14ac:dyDescent="0.25">
      <c r="AE2525" s="39" t="str">
        <f>IF(D2525="","",IFERROR(VLOOKUP(D2525,Projects!$A$2:$A$20000,1,FALSE),""))</f>
        <v/>
      </c>
      <c r="AF2525" s="2" t="str">
        <f>IF(D2525="","",IFERROR(MATCH(D2525,Projects!$A:$A,0),""))</f>
        <v/>
      </c>
    </row>
    <row r="2526" spans="31:32" x14ac:dyDescent="0.25">
      <c r="AE2526" s="39" t="str">
        <f>IF(D2526="","",IFERROR(VLOOKUP(D2526,Projects!$A$2:$A$20000,1,FALSE),""))</f>
        <v/>
      </c>
      <c r="AF2526" s="2" t="str">
        <f>IF(D2526="","",IFERROR(MATCH(D2526,Projects!$A:$A,0),""))</f>
        <v/>
      </c>
    </row>
    <row r="2527" spans="31:32" x14ac:dyDescent="0.25">
      <c r="AE2527" s="39" t="str">
        <f>IF(D2527="","",IFERROR(VLOOKUP(D2527,Projects!$A$2:$A$20000,1,FALSE),""))</f>
        <v/>
      </c>
      <c r="AF2527" s="2" t="str">
        <f>IF(D2527="","",IFERROR(MATCH(D2527,Projects!$A:$A,0),""))</f>
        <v/>
      </c>
    </row>
    <row r="2528" spans="31:32" x14ac:dyDescent="0.25">
      <c r="AE2528" s="39" t="str">
        <f>IF(D2528="","",IFERROR(VLOOKUP(D2528,Projects!$A$2:$A$20000,1,FALSE),""))</f>
        <v/>
      </c>
      <c r="AF2528" s="2" t="str">
        <f>IF(D2528="","",IFERROR(MATCH(D2528,Projects!$A:$A,0),""))</f>
        <v/>
      </c>
    </row>
    <row r="2529" spans="31:32" x14ac:dyDescent="0.25">
      <c r="AE2529" s="39" t="str">
        <f>IF(D2529="","",IFERROR(VLOOKUP(D2529,Projects!$A$2:$A$20000,1,FALSE),""))</f>
        <v/>
      </c>
      <c r="AF2529" s="2" t="str">
        <f>IF(D2529="","",IFERROR(MATCH(D2529,Projects!$A:$A,0),""))</f>
        <v/>
      </c>
    </row>
    <row r="2530" spans="31:32" x14ac:dyDescent="0.25">
      <c r="AE2530" s="39" t="str">
        <f>IF(D2530="","",IFERROR(VLOOKUP(D2530,Projects!$A$2:$A$20000,1,FALSE),""))</f>
        <v/>
      </c>
      <c r="AF2530" s="2" t="str">
        <f>IF(D2530="","",IFERROR(MATCH(D2530,Projects!$A:$A,0),""))</f>
        <v/>
      </c>
    </row>
    <row r="2531" spans="31:32" x14ac:dyDescent="0.25">
      <c r="AE2531" s="39" t="str">
        <f>IF(D2531="","",IFERROR(VLOOKUP(D2531,Projects!$A$2:$A$20000,1,FALSE),""))</f>
        <v/>
      </c>
      <c r="AF2531" s="2" t="str">
        <f>IF(D2531="","",IFERROR(MATCH(D2531,Projects!$A:$A,0),""))</f>
        <v/>
      </c>
    </row>
    <row r="2532" spans="31:32" x14ac:dyDescent="0.25">
      <c r="AE2532" s="39" t="str">
        <f>IF(D2532="","",IFERROR(VLOOKUP(D2532,Projects!$A$2:$A$20000,1,FALSE),""))</f>
        <v/>
      </c>
      <c r="AF2532" s="2" t="str">
        <f>IF(D2532="","",IFERROR(MATCH(D2532,Projects!$A:$A,0),""))</f>
        <v/>
      </c>
    </row>
    <row r="2533" spans="31:32" x14ac:dyDescent="0.25">
      <c r="AE2533" s="39" t="str">
        <f>IF(D2533="","",IFERROR(VLOOKUP(D2533,Projects!$A$2:$A$20000,1,FALSE),""))</f>
        <v/>
      </c>
      <c r="AF2533" s="2" t="str">
        <f>IF(D2533="","",IFERROR(MATCH(D2533,Projects!$A:$A,0),""))</f>
        <v/>
      </c>
    </row>
    <row r="2534" spans="31:32" x14ac:dyDescent="0.25">
      <c r="AE2534" s="39" t="str">
        <f>IF(D2534="","",IFERROR(VLOOKUP(D2534,Projects!$A$2:$A$20000,1,FALSE),""))</f>
        <v/>
      </c>
      <c r="AF2534" s="2" t="str">
        <f>IF(D2534="","",IFERROR(MATCH(D2534,Projects!$A:$A,0),""))</f>
        <v/>
      </c>
    </row>
    <row r="2535" spans="31:32" x14ac:dyDescent="0.25">
      <c r="AE2535" s="39" t="str">
        <f>IF(D2535="","",IFERROR(VLOOKUP(D2535,Projects!$A$2:$A$20000,1,FALSE),""))</f>
        <v/>
      </c>
      <c r="AF2535" s="2" t="str">
        <f>IF(D2535="","",IFERROR(MATCH(D2535,Projects!$A:$A,0),""))</f>
        <v/>
      </c>
    </row>
    <row r="2536" spans="31:32" x14ac:dyDescent="0.25">
      <c r="AE2536" s="39" t="str">
        <f>IF(D2536="","",IFERROR(VLOOKUP(D2536,Projects!$A$2:$A$20000,1,FALSE),""))</f>
        <v/>
      </c>
      <c r="AF2536" s="2" t="str">
        <f>IF(D2536="","",IFERROR(MATCH(D2536,Projects!$A:$A,0),""))</f>
        <v/>
      </c>
    </row>
    <row r="2537" spans="31:32" x14ac:dyDescent="0.25">
      <c r="AE2537" s="39" t="str">
        <f>IF(D2537="","",IFERROR(VLOOKUP(D2537,Projects!$A$2:$A$20000,1,FALSE),""))</f>
        <v/>
      </c>
      <c r="AF2537" s="2" t="str">
        <f>IF(D2537="","",IFERROR(MATCH(D2537,Projects!$A:$A,0),""))</f>
        <v/>
      </c>
    </row>
    <row r="2538" spans="31:32" x14ac:dyDescent="0.25">
      <c r="AE2538" s="39" t="str">
        <f>IF(D2538="","",IFERROR(VLOOKUP(D2538,Projects!$A$2:$A$20000,1,FALSE),""))</f>
        <v/>
      </c>
      <c r="AF2538" s="2" t="str">
        <f>IF(D2538="","",IFERROR(MATCH(D2538,Projects!$A:$A,0),""))</f>
        <v/>
      </c>
    </row>
    <row r="2539" spans="31:32" x14ac:dyDescent="0.25">
      <c r="AE2539" s="39" t="str">
        <f>IF(D2539="","",IFERROR(VLOOKUP(D2539,Projects!$A$2:$A$20000,1,FALSE),""))</f>
        <v/>
      </c>
      <c r="AF2539" s="2" t="str">
        <f>IF(D2539="","",IFERROR(MATCH(D2539,Projects!$A:$A,0),""))</f>
        <v/>
      </c>
    </row>
    <row r="2540" spans="31:32" x14ac:dyDescent="0.25">
      <c r="AE2540" s="39" t="str">
        <f>IF(D2540="","",IFERROR(VLOOKUP(D2540,Projects!$A$2:$A$20000,1,FALSE),""))</f>
        <v/>
      </c>
      <c r="AF2540" s="2" t="str">
        <f>IF(D2540="","",IFERROR(MATCH(D2540,Projects!$A:$A,0),""))</f>
        <v/>
      </c>
    </row>
    <row r="2541" spans="31:32" x14ac:dyDescent="0.25">
      <c r="AE2541" s="39" t="str">
        <f>IF(D2541="","",IFERROR(VLOOKUP(D2541,Projects!$A$2:$A$20000,1,FALSE),""))</f>
        <v/>
      </c>
      <c r="AF2541" s="2" t="str">
        <f>IF(D2541="","",IFERROR(MATCH(D2541,Projects!$A:$A,0),""))</f>
        <v/>
      </c>
    </row>
    <row r="2542" spans="31:32" x14ac:dyDescent="0.25">
      <c r="AE2542" s="39" t="str">
        <f>IF(D2542="","",IFERROR(VLOOKUP(D2542,Projects!$A$2:$A$20000,1,FALSE),""))</f>
        <v/>
      </c>
      <c r="AF2542" s="2" t="str">
        <f>IF(D2542="","",IFERROR(MATCH(D2542,Projects!$A:$A,0),""))</f>
        <v/>
      </c>
    </row>
    <row r="2543" spans="31:32" x14ac:dyDescent="0.25">
      <c r="AE2543" s="39" t="str">
        <f>IF(D2543="","",IFERROR(VLOOKUP(D2543,Projects!$A$2:$A$20000,1,FALSE),""))</f>
        <v/>
      </c>
      <c r="AF2543" s="2" t="str">
        <f>IF(D2543="","",IFERROR(MATCH(D2543,Projects!$A:$A,0),""))</f>
        <v/>
      </c>
    </row>
    <row r="2544" spans="31:32" x14ac:dyDescent="0.25">
      <c r="AE2544" s="39" t="str">
        <f>IF(D2544="","",IFERROR(VLOOKUP(D2544,Projects!$A$2:$A$20000,1,FALSE),""))</f>
        <v/>
      </c>
      <c r="AF2544" s="2" t="str">
        <f>IF(D2544="","",IFERROR(MATCH(D2544,Projects!$A:$A,0),""))</f>
        <v/>
      </c>
    </row>
    <row r="2545" spans="31:32" x14ac:dyDescent="0.25">
      <c r="AE2545" s="39" t="str">
        <f>IF(D2545="","",IFERROR(VLOOKUP(D2545,Projects!$A$2:$A$20000,1,FALSE),""))</f>
        <v/>
      </c>
      <c r="AF2545" s="2" t="str">
        <f>IF(D2545="","",IFERROR(MATCH(D2545,Projects!$A:$A,0),""))</f>
        <v/>
      </c>
    </row>
    <row r="2546" spans="31:32" x14ac:dyDescent="0.25">
      <c r="AE2546" s="39" t="str">
        <f>IF(D2546="","",IFERROR(VLOOKUP(D2546,Projects!$A$2:$A$20000,1,FALSE),""))</f>
        <v/>
      </c>
      <c r="AF2546" s="2" t="str">
        <f>IF(D2546="","",IFERROR(MATCH(D2546,Projects!$A:$A,0),""))</f>
        <v/>
      </c>
    </row>
    <row r="2547" spans="31:32" x14ac:dyDescent="0.25">
      <c r="AE2547" s="39" t="str">
        <f>IF(D2547="","",IFERROR(VLOOKUP(D2547,Projects!$A$2:$A$20000,1,FALSE),""))</f>
        <v/>
      </c>
      <c r="AF2547" s="2" t="str">
        <f>IF(D2547="","",IFERROR(MATCH(D2547,Projects!$A:$A,0),""))</f>
        <v/>
      </c>
    </row>
    <row r="2548" spans="31:32" x14ac:dyDescent="0.25">
      <c r="AE2548" s="39" t="str">
        <f>IF(D2548="","",IFERROR(VLOOKUP(D2548,Projects!$A$2:$A$20000,1,FALSE),""))</f>
        <v/>
      </c>
      <c r="AF2548" s="2" t="str">
        <f>IF(D2548="","",IFERROR(MATCH(D2548,Projects!$A:$A,0),""))</f>
        <v/>
      </c>
    </row>
    <row r="2549" spans="31:32" x14ac:dyDescent="0.25">
      <c r="AE2549" s="39" t="str">
        <f>IF(D2549="","",IFERROR(VLOOKUP(D2549,Projects!$A$2:$A$20000,1,FALSE),""))</f>
        <v/>
      </c>
      <c r="AF2549" s="2" t="str">
        <f>IF(D2549="","",IFERROR(MATCH(D2549,Projects!$A:$A,0),""))</f>
        <v/>
      </c>
    </row>
    <row r="2550" spans="31:32" x14ac:dyDescent="0.25">
      <c r="AE2550" s="39" t="str">
        <f>IF(D2550="","",IFERROR(VLOOKUP(D2550,Projects!$A$2:$A$20000,1,FALSE),""))</f>
        <v/>
      </c>
      <c r="AF2550" s="2" t="str">
        <f>IF(D2550="","",IFERROR(MATCH(D2550,Projects!$A:$A,0),""))</f>
        <v/>
      </c>
    </row>
    <row r="2551" spans="31:32" x14ac:dyDescent="0.25">
      <c r="AE2551" s="39" t="str">
        <f>IF(D2551="","",IFERROR(VLOOKUP(D2551,Projects!$A$2:$A$20000,1,FALSE),""))</f>
        <v/>
      </c>
      <c r="AF2551" s="2" t="str">
        <f>IF(D2551="","",IFERROR(MATCH(D2551,Projects!$A:$A,0),""))</f>
        <v/>
      </c>
    </row>
    <row r="2552" spans="31:32" x14ac:dyDescent="0.25">
      <c r="AE2552" s="39" t="str">
        <f>IF(D2552="","",IFERROR(VLOOKUP(D2552,Projects!$A$2:$A$20000,1,FALSE),""))</f>
        <v/>
      </c>
      <c r="AF2552" s="2" t="str">
        <f>IF(D2552="","",IFERROR(MATCH(D2552,Projects!$A:$A,0),""))</f>
        <v/>
      </c>
    </row>
    <row r="2553" spans="31:32" x14ac:dyDescent="0.25">
      <c r="AE2553" s="39" t="str">
        <f>IF(D2553="","",IFERROR(VLOOKUP(D2553,Projects!$A$2:$A$20000,1,FALSE),""))</f>
        <v/>
      </c>
      <c r="AF2553" s="2" t="str">
        <f>IF(D2553="","",IFERROR(MATCH(D2553,Projects!$A:$A,0),""))</f>
        <v/>
      </c>
    </row>
    <row r="2554" spans="31:32" x14ac:dyDescent="0.25">
      <c r="AE2554" s="39" t="str">
        <f>IF(D2554="","",IFERROR(VLOOKUP(D2554,Projects!$A$2:$A$20000,1,FALSE),""))</f>
        <v/>
      </c>
      <c r="AF2554" s="2" t="str">
        <f>IF(D2554="","",IFERROR(MATCH(D2554,Projects!$A:$A,0),""))</f>
        <v/>
      </c>
    </row>
    <row r="2555" spans="31:32" x14ac:dyDescent="0.25">
      <c r="AE2555" s="39" t="str">
        <f>IF(D2555="","",IFERROR(VLOOKUP(D2555,Projects!$A$2:$A$20000,1,FALSE),""))</f>
        <v/>
      </c>
      <c r="AF2555" s="2" t="str">
        <f>IF(D2555="","",IFERROR(MATCH(D2555,Projects!$A:$A,0),""))</f>
        <v/>
      </c>
    </row>
    <row r="2556" spans="31:32" x14ac:dyDescent="0.25">
      <c r="AE2556" s="39" t="str">
        <f>IF(D2556="","",IFERROR(VLOOKUP(D2556,Projects!$A$2:$A$20000,1,FALSE),""))</f>
        <v/>
      </c>
      <c r="AF2556" s="2" t="str">
        <f>IF(D2556="","",IFERROR(MATCH(D2556,Projects!$A:$A,0),""))</f>
        <v/>
      </c>
    </row>
    <row r="2557" spans="31:32" x14ac:dyDescent="0.25">
      <c r="AE2557" s="39" t="str">
        <f>IF(D2557="","",IFERROR(VLOOKUP(D2557,Projects!$A$2:$A$20000,1,FALSE),""))</f>
        <v/>
      </c>
      <c r="AF2557" s="2" t="str">
        <f>IF(D2557="","",IFERROR(MATCH(D2557,Projects!$A:$A,0),""))</f>
        <v/>
      </c>
    </row>
    <row r="2558" spans="31:32" x14ac:dyDescent="0.25">
      <c r="AE2558" s="39" t="str">
        <f>IF(D2558="","",IFERROR(VLOOKUP(D2558,Projects!$A$2:$A$20000,1,FALSE),""))</f>
        <v/>
      </c>
      <c r="AF2558" s="2" t="str">
        <f>IF(D2558="","",IFERROR(MATCH(D2558,Projects!$A:$A,0),""))</f>
        <v/>
      </c>
    </row>
    <row r="2559" spans="31:32" x14ac:dyDescent="0.25">
      <c r="AE2559" s="39" t="str">
        <f>IF(D2559="","",IFERROR(VLOOKUP(D2559,Projects!$A$2:$A$20000,1,FALSE),""))</f>
        <v/>
      </c>
      <c r="AF2559" s="2" t="str">
        <f>IF(D2559="","",IFERROR(MATCH(D2559,Projects!$A:$A,0),""))</f>
        <v/>
      </c>
    </row>
    <row r="2560" spans="31:32" x14ac:dyDescent="0.25">
      <c r="AE2560" s="39" t="str">
        <f>IF(D2560="","",IFERROR(VLOOKUP(D2560,Projects!$A$2:$A$20000,1,FALSE),""))</f>
        <v/>
      </c>
      <c r="AF2560" s="2" t="str">
        <f>IF(D2560="","",IFERROR(MATCH(D2560,Projects!$A:$A,0),""))</f>
        <v/>
      </c>
    </row>
    <row r="2561" spans="31:32" x14ac:dyDescent="0.25">
      <c r="AE2561" s="39" t="str">
        <f>IF(D2561="","",IFERROR(VLOOKUP(D2561,Projects!$A$2:$A$20000,1,FALSE),""))</f>
        <v/>
      </c>
      <c r="AF2561" s="2" t="str">
        <f>IF(D2561="","",IFERROR(MATCH(D2561,Projects!$A:$A,0),""))</f>
        <v/>
      </c>
    </row>
    <row r="2562" spans="31:32" x14ac:dyDescent="0.25">
      <c r="AE2562" s="39" t="str">
        <f>IF(D2562="","",IFERROR(VLOOKUP(D2562,Projects!$A$2:$A$20000,1,FALSE),""))</f>
        <v/>
      </c>
      <c r="AF2562" s="2" t="str">
        <f>IF(D2562="","",IFERROR(MATCH(D2562,Projects!$A:$A,0),""))</f>
        <v/>
      </c>
    </row>
    <row r="2563" spans="31:32" x14ac:dyDescent="0.25">
      <c r="AE2563" s="39" t="str">
        <f>IF(D2563="","",IFERROR(VLOOKUP(D2563,Projects!$A$2:$A$20000,1,FALSE),""))</f>
        <v/>
      </c>
      <c r="AF2563" s="2" t="str">
        <f>IF(D2563="","",IFERROR(MATCH(D2563,Projects!$A:$A,0),""))</f>
        <v/>
      </c>
    </row>
    <row r="2564" spans="31:32" x14ac:dyDescent="0.25">
      <c r="AE2564" s="39" t="str">
        <f>IF(D2564="","",IFERROR(VLOOKUP(D2564,Projects!$A$2:$A$20000,1,FALSE),""))</f>
        <v/>
      </c>
      <c r="AF2564" s="2" t="str">
        <f>IF(D2564="","",IFERROR(MATCH(D2564,Projects!$A:$A,0),""))</f>
        <v/>
      </c>
    </row>
    <row r="2565" spans="31:32" x14ac:dyDescent="0.25">
      <c r="AE2565" s="39" t="str">
        <f>IF(D2565="","",IFERROR(VLOOKUP(D2565,Projects!$A$2:$A$20000,1,FALSE),""))</f>
        <v/>
      </c>
      <c r="AF2565" s="2" t="str">
        <f>IF(D2565="","",IFERROR(MATCH(D2565,Projects!$A:$A,0),""))</f>
        <v/>
      </c>
    </row>
    <row r="2566" spans="31:32" x14ac:dyDescent="0.25">
      <c r="AE2566" s="39" t="str">
        <f>IF(D2566="","",IFERROR(VLOOKUP(D2566,Projects!$A$2:$A$20000,1,FALSE),""))</f>
        <v/>
      </c>
      <c r="AF2566" s="2" t="str">
        <f>IF(D2566="","",IFERROR(MATCH(D2566,Projects!$A:$A,0),""))</f>
        <v/>
      </c>
    </row>
    <row r="2567" spans="31:32" x14ac:dyDescent="0.25">
      <c r="AE2567" s="39" t="str">
        <f>IF(D2567="","",IFERROR(VLOOKUP(D2567,Projects!$A$2:$A$20000,1,FALSE),""))</f>
        <v/>
      </c>
      <c r="AF2567" s="2" t="str">
        <f>IF(D2567="","",IFERROR(MATCH(D2567,Projects!$A:$A,0),""))</f>
        <v/>
      </c>
    </row>
    <row r="2568" spans="31:32" x14ac:dyDescent="0.25">
      <c r="AE2568" s="39" t="str">
        <f>IF(D2568="","",IFERROR(VLOOKUP(D2568,Projects!$A$2:$A$20000,1,FALSE),""))</f>
        <v/>
      </c>
      <c r="AF2568" s="2" t="str">
        <f>IF(D2568="","",IFERROR(MATCH(D2568,Projects!$A:$A,0),""))</f>
        <v/>
      </c>
    </row>
    <row r="2569" spans="31:32" x14ac:dyDescent="0.25">
      <c r="AE2569" s="39" t="str">
        <f>IF(D2569="","",IFERROR(VLOOKUP(D2569,Projects!$A$2:$A$20000,1,FALSE),""))</f>
        <v/>
      </c>
      <c r="AF2569" s="2" t="str">
        <f>IF(D2569="","",IFERROR(MATCH(D2569,Projects!$A:$A,0),""))</f>
        <v/>
      </c>
    </row>
    <row r="2570" spans="31:32" x14ac:dyDescent="0.25">
      <c r="AE2570" s="39" t="str">
        <f>IF(D2570="","",IFERROR(VLOOKUP(D2570,Projects!$A$2:$A$20000,1,FALSE),""))</f>
        <v/>
      </c>
      <c r="AF2570" s="2" t="str">
        <f>IF(D2570="","",IFERROR(MATCH(D2570,Projects!$A:$A,0),""))</f>
        <v/>
      </c>
    </row>
    <row r="2571" spans="31:32" x14ac:dyDescent="0.25">
      <c r="AE2571" s="39" t="str">
        <f>IF(D2571="","",IFERROR(VLOOKUP(D2571,Projects!$A$2:$A$20000,1,FALSE),""))</f>
        <v/>
      </c>
      <c r="AF2571" s="2" t="str">
        <f>IF(D2571="","",IFERROR(MATCH(D2571,Projects!$A:$A,0),""))</f>
        <v/>
      </c>
    </row>
    <row r="2572" spans="31:32" x14ac:dyDescent="0.25">
      <c r="AE2572" s="39" t="str">
        <f>IF(D2572="","",IFERROR(VLOOKUP(D2572,Projects!$A$2:$A$20000,1,FALSE),""))</f>
        <v/>
      </c>
      <c r="AF2572" s="2" t="str">
        <f>IF(D2572="","",IFERROR(MATCH(D2572,Projects!$A:$A,0),""))</f>
        <v/>
      </c>
    </row>
    <row r="2573" spans="31:32" x14ac:dyDescent="0.25">
      <c r="AE2573" s="39" t="str">
        <f>IF(D2573="","",IFERROR(VLOOKUP(D2573,Projects!$A$2:$A$20000,1,FALSE),""))</f>
        <v/>
      </c>
      <c r="AF2573" s="2" t="str">
        <f>IF(D2573="","",IFERROR(MATCH(D2573,Projects!$A:$A,0),""))</f>
        <v/>
      </c>
    </row>
    <row r="2574" spans="31:32" x14ac:dyDescent="0.25">
      <c r="AE2574" s="39" t="str">
        <f>IF(D2574="","",IFERROR(VLOOKUP(D2574,Projects!$A$2:$A$20000,1,FALSE),""))</f>
        <v/>
      </c>
      <c r="AF2574" s="2" t="str">
        <f>IF(D2574="","",IFERROR(MATCH(D2574,Projects!$A:$A,0),""))</f>
        <v/>
      </c>
    </row>
    <row r="2575" spans="31:32" x14ac:dyDescent="0.25">
      <c r="AE2575" s="39" t="str">
        <f>IF(D2575="","",IFERROR(VLOOKUP(D2575,Projects!$A$2:$A$20000,1,FALSE),""))</f>
        <v/>
      </c>
      <c r="AF2575" s="2" t="str">
        <f>IF(D2575="","",IFERROR(MATCH(D2575,Projects!$A:$A,0),""))</f>
        <v/>
      </c>
    </row>
    <row r="2576" spans="31:32" x14ac:dyDescent="0.25">
      <c r="AE2576" s="39" t="str">
        <f>IF(D2576="","",IFERROR(VLOOKUP(D2576,Projects!$A$2:$A$20000,1,FALSE),""))</f>
        <v/>
      </c>
      <c r="AF2576" s="2" t="str">
        <f>IF(D2576="","",IFERROR(MATCH(D2576,Projects!$A:$A,0),""))</f>
        <v/>
      </c>
    </row>
    <row r="2577" spans="31:32" x14ac:dyDescent="0.25">
      <c r="AE2577" s="39" t="str">
        <f>IF(D2577="","",IFERROR(VLOOKUP(D2577,Projects!$A$2:$A$20000,1,FALSE),""))</f>
        <v/>
      </c>
      <c r="AF2577" s="2" t="str">
        <f>IF(D2577="","",IFERROR(MATCH(D2577,Projects!$A:$A,0),""))</f>
        <v/>
      </c>
    </row>
    <row r="2578" spans="31:32" x14ac:dyDescent="0.25">
      <c r="AE2578" s="39" t="str">
        <f>IF(D2578="","",IFERROR(VLOOKUP(D2578,Projects!$A$2:$A$20000,1,FALSE),""))</f>
        <v/>
      </c>
      <c r="AF2578" s="2" t="str">
        <f>IF(D2578="","",IFERROR(MATCH(D2578,Projects!$A:$A,0),""))</f>
        <v/>
      </c>
    </row>
    <row r="2579" spans="31:32" x14ac:dyDescent="0.25">
      <c r="AE2579" s="39" t="str">
        <f>IF(D2579="","",IFERROR(VLOOKUP(D2579,Projects!$A$2:$A$20000,1,FALSE),""))</f>
        <v/>
      </c>
      <c r="AF2579" s="2" t="str">
        <f>IF(D2579="","",IFERROR(MATCH(D2579,Projects!$A:$A,0),""))</f>
        <v/>
      </c>
    </row>
    <row r="2580" spans="31:32" x14ac:dyDescent="0.25">
      <c r="AE2580" s="39" t="str">
        <f>IF(D2580="","",IFERROR(VLOOKUP(D2580,Projects!$A$2:$A$20000,1,FALSE),""))</f>
        <v/>
      </c>
      <c r="AF2580" s="2" t="str">
        <f>IF(D2580="","",IFERROR(MATCH(D2580,Projects!$A:$A,0),""))</f>
        <v/>
      </c>
    </row>
    <row r="2581" spans="31:32" x14ac:dyDescent="0.25">
      <c r="AE2581" s="39" t="str">
        <f>IF(D2581="","",IFERROR(VLOOKUP(D2581,Projects!$A$2:$A$20000,1,FALSE),""))</f>
        <v/>
      </c>
      <c r="AF2581" s="2" t="str">
        <f>IF(D2581="","",IFERROR(MATCH(D2581,Projects!$A:$A,0),""))</f>
        <v/>
      </c>
    </row>
    <row r="2582" spans="31:32" x14ac:dyDescent="0.25">
      <c r="AE2582" s="39" t="str">
        <f>IF(D2582="","",IFERROR(VLOOKUP(D2582,Projects!$A$2:$A$20000,1,FALSE),""))</f>
        <v/>
      </c>
      <c r="AF2582" s="2" t="str">
        <f>IF(D2582="","",IFERROR(MATCH(D2582,Projects!$A:$A,0),""))</f>
        <v/>
      </c>
    </row>
    <row r="2583" spans="31:32" x14ac:dyDescent="0.25">
      <c r="AE2583" s="39" t="str">
        <f>IF(D2583="","",IFERROR(VLOOKUP(D2583,Projects!$A$2:$A$20000,1,FALSE),""))</f>
        <v/>
      </c>
      <c r="AF2583" s="2" t="str">
        <f>IF(D2583="","",IFERROR(MATCH(D2583,Projects!$A:$A,0),""))</f>
        <v/>
      </c>
    </row>
    <row r="2584" spans="31:32" x14ac:dyDescent="0.25">
      <c r="AE2584" s="39" t="str">
        <f>IF(D2584="","",IFERROR(VLOOKUP(D2584,Projects!$A$2:$A$20000,1,FALSE),""))</f>
        <v/>
      </c>
      <c r="AF2584" s="2" t="str">
        <f>IF(D2584="","",IFERROR(MATCH(D2584,Projects!$A:$A,0),""))</f>
        <v/>
      </c>
    </row>
    <row r="2585" spans="31:32" x14ac:dyDescent="0.25">
      <c r="AE2585" s="39" t="str">
        <f>IF(D2585="","",IFERROR(VLOOKUP(D2585,Projects!$A$2:$A$20000,1,FALSE),""))</f>
        <v/>
      </c>
      <c r="AF2585" s="2" t="str">
        <f>IF(D2585="","",IFERROR(MATCH(D2585,Projects!$A:$A,0),""))</f>
        <v/>
      </c>
    </row>
    <row r="2586" spans="31:32" x14ac:dyDescent="0.25">
      <c r="AE2586" s="39" t="str">
        <f>IF(D2586="","",IFERROR(VLOOKUP(D2586,Projects!$A$2:$A$20000,1,FALSE),""))</f>
        <v/>
      </c>
      <c r="AF2586" s="2" t="str">
        <f>IF(D2586="","",IFERROR(MATCH(D2586,Projects!$A:$A,0),""))</f>
        <v/>
      </c>
    </row>
    <row r="2587" spans="31:32" x14ac:dyDescent="0.25">
      <c r="AE2587" s="39" t="str">
        <f>IF(D2587="","",IFERROR(VLOOKUP(D2587,Projects!$A$2:$A$20000,1,FALSE),""))</f>
        <v/>
      </c>
      <c r="AF2587" s="2" t="str">
        <f>IF(D2587="","",IFERROR(MATCH(D2587,Projects!$A:$A,0),""))</f>
        <v/>
      </c>
    </row>
    <row r="2588" spans="31:32" x14ac:dyDescent="0.25">
      <c r="AE2588" s="39" t="str">
        <f>IF(D2588="","",IFERROR(VLOOKUP(D2588,Projects!$A$2:$A$20000,1,FALSE),""))</f>
        <v/>
      </c>
      <c r="AF2588" s="2" t="str">
        <f>IF(D2588="","",IFERROR(MATCH(D2588,Projects!$A:$A,0),""))</f>
        <v/>
      </c>
    </row>
    <row r="2589" spans="31:32" x14ac:dyDescent="0.25">
      <c r="AE2589" s="39" t="str">
        <f>IF(D2589="","",IFERROR(VLOOKUP(D2589,Projects!$A$2:$A$20000,1,FALSE),""))</f>
        <v/>
      </c>
      <c r="AF2589" s="2" t="str">
        <f>IF(D2589="","",IFERROR(MATCH(D2589,Projects!$A:$A,0),""))</f>
        <v/>
      </c>
    </row>
    <row r="2590" spans="31:32" x14ac:dyDescent="0.25">
      <c r="AE2590" s="39" t="str">
        <f>IF(D2590="","",IFERROR(VLOOKUP(D2590,Projects!$A$2:$A$20000,1,FALSE),""))</f>
        <v/>
      </c>
      <c r="AF2590" s="2" t="str">
        <f>IF(D2590="","",IFERROR(MATCH(D2590,Projects!$A:$A,0),""))</f>
        <v/>
      </c>
    </row>
    <row r="2591" spans="31:32" x14ac:dyDescent="0.25">
      <c r="AE2591" s="39" t="str">
        <f>IF(D2591="","",IFERROR(VLOOKUP(D2591,Projects!$A$2:$A$20000,1,FALSE),""))</f>
        <v/>
      </c>
      <c r="AF2591" s="2" t="str">
        <f>IF(D2591="","",IFERROR(MATCH(D2591,Projects!$A:$A,0),""))</f>
        <v/>
      </c>
    </row>
    <row r="2592" spans="31:32" x14ac:dyDescent="0.25">
      <c r="AE2592" s="39" t="str">
        <f>IF(D2592="","",IFERROR(VLOOKUP(D2592,Projects!$A$2:$A$20000,1,FALSE),""))</f>
        <v/>
      </c>
      <c r="AF2592" s="2" t="str">
        <f>IF(D2592="","",IFERROR(MATCH(D2592,Projects!$A:$A,0),""))</f>
        <v/>
      </c>
    </row>
    <row r="2593" spans="31:32" x14ac:dyDescent="0.25">
      <c r="AE2593" s="39" t="str">
        <f>IF(D2593="","",IFERROR(VLOOKUP(D2593,Projects!$A$2:$A$20000,1,FALSE),""))</f>
        <v/>
      </c>
      <c r="AF2593" s="2" t="str">
        <f>IF(D2593="","",IFERROR(MATCH(D2593,Projects!$A:$A,0),""))</f>
        <v/>
      </c>
    </row>
    <row r="2594" spans="31:32" x14ac:dyDescent="0.25">
      <c r="AE2594" s="39" t="str">
        <f>IF(D2594="","",IFERROR(VLOOKUP(D2594,Projects!$A$2:$A$20000,1,FALSE),""))</f>
        <v/>
      </c>
      <c r="AF2594" s="2" t="str">
        <f>IF(D2594="","",IFERROR(MATCH(D2594,Projects!$A:$A,0),""))</f>
        <v/>
      </c>
    </row>
    <row r="2595" spans="31:32" x14ac:dyDescent="0.25">
      <c r="AE2595" s="39" t="str">
        <f>IF(D2595="","",IFERROR(VLOOKUP(D2595,Projects!$A$2:$A$20000,1,FALSE),""))</f>
        <v/>
      </c>
      <c r="AF2595" s="2" t="str">
        <f>IF(D2595="","",IFERROR(MATCH(D2595,Projects!$A:$A,0),""))</f>
        <v/>
      </c>
    </row>
    <row r="2596" spans="31:32" x14ac:dyDescent="0.25">
      <c r="AE2596" s="39" t="str">
        <f>IF(D2596="","",IFERROR(VLOOKUP(D2596,Projects!$A$2:$A$20000,1,FALSE),""))</f>
        <v/>
      </c>
      <c r="AF2596" s="2" t="str">
        <f>IF(D2596="","",IFERROR(MATCH(D2596,Projects!$A:$A,0),""))</f>
        <v/>
      </c>
    </row>
    <row r="2597" spans="31:32" x14ac:dyDescent="0.25">
      <c r="AE2597" s="39" t="str">
        <f>IF(D2597="","",IFERROR(VLOOKUP(D2597,Projects!$A$2:$A$20000,1,FALSE),""))</f>
        <v/>
      </c>
      <c r="AF2597" s="2" t="str">
        <f>IF(D2597="","",IFERROR(MATCH(D2597,Projects!$A:$A,0),""))</f>
        <v/>
      </c>
    </row>
    <row r="2598" spans="31:32" x14ac:dyDescent="0.25">
      <c r="AE2598" s="39" t="str">
        <f>IF(D2598="","",IFERROR(VLOOKUP(D2598,Projects!$A$2:$A$20000,1,FALSE),""))</f>
        <v/>
      </c>
      <c r="AF2598" s="2" t="str">
        <f>IF(D2598="","",IFERROR(MATCH(D2598,Projects!$A:$A,0),""))</f>
        <v/>
      </c>
    </row>
    <row r="2599" spans="31:32" x14ac:dyDescent="0.25">
      <c r="AE2599" s="39" t="str">
        <f>IF(D2599="","",IFERROR(VLOOKUP(D2599,Projects!$A$2:$A$20000,1,FALSE),""))</f>
        <v/>
      </c>
      <c r="AF2599" s="2" t="str">
        <f>IF(D2599="","",IFERROR(MATCH(D2599,Projects!$A:$A,0),""))</f>
        <v/>
      </c>
    </row>
    <row r="2600" spans="31:32" x14ac:dyDescent="0.25">
      <c r="AE2600" s="39" t="str">
        <f>IF(D2600="","",IFERROR(VLOOKUP(D2600,Projects!$A$2:$A$20000,1,FALSE),""))</f>
        <v/>
      </c>
      <c r="AF2600" s="2" t="str">
        <f>IF(D2600="","",IFERROR(MATCH(D2600,Projects!$A:$A,0),""))</f>
        <v/>
      </c>
    </row>
    <row r="2601" spans="31:32" x14ac:dyDescent="0.25">
      <c r="AE2601" s="39" t="str">
        <f>IF(D2601="","",IFERROR(VLOOKUP(D2601,Projects!$A$2:$A$20000,1,FALSE),""))</f>
        <v/>
      </c>
      <c r="AF2601" s="2" t="str">
        <f>IF(D2601="","",IFERROR(MATCH(D2601,Projects!$A:$A,0),""))</f>
        <v/>
      </c>
    </row>
    <row r="2602" spans="31:32" x14ac:dyDescent="0.25">
      <c r="AE2602" s="39" t="str">
        <f>IF(D2602="","",IFERROR(VLOOKUP(D2602,Projects!$A$2:$A$20000,1,FALSE),""))</f>
        <v/>
      </c>
      <c r="AF2602" s="2" t="str">
        <f>IF(D2602="","",IFERROR(MATCH(D2602,Projects!$A:$A,0),""))</f>
        <v/>
      </c>
    </row>
    <row r="2603" spans="31:32" x14ac:dyDescent="0.25">
      <c r="AE2603" s="39" t="str">
        <f>IF(D2603="","",IFERROR(VLOOKUP(D2603,Projects!$A$2:$A$20000,1,FALSE),""))</f>
        <v/>
      </c>
      <c r="AF2603" s="2" t="str">
        <f>IF(D2603="","",IFERROR(MATCH(D2603,Projects!$A:$A,0),""))</f>
        <v/>
      </c>
    </row>
    <row r="2604" spans="31:32" x14ac:dyDescent="0.25">
      <c r="AE2604" s="39" t="str">
        <f>IF(D2604="","",IFERROR(VLOOKUP(D2604,Projects!$A$2:$A$20000,1,FALSE),""))</f>
        <v/>
      </c>
      <c r="AF2604" s="2" t="str">
        <f>IF(D2604="","",IFERROR(MATCH(D2604,Projects!$A:$A,0),""))</f>
        <v/>
      </c>
    </row>
    <row r="2605" spans="31:32" x14ac:dyDescent="0.25">
      <c r="AE2605" s="39" t="str">
        <f>IF(D2605="","",IFERROR(VLOOKUP(D2605,Projects!$A$2:$A$20000,1,FALSE),""))</f>
        <v/>
      </c>
      <c r="AF2605" s="2" t="str">
        <f>IF(D2605="","",IFERROR(MATCH(D2605,Projects!$A:$A,0),""))</f>
        <v/>
      </c>
    </row>
    <row r="2606" spans="31:32" x14ac:dyDescent="0.25">
      <c r="AE2606" s="39" t="str">
        <f>IF(D2606="","",IFERROR(VLOOKUP(D2606,Projects!$A$2:$A$20000,1,FALSE),""))</f>
        <v/>
      </c>
      <c r="AF2606" s="2" t="str">
        <f>IF(D2606="","",IFERROR(MATCH(D2606,Projects!$A:$A,0),""))</f>
        <v/>
      </c>
    </row>
    <row r="2607" spans="31:32" x14ac:dyDescent="0.25">
      <c r="AE2607" s="39" t="str">
        <f>IF(D2607="","",IFERROR(VLOOKUP(D2607,Projects!$A$2:$A$20000,1,FALSE),""))</f>
        <v/>
      </c>
      <c r="AF2607" s="2" t="str">
        <f>IF(D2607="","",IFERROR(MATCH(D2607,Projects!$A:$A,0),""))</f>
        <v/>
      </c>
    </row>
    <row r="2608" spans="31:32" x14ac:dyDescent="0.25">
      <c r="AE2608" s="39" t="str">
        <f>IF(D2608="","",IFERROR(VLOOKUP(D2608,Projects!$A$2:$A$20000,1,FALSE),""))</f>
        <v/>
      </c>
      <c r="AF2608" s="2" t="str">
        <f>IF(D2608="","",IFERROR(MATCH(D2608,Projects!$A:$A,0),""))</f>
        <v/>
      </c>
    </row>
    <row r="2609" spans="31:32" x14ac:dyDescent="0.25">
      <c r="AE2609" s="39" t="str">
        <f>IF(D2609="","",IFERROR(VLOOKUP(D2609,Projects!$A$2:$A$20000,1,FALSE),""))</f>
        <v/>
      </c>
      <c r="AF2609" s="2" t="str">
        <f>IF(D2609="","",IFERROR(MATCH(D2609,Projects!$A:$A,0),""))</f>
        <v/>
      </c>
    </row>
    <row r="2610" spans="31:32" x14ac:dyDescent="0.25">
      <c r="AE2610" s="39" t="str">
        <f>IF(D2610="","",IFERROR(VLOOKUP(D2610,Projects!$A$2:$A$20000,1,FALSE),""))</f>
        <v/>
      </c>
      <c r="AF2610" s="2" t="str">
        <f>IF(D2610="","",IFERROR(MATCH(D2610,Projects!$A:$A,0),""))</f>
        <v/>
      </c>
    </row>
    <row r="2611" spans="31:32" x14ac:dyDescent="0.25">
      <c r="AE2611" s="39" t="str">
        <f>IF(D2611="","",IFERROR(VLOOKUP(D2611,Projects!$A$2:$A$20000,1,FALSE),""))</f>
        <v/>
      </c>
      <c r="AF2611" s="2" t="str">
        <f>IF(D2611="","",IFERROR(MATCH(D2611,Projects!$A:$A,0),""))</f>
        <v/>
      </c>
    </row>
    <row r="2612" spans="31:32" x14ac:dyDescent="0.25">
      <c r="AE2612" s="39" t="str">
        <f>IF(D2612="","",IFERROR(VLOOKUP(D2612,Projects!$A$2:$A$20000,1,FALSE),""))</f>
        <v/>
      </c>
      <c r="AF2612" s="2" t="str">
        <f>IF(D2612="","",IFERROR(MATCH(D2612,Projects!$A:$A,0),""))</f>
        <v/>
      </c>
    </row>
    <row r="2613" spans="31:32" x14ac:dyDescent="0.25">
      <c r="AE2613" s="39" t="str">
        <f>IF(D2613="","",IFERROR(VLOOKUP(D2613,Projects!$A$2:$A$20000,1,FALSE),""))</f>
        <v/>
      </c>
      <c r="AF2613" s="2" t="str">
        <f>IF(D2613="","",IFERROR(MATCH(D2613,Projects!$A:$A,0),""))</f>
        <v/>
      </c>
    </row>
    <row r="2614" spans="31:32" x14ac:dyDescent="0.25">
      <c r="AE2614" s="39" t="str">
        <f>IF(D2614="","",IFERROR(VLOOKUP(D2614,Projects!$A$2:$A$20000,1,FALSE),""))</f>
        <v/>
      </c>
      <c r="AF2614" s="2" t="str">
        <f>IF(D2614="","",IFERROR(MATCH(D2614,Projects!$A:$A,0),""))</f>
        <v/>
      </c>
    </row>
    <row r="2615" spans="31:32" x14ac:dyDescent="0.25">
      <c r="AE2615" s="39" t="str">
        <f>IF(D2615="","",IFERROR(VLOOKUP(D2615,Projects!$A$2:$A$20000,1,FALSE),""))</f>
        <v/>
      </c>
      <c r="AF2615" s="2" t="str">
        <f>IF(D2615="","",IFERROR(MATCH(D2615,Projects!$A:$A,0),""))</f>
        <v/>
      </c>
    </row>
    <row r="2616" spans="31:32" x14ac:dyDescent="0.25">
      <c r="AE2616" s="39" t="str">
        <f>IF(D2616="","",IFERROR(VLOOKUP(D2616,Projects!$A$2:$A$20000,1,FALSE),""))</f>
        <v/>
      </c>
      <c r="AF2616" s="2" t="str">
        <f>IF(D2616="","",IFERROR(MATCH(D2616,Projects!$A:$A,0),""))</f>
        <v/>
      </c>
    </row>
    <row r="2617" spans="31:32" x14ac:dyDescent="0.25">
      <c r="AE2617" s="39" t="str">
        <f>IF(D2617="","",IFERROR(VLOOKUP(D2617,Projects!$A$2:$A$20000,1,FALSE),""))</f>
        <v/>
      </c>
      <c r="AF2617" s="2" t="str">
        <f>IF(D2617="","",IFERROR(MATCH(D2617,Projects!$A:$A,0),""))</f>
        <v/>
      </c>
    </row>
    <row r="2618" spans="31:32" x14ac:dyDescent="0.25">
      <c r="AE2618" s="39" t="str">
        <f>IF(D2618="","",IFERROR(VLOOKUP(D2618,Projects!$A$2:$A$20000,1,FALSE),""))</f>
        <v/>
      </c>
      <c r="AF2618" s="2" t="str">
        <f>IF(D2618="","",IFERROR(MATCH(D2618,Projects!$A:$A,0),""))</f>
        <v/>
      </c>
    </row>
    <row r="2619" spans="31:32" x14ac:dyDescent="0.25">
      <c r="AE2619" s="39" t="str">
        <f>IF(D2619="","",IFERROR(VLOOKUP(D2619,Projects!$A$2:$A$20000,1,FALSE),""))</f>
        <v/>
      </c>
      <c r="AF2619" s="2" t="str">
        <f>IF(D2619="","",IFERROR(MATCH(D2619,Projects!$A:$A,0),""))</f>
        <v/>
      </c>
    </row>
    <row r="2620" spans="31:32" x14ac:dyDescent="0.25">
      <c r="AE2620" s="39" t="str">
        <f>IF(D2620="","",IFERROR(VLOOKUP(D2620,Projects!$A$2:$A$20000,1,FALSE),""))</f>
        <v/>
      </c>
      <c r="AF2620" s="2" t="str">
        <f>IF(D2620="","",IFERROR(MATCH(D2620,Projects!$A:$A,0),""))</f>
        <v/>
      </c>
    </row>
    <row r="2621" spans="31:32" x14ac:dyDescent="0.25">
      <c r="AE2621" s="39" t="str">
        <f>IF(D2621="","",IFERROR(VLOOKUP(D2621,Projects!$A$2:$A$20000,1,FALSE),""))</f>
        <v/>
      </c>
      <c r="AF2621" s="2" t="str">
        <f>IF(D2621="","",IFERROR(MATCH(D2621,Projects!$A:$A,0),""))</f>
        <v/>
      </c>
    </row>
    <row r="2622" spans="31:32" x14ac:dyDescent="0.25">
      <c r="AE2622" s="39" t="str">
        <f>IF(D2622="","",IFERROR(VLOOKUP(D2622,Projects!$A$2:$A$20000,1,FALSE),""))</f>
        <v/>
      </c>
      <c r="AF2622" s="2" t="str">
        <f>IF(D2622="","",IFERROR(MATCH(D2622,Projects!$A:$A,0),""))</f>
        <v/>
      </c>
    </row>
    <row r="2623" spans="31:32" x14ac:dyDescent="0.25">
      <c r="AE2623" s="39" t="str">
        <f>IF(D2623="","",IFERROR(VLOOKUP(D2623,Projects!$A$2:$A$20000,1,FALSE),""))</f>
        <v/>
      </c>
      <c r="AF2623" s="2" t="str">
        <f>IF(D2623="","",IFERROR(MATCH(D2623,Projects!$A:$A,0),""))</f>
        <v/>
      </c>
    </row>
    <row r="2624" spans="31:32" x14ac:dyDescent="0.25">
      <c r="AE2624" s="39" t="str">
        <f>IF(D2624="","",IFERROR(VLOOKUP(D2624,Projects!$A$2:$A$20000,1,FALSE),""))</f>
        <v/>
      </c>
      <c r="AF2624" s="2" t="str">
        <f>IF(D2624="","",IFERROR(MATCH(D2624,Projects!$A:$A,0),""))</f>
        <v/>
      </c>
    </row>
    <row r="2625" spans="31:32" x14ac:dyDescent="0.25">
      <c r="AE2625" s="39" t="str">
        <f>IF(D2625="","",IFERROR(VLOOKUP(D2625,Projects!$A$2:$A$20000,1,FALSE),""))</f>
        <v/>
      </c>
      <c r="AF2625" s="2" t="str">
        <f>IF(D2625="","",IFERROR(MATCH(D2625,Projects!$A:$A,0),""))</f>
        <v/>
      </c>
    </row>
    <row r="2626" spans="31:32" x14ac:dyDescent="0.25">
      <c r="AE2626" s="39" t="str">
        <f>IF(D2626="","",IFERROR(VLOOKUP(D2626,Projects!$A$2:$A$20000,1,FALSE),""))</f>
        <v/>
      </c>
      <c r="AF2626" s="2" t="str">
        <f>IF(D2626="","",IFERROR(MATCH(D2626,Projects!$A:$A,0),""))</f>
        <v/>
      </c>
    </row>
    <row r="2627" spans="31:32" x14ac:dyDescent="0.25">
      <c r="AE2627" s="39" t="str">
        <f>IF(D2627="","",IFERROR(VLOOKUP(D2627,Projects!$A$2:$A$20000,1,FALSE),""))</f>
        <v/>
      </c>
      <c r="AF2627" s="2" t="str">
        <f>IF(D2627="","",IFERROR(MATCH(D2627,Projects!$A:$A,0),""))</f>
        <v/>
      </c>
    </row>
    <row r="2628" spans="31:32" x14ac:dyDescent="0.25">
      <c r="AE2628" s="39" t="str">
        <f>IF(D2628="","",IFERROR(VLOOKUP(D2628,Projects!$A$2:$A$20000,1,FALSE),""))</f>
        <v/>
      </c>
      <c r="AF2628" s="2" t="str">
        <f>IF(D2628="","",IFERROR(MATCH(D2628,Projects!$A:$A,0),""))</f>
        <v/>
      </c>
    </row>
    <row r="2629" spans="31:32" x14ac:dyDescent="0.25">
      <c r="AE2629" s="39" t="str">
        <f>IF(D2629="","",IFERROR(VLOOKUP(D2629,Projects!$A$2:$A$20000,1,FALSE),""))</f>
        <v/>
      </c>
      <c r="AF2629" s="2" t="str">
        <f>IF(D2629="","",IFERROR(MATCH(D2629,Projects!$A:$A,0),""))</f>
        <v/>
      </c>
    </row>
    <row r="2630" spans="31:32" x14ac:dyDescent="0.25">
      <c r="AE2630" s="39" t="str">
        <f>IF(D2630="","",IFERROR(VLOOKUP(D2630,Projects!$A$2:$A$20000,1,FALSE),""))</f>
        <v/>
      </c>
      <c r="AF2630" s="2" t="str">
        <f>IF(D2630="","",IFERROR(MATCH(D2630,Projects!$A:$A,0),""))</f>
        <v/>
      </c>
    </row>
    <row r="2631" spans="31:32" x14ac:dyDescent="0.25">
      <c r="AE2631" s="39" t="str">
        <f>IF(D2631="","",IFERROR(VLOOKUP(D2631,Projects!$A$2:$A$20000,1,FALSE),""))</f>
        <v/>
      </c>
      <c r="AF2631" s="2" t="str">
        <f>IF(D2631="","",IFERROR(MATCH(D2631,Projects!$A:$A,0),""))</f>
        <v/>
      </c>
    </row>
    <row r="2632" spans="31:32" x14ac:dyDescent="0.25">
      <c r="AE2632" s="39" t="str">
        <f>IF(D2632="","",IFERROR(VLOOKUP(D2632,Projects!$A$2:$A$20000,1,FALSE),""))</f>
        <v/>
      </c>
      <c r="AF2632" s="2" t="str">
        <f>IF(D2632="","",IFERROR(MATCH(D2632,Projects!$A:$A,0),""))</f>
        <v/>
      </c>
    </row>
    <row r="2633" spans="31:32" x14ac:dyDescent="0.25">
      <c r="AE2633" s="39" t="str">
        <f>IF(D2633="","",IFERROR(VLOOKUP(D2633,Projects!$A$2:$A$20000,1,FALSE),""))</f>
        <v/>
      </c>
      <c r="AF2633" s="2" t="str">
        <f>IF(D2633="","",IFERROR(MATCH(D2633,Projects!$A:$A,0),""))</f>
        <v/>
      </c>
    </row>
    <row r="2634" spans="31:32" x14ac:dyDescent="0.25">
      <c r="AE2634" s="39" t="str">
        <f>IF(D2634="","",IFERROR(VLOOKUP(D2634,Projects!$A$2:$A$20000,1,FALSE),""))</f>
        <v/>
      </c>
      <c r="AF2634" s="2" t="str">
        <f>IF(D2634="","",IFERROR(MATCH(D2634,Projects!$A:$A,0),""))</f>
        <v/>
      </c>
    </row>
    <row r="2635" spans="31:32" x14ac:dyDescent="0.25">
      <c r="AE2635" s="39" t="str">
        <f>IF(D2635="","",IFERROR(VLOOKUP(D2635,Projects!$A$2:$A$20000,1,FALSE),""))</f>
        <v/>
      </c>
      <c r="AF2635" s="2" t="str">
        <f>IF(D2635="","",IFERROR(MATCH(D2635,Projects!$A:$A,0),""))</f>
        <v/>
      </c>
    </row>
    <row r="2636" spans="31:32" x14ac:dyDescent="0.25">
      <c r="AE2636" s="39" t="str">
        <f>IF(D2636="","",IFERROR(VLOOKUP(D2636,Projects!$A$2:$A$20000,1,FALSE),""))</f>
        <v/>
      </c>
      <c r="AF2636" s="2" t="str">
        <f>IF(D2636="","",IFERROR(MATCH(D2636,Projects!$A:$A,0),""))</f>
        <v/>
      </c>
    </row>
    <row r="2637" spans="31:32" x14ac:dyDescent="0.25">
      <c r="AE2637" s="39" t="str">
        <f>IF(D2637="","",IFERROR(VLOOKUP(D2637,Projects!$A$2:$A$20000,1,FALSE),""))</f>
        <v/>
      </c>
      <c r="AF2637" s="2" t="str">
        <f>IF(D2637="","",IFERROR(MATCH(D2637,Projects!$A:$A,0),""))</f>
        <v/>
      </c>
    </row>
    <row r="2638" spans="31:32" x14ac:dyDescent="0.25">
      <c r="AE2638" s="39" t="str">
        <f>IF(D2638="","",IFERROR(VLOOKUP(D2638,Projects!$A$2:$A$20000,1,FALSE),""))</f>
        <v/>
      </c>
      <c r="AF2638" s="2" t="str">
        <f>IF(D2638="","",IFERROR(MATCH(D2638,Projects!$A:$A,0),""))</f>
        <v/>
      </c>
    </row>
    <row r="2639" spans="31:32" x14ac:dyDescent="0.25">
      <c r="AE2639" s="39" t="str">
        <f>IF(D2639="","",IFERROR(VLOOKUP(D2639,Projects!$A$2:$A$20000,1,FALSE),""))</f>
        <v/>
      </c>
      <c r="AF2639" s="2" t="str">
        <f>IF(D2639="","",IFERROR(MATCH(D2639,Projects!$A:$A,0),""))</f>
        <v/>
      </c>
    </row>
    <row r="2640" spans="31:32" x14ac:dyDescent="0.25">
      <c r="AE2640" s="39" t="str">
        <f>IF(D2640="","",IFERROR(VLOOKUP(D2640,Projects!$A$2:$A$20000,1,FALSE),""))</f>
        <v/>
      </c>
      <c r="AF2640" s="2" t="str">
        <f>IF(D2640="","",IFERROR(MATCH(D2640,Projects!$A:$A,0),""))</f>
        <v/>
      </c>
    </row>
    <row r="2641" spans="31:32" x14ac:dyDescent="0.25">
      <c r="AE2641" s="39" t="str">
        <f>IF(D2641="","",IFERROR(VLOOKUP(D2641,Projects!$A$2:$A$20000,1,FALSE),""))</f>
        <v/>
      </c>
      <c r="AF2641" s="2" t="str">
        <f>IF(D2641="","",IFERROR(MATCH(D2641,Projects!$A:$A,0),""))</f>
        <v/>
      </c>
    </row>
    <row r="2642" spans="31:32" x14ac:dyDescent="0.25">
      <c r="AE2642" s="39" t="str">
        <f>IF(D2642="","",IFERROR(VLOOKUP(D2642,Projects!$A$2:$A$20000,1,FALSE),""))</f>
        <v/>
      </c>
      <c r="AF2642" s="2" t="str">
        <f>IF(D2642="","",IFERROR(MATCH(D2642,Projects!$A:$A,0),""))</f>
        <v/>
      </c>
    </row>
    <row r="2643" spans="31:32" x14ac:dyDescent="0.25">
      <c r="AE2643" s="39" t="str">
        <f>IF(D2643="","",IFERROR(VLOOKUP(D2643,Projects!$A$2:$A$20000,1,FALSE),""))</f>
        <v/>
      </c>
      <c r="AF2643" s="2" t="str">
        <f>IF(D2643="","",IFERROR(MATCH(D2643,Projects!$A:$A,0),""))</f>
        <v/>
      </c>
    </row>
    <row r="2644" spans="31:32" x14ac:dyDescent="0.25">
      <c r="AE2644" s="39" t="str">
        <f>IF(D2644="","",IFERROR(VLOOKUP(D2644,Projects!$A$2:$A$20000,1,FALSE),""))</f>
        <v/>
      </c>
      <c r="AF2644" s="2" t="str">
        <f>IF(D2644="","",IFERROR(MATCH(D2644,Projects!$A:$A,0),""))</f>
        <v/>
      </c>
    </row>
    <row r="2645" spans="31:32" x14ac:dyDescent="0.25">
      <c r="AE2645" s="39" t="str">
        <f>IF(D2645="","",IFERROR(VLOOKUP(D2645,Projects!$A$2:$A$20000,1,FALSE),""))</f>
        <v/>
      </c>
      <c r="AF2645" s="2" t="str">
        <f>IF(D2645="","",IFERROR(MATCH(D2645,Projects!$A:$A,0),""))</f>
        <v/>
      </c>
    </row>
    <row r="2646" spans="31:32" x14ac:dyDescent="0.25">
      <c r="AE2646" s="39" t="str">
        <f>IF(D2646="","",IFERROR(VLOOKUP(D2646,Projects!$A$2:$A$20000,1,FALSE),""))</f>
        <v/>
      </c>
      <c r="AF2646" s="2" t="str">
        <f>IF(D2646="","",IFERROR(MATCH(D2646,Projects!$A:$A,0),""))</f>
        <v/>
      </c>
    </row>
    <row r="2647" spans="31:32" x14ac:dyDescent="0.25">
      <c r="AE2647" s="39" t="str">
        <f>IF(D2647="","",IFERROR(VLOOKUP(D2647,Projects!$A$2:$A$20000,1,FALSE),""))</f>
        <v/>
      </c>
      <c r="AF2647" s="2" t="str">
        <f>IF(D2647="","",IFERROR(MATCH(D2647,Projects!$A:$A,0),""))</f>
        <v/>
      </c>
    </row>
    <row r="2648" spans="31:32" x14ac:dyDescent="0.25">
      <c r="AE2648" s="39" t="str">
        <f>IF(D2648="","",IFERROR(VLOOKUP(D2648,Projects!$A$2:$A$20000,1,FALSE),""))</f>
        <v/>
      </c>
      <c r="AF2648" s="2" t="str">
        <f>IF(D2648="","",IFERROR(MATCH(D2648,Projects!$A:$A,0),""))</f>
        <v/>
      </c>
    </row>
    <row r="2649" spans="31:32" x14ac:dyDescent="0.25">
      <c r="AE2649" s="39" t="str">
        <f>IF(D2649="","",IFERROR(VLOOKUP(D2649,Projects!$A$2:$A$20000,1,FALSE),""))</f>
        <v/>
      </c>
      <c r="AF2649" s="2" t="str">
        <f>IF(D2649="","",IFERROR(MATCH(D2649,Projects!$A:$A,0),""))</f>
        <v/>
      </c>
    </row>
    <row r="2650" spans="31:32" x14ac:dyDescent="0.25">
      <c r="AE2650" s="39" t="str">
        <f>IF(D2650="","",IFERROR(VLOOKUP(D2650,Projects!$A$2:$A$20000,1,FALSE),""))</f>
        <v/>
      </c>
      <c r="AF2650" s="2" t="str">
        <f>IF(D2650="","",IFERROR(MATCH(D2650,Projects!$A:$A,0),""))</f>
        <v/>
      </c>
    </row>
    <row r="2651" spans="31:32" x14ac:dyDescent="0.25">
      <c r="AE2651" s="39" t="str">
        <f>IF(D2651="","",IFERROR(VLOOKUP(D2651,Projects!$A$2:$A$20000,1,FALSE),""))</f>
        <v/>
      </c>
      <c r="AF2651" s="2" t="str">
        <f>IF(D2651="","",IFERROR(MATCH(D2651,Projects!$A:$A,0),""))</f>
        <v/>
      </c>
    </row>
    <row r="2652" spans="31:32" x14ac:dyDescent="0.25">
      <c r="AE2652" s="39" t="str">
        <f>IF(D2652="","",IFERROR(VLOOKUP(D2652,Projects!$A$2:$A$20000,1,FALSE),""))</f>
        <v/>
      </c>
      <c r="AF2652" s="2" t="str">
        <f>IF(D2652="","",IFERROR(MATCH(D2652,Projects!$A:$A,0),""))</f>
        <v/>
      </c>
    </row>
    <row r="2653" spans="31:32" x14ac:dyDescent="0.25">
      <c r="AE2653" s="39" t="str">
        <f>IF(D2653="","",IFERROR(VLOOKUP(D2653,Projects!$A$2:$A$20000,1,FALSE),""))</f>
        <v/>
      </c>
      <c r="AF2653" s="2" t="str">
        <f>IF(D2653="","",IFERROR(MATCH(D2653,Projects!$A:$A,0),""))</f>
        <v/>
      </c>
    </row>
    <row r="2654" spans="31:32" x14ac:dyDescent="0.25">
      <c r="AE2654" s="39" t="str">
        <f>IF(D2654="","",IFERROR(VLOOKUP(D2654,Projects!$A$2:$A$20000,1,FALSE),""))</f>
        <v/>
      </c>
      <c r="AF2654" s="2" t="str">
        <f>IF(D2654="","",IFERROR(MATCH(D2654,Projects!$A:$A,0),""))</f>
        <v/>
      </c>
    </row>
    <row r="2655" spans="31:32" x14ac:dyDescent="0.25">
      <c r="AE2655" s="39" t="str">
        <f>IF(D2655="","",IFERROR(VLOOKUP(D2655,Projects!$A$2:$A$20000,1,FALSE),""))</f>
        <v/>
      </c>
      <c r="AF2655" s="2" t="str">
        <f>IF(D2655="","",IFERROR(MATCH(D2655,Projects!$A:$A,0),""))</f>
        <v/>
      </c>
    </row>
    <row r="2656" spans="31:32" x14ac:dyDescent="0.25">
      <c r="AE2656" s="39" t="str">
        <f>IF(D2656="","",IFERROR(VLOOKUP(D2656,Projects!$A$2:$A$20000,1,FALSE),""))</f>
        <v/>
      </c>
      <c r="AF2656" s="2" t="str">
        <f>IF(D2656="","",IFERROR(MATCH(D2656,Projects!$A:$A,0),""))</f>
        <v/>
      </c>
    </row>
    <row r="2657" spans="31:32" x14ac:dyDescent="0.25">
      <c r="AE2657" s="39" t="str">
        <f>IF(D2657="","",IFERROR(VLOOKUP(D2657,Projects!$A$2:$A$20000,1,FALSE),""))</f>
        <v/>
      </c>
      <c r="AF2657" s="2" t="str">
        <f>IF(D2657="","",IFERROR(MATCH(D2657,Projects!$A:$A,0),""))</f>
        <v/>
      </c>
    </row>
    <row r="2658" spans="31:32" x14ac:dyDescent="0.25">
      <c r="AE2658" s="39" t="str">
        <f>IF(D2658="","",IFERROR(VLOOKUP(D2658,Projects!$A$2:$A$20000,1,FALSE),""))</f>
        <v/>
      </c>
      <c r="AF2658" s="2" t="str">
        <f>IF(D2658="","",IFERROR(MATCH(D2658,Projects!$A:$A,0),""))</f>
        <v/>
      </c>
    </row>
    <row r="2659" spans="31:32" x14ac:dyDescent="0.25">
      <c r="AE2659" s="39" t="str">
        <f>IF(D2659="","",IFERROR(VLOOKUP(D2659,Projects!$A$2:$A$20000,1,FALSE),""))</f>
        <v/>
      </c>
      <c r="AF2659" s="2" t="str">
        <f>IF(D2659="","",IFERROR(MATCH(D2659,Projects!$A:$A,0),""))</f>
        <v/>
      </c>
    </row>
    <row r="2660" spans="31:32" x14ac:dyDescent="0.25">
      <c r="AE2660" s="39" t="str">
        <f>IF(D2660="","",IFERROR(VLOOKUP(D2660,Projects!$A$2:$A$20000,1,FALSE),""))</f>
        <v/>
      </c>
      <c r="AF2660" s="2" t="str">
        <f>IF(D2660="","",IFERROR(MATCH(D2660,Projects!$A:$A,0),""))</f>
        <v/>
      </c>
    </row>
    <row r="2661" spans="31:32" x14ac:dyDescent="0.25">
      <c r="AE2661" s="39" t="str">
        <f>IF(D2661="","",IFERROR(VLOOKUP(D2661,Projects!$A$2:$A$20000,1,FALSE),""))</f>
        <v/>
      </c>
      <c r="AF2661" s="2" t="str">
        <f>IF(D2661="","",IFERROR(MATCH(D2661,Projects!$A:$A,0),""))</f>
        <v/>
      </c>
    </row>
    <row r="2662" spans="31:32" x14ac:dyDescent="0.25">
      <c r="AE2662" s="39" t="str">
        <f>IF(D2662="","",IFERROR(VLOOKUP(D2662,Projects!$A$2:$A$20000,1,FALSE),""))</f>
        <v/>
      </c>
      <c r="AF2662" s="2" t="str">
        <f>IF(D2662="","",IFERROR(MATCH(D2662,Projects!$A:$A,0),""))</f>
        <v/>
      </c>
    </row>
    <row r="2663" spans="31:32" x14ac:dyDescent="0.25">
      <c r="AE2663" s="39" t="str">
        <f>IF(D2663="","",IFERROR(VLOOKUP(D2663,Projects!$A$2:$A$20000,1,FALSE),""))</f>
        <v/>
      </c>
      <c r="AF2663" s="2" t="str">
        <f>IF(D2663="","",IFERROR(MATCH(D2663,Projects!$A:$A,0),""))</f>
        <v/>
      </c>
    </row>
    <row r="2664" spans="31:32" x14ac:dyDescent="0.25">
      <c r="AE2664" s="39" t="str">
        <f>IF(D2664="","",IFERROR(VLOOKUP(D2664,Projects!$A$2:$A$20000,1,FALSE),""))</f>
        <v/>
      </c>
      <c r="AF2664" s="2" t="str">
        <f>IF(D2664="","",IFERROR(MATCH(D2664,Projects!$A:$A,0),""))</f>
        <v/>
      </c>
    </row>
    <row r="2665" spans="31:32" x14ac:dyDescent="0.25">
      <c r="AE2665" s="39" t="str">
        <f>IF(D2665="","",IFERROR(VLOOKUP(D2665,Projects!$A$2:$A$20000,1,FALSE),""))</f>
        <v/>
      </c>
      <c r="AF2665" s="2" t="str">
        <f>IF(D2665="","",IFERROR(MATCH(D2665,Projects!$A:$A,0),""))</f>
        <v/>
      </c>
    </row>
    <row r="2666" spans="31:32" x14ac:dyDescent="0.25">
      <c r="AE2666" s="39" t="str">
        <f>IF(D2666="","",IFERROR(VLOOKUP(D2666,Projects!$A$2:$A$20000,1,FALSE),""))</f>
        <v/>
      </c>
      <c r="AF2666" s="2" t="str">
        <f>IF(D2666="","",IFERROR(MATCH(D2666,Projects!$A:$A,0),""))</f>
        <v/>
      </c>
    </row>
    <row r="2667" spans="31:32" x14ac:dyDescent="0.25">
      <c r="AE2667" s="39" t="str">
        <f>IF(D2667="","",IFERROR(VLOOKUP(D2667,Projects!$A$2:$A$20000,1,FALSE),""))</f>
        <v/>
      </c>
      <c r="AF2667" s="2" t="str">
        <f>IF(D2667="","",IFERROR(MATCH(D2667,Projects!$A:$A,0),""))</f>
        <v/>
      </c>
    </row>
    <row r="2668" spans="31:32" x14ac:dyDescent="0.25">
      <c r="AE2668" s="39" t="str">
        <f>IF(D2668="","",IFERROR(VLOOKUP(D2668,Projects!$A$2:$A$20000,1,FALSE),""))</f>
        <v/>
      </c>
      <c r="AF2668" s="2" t="str">
        <f>IF(D2668="","",IFERROR(MATCH(D2668,Projects!$A:$A,0),""))</f>
        <v/>
      </c>
    </row>
    <row r="2669" spans="31:32" x14ac:dyDescent="0.25">
      <c r="AE2669" s="39" t="str">
        <f>IF(D2669="","",IFERROR(VLOOKUP(D2669,Projects!$A$2:$A$20000,1,FALSE),""))</f>
        <v/>
      </c>
      <c r="AF2669" s="2" t="str">
        <f>IF(D2669="","",IFERROR(MATCH(D2669,Projects!$A:$A,0),""))</f>
        <v/>
      </c>
    </row>
    <row r="2670" spans="31:32" x14ac:dyDescent="0.25">
      <c r="AE2670" s="39" t="str">
        <f>IF(D2670="","",IFERROR(VLOOKUP(D2670,Projects!$A$2:$A$20000,1,FALSE),""))</f>
        <v/>
      </c>
      <c r="AF2670" s="2" t="str">
        <f>IF(D2670="","",IFERROR(MATCH(D2670,Projects!$A:$A,0),""))</f>
        <v/>
      </c>
    </row>
    <row r="2671" spans="31:32" x14ac:dyDescent="0.25">
      <c r="AE2671" s="39" t="str">
        <f>IF(D2671="","",IFERROR(VLOOKUP(D2671,Projects!$A$2:$A$20000,1,FALSE),""))</f>
        <v/>
      </c>
      <c r="AF2671" s="2" t="str">
        <f>IF(D2671="","",IFERROR(MATCH(D2671,Projects!$A:$A,0),""))</f>
        <v/>
      </c>
    </row>
    <row r="2672" spans="31:32" x14ac:dyDescent="0.25">
      <c r="AE2672" s="39" t="str">
        <f>IF(D2672="","",IFERROR(VLOOKUP(D2672,Projects!$A$2:$A$20000,1,FALSE),""))</f>
        <v/>
      </c>
      <c r="AF2672" s="2" t="str">
        <f>IF(D2672="","",IFERROR(MATCH(D2672,Projects!$A:$A,0),""))</f>
        <v/>
      </c>
    </row>
    <row r="2673" spans="31:32" x14ac:dyDescent="0.25">
      <c r="AE2673" s="39" t="str">
        <f>IF(D2673="","",IFERROR(VLOOKUP(D2673,Projects!$A$2:$A$20000,1,FALSE),""))</f>
        <v/>
      </c>
      <c r="AF2673" s="2" t="str">
        <f>IF(D2673="","",IFERROR(MATCH(D2673,Projects!$A:$A,0),""))</f>
        <v/>
      </c>
    </row>
    <row r="2674" spans="31:32" x14ac:dyDescent="0.25">
      <c r="AE2674" s="39" t="str">
        <f>IF(D2674="","",IFERROR(VLOOKUP(D2674,Projects!$A$2:$A$20000,1,FALSE),""))</f>
        <v/>
      </c>
      <c r="AF2674" s="2" t="str">
        <f>IF(D2674="","",IFERROR(MATCH(D2674,Projects!$A:$A,0),""))</f>
        <v/>
      </c>
    </row>
    <row r="2675" spans="31:32" x14ac:dyDescent="0.25">
      <c r="AE2675" s="39" t="str">
        <f>IF(D2675="","",IFERROR(VLOOKUP(D2675,Projects!$A$2:$A$20000,1,FALSE),""))</f>
        <v/>
      </c>
      <c r="AF2675" s="2" t="str">
        <f>IF(D2675="","",IFERROR(MATCH(D2675,Projects!$A:$A,0),""))</f>
        <v/>
      </c>
    </row>
    <row r="2676" spans="31:32" x14ac:dyDescent="0.25">
      <c r="AE2676" s="39" t="str">
        <f>IF(D2676="","",IFERROR(VLOOKUP(D2676,Projects!$A$2:$A$20000,1,FALSE),""))</f>
        <v/>
      </c>
      <c r="AF2676" s="2" t="str">
        <f>IF(D2676="","",IFERROR(MATCH(D2676,Projects!$A:$A,0),""))</f>
        <v/>
      </c>
    </row>
    <row r="2677" spans="31:32" x14ac:dyDescent="0.25">
      <c r="AE2677" s="39" t="str">
        <f>IF(D2677="","",IFERROR(VLOOKUP(D2677,Projects!$A$2:$A$20000,1,FALSE),""))</f>
        <v/>
      </c>
      <c r="AF2677" s="2" t="str">
        <f>IF(D2677="","",IFERROR(MATCH(D2677,Projects!$A:$A,0),""))</f>
        <v/>
      </c>
    </row>
    <row r="2678" spans="31:32" x14ac:dyDescent="0.25">
      <c r="AE2678" s="39" t="str">
        <f>IF(D2678="","",IFERROR(VLOOKUP(D2678,Projects!$A$2:$A$20000,1,FALSE),""))</f>
        <v/>
      </c>
      <c r="AF2678" s="2" t="str">
        <f>IF(D2678="","",IFERROR(MATCH(D2678,Projects!$A:$A,0),""))</f>
        <v/>
      </c>
    </row>
    <row r="2679" spans="31:32" x14ac:dyDescent="0.25">
      <c r="AE2679" s="39" t="str">
        <f>IF(D2679="","",IFERROR(VLOOKUP(D2679,Projects!$A$2:$A$20000,1,FALSE),""))</f>
        <v/>
      </c>
      <c r="AF2679" s="2" t="str">
        <f>IF(D2679="","",IFERROR(MATCH(D2679,Projects!$A:$A,0),""))</f>
        <v/>
      </c>
    </row>
    <row r="2680" spans="31:32" x14ac:dyDescent="0.25">
      <c r="AE2680" s="39" t="str">
        <f>IF(D2680="","",IFERROR(VLOOKUP(D2680,Projects!$A$2:$A$20000,1,FALSE),""))</f>
        <v/>
      </c>
      <c r="AF2680" s="2" t="str">
        <f>IF(D2680="","",IFERROR(MATCH(D2680,Projects!$A:$A,0),""))</f>
        <v/>
      </c>
    </row>
    <row r="2681" spans="31:32" x14ac:dyDescent="0.25">
      <c r="AE2681" s="39" t="str">
        <f>IF(D2681="","",IFERROR(VLOOKUP(D2681,Projects!$A$2:$A$20000,1,FALSE),""))</f>
        <v/>
      </c>
      <c r="AF2681" s="2" t="str">
        <f>IF(D2681="","",IFERROR(MATCH(D2681,Projects!$A:$A,0),""))</f>
        <v/>
      </c>
    </row>
    <row r="2682" spans="31:32" x14ac:dyDescent="0.25">
      <c r="AE2682" s="39" t="str">
        <f>IF(D2682="","",IFERROR(VLOOKUP(D2682,Projects!$A$2:$A$20000,1,FALSE),""))</f>
        <v/>
      </c>
      <c r="AF2682" s="2" t="str">
        <f>IF(D2682="","",IFERROR(MATCH(D2682,Projects!$A:$A,0),""))</f>
        <v/>
      </c>
    </row>
    <row r="2683" spans="31:32" x14ac:dyDescent="0.25">
      <c r="AE2683" s="39" t="str">
        <f>IF(D2683="","",IFERROR(VLOOKUP(D2683,Projects!$A$2:$A$20000,1,FALSE),""))</f>
        <v/>
      </c>
      <c r="AF2683" s="2" t="str">
        <f>IF(D2683="","",IFERROR(MATCH(D2683,Projects!$A:$A,0),""))</f>
        <v/>
      </c>
    </row>
    <row r="2684" spans="31:32" x14ac:dyDescent="0.25">
      <c r="AE2684" s="39" t="str">
        <f>IF(D2684="","",IFERROR(VLOOKUP(D2684,Projects!$A$2:$A$20000,1,FALSE),""))</f>
        <v/>
      </c>
      <c r="AF2684" s="2" t="str">
        <f>IF(D2684="","",IFERROR(MATCH(D2684,Projects!$A:$A,0),""))</f>
        <v/>
      </c>
    </row>
    <row r="2685" spans="31:32" x14ac:dyDescent="0.25">
      <c r="AE2685" s="39" t="str">
        <f>IF(D2685="","",IFERROR(VLOOKUP(D2685,Projects!$A$2:$A$20000,1,FALSE),""))</f>
        <v/>
      </c>
      <c r="AF2685" s="2" t="str">
        <f>IF(D2685="","",IFERROR(MATCH(D2685,Projects!$A:$A,0),""))</f>
        <v/>
      </c>
    </row>
    <row r="2686" spans="31:32" x14ac:dyDescent="0.25">
      <c r="AE2686" s="39" t="str">
        <f>IF(D2686="","",IFERROR(VLOOKUP(D2686,Projects!$A$2:$A$20000,1,FALSE),""))</f>
        <v/>
      </c>
      <c r="AF2686" s="2" t="str">
        <f>IF(D2686="","",IFERROR(MATCH(D2686,Projects!$A:$A,0),""))</f>
        <v/>
      </c>
    </row>
    <row r="2687" spans="31:32" x14ac:dyDescent="0.25">
      <c r="AE2687" s="39" t="str">
        <f>IF(D2687="","",IFERROR(VLOOKUP(D2687,Projects!$A$2:$A$20000,1,FALSE),""))</f>
        <v/>
      </c>
      <c r="AF2687" s="2" t="str">
        <f>IF(D2687="","",IFERROR(MATCH(D2687,Projects!$A:$A,0),""))</f>
        <v/>
      </c>
    </row>
    <row r="2688" spans="31:32" x14ac:dyDescent="0.25">
      <c r="AE2688" s="39" t="str">
        <f>IF(D2688="","",IFERROR(VLOOKUP(D2688,Projects!$A$2:$A$20000,1,FALSE),""))</f>
        <v/>
      </c>
      <c r="AF2688" s="2" t="str">
        <f>IF(D2688="","",IFERROR(MATCH(D2688,Projects!$A:$A,0),""))</f>
        <v/>
      </c>
    </row>
    <row r="2689" spans="31:32" x14ac:dyDescent="0.25">
      <c r="AE2689" s="39" t="str">
        <f>IF(D2689="","",IFERROR(VLOOKUP(D2689,Projects!$A$2:$A$20000,1,FALSE),""))</f>
        <v/>
      </c>
      <c r="AF2689" s="2" t="str">
        <f>IF(D2689="","",IFERROR(MATCH(D2689,Projects!$A:$A,0),""))</f>
        <v/>
      </c>
    </row>
    <row r="2690" spans="31:32" x14ac:dyDescent="0.25">
      <c r="AE2690" s="39" t="str">
        <f>IF(D2690="","",IFERROR(VLOOKUP(D2690,Projects!$A$2:$A$20000,1,FALSE),""))</f>
        <v/>
      </c>
      <c r="AF2690" s="2" t="str">
        <f>IF(D2690="","",IFERROR(MATCH(D2690,Projects!$A:$A,0),""))</f>
        <v/>
      </c>
    </row>
    <row r="2691" spans="31:32" x14ac:dyDescent="0.25">
      <c r="AE2691" s="39" t="str">
        <f>IF(D2691="","",IFERROR(VLOOKUP(D2691,Projects!$A$2:$A$20000,1,FALSE),""))</f>
        <v/>
      </c>
      <c r="AF2691" s="2" t="str">
        <f>IF(D2691="","",IFERROR(MATCH(D2691,Projects!$A:$A,0),""))</f>
        <v/>
      </c>
    </row>
    <row r="2692" spans="31:32" x14ac:dyDescent="0.25">
      <c r="AE2692" s="39" t="str">
        <f>IF(D2692="","",IFERROR(VLOOKUP(D2692,Projects!$A$2:$A$20000,1,FALSE),""))</f>
        <v/>
      </c>
      <c r="AF2692" s="2" t="str">
        <f>IF(D2692="","",IFERROR(MATCH(D2692,Projects!$A:$A,0),""))</f>
        <v/>
      </c>
    </row>
    <row r="2693" spans="31:32" x14ac:dyDescent="0.25">
      <c r="AE2693" s="39" t="str">
        <f>IF(D2693="","",IFERROR(VLOOKUP(D2693,Projects!$A$2:$A$20000,1,FALSE),""))</f>
        <v/>
      </c>
      <c r="AF2693" s="2" t="str">
        <f>IF(D2693="","",IFERROR(MATCH(D2693,Projects!$A:$A,0),""))</f>
        <v/>
      </c>
    </row>
    <row r="2694" spans="31:32" x14ac:dyDescent="0.25">
      <c r="AE2694" s="39" t="str">
        <f>IF(D2694="","",IFERROR(VLOOKUP(D2694,Projects!$A$2:$A$20000,1,FALSE),""))</f>
        <v/>
      </c>
      <c r="AF2694" s="2" t="str">
        <f>IF(D2694="","",IFERROR(MATCH(D2694,Projects!$A:$A,0),""))</f>
        <v/>
      </c>
    </row>
    <row r="2695" spans="31:32" x14ac:dyDescent="0.25">
      <c r="AE2695" s="39" t="str">
        <f>IF(D2695="","",IFERROR(VLOOKUP(D2695,Projects!$A$2:$A$20000,1,FALSE),""))</f>
        <v/>
      </c>
      <c r="AF2695" s="2" t="str">
        <f>IF(D2695="","",IFERROR(MATCH(D2695,Projects!$A:$A,0),""))</f>
        <v/>
      </c>
    </row>
    <row r="2696" spans="31:32" x14ac:dyDescent="0.25">
      <c r="AE2696" s="39" t="str">
        <f>IF(D2696="","",IFERROR(VLOOKUP(D2696,Projects!$A$2:$A$20000,1,FALSE),""))</f>
        <v/>
      </c>
      <c r="AF2696" s="2" t="str">
        <f>IF(D2696="","",IFERROR(MATCH(D2696,Projects!$A:$A,0),""))</f>
        <v/>
      </c>
    </row>
    <row r="2697" spans="31:32" x14ac:dyDescent="0.25">
      <c r="AE2697" s="39" t="str">
        <f>IF(D2697="","",IFERROR(VLOOKUP(D2697,Projects!$A$2:$A$20000,1,FALSE),""))</f>
        <v/>
      </c>
      <c r="AF2697" s="2" t="str">
        <f>IF(D2697="","",IFERROR(MATCH(D2697,Projects!$A:$A,0),""))</f>
        <v/>
      </c>
    </row>
    <row r="2698" spans="31:32" x14ac:dyDescent="0.25">
      <c r="AE2698" s="39" t="str">
        <f>IF(D2698="","",IFERROR(VLOOKUP(D2698,Projects!$A$2:$A$20000,1,FALSE),""))</f>
        <v/>
      </c>
      <c r="AF2698" s="2" t="str">
        <f>IF(D2698="","",IFERROR(MATCH(D2698,Projects!$A:$A,0),""))</f>
        <v/>
      </c>
    </row>
    <row r="2699" spans="31:32" x14ac:dyDescent="0.25">
      <c r="AE2699" s="39" t="str">
        <f>IF(D2699="","",IFERROR(VLOOKUP(D2699,Projects!$A$2:$A$20000,1,FALSE),""))</f>
        <v/>
      </c>
      <c r="AF2699" s="2" t="str">
        <f>IF(D2699="","",IFERROR(MATCH(D2699,Projects!$A:$A,0),""))</f>
        <v/>
      </c>
    </row>
    <row r="2700" spans="31:32" x14ac:dyDescent="0.25">
      <c r="AE2700" s="39" t="str">
        <f>IF(D2700="","",IFERROR(VLOOKUP(D2700,Projects!$A$2:$A$20000,1,FALSE),""))</f>
        <v/>
      </c>
      <c r="AF2700" s="2" t="str">
        <f>IF(D2700="","",IFERROR(MATCH(D2700,Projects!$A:$A,0),""))</f>
        <v/>
      </c>
    </row>
    <row r="2701" spans="31:32" x14ac:dyDescent="0.25">
      <c r="AE2701" s="39" t="str">
        <f>IF(D2701="","",IFERROR(VLOOKUP(D2701,Projects!$A$2:$A$20000,1,FALSE),""))</f>
        <v/>
      </c>
      <c r="AF2701" s="2" t="str">
        <f>IF(D2701="","",IFERROR(MATCH(D2701,Projects!$A:$A,0),""))</f>
        <v/>
      </c>
    </row>
    <row r="2702" spans="31:32" x14ac:dyDescent="0.25">
      <c r="AE2702" s="39" t="str">
        <f>IF(D2702="","",IFERROR(VLOOKUP(D2702,Projects!$A$2:$A$20000,1,FALSE),""))</f>
        <v/>
      </c>
      <c r="AF2702" s="2" t="str">
        <f>IF(D2702="","",IFERROR(MATCH(D2702,Projects!$A:$A,0),""))</f>
        <v/>
      </c>
    </row>
    <row r="2703" spans="31:32" x14ac:dyDescent="0.25">
      <c r="AE2703" s="39" t="str">
        <f>IF(D2703="","",IFERROR(VLOOKUP(D2703,Projects!$A$2:$A$20000,1,FALSE),""))</f>
        <v/>
      </c>
      <c r="AF2703" s="2" t="str">
        <f>IF(D2703="","",IFERROR(MATCH(D2703,Projects!$A:$A,0),""))</f>
        <v/>
      </c>
    </row>
    <row r="2704" spans="31:32" x14ac:dyDescent="0.25">
      <c r="AE2704" s="39" t="str">
        <f>IF(D2704="","",IFERROR(VLOOKUP(D2704,Projects!$A$2:$A$20000,1,FALSE),""))</f>
        <v/>
      </c>
      <c r="AF2704" s="2" t="str">
        <f>IF(D2704="","",IFERROR(MATCH(D2704,Projects!$A:$A,0),""))</f>
        <v/>
      </c>
    </row>
    <row r="2705" spans="31:32" x14ac:dyDescent="0.25">
      <c r="AE2705" s="39" t="str">
        <f>IF(D2705="","",IFERROR(VLOOKUP(D2705,Projects!$A$2:$A$20000,1,FALSE),""))</f>
        <v/>
      </c>
      <c r="AF2705" s="2" t="str">
        <f>IF(D2705="","",IFERROR(MATCH(D2705,Projects!$A:$A,0),""))</f>
        <v/>
      </c>
    </row>
    <row r="2706" spans="31:32" x14ac:dyDescent="0.25">
      <c r="AE2706" s="39" t="str">
        <f>IF(D2706="","",IFERROR(VLOOKUP(D2706,Projects!$A$2:$A$20000,1,FALSE),""))</f>
        <v/>
      </c>
      <c r="AF2706" s="2" t="str">
        <f>IF(D2706="","",IFERROR(MATCH(D2706,Projects!$A:$A,0),""))</f>
        <v/>
      </c>
    </row>
    <row r="2707" spans="31:32" x14ac:dyDescent="0.25">
      <c r="AE2707" s="39" t="str">
        <f>IF(D2707="","",IFERROR(VLOOKUP(D2707,Projects!$A$2:$A$20000,1,FALSE),""))</f>
        <v/>
      </c>
      <c r="AF2707" s="2" t="str">
        <f>IF(D2707="","",IFERROR(MATCH(D2707,Projects!$A:$A,0),""))</f>
        <v/>
      </c>
    </row>
    <row r="2708" spans="31:32" x14ac:dyDescent="0.25">
      <c r="AE2708" s="39" t="str">
        <f>IF(D2708="","",IFERROR(VLOOKUP(D2708,Projects!$A$2:$A$20000,1,FALSE),""))</f>
        <v/>
      </c>
      <c r="AF2708" s="2" t="str">
        <f>IF(D2708="","",IFERROR(MATCH(D2708,Projects!$A:$A,0),""))</f>
        <v/>
      </c>
    </row>
    <row r="2709" spans="31:32" x14ac:dyDescent="0.25">
      <c r="AE2709" s="39" t="str">
        <f>IF(D2709="","",IFERROR(VLOOKUP(D2709,Projects!$A$2:$A$20000,1,FALSE),""))</f>
        <v/>
      </c>
      <c r="AF2709" s="2" t="str">
        <f>IF(D2709="","",IFERROR(MATCH(D2709,Projects!$A:$A,0),""))</f>
        <v/>
      </c>
    </row>
    <row r="2710" spans="31:32" x14ac:dyDescent="0.25">
      <c r="AE2710" s="39" t="str">
        <f>IF(D2710="","",IFERROR(VLOOKUP(D2710,Projects!$A$2:$A$20000,1,FALSE),""))</f>
        <v/>
      </c>
      <c r="AF2710" s="2" t="str">
        <f>IF(D2710="","",IFERROR(MATCH(D2710,Projects!$A:$A,0),""))</f>
        <v/>
      </c>
    </row>
    <row r="2711" spans="31:32" x14ac:dyDescent="0.25">
      <c r="AE2711" s="39" t="str">
        <f>IF(D2711="","",IFERROR(VLOOKUP(D2711,Projects!$A$2:$A$20000,1,FALSE),""))</f>
        <v/>
      </c>
      <c r="AF2711" s="2" t="str">
        <f>IF(D2711="","",IFERROR(MATCH(D2711,Projects!$A:$A,0),""))</f>
        <v/>
      </c>
    </row>
    <row r="2712" spans="31:32" x14ac:dyDescent="0.25">
      <c r="AE2712" s="39" t="str">
        <f>IF(D2712="","",IFERROR(VLOOKUP(D2712,Projects!$A$2:$A$20000,1,FALSE),""))</f>
        <v/>
      </c>
      <c r="AF2712" s="2" t="str">
        <f>IF(D2712="","",IFERROR(MATCH(D2712,Projects!$A:$A,0),""))</f>
        <v/>
      </c>
    </row>
    <row r="2713" spans="31:32" x14ac:dyDescent="0.25">
      <c r="AE2713" s="39" t="str">
        <f>IF(D2713="","",IFERROR(VLOOKUP(D2713,Projects!$A$2:$A$20000,1,FALSE),""))</f>
        <v/>
      </c>
      <c r="AF2713" s="2" t="str">
        <f>IF(D2713="","",IFERROR(MATCH(D2713,Projects!$A:$A,0),""))</f>
        <v/>
      </c>
    </row>
    <row r="2714" spans="31:32" x14ac:dyDescent="0.25">
      <c r="AE2714" s="39" t="str">
        <f>IF(D2714="","",IFERROR(VLOOKUP(D2714,Projects!$A$2:$A$20000,1,FALSE),""))</f>
        <v/>
      </c>
      <c r="AF2714" s="2" t="str">
        <f>IF(D2714="","",IFERROR(MATCH(D2714,Projects!$A:$A,0),""))</f>
        <v/>
      </c>
    </row>
    <row r="2715" spans="31:32" x14ac:dyDescent="0.25">
      <c r="AE2715" s="39" t="str">
        <f>IF(D2715="","",IFERROR(VLOOKUP(D2715,Projects!$A$2:$A$20000,1,FALSE),""))</f>
        <v/>
      </c>
      <c r="AF2715" s="2" t="str">
        <f>IF(D2715="","",IFERROR(MATCH(D2715,Projects!$A:$A,0),""))</f>
        <v/>
      </c>
    </row>
    <row r="2716" spans="31:32" x14ac:dyDescent="0.25">
      <c r="AE2716" s="39" t="str">
        <f>IF(D2716="","",IFERROR(VLOOKUP(D2716,Projects!$A$2:$A$20000,1,FALSE),""))</f>
        <v/>
      </c>
      <c r="AF2716" s="2" t="str">
        <f>IF(D2716="","",IFERROR(MATCH(D2716,Projects!$A:$A,0),""))</f>
        <v/>
      </c>
    </row>
    <row r="2717" spans="31:32" x14ac:dyDescent="0.25">
      <c r="AE2717" s="39" t="str">
        <f>IF(D2717="","",IFERROR(VLOOKUP(D2717,Projects!$A$2:$A$20000,1,FALSE),""))</f>
        <v/>
      </c>
      <c r="AF2717" s="2" t="str">
        <f>IF(D2717="","",IFERROR(MATCH(D2717,Projects!$A:$A,0),""))</f>
        <v/>
      </c>
    </row>
    <row r="2718" spans="31:32" x14ac:dyDescent="0.25">
      <c r="AE2718" s="39" t="str">
        <f>IF(D2718="","",IFERROR(VLOOKUP(D2718,Projects!$A$2:$A$20000,1,FALSE),""))</f>
        <v/>
      </c>
      <c r="AF2718" s="2" t="str">
        <f>IF(D2718="","",IFERROR(MATCH(D2718,Projects!$A:$A,0),""))</f>
        <v/>
      </c>
    </row>
    <row r="2719" spans="31:32" x14ac:dyDescent="0.25">
      <c r="AE2719" s="39" t="str">
        <f>IF(D2719="","",IFERROR(VLOOKUP(D2719,Projects!$A$2:$A$20000,1,FALSE),""))</f>
        <v/>
      </c>
      <c r="AF2719" s="2" t="str">
        <f>IF(D2719="","",IFERROR(MATCH(D2719,Projects!$A:$A,0),""))</f>
        <v/>
      </c>
    </row>
    <row r="2720" spans="31:32" x14ac:dyDescent="0.25">
      <c r="AE2720" s="39" t="str">
        <f>IF(D2720="","",IFERROR(VLOOKUP(D2720,Projects!$A$2:$A$20000,1,FALSE),""))</f>
        <v/>
      </c>
      <c r="AF2720" s="2" t="str">
        <f>IF(D2720="","",IFERROR(MATCH(D2720,Projects!$A:$A,0),""))</f>
        <v/>
      </c>
    </row>
    <row r="2721" spans="31:32" x14ac:dyDescent="0.25">
      <c r="AE2721" s="39" t="str">
        <f>IF(D2721="","",IFERROR(VLOOKUP(D2721,Projects!$A$2:$A$20000,1,FALSE),""))</f>
        <v/>
      </c>
      <c r="AF2721" s="2" t="str">
        <f>IF(D2721="","",IFERROR(MATCH(D2721,Projects!$A:$A,0),""))</f>
        <v/>
      </c>
    </row>
    <row r="2722" spans="31:32" x14ac:dyDescent="0.25">
      <c r="AE2722" s="39" t="str">
        <f>IF(D2722="","",IFERROR(VLOOKUP(D2722,Projects!$A$2:$A$20000,1,FALSE),""))</f>
        <v/>
      </c>
      <c r="AF2722" s="2" t="str">
        <f>IF(D2722="","",IFERROR(MATCH(D2722,Projects!$A:$A,0),""))</f>
        <v/>
      </c>
    </row>
    <row r="2723" spans="31:32" x14ac:dyDescent="0.25">
      <c r="AE2723" s="39" t="str">
        <f>IF(D2723="","",IFERROR(VLOOKUP(D2723,Projects!$A$2:$A$20000,1,FALSE),""))</f>
        <v/>
      </c>
      <c r="AF2723" s="2" t="str">
        <f>IF(D2723="","",IFERROR(MATCH(D2723,Projects!$A:$A,0),""))</f>
        <v/>
      </c>
    </row>
    <row r="2724" spans="31:32" x14ac:dyDescent="0.25">
      <c r="AE2724" s="39" t="str">
        <f>IF(D2724="","",IFERROR(VLOOKUP(D2724,Projects!$A$2:$A$20000,1,FALSE),""))</f>
        <v/>
      </c>
      <c r="AF2724" s="2" t="str">
        <f>IF(D2724="","",IFERROR(MATCH(D2724,Projects!$A:$A,0),""))</f>
        <v/>
      </c>
    </row>
    <row r="2725" spans="31:32" x14ac:dyDescent="0.25">
      <c r="AE2725" s="39" t="str">
        <f>IF(D2725="","",IFERROR(VLOOKUP(D2725,Projects!$A$2:$A$20000,1,FALSE),""))</f>
        <v/>
      </c>
      <c r="AF2725" s="2" t="str">
        <f>IF(D2725="","",IFERROR(MATCH(D2725,Projects!$A:$A,0),""))</f>
        <v/>
      </c>
    </row>
    <row r="2726" spans="31:32" x14ac:dyDescent="0.25">
      <c r="AE2726" s="39" t="str">
        <f>IF(D2726="","",IFERROR(VLOOKUP(D2726,Projects!$A$2:$A$20000,1,FALSE),""))</f>
        <v/>
      </c>
      <c r="AF2726" s="2" t="str">
        <f>IF(D2726="","",IFERROR(MATCH(D2726,Projects!$A:$A,0),""))</f>
        <v/>
      </c>
    </row>
    <row r="2727" spans="31:32" x14ac:dyDescent="0.25">
      <c r="AE2727" s="39" t="str">
        <f>IF(D2727="","",IFERROR(VLOOKUP(D2727,Projects!$A$2:$A$20000,1,FALSE),""))</f>
        <v/>
      </c>
      <c r="AF2727" s="2" t="str">
        <f>IF(D2727="","",IFERROR(MATCH(D2727,Projects!$A:$A,0),""))</f>
        <v/>
      </c>
    </row>
    <row r="2728" spans="31:32" x14ac:dyDescent="0.25">
      <c r="AE2728" s="39" t="str">
        <f>IF(D2728="","",IFERROR(VLOOKUP(D2728,Projects!$A$2:$A$20000,1,FALSE),""))</f>
        <v/>
      </c>
      <c r="AF2728" s="2" t="str">
        <f>IF(D2728="","",IFERROR(MATCH(D2728,Projects!$A:$A,0),""))</f>
        <v/>
      </c>
    </row>
    <row r="2729" spans="31:32" x14ac:dyDescent="0.25">
      <c r="AE2729" s="39" t="str">
        <f>IF(D2729="","",IFERROR(VLOOKUP(D2729,Projects!$A$2:$A$20000,1,FALSE),""))</f>
        <v/>
      </c>
      <c r="AF2729" s="2" t="str">
        <f>IF(D2729="","",IFERROR(MATCH(D2729,Projects!$A:$A,0),""))</f>
        <v/>
      </c>
    </row>
    <row r="2730" spans="31:32" x14ac:dyDescent="0.25">
      <c r="AE2730" s="39" t="str">
        <f>IF(D2730="","",IFERROR(VLOOKUP(D2730,Projects!$A$2:$A$20000,1,FALSE),""))</f>
        <v/>
      </c>
      <c r="AF2730" s="2" t="str">
        <f>IF(D2730="","",IFERROR(MATCH(D2730,Projects!$A:$A,0),""))</f>
        <v/>
      </c>
    </row>
    <row r="2731" spans="31:32" x14ac:dyDescent="0.25">
      <c r="AE2731" s="39" t="str">
        <f>IF(D2731="","",IFERROR(VLOOKUP(D2731,Projects!$A$2:$A$20000,1,FALSE),""))</f>
        <v/>
      </c>
      <c r="AF2731" s="2" t="str">
        <f>IF(D2731="","",IFERROR(MATCH(D2731,Projects!$A:$A,0),""))</f>
        <v/>
      </c>
    </row>
    <row r="2732" spans="31:32" x14ac:dyDescent="0.25">
      <c r="AE2732" s="39" t="str">
        <f>IF(D2732="","",IFERROR(VLOOKUP(D2732,Projects!$A$2:$A$20000,1,FALSE),""))</f>
        <v/>
      </c>
      <c r="AF2732" s="2" t="str">
        <f>IF(D2732="","",IFERROR(MATCH(D2732,Projects!$A:$A,0),""))</f>
        <v/>
      </c>
    </row>
    <row r="2733" spans="31:32" x14ac:dyDescent="0.25">
      <c r="AE2733" s="39" t="str">
        <f>IF(D2733="","",IFERROR(VLOOKUP(D2733,Projects!$A$2:$A$20000,1,FALSE),""))</f>
        <v/>
      </c>
      <c r="AF2733" s="2" t="str">
        <f>IF(D2733="","",IFERROR(MATCH(D2733,Projects!$A:$A,0),""))</f>
        <v/>
      </c>
    </row>
    <row r="2734" spans="31:32" x14ac:dyDescent="0.25">
      <c r="AE2734" s="39" t="str">
        <f>IF(D2734="","",IFERROR(VLOOKUP(D2734,Projects!$A$2:$A$20000,1,FALSE),""))</f>
        <v/>
      </c>
      <c r="AF2734" s="2" t="str">
        <f>IF(D2734="","",IFERROR(MATCH(D2734,Projects!$A:$A,0),""))</f>
        <v/>
      </c>
    </row>
    <row r="2735" spans="31:32" x14ac:dyDescent="0.25">
      <c r="AE2735" s="39" t="str">
        <f>IF(D2735="","",IFERROR(VLOOKUP(D2735,Projects!$A$2:$A$20000,1,FALSE),""))</f>
        <v/>
      </c>
      <c r="AF2735" s="2" t="str">
        <f>IF(D2735="","",IFERROR(MATCH(D2735,Projects!$A:$A,0),""))</f>
        <v/>
      </c>
    </row>
    <row r="2736" spans="31:32" x14ac:dyDescent="0.25">
      <c r="AE2736" s="39" t="str">
        <f>IF(D2736="","",IFERROR(VLOOKUP(D2736,Projects!$A$2:$A$20000,1,FALSE),""))</f>
        <v/>
      </c>
      <c r="AF2736" s="2" t="str">
        <f>IF(D2736="","",IFERROR(MATCH(D2736,Projects!$A:$A,0),""))</f>
        <v/>
      </c>
    </row>
    <row r="2737" spans="31:32" x14ac:dyDescent="0.25">
      <c r="AE2737" s="39" t="str">
        <f>IF(D2737="","",IFERROR(VLOOKUP(D2737,Projects!$A$2:$A$20000,1,FALSE),""))</f>
        <v/>
      </c>
      <c r="AF2737" s="2" t="str">
        <f>IF(D2737="","",IFERROR(MATCH(D2737,Projects!$A:$A,0),""))</f>
        <v/>
      </c>
    </row>
    <row r="2738" spans="31:32" x14ac:dyDescent="0.25">
      <c r="AE2738" s="39" t="str">
        <f>IF(D2738="","",IFERROR(VLOOKUP(D2738,Projects!$A$2:$A$20000,1,FALSE),""))</f>
        <v/>
      </c>
      <c r="AF2738" s="2" t="str">
        <f>IF(D2738="","",IFERROR(MATCH(D2738,Projects!$A:$A,0),""))</f>
        <v/>
      </c>
    </row>
    <row r="2739" spans="31:32" x14ac:dyDescent="0.25">
      <c r="AE2739" s="39" t="str">
        <f>IF(D2739="","",IFERROR(VLOOKUP(D2739,Projects!$A$2:$A$20000,1,FALSE),""))</f>
        <v/>
      </c>
      <c r="AF2739" s="2" t="str">
        <f>IF(D2739="","",IFERROR(MATCH(D2739,Projects!$A:$A,0),""))</f>
        <v/>
      </c>
    </row>
    <row r="2740" spans="31:32" x14ac:dyDescent="0.25">
      <c r="AE2740" s="39" t="str">
        <f>IF(D2740="","",IFERROR(VLOOKUP(D2740,Projects!$A$2:$A$20000,1,FALSE),""))</f>
        <v/>
      </c>
      <c r="AF2740" s="2" t="str">
        <f>IF(D2740="","",IFERROR(MATCH(D2740,Projects!$A:$A,0),""))</f>
        <v/>
      </c>
    </row>
    <row r="2741" spans="31:32" x14ac:dyDescent="0.25">
      <c r="AE2741" s="39" t="str">
        <f>IF(D2741="","",IFERROR(VLOOKUP(D2741,Projects!$A$2:$A$20000,1,FALSE),""))</f>
        <v/>
      </c>
      <c r="AF2741" s="2" t="str">
        <f>IF(D2741="","",IFERROR(MATCH(D2741,Projects!$A:$A,0),""))</f>
        <v/>
      </c>
    </row>
    <row r="2742" spans="31:32" x14ac:dyDescent="0.25">
      <c r="AE2742" s="39" t="str">
        <f>IF(D2742="","",IFERROR(VLOOKUP(D2742,Projects!$A$2:$A$20000,1,FALSE),""))</f>
        <v/>
      </c>
      <c r="AF2742" s="2" t="str">
        <f>IF(D2742="","",IFERROR(MATCH(D2742,Projects!$A:$A,0),""))</f>
        <v/>
      </c>
    </row>
    <row r="2743" spans="31:32" x14ac:dyDescent="0.25">
      <c r="AE2743" s="39" t="str">
        <f>IF(D2743="","",IFERROR(VLOOKUP(D2743,Projects!$A$2:$A$20000,1,FALSE),""))</f>
        <v/>
      </c>
      <c r="AF2743" s="2" t="str">
        <f>IF(D2743="","",IFERROR(MATCH(D2743,Projects!$A:$A,0),""))</f>
        <v/>
      </c>
    </row>
    <row r="2744" spans="31:32" x14ac:dyDescent="0.25">
      <c r="AE2744" s="39" t="str">
        <f>IF(D2744="","",IFERROR(VLOOKUP(D2744,Projects!$A$2:$A$20000,1,FALSE),""))</f>
        <v/>
      </c>
      <c r="AF2744" s="2" t="str">
        <f>IF(D2744="","",IFERROR(MATCH(D2744,Projects!$A:$A,0),""))</f>
        <v/>
      </c>
    </row>
    <row r="2745" spans="31:32" x14ac:dyDescent="0.25">
      <c r="AE2745" s="39" t="str">
        <f>IF(D2745="","",IFERROR(VLOOKUP(D2745,Projects!$A$2:$A$20000,1,FALSE),""))</f>
        <v/>
      </c>
      <c r="AF2745" s="2" t="str">
        <f>IF(D2745="","",IFERROR(MATCH(D2745,Projects!$A:$A,0),""))</f>
        <v/>
      </c>
    </row>
    <row r="2746" spans="31:32" x14ac:dyDescent="0.25">
      <c r="AE2746" s="39" t="str">
        <f>IF(D2746="","",IFERROR(VLOOKUP(D2746,Projects!$A$2:$A$20000,1,FALSE),""))</f>
        <v/>
      </c>
      <c r="AF2746" s="2" t="str">
        <f>IF(D2746="","",IFERROR(MATCH(D2746,Projects!$A:$A,0),""))</f>
        <v/>
      </c>
    </row>
    <row r="2747" spans="31:32" x14ac:dyDescent="0.25">
      <c r="AE2747" s="39" t="str">
        <f>IF(D2747="","",IFERROR(VLOOKUP(D2747,Projects!$A$2:$A$20000,1,FALSE),""))</f>
        <v/>
      </c>
      <c r="AF2747" s="2" t="str">
        <f>IF(D2747="","",IFERROR(MATCH(D2747,Projects!$A:$A,0),""))</f>
        <v/>
      </c>
    </row>
    <row r="2748" spans="31:32" x14ac:dyDescent="0.25">
      <c r="AE2748" s="39" t="str">
        <f>IF(D2748="","",IFERROR(VLOOKUP(D2748,Projects!$A$2:$A$20000,1,FALSE),""))</f>
        <v/>
      </c>
      <c r="AF2748" s="2" t="str">
        <f>IF(D2748="","",IFERROR(MATCH(D2748,Projects!$A:$A,0),""))</f>
        <v/>
      </c>
    </row>
    <row r="2749" spans="31:32" x14ac:dyDescent="0.25">
      <c r="AE2749" s="39" t="str">
        <f>IF(D2749="","",IFERROR(VLOOKUP(D2749,Projects!$A$2:$A$20000,1,FALSE),""))</f>
        <v/>
      </c>
      <c r="AF2749" s="2" t="str">
        <f>IF(D2749="","",IFERROR(MATCH(D2749,Projects!$A:$A,0),""))</f>
        <v/>
      </c>
    </row>
    <row r="2750" spans="31:32" x14ac:dyDescent="0.25">
      <c r="AE2750" s="39" t="str">
        <f>IF(D2750="","",IFERROR(VLOOKUP(D2750,Projects!$A$2:$A$20000,1,FALSE),""))</f>
        <v/>
      </c>
      <c r="AF2750" s="2" t="str">
        <f>IF(D2750="","",IFERROR(MATCH(D2750,Projects!$A:$A,0),""))</f>
        <v/>
      </c>
    </row>
    <row r="2751" spans="31:32" x14ac:dyDescent="0.25">
      <c r="AE2751" s="39" t="str">
        <f>IF(D2751="","",IFERROR(VLOOKUP(D2751,Projects!$A$2:$A$20000,1,FALSE),""))</f>
        <v/>
      </c>
      <c r="AF2751" s="2" t="str">
        <f>IF(D2751="","",IFERROR(MATCH(D2751,Projects!$A:$A,0),""))</f>
        <v/>
      </c>
    </row>
    <row r="2752" spans="31:32" x14ac:dyDescent="0.25">
      <c r="AE2752" s="39" t="str">
        <f>IF(D2752="","",IFERROR(VLOOKUP(D2752,Projects!$A$2:$A$20000,1,FALSE),""))</f>
        <v/>
      </c>
      <c r="AF2752" s="2" t="str">
        <f>IF(D2752="","",IFERROR(MATCH(D2752,Projects!$A:$A,0),""))</f>
        <v/>
      </c>
    </row>
    <row r="2753" spans="31:32" x14ac:dyDescent="0.25">
      <c r="AE2753" s="39" t="str">
        <f>IF(D2753="","",IFERROR(VLOOKUP(D2753,Projects!$A$2:$A$20000,1,FALSE),""))</f>
        <v/>
      </c>
      <c r="AF2753" s="2" t="str">
        <f>IF(D2753="","",IFERROR(MATCH(D2753,Projects!$A:$A,0),""))</f>
        <v/>
      </c>
    </row>
    <row r="2754" spans="31:32" x14ac:dyDescent="0.25">
      <c r="AE2754" s="39" t="str">
        <f>IF(D2754="","",IFERROR(VLOOKUP(D2754,Projects!$A$2:$A$20000,1,FALSE),""))</f>
        <v/>
      </c>
      <c r="AF2754" s="2" t="str">
        <f>IF(D2754="","",IFERROR(MATCH(D2754,Projects!$A:$A,0),""))</f>
        <v/>
      </c>
    </row>
    <row r="2755" spans="31:32" x14ac:dyDescent="0.25">
      <c r="AE2755" s="39" t="str">
        <f>IF(D2755="","",IFERROR(VLOOKUP(D2755,Projects!$A$2:$A$20000,1,FALSE),""))</f>
        <v/>
      </c>
      <c r="AF2755" s="2" t="str">
        <f>IF(D2755="","",IFERROR(MATCH(D2755,Projects!$A:$A,0),""))</f>
        <v/>
      </c>
    </row>
    <row r="2756" spans="31:32" x14ac:dyDescent="0.25">
      <c r="AE2756" s="39" t="str">
        <f>IF(D2756="","",IFERROR(VLOOKUP(D2756,Projects!$A$2:$A$20000,1,FALSE),""))</f>
        <v/>
      </c>
      <c r="AF2756" s="2" t="str">
        <f>IF(D2756="","",IFERROR(MATCH(D2756,Projects!$A:$A,0),""))</f>
        <v/>
      </c>
    </row>
    <row r="2757" spans="31:32" x14ac:dyDescent="0.25">
      <c r="AE2757" s="39" t="str">
        <f>IF(D2757="","",IFERROR(VLOOKUP(D2757,Projects!$A$2:$A$20000,1,FALSE),""))</f>
        <v/>
      </c>
      <c r="AF2757" s="2" t="str">
        <f>IF(D2757="","",IFERROR(MATCH(D2757,Projects!$A:$A,0),""))</f>
        <v/>
      </c>
    </row>
    <row r="2758" spans="31:32" x14ac:dyDescent="0.25">
      <c r="AE2758" s="39" t="str">
        <f>IF(D2758="","",IFERROR(VLOOKUP(D2758,Projects!$A$2:$A$20000,1,FALSE),""))</f>
        <v/>
      </c>
      <c r="AF2758" s="2" t="str">
        <f>IF(D2758="","",IFERROR(MATCH(D2758,Projects!$A:$A,0),""))</f>
        <v/>
      </c>
    </row>
    <row r="2759" spans="31:32" x14ac:dyDescent="0.25">
      <c r="AE2759" s="39" t="str">
        <f>IF(D2759="","",IFERROR(VLOOKUP(D2759,Projects!$A$2:$A$20000,1,FALSE),""))</f>
        <v/>
      </c>
      <c r="AF2759" s="2" t="str">
        <f>IF(D2759="","",IFERROR(MATCH(D2759,Projects!$A:$A,0),""))</f>
        <v/>
      </c>
    </row>
    <row r="2760" spans="31:32" x14ac:dyDescent="0.25">
      <c r="AE2760" s="39" t="str">
        <f>IF(D2760="","",IFERROR(VLOOKUP(D2760,Projects!$A$2:$A$20000,1,FALSE),""))</f>
        <v/>
      </c>
      <c r="AF2760" s="2" t="str">
        <f>IF(D2760="","",IFERROR(MATCH(D2760,Projects!$A:$A,0),""))</f>
        <v/>
      </c>
    </row>
    <row r="2761" spans="31:32" x14ac:dyDescent="0.25">
      <c r="AE2761" s="39" t="str">
        <f>IF(D2761="","",IFERROR(VLOOKUP(D2761,Projects!$A$2:$A$20000,1,FALSE),""))</f>
        <v/>
      </c>
      <c r="AF2761" s="2" t="str">
        <f>IF(D2761="","",IFERROR(MATCH(D2761,Projects!$A:$A,0),""))</f>
        <v/>
      </c>
    </row>
    <row r="2762" spans="31:32" x14ac:dyDescent="0.25">
      <c r="AE2762" s="39" t="str">
        <f>IF(D2762="","",IFERROR(VLOOKUP(D2762,Projects!$A$2:$A$20000,1,FALSE),""))</f>
        <v/>
      </c>
      <c r="AF2762" s="2" t="str">
        <f>IF(D2762="","",IFERROR(MATCH(D2762,Projects!$A:$A,0),""))</f>
        <v/>
      </c>
    </row>
    <row r="2763" spans="31:32" x14ac:dyDescent="0.25">
      <c r="AE2763" s="39" t="str">
        <f>IF(D2763="","",IFERROR(VLOOKUP(D2763,Projects!$A$2:$A$20000,1,FALSE),""))</f>
        <v/>
      </c>
      <c r="AF2763" s="2" t="str">
        <f>IF(D2763="","",IFERROR(MATCH(D2763,Projects!$A:$A,0),""))</f>
        <v/>
      </c>
    </row>
    <row r="2764" spans="31:32" x14ac:dyDescent="0.25">
      <c r="AE2764" s="39" t="str">
        <f>IF(D2764="","",IFERROR(VLOOKUP(D2764,Projects!$A$2:$A$20000,1,FALSE),""))</f>
        <v/>
      </c>
      <c r="AF2764" s="2" t="str">
        <f>IF(D2764="","",IFERROR(MATCH(D2764,Projects!$A:$A,0),""))</f>
        <v/>
      </c>
    </row>
    <row r="2765" spans="31:32" x14ac:dyDescent="0.25">
      <c r="AE2765" s="39" t="str">
        <f>IF(D2765="","",IFERROR(VLOOKUP(D2765,Projects!$A$2:$A$20000,1,FALSE),""))</f>
        <v/>
      </c>
      <c r="AF2765" s="2" t="str">
        <f>IF(D2765="","",IFERROR(MATCH(D2765,Projects!$A:$A,0),""))</f>
        <v/>
      </c>
    </row>
    <row r="2766" spans="31:32" x14ac:dyDescent="0.25">
      <c r="AE2766" s="39" t="str">
        <f>IF(D2766="","",IFERROR(VLOOKUP(D2766,Projects!$A$2:$A$20000,1,FALSE),""))</f>
        <v/>
      </c>
      <c r="AF2766" s="2" t="str">
        <f>IF(D2766="","",IFERROR(MATCH(D2766,Projects!$A:$A,0),""))</f>
        <v/>
      </c>
    </row>
    <row r="2767" spans="31:32" x14ac:dyDescent="0.25">
      <c r="AE2767" s="39" t="str">
        <f>IF(D2767="","",IFERROR(VLOOKUP(D2767,Projects!$A$2:$A$20000,1,FALSE),""))</f>
        <v/>
      </c>
      <c r="AF2767" s="2" t="str">
        <f>IF(D2767="","",IFERROR(MATCH(D2767,Projects!$A:$A,0),""))</f>
        <v/>
      </c>
    </row>
    <row r="2768" spans="31:32" x14ac:dyDescent="0.25">
      <c r="AE2768" s="39" t="str">
        <f>IF(D2768="","",IFERROR(VLOOKUP(D2768,Projects!$A$2:$A$20000,1,FALSE),""))</f>
        <v/>
      </c>
      <c r="AF2768" s="2" t="str">
        <f>IF(D2768="","",IFERROR(MATCH(D2768,Projects!$A:$A,0),""))</f>
        <v/>
      </c>
    </row>
    <row r="2769" spans="31:32" x14ac:dyDescent="0.25">
      <c r="AE2769" s="39" t="str">
        <f>IF(D2769="","",IFERROR(VLOOKUP(D2769,Projects!$A$2:$A$20000,1,FALSE),""))</f>
        <v/>
      </c>
      <c r="AF2769" s="2" t="str">
        <f>IF(D2769="","",IFERROR(MATCH(D2769,Projects!$A:$A,0),""))</f>
        <v/>
      </c>
    </row>
    <row r="2770" spans="31:32" x14ac:dyDescent="0.25">
      <c r="AE2770" s="39" t="str">
        <f>IF(D2770="","",IFERROR(VLOOKUP(D2770,Projects!$A$2:$A$20000,1,FALSE),""))</f>
        <v/>
      </c>
      <c r="AF2770" s="2" t="str">
        <f>IF(D2770="","",IFERROR(MATCH(D2770,Projects!$A:$A,0),""))</f>
        <v/>
      </c>
    </row>
    <row r="2771" spans="31:32" x14ac:dyDescent="0.25">
      <c r="AE2771" s="39" t="str">
        <f>IF(D2771="","",IFERROR(VLOOKUP(D2771,Projects!$A$2:$A$20000,1,FALSE),""))</f>
        <v/>
      </c>
      <c r="AF2771" s="2" t="str">
        <f>IF(D2771="","",IFERROR(MATCH(D2771,Projects!$A:$A,0),""))</f>
        <v/>
      </c>
    </row>
    <row r="2772" spans="31:32" x14ac:dyDescent="0.25">
      <c r="AE2772" s="39" t="str">
        <f>IF(D2772="","",IFERROR(VLOOKUP(D2772,Projects!$A$2:$A$20000,1,FALSE),""))</f>
        <v/>
      </c>
      <c r="AF2772" s="2" t="str">
        <f>IF(D2772="","",IFERROR(MATCH(D2772,Projects!$A:$A,0),""))</f>
        <v/>
      </c>
    </row>
    <row r="2773" spans="31:32" x14ac:dyDescent="0.25">
      <c r="AE2773" s="39" t="str">
        <f>IF(D2773="","",IFERROR(VLOOKUP(D2773,Projects!$A$2:$A$20000,1,FALSE),""))</f>
        <v/>
      </c>
      <c r="AF2773" s="2" t="str">
        <f>IF(D2773="","",IFERROR(MATCH(D2773,Projects!$A:$A,0),""))</f>
        <v/>
      </c>
    </row>
    <row r="2774" spans="31:32" x14ac:dyDescent="0.25">
      <c r="AE2774" s="39" t="str">
        <f>IF(D2774="","",IFERROR(VLOOKUP(D2774,Projects!$A$2:$A$20000,1,FALSE),""))</f>
        <v/>
      </c>
      <c r="AF2774" s="2" t="str">
        <f>IF(D2774="","",IFERROR(MATCH(D2774,Projects!$A:$A,0),""))</f>
        <v/>
      </c>
    </row>
    <row r="2775" spans="31:32" x14ac:dyDescent="0.25">
      <c r="AE2775" s="39" t="str">
        <f>IF(D2775="","",IFERROR(VLOOKUP(D2775,Projects!$A$2:$A$20000,1,FALSE),""))</f>
        <v/>
      </c>
      <c r="AF2775" s="2" t="str">
        <f>IF(D2775="","",IFERROR(MATCH(D2775,Projects!$A:$A,0),""))</f>
        <v/>
      </c>
    </row>
    <row r="2776" spans="31:32" x14ac:dyDescent="0.25">
      <c r="AE2776" s="39" t="str">
        <f>IF(D2776="","",IFERROR(VLOOKUP(D2776,Projects!$A$2:$A$20000,1,FALSE),""))</f>
        <v/>
      </c>
      <c r="AF2776" s="2" t="str">
        <f>IF(D2776="","",IFERROR(MATCH(D2776,Projects!$A:$A,0),""))</f>
        <v/>
      </c>
    </row>
    <row r="2777" spans="31:32" x14ac:dyDescent="0.25">
      <c r="AE2777" s="39" t="str">
        <f>IF(D2777="","",IFERROR(VLOOKUP(D2777,Projects!$A$2:$A$20000,1,FALSE),""))</f>
        <v/>
      </c>
      <c r="AF2777" s="2" t="str">
        <f>IF(D2777="","",IFERROR(MATCH(D2777,Projects!$A:$A,0),""))</f>
        <v/>
      </c>
    </row>
    <row r="2778" spans="31:32" x14ac:dyDescent="0.25">
      <c r="AE2778" s="39" t="str">
        <f>IF(D2778="","",IFERROR(VLOOKUP(D2778,Projects!$A$2:$A$20000,1,FALSE),""))</f>
        <v/>
      </c>
      <c r="AF2778" s="2" t="str">
        <f>IF(D2778="","",IFERROR(MATCH(D2778,Projects!$A:$A,0),""))</f>
        <v/>
      </c>
    </row>
    <row r="2779" spans="31:32" x14ac:dyDescent="0.25">
      <c r="AE2779" s="39" t="str">
        <f>IF(D2779="","",IFERROR(VLOOKUP(D2779,Projects!$A$2:$A$20000,1,FALSE),""))</f>
        <v/>
      </c>
      <c r="AF2779" s="2" t="str">
        <f>IF(D2779="","",IFERROR(MATCH(D2779,Projects!$A:$A,0),""))</f>
        <v/>
      </c>
    </row>
    <row r="2780" spans="31:32" x14ac:dyDescent="0.25">
      <c r="AE2780" s="39" t="str">
        <f>IF(D2780="","",IFERROR(VLOOKUP(D2780,Projects!$A$2:$A$20000,1,FALSE),""))</f>
        <v/>
      </c>
      <c r="AF2780" s="2" t="str">
        <f>IF(D2780="","",IFERROR(MATCH(D2780,Projects!$A:$A,0),""))</f>
        <v/>
      </c>
    </row>
    <row r="2781" spans="31:32" x14ac:dyDescent="0.25">
      <c r="AE2781" s="39" t="str">
        <f>IF(D2781="","",IFERROR(VLOOKUP(D2781,Projects!$A$2:$A$20000,1,FALSE),""))</f>
        <v/>
      </c>
      <c r="AF2781" s="2" t="str">
        <f>IF(D2781="","",IFERROR(MATCH(D2781,Projects!$A:$A,0),""))</f>
        <v/>
      </c>
    </row>
    <row r="2782" spans="31:32" x14ac:dyDescent="0.25">
      <c r="AE2782" s="39" t="str">
        <f>IF(D2782="","",IFERROR(VLOOKUP(D2782,Projects!$A$2:$A$20000,1,FALSE),""))</f>
        <v/>
      </c>
      <c r="AF2782" s="2" t="str">
        <f>IF(D2782="","",IFERROR(MATCH(D2782,Projects!$A:$A,0),""))</f>
        <v/>
      </c>
    </row>
    <row r="2783" spans="31:32" x14ac:dyDescent="0.25">
      <c r="AE2783" s="39" t="str">
        <f>IF(D2783="","",IFERROR(VLOOKUP(D2783,Projects!$A$2:$A$20000,1,FALSE),""))</f>
        <v/>
      </c>
      <c r="AF2783" s="2" t="str">
        <f>IF(D2783="","",IFERROR(MATCH(D2783,Projects!$A:$A,0),""))</f>
        <v/>
      </c>
    </row>
    <row r="2784" spans="31:32" x14ac:dyDescent="0.25">
      <c r="AE2784" s="39" t="str">
        <f>IF(D2784="","",IFERROR(VLOOKUP(D2784,Projects!$A$2:$A$20000,1,FALSE),""))</f>
        <v/>
      </c>
      <c r="AF2784" s="2" t="str">
        <f>IF(D2784="","",IFERROR(MATCH(D2784,Projects!$A:$A,0),""))</f>
        <v/>
      </c>
    </row>
    <row r="2785" spans="31:32" x14ac:dyDescent="0.25">
      <c r="AE2785" s="39" t="str">
        <f>IF(D2785="","",IFERROR(VLOOKUP(D2785,Projects!$A$2:$A$20000,1,FALSE),""))</f>
        <v/>
      </c>
      <c r="AF2785" s="2" t="str">
        <f>IF(D2785="","",IFERROR(MATCH(D2785,Projects!$A:$A,0),""))</f>
        <v/>
      </c>
    </row>
    <row r="2786" spans="31:32" x14ac:dyDescent="0.25">
      <c r="AE2786" s="39" t="str">
        <f>IF(D2786="","",IFERROR(VLOOKUP(D2786,Projects!$A$2:$A$20000,1,FALSE),""))</f>
        <v/>
      </c>
      <c r="AF2786" s="2" t="str">
        <f>IF(D2786="","",IFERROR(MATCH(D2786,Projects!$A:$A,0),""))</f>
        <v/>
      </c>
    </row>
    <row r="2787" spans="31:32" x14ac:dyDescent="0.25">
      <c r="AE2787" s="39" t="str">
        <f>IF(D2787="","",IFERROR(VLOOKUP(D2787,Projects!$A$2:$A$20000,1,FALSE),""))</f>
        <v/>
      </c>
      <c r="AF2787" s="2" t="str">
        <f>IF(D2787="","",IFERROR(MATCH(D2787,Projects!$A:$A,0),""))</f>
        <v/>
      </c>
    </row>
    <row r="2788" spans="31:32" x14ac:dyDescent="0.25">
      <c r="AE2788" s="39" t="str">
        <f>IF(D2788="","",IFERROR(VLOOKUP(D2788,Projects!$A$2:$A$20000,1,FALSE),""))</f>
        <v/>
      </c>
      <c r="AF2788" s="2" t="str">
        <f>IF(D2788="","",IFERROR(MATCH(D2788,Projects!$A:$A,0),""))</f>
        <v/>
      </c>
    </row>
    <row r="2789" spans="31:32" x14ac:dyDescent="0.25">
      <c r="AE2789" s="39" t="str">
        <f>IF(D2789="","",IFERROR(VLOOKUP(D2789,Projects!$A$2:$A$20000,1,FALSE),""))</f>
        <v/>
      </c>
      <c r="AF2789" s="2" t="str">
        <f>IF(D2789="","",IFERROR(MATCH(D2789,Projects!$A:$A,0),""))</f>
        <v/>
      </c>
    </row>
    <row r="2790" spans="31:32" x14ac:dyDescent="0.25">
      <c r="AE2790" s="39" t="str">
        <f>IF(D2790="","",IFERROR(VLOOKUP(D2790,Projects!$A$2:$A$20000,1,FALSE),""))</f>
        <v/>
      </c>
      <c r="AF2790" s="2" t="str">
        <f>IF(D2790="","",IFERROR(MATCH(D2790,Projects!$A:$A,0),""))</f>
        <v/>
      </c>
    </row>
    <row r="2791" spans="31:32" x14ac:dyDescent="0.25">
      <c r="AE2791" s="39" t="str">
        <f>IF(D2791="","",IFERROR(VLOOKUP(D2791,Projects!$A$2:$A$20000,1,FALSE),""))</f>
        <v/>
      </c>
      <c r="AF2791" s="2" t="str">
        <f>IF(D2791="","",IFERROR(MATCH(D2791,Projects!$A:$A,0),""))</f>
        <v/>
      </c>
    </row>
    <row r="2792" spans="31:32" x14ac:dyDescent="0.25">
      <c r="AE2792" s="39" t="str">
        <f>IF(D2792="","",IFERROR(VLOOKUP(D2792,Projects!$A$2:$A$20000,1,FALSE),""))</f>
        <v/>
      </c>
      <c r="AF2792" s="2" t="str">
        <f>IF(D2792="","",IFERROR(MATCH(D2792,Projects!$A:$A,0),""))</f>
        <v/>
      </c>
    </row>
    <row r="2793" spans="31:32" x14ac:dyDescent="0.25">
      <c r="AE2793" s="39" t="str">
        <f>IF(D2793="","",IFERROR(VLOOKUP(D2793,Projects!$A$2:$A$20000,1,FALSE),""))</f>
        <v/>
      </c>
      <c r="AF2793" s="2" t="str">
        <f>IF(D2793="","",IFERROR(MATCH(D2793,Projects!$A:$A,0),""))</f>
        <v/>
      </c>
    </row>
    <row r="2794" spans="31:32" x14ac:dyDescent="0.25">
      <c r="AE2794" s="39" t="str">
        <f>IF(D2794="","",IFERROR(VLOOKUP(D2794,Projects!$A$2:$A$20000,1,FALSE),""))</f>
        <v/>
      </c>
      <c r="AF2794" s="2" t="str">
        <f>IF(D2794="","",IFERROR(MATCH(D2794,Projects!$A:$A,0),""))</f>
        <v/>
      </c>
    </row>
    <row r="2795" spans="31:32" x14ac:dyDescent="0.25">
      <c r="AE2795" s="39" t="str">
        <f>IF(D2795="","",IFERROR(VLOOKUP(D2795,Projects!$A$2:$A$20000,1,FALSE),""))</f>
        <v/>
      </c>
      <c r="AF2795" s="2" t="str">
        <f>IF(D2795="","",IFERROR(MATCH(D2795,Projects!$A:$A,0),""))</f>
        <v/>
      </c>
    </row>
    <row r="2796" spans="31:32" x14ac:dyDescent="0.25">
      <c r="AE2796" s="39" t="str">
        <f>IF(D2796="","",IFERROR(VLOOKUP(D2796,Projects!$A$2:$A$20000,1,FALSE),""))</f>
        <v/>
      </c>
      <c r="AF2796" s="2" t="str">
        <f>IF(D2796="","",IFERROR(MATCH(D2796,Projects!$A:$A,0),""))</f>
        <v/>
      </c>
    </row>
    <row r="2797" spans="31:32" x14ac:dyDescent="0.25">
      <c r="AE2797" s="39" t="str">
        <f>IF(D2797="","",IFERROR(VLOOKUP(D2797,Projects!$A$2:$A$20000,1,FALSE),""))</f>
        <v/>
      </c>
      <c r="AF2797" s="2" t="str">
        <f>IF(D2797="","",IFERROR(MATCH(D2797,Projects!$A:$A,0),""))</f>
        <v/>
      </c>
    </row>
    <row r="2798" spans="31:32" x14ac:dyDescent="0.25">
      <c r="AE2798" s="39" t="str">
        <f>IF(D2798="","",IFERROR(VLOOKUP(D2798,Projects!$A$2:$A$20000,1,FALSE),""))</f>
        <v/>
      </c>
      <c r="AF2798" s="2" t="str">
        <f>IF(D2798="","",IFERROR(MATCH(D2798,Projects!$A:$A,0),""))</f>
        <v/>
      </c>
    </row>
    <row r="2799" spans="31:32" x14ac:dyDescent="0.25">
      <c r="AE2799" s="39" t="str">
        <f>IF(D2799="","",IFERROR(VLOOKUP(D2799,Projects!$A$2:$A$20000,1,FALSE),""))</f>
        <v/>
      </c>
      <c r="AF2799" s="2" t="str">
        <f>IF(D2799="","",IFERROR(MATCH(D2799,Projects!$A:$A,0),""))</f>
        <v/>
      </c>
    </row>
    <row r="2800" spans="31:32" x14ac:dyDescent="0.25">
      <c r="AE2800" s="39" t="str">
        <f>IF(D2800="","",IFERROR(VLOOKUP(D2800,Projects!$A$2:$A$20000,1,FALSE),""))</f>
        <v/>
      </c>
      <c r="AF2800" s="2" t="str">
        <f>IF(D2800="","",IFERROR(MATCH(D2800,Projects!$A:$A,0),""))</f>
        <v/>
      </c>
    </row>
    <row r="2801" spans="31:32" x14ac:dyDescent="0.25">
      <c r="AE2801" s="39" t="str">
        <f>IF(D2801="","",IFERROR(VLOOKUP(D2801,Projects!$A$2:$A$20000,1,FALSE),""))</f>
        <v/>
      </c>
      <c r="AF2801" s="2" t="str">
        <f>IF(D2801="","",IFERROR(MATCH(D2801,Projects!$A:$A,0),""))</f>
        <v/>
      </c>
    </row>
    <row r="2802" spans="31:32" x14ac:dyDescent="0.25">
      <c r="AE2802" s="39" t="str">
        <f>IF(D2802="","",IFERROR(VLOOKUP(D2802,Projects!$A$2:$A$20000,1,FALSE),""))</f>
        <v/>
      </c>
      <c r="AF2802" s="2" t="str">
        <f>IF(D2802="","",IFERROR(MATCH(D2802,Projects!$A:$A,0),""))</f>
        <v/>
      </c>
    </row>
    <row r="2803" spans="31:32" x14ac:dyDescent="0.25">
      <c r="AE2803" s="39" t="str">
        <f>IF(D2803="","",IFERROR(VLOOKUP(D2803,Projects!$A$2:$A$20000,1,FALSE),""))</f>
        <v/>
      </c>
      <c r="AF2803" s="2" t="str">
        <f>IF(D2803="","",IFERROR(MATCH(D2803,Projects!$A:$A,0),""))</f>
        <v/>
      </c>
    </row>
    <row r="2804" spans="31:32" x14ac:dyDescent="0.25">
      <c r="AE2804" s="39" t="str">
        <f>IF(D2804="","",IFERROR(VLOOKUP(D2804,Projects!$A$2:$A$20000,1,FALSE),""))</f>
        <v/>
      </c>
      <c r="AF2804" s="2" t="str">
        <f>IF(D2804="","",IFERROR(MATCH(D2804,Projects!$A:$A,0),""))</f>
        <v/>
      </c>
    </row>
    <row r="2805" spans="31:32" x14ac:dyDescent="0.25">
      <c r="AE2805" s="39" t="str">
        <f>IF(D2805="","",IFERROR(VLOOKUP(D2805,Projects!$A$2:$A$20000,1,FALSE),""))</f>
        <v/>
      </c>
      <c r="AF2805" s="2" t="str">
        <f>IF(D2805="","",IFERROR(MATCH(D2805,Projects!$A:$A,0),""))</f>
        <v/>
      </c>
    </row>
    <row r="2806" spans="31:32" x14ac:dyDescent="0.25">
      <c r="AE2806" s="39" t="str">
        <f>IF(D2806="","",IFERROR(VLOOKUP(D2806,Projects!$A$2:$A$20000,1,FALSE),""))</f>
        <v/>
      </c>
      <c r="AF2806" s="2" t="str">
        <f>IF(D2806="","",IFERROR(MATCH(D2806,Projects!$A:$A,0),""))</f>
        <v/>
      </c>
    </row>
    <row r="2807" spans="31:32" x14ac:dyDescent="0.25">
      <c r="AE2807" s="39" t="str">
        <f>IF(D2807="","",IFERROR(VLOOKUP(D2807,Projects!$A$2:$A$20000,1,FALSE),""))</f>
        <v/>
      </c>
      <c r="AF2807" s="2" t="str">
        <f>IF(D2807="","",IFERROR(MATCH(D2807,Projects!$A:$A,0),""))</f>
        <v/>
      </c>
    </row>
    <row r="2808" spans="31:32" x14ac:dyDescent="0.25">
      <c r="AE2808" s="39" t="str">
        <f>IF(D2808="","",IFERROR(VLOOKUP(D2808,Projects!$A$2:$A$20000,1,FALSE),""))</f>
        <v/>
      </c>
      <c r="AF2808" s="2" t="str">
        <f>IF(D2808="","",IFERROR(MATCH(D2808,Projects!$A:$A,0),""))</f>
        <v/>
      </c>
    </row>
    <row r="2809" spans="31:32" x14ac:dyDescent="0.25">
      <c r="AE2809" s="39" t="str">
        <f>IF(D2809="","",IFERROR(VLOOKUP(D2809,Projects!$A$2:$A$20000,1,FALSE),""))</f>
        <v/>
      </c>
      <c r="AF2809" s="2" t="str">
        <f>IF(D2809="","",IFERROR(MATCH(D2809,Projects!$A:$A,0),""))</f>
        <v/>
      </c>
    </row>
    <row r="2810" spans="31:32" x14ac:dyDescent="0.25">
      <c r="AE2810" s="39" t="str">
        <f>IF(D2810="","",IFERROR(VLOOKUP(D2810,Projects!$A$2:$A$20000,1,FALSE),""))</f>
        <v/>
      </c>
      <c r="AF2810" s="2" t="str">
        <f>IF(D2810="","",IFERROR(MATCH(D2810,Projects!$A:$A,0),""))</f>
        <v/>
      </c>
    </row>
    <row r="2811" spans="31:32" x14ac:dyDescent="0.25">
      <c r="AE2811" s="39" t="str">
        <f>IF(D2811="","",IFERROR(VLOOKUP(D2811,Projects!$A$2:$A$20000,1,FALSE),""))</f>
        <v/>
      </c>
      <c r="AF2811" s="2" t="str">
        <f>IF(D2811="","",IFERROR(MATCH(D2811,Projects!$A:$A,0),""))</f>
        <v/>
      </c>
    </row>
    <row r="2812" spans="31:32" x14ac:dyDescent="0.25">
      <c r="AE2812" s="39" t="str">
        <f>IF(D2812="","",IFERROR(VLOOKUP(D2812,Projects!$A$2:$A$20000,1,FALSE),""))</f>
        <v/>
      </c>
      <c r="AF2812" s="2" t="str">
        <f>IF(D2812="","",IFERROR(MATCH(D2812,Projects!$A:$A,0),""))</f>
        <v/>
      </c>
    </row>
    <row r="2813" spans="31:32" x14ac:dyDescent="0.25">
      <c r="AE2813" s="39" t="str">
        <f>IF(D2813="","",IFERROR(VLOOKUP(D2813,Projects!$A$2:$A$20000,1,FALSE),""))</f>
        <v/>
      </c>
      <c r="AF2813" s="2" t="str">
        <f>IF(D2813="","",IFERROR(MATCH(D2813,Projects!$A:$A,0),""))</f>
        <v/>
      </c>
    </row>
    <row r="2814" spans="31:32" x14ac:dyDescent="0.25">
      <c r="AE2814" s="39" t="str">
        <f>IF(D2814="","",IFERROR(VLOOKUP(D2814,Projects!$A$2:$A$20000,1,FALSE),""))</f>
        <v/>
      </c>
      <c r="AF2814" s="2" t="str">
        <f>IF(D2814="","",IFERROR(MATCH(D2814,Projects!$A:$A,0),""))</f>
        <v/>
      </c>
    </row>
    <row r="2815" spans="31:32" x14ac:dyDescent="0.25">
      <c r="AE2815" s="39" t="str">
        <f>IF(D2815="","",IFERROR(VLOOKUP(D2815,Projects!$A$2:$A$20000,1,FALSE),""))</f>
        <v/>
      </c>
      <c r="AF2815" s="2" t="str">
        <f>IF(D2815="","",IFERROR(MATCH(D2815,Projects!$A:$A,0),""))</f>
        <v/>
      </c>
    </row>
    <row r="2816" spans="31:32" x14ac:dyDescent="0.25">
      <c r="AE2816" s="39" t="str">
        <f>IF(D2816="","",IFERROR(VLOOKUP(D2816,Projects!$A$2:$A$20000,1,FALSE),""))</f>
        <v/>
      </c>
      <c r="AF2816" s="2" t="str">
        <f>IF(D2816="","",IFERROR(MATCH(D2816,Projects!$A:$A,0),""))</f>
        <v/>
      </c>
    </row>
    <row r="2817" spans="31:32" x14ac:dyDescent="0.25">
      <c r="AE2817" s="39" t="str">
        <f>IF(D2817="","",IFERROR(VLOOKUP(D2817,Projects!$A$2:$A$20000,1,FALSE),""))</f>
        <v/>
      </c>
      <c r="AF2817" s="2" t="str">
        <f>IF(D2817="","",IFERROR(MATCH(D2817,Projects!$A:$A,0),""))</f>
        <v/>
      </c>
    </row>
    <row r="2818" spans="31:32" x14ac:dyDescent="0.25">
      <c r="AE2818" s="39" t="str">
        <f>IF(D2818="","",IFERROR(VLOOKUP(D2818,Projects!$A$2:$A$20000,1,FALSE),""))</f>
        <v/>
      </c>
      <c r="AF2818" s="2" t="str">
        <f>IF(D2818="","",IFERROR(MATCH(D2818,Projects!$A:$A,0),""))</f>
        <v/>
      </c>
    </row>
    <row r="2819" spans="31:32" x14ac:dyDescent="0.25">
      <c r="AE2819" s="39" t="str">
        <f>IF(D2819="","",IFERROR(VLOOKUP(D2819,Projects!$A$2:$A$20000,1,FALSE),""))</f>
        <v/>
      </c>
      <c r="AF2819" s="2" t="str">
        <f>IF(D2819="","",IFERROR(MATCH(D2819,Projects!$A:$A,0),""))</f>
        <v/>
      </c>
    </row>
    <row r="2820" spans="31:32" x14ac:dyDescent="0.25">
      <c r="AE2820" s="39" t="str">
        <f>IF(D2820="","",IFERROR(VLOOKUP(D2820,Projects!$A$2:$A$20000,1,FALSE),""))</f>
        <v/>
      </c>
      <c r="AF2820" s="2" t="str">
        <f>IF(D2820="","",IFERROR(MATCH(D2820,Projects!$A:$A,0),""))</f>
        <v/>
      </c>
    </row>
    <row r="2821" spans="31:32" x14ac:dyDescent="0.25">
      <c r="AE2821" s="39" t="str">
        <f>IF(D2821="","",IFERROR(VLOOKUP(D2821,Projects!$A$2:$A$20000,1,FALSE),""))</f>
        <v/>
      </c>
      <c r="AF2821" s="2" t="str">
        <f>IF(D2821="","",IFERROR(MATCH(D2821,Projects!$A:$A,0),""))</f>
        <v/>
      </c>
    </row>
    <row r="2822" spans="31:32" x14ac:dyDescent="0.25">
      <c r="AE2822" s="39" t="str">
        <f>IF(D2822="","",IFERROR(VLOOKUP(D2822,Projects!$A$2:$A$20000,1,FALSE),""))</f>
        <v/>
      </c>
      <c r="AF2822" s="2" t="str">
        <f>IF(D2822="","",IFERROR(MATCH(D2822,Projects!$A:$A,0),""))</f>
        <v/>
      </c>
    </row>
    <row r="2823" spans="31:32" x14ac:dyDescent="0.25">
      <c r="AE2823" s="39" t="str">
        <f>IF(D2823="","",IFERROR(VLOOKUP(D2823,Projects!$A$2:$A$20000,1,FALSE),""))</f>
        <v/>
      </c>
      <c r="AF2823" s="2" t="str">
        <f>IF(D2823="","",IFERROR(MATCH(D2823,Projects!$A:$A,0),""))</f>
        <v/>
      </c>
    </row>
    <row r="2824" spans="31:32" x14ac:dyDescent="0.25">
      <c r="AE2824" s="39" t="str">
        <f>IF(D2824="","",IFERROR(VLOOKUP(D2824,Projects!$A$2:$A$20000,1,FALSE),""))</f>
        <v/>
      </c>
      <c r="AF2824" s="2" t="str">
        <f>IF(D2824="","",IFERROR(MATCH(D2824,Projects!$A:$A,0),""))</f>
        <v/>
      </c>
    </row>
    <row r="2825" spans="31:32" x14ac:dyDescent="0.25">
      <c r="AE2825" s="39" t="str">
        <f>IF(D2825="","",IFERROR(VLOOKUP(D2825,Projects!$A$2:$A$20000,1,FALSE),""))</f>
        <v/>
      </c>
      <c r="AF2825" s="2" t="str">
        <f>IF(D2825="","",IFERROR(MATCH(D2825,Projects!$A:$A,0),""))</f>
        <v/>
      </c>
    </row>
    <row r="2826" spans="31:32" x14ac:dyDescent="0.25">
      <c r="AE2826" s="39" t="str">
        <f>IF(D2826="","",IFERROR(VLOOKUP(D2826,Projects!$A$2:$A$20000,1,FALSE),""))</f>
        <v/>
      </c>
      <c r="AF2826" s="2" t="str">
        <f>IF(D2826="","",IFERROR(MATCH(D2826,Projects!$A:$A,0),""))</f>
        <v/>
      </c>
    </row>
    <row r="2827" spans="31:32" x14ac:dyDescent="0.25">
      <c r="AE2827" s="39" t="str">
        <f>IF(D2827="","",IFERROR(VLOOKUP(D2827,Projects!$A$2:$A$20000,1,FALSE),""))</f>
        <v/>
      </c>
      <c r="AF2827" s="2" t="str">
        <f>IF(D2827="","",IFERROR(MATCH(D2827,Projects!$A:$A,0),""))</f>
        <v/>
      </c>
    </row>
    <row r="2828" spans="31:32" x14ac:dyDescent="0.25">
      <c r="AE2828" s="39" t="str">
        <f>IF(D2828="","",IFERROR(VLOOKUP(D2828,Projects!$A$2:$A$20000,1,FALSE),""))</f>
        <v/>
      </c>
      <c r="AF2828" s="2" t="str">
        <f>IF(D2828="","",IFERROR(MATCH(D2828,Projects!$A:$A,0),""))</f>
        <v/>
      </c>
    </row>
    <row r="2829" spans="31:32" x14ac:dyDescent="0.25">
      <c r="AE2829" s="39" t="str">
        <f>IF(D2829="","",IFERROR(VLOOKUP(D2829,Projects!$A$2:$A$20000,1,FALSE),""))</f>
        <v/>
      </c>
      <c r="AF2829" s="2" t="str">
        <f>IF(D2829="","",IFERROR(MATCH(D2829,Projects!$A:$A,0),""))</f>
        <v/>
      </c>
    </row>
    <row r="2830" spans="31:32" x14ac:dyDescent="0.25">
      <c r="AE2830" s="39" t="str">
        <f>IF(D2830="","",IFERROR(VLOOKUP(D2830,Projects!$A$2:$A$20000,1,FALSE),""))</f>
        <v/>
      </c>
      <c r="AF2830" s="2" t="str">
        <f>IF(D2830="","",IFERROR(MATCH(D2830,Projects!$A:$A,0),""))</f>
        <v/>
      </c>
    </row>
    <row r="2831" spans="31:32" x14ac:dyDescent="0.25">
      <c r="AE2831" s="39" t="str">
        <f>IF(D2831="","",IFERROR(VLOOKUP(D2831,Projects!$A$2:$A$20000,1,FALSE),""))</f>
        <v/>
      </c>
      <c r="AF2831" s="2" t="str">
        <f>IF(D2831="","",IFERROR(MATCH(D2831,Projects!$A:$A,0),""))</f>
        <v/>
      </c>
    </row>
    <row r="2832" spans="31:32" x14ac:dyDescent="0.25">
      <c r="AE2832" s="39" t="str">
        <f>IF(D2832="","",IFERROR(VLOOKUP(D2832,Projects!$A$2:$A$20000,1,FALSE),""))</f>
        <v/>
      </c>
      <c r="AF2832" s="2" t="str">
        <f>IF(D2832="","",IFERROR(MATCH(D2832,Projects!$A:$A,0),""))</f>
        <v/>
      </c>
    </row>
    <row r="2833" spans="31:32" x14ac:dyDescent="0.25">
      <c r="AE2833" s="39" t="str">
        <f>IF(D2833="","",IFERROR(VLOOKUP(D2833,Projects!$A$2:$A$20000,1,FALSE),""))</f>
        <v/>
      </c>
      <c r="AF2833" s="2" t="str">
        <f>IF(D2833="","",IFERROR(MATCH(D2833,Projects!$A:$A,0),""))</f>
        <v/>
      </c>
    </row>
    <row r="2834" spans="31:32" x14ac:dyDescent="0.25">
      <c r="AE2834" s="39" t="str">
        <f>IF(D2834="","",IFERROR(VLOOKUP(D2834,Projects!$A$2:$A$20000,1,FALSE),""))</f>
        <v/>
      </c>
      <c r="AF2834" s="2" t="str">
        <f>IF(D2834="","",IFERROR(MATCH(D2834,Projects!$A:$A,0),""))</f>
        <v/>
      </c>
    </row>
    <row r="2835" spans="31:32" x14ac:dyDescent="0.25">
      <c r="AE2835" s="39" t="str">
        <f>IF(D2835="","",IFERROR(VLOOKUP(D2835,Projects!$A$2:$A$20000,1,FALSE),""))</f>
        <v/>
      </c>
      <c r="AF2835" s="2" t="str">
        <f>IF(D2835="","",IFERROR(MATCH(D2835,Projects!$A:$A,0),""))</f>
        <v/>
      </c>
    </row>
    <row r="2836" spans="31:32" x14ac:dyDescent="0.25">
      <c r="AE2836" s="39" t="str">
        <f>IF(D2836="","",IFERROR(VLOOKUP(D2836,Projects!$A$2:$A$20000,1,FALSE),""))</f>
        <v/>
      </c>
      <c r="AF2836" s="2" t="str">
        <f>IF(D2836="","",IFERROR(MATCH(D2836,Projects!$A:$A,0),""))</f>
        <v/>
      </c>
    </row>
    <row r="2837" spans="31:32" x14ac:dyDescent="0.25">
      <c r="AE2837" s="39" t="str">
        <f>IF(D2837="","",IFERROR(VLOOKUP(D2837,Projects!$A$2:$A$20000,1,FALSE),""))</f>
        <v/>
      </c>
      <c r="AF2837" s="2" t="str">
        <f>IF(D2837="","",IFERROR(MATCH(D2837,Projects!$A:$A,0),""))</f>
        <v/>
      </c>
    </row>
    <row r="2838" spans="31:32" x14ac:dyDescent="0.25">
      <c r="AE2838" s="39" t="str">
        <f>IF(D2838="","",IFERROR(VLOOKUP(D2838,Projects!$A$2:$A$20000,1,FALSE),""))</f>
        <v/>
      </c>
      <c r="AF2838" s="2" t="str">
        <f>IF(D2838="","",IFERROR(MATCH(D2838,Projects!$A:$A,0),""))</f>
        <v/>
      </c>
    </row>
    <row r="2839" spans="31:32" x14ac:dyDescent="0.25">
      <c r="AE2839" s="39" t="str">
        <f>IF(D2839="","",IFERROR(VLOOKUP(D2839,Projects!$A$2:$A$20000,1,FALSE),""))</f>
        <v/>
      </c>
      <c r="AF2839" s="2" t="str">
        <f>IF(D2839="","",IFERROR(MATCH(D2839,Projects!$A:$A,0),""))</f>
        <v/>
      </c>
    </row>
    <row r="2840" spans="31:32" x14ac:dyDescent="0.25">
      <c r="AE2840" s="39" t="str">
        <f>IF(D2840="","",IFERROR(VLOOKUP(D2840,Projects!$A$2:$A$20000,1,FALSE),""))</f>
        <v/>
      </c>
      <c r="AF2840" s="2" t="str">
        <f>IF(D2840="","",IFERROR(MATCH(D2840,Projects!$A:$A,0),""))</f>
        <v/>
      </c>
    </row>
    <row r="2841" spans="31:32" x14ac:dyDescent="0.25">
      <c r="AE2841" s="39" t="str">
        <f>IF(D2841="","",IFERROR(VLOOKUP(D2841,Projects!$A$2:$A$20000,1,FALSE),""))</f>
        <v/>
      </c>
      <c r="AF2841" s="2" t="str">
        <f>IF(D2841="","",IFERROR(MATCH(D2841,Projects!$A:$A,0),""))</f>
        <v/>
      </c>
    </row>
    <row r="2842" spans="31:32" x14ac:dyDescent="0.25">
      <c r="AE2842" s="39" t="str">
        <f>IF(D2842="","",IFERROR(VLOOKUP(D2842,Projects!$A$2:$A$20000,1,FALSE),""))</f>
        <v/>
      </c>
      <c r="AF2842" s="2" t="str">
        <f>IF(D2842="","",IFERROR(MATCH(D2842,Projects!$A:$A,0),""))</f>
        <v/>
      </c>
    </row>
    <row r="2843" spans="31:32" x14ac:dyDescent="0.25">
      <c r="AE2843" s="39" t="str">
        <f>IF(D2843="","",IFERROR(VLOOKUP(D2843,Projects!$A$2:$A$20000,1,FALSE),""))</f>
        <v/>
      </c>
      <c r="AF2843" s="2" t="str">
        <f>IF(D2843="","",IFERROR(MATCH(D2843,Projects!$A:$A,0),""))</f>
        <v/>
      </c>
    </row>
    <row r="2844" spans="31:32" x14ac:dyDescent="0.25">
      <c r="AE2844" s="39" t="str">
        <f>IF(D2844="","",IFERROR(VLOOKUP(D2844,Projects!$A$2:$A$20000,1,FALSE),""))</f>
        <v/>
      </c>
      <c r="AF2844" s="2" t="str">
        <f>IF(D2844="","",IFERROR(MATCH(D2844,Projects!$A:$A,0),""))</f>
        <v/>
      </c>
    </row>
    <row r="2845" spans="31:32" x14ac:dyDescent="0.25">
      <c r="AE2845" s="39" t="str">
        <f>IF(D2845="","",IFERROR(VLOOKUP(D2845,Projects!$A$2:$A$20000,1,FALSE),""))</f>
        <v/>
      </c>
      <c r="AF2845" s="2" t="str">
        <f>IF(D2845="","",IFERROR(MATCH(D2845,Projects!$A:$A,0),""))</f>
        <v/>
      </c>
    </row>
    <row r="2846" spans="31:32" x14ac:dyDescent="0.25">
      <c r="AE2846" s="39" t="str">
        <f>IF(D2846="","",IFERROR(VLOOKUP(D2846,Projects!$A$2:$A$20000,1,FALSE),""))</f>
        <v/>
      </c>
      <c r="AF2846" s="2" t="str">
        <f>IF(D2846="","",IFERROR(MATCH(D2846,Projects!$A:$A,0),""))</f>
        <v/>
      </c>
    </row>
    <row r="2847" spans="31:32" x14ac:dyDescent="0.25">
      <c r="AE2847" s="39" t="str">
        <f>IF(D2847="","",IFERROR(VLOOKUP(D2847,Projects!$A$2:$A$20000,1,FALSE),""))</f>
        <v/>
      </c>
      <c r="AF2847" s="2" t="str">
        <f>IF(D2847="","",IFERROR(MATCH(D2847,Projects!$A:$A,0),""))</f>
        <v/>
      </c>
    </row>
    <row r="2848" spans="31:32" x14ac:dyDescent="0.25">
      <c r="AE2848" s="39" t="str">
        <f>IF(D2848="","",IFERROR(VLOOKUP(D2848,Projects!$A$2:$A$20000,1,FALSE),""))</f>
        <v/>
      </c>
      <c r="AF2848" s="2" t="str">
        <f>IF(D2848="","",IFERROR(MATCH(D2848,Projects!$A:$A,0),""))</f>
        <v/>
      </c>
    </row>
    <row r="2849" spans="31:32" x14ac:dyDescent="0.25">
      <c r="AE2849" s="39" t="str">
        <f>IF(D2849="","",IFERROR(VLOOKUP(D2849,Projects!$A$2:$A$20000,1,FALSE),""))</f>
        <v/>
      </c>
      <c r="AF2849" s="2" t="str">
        <f>IF(D2849="","",IFERROR(MATCH(D2849,Projects!$A:$A,0),""))</f>
        <v/>
      </c>
    </row>
    <row r="2850" spans="31:32" x14ac:dyDescent="0.25">
      <c r="AE2850" s="39" t="str">
        <f>IF(D2850="","",IFERROR(VLOOKUP(D2850,Projects!$A$2:$A$20000,1,FALSE),""))</f>
        <v/>
      </c>
      <c r="AF2850" s="2" t="str">
        <f>IF(D2850="","",IFERROR(MATCH(D2850,Projects!$A:$A,0),""))</f>
        <v/>
      </c>
    </row>
    <row r="2851" spans="31:32" x14ac:dyDescent="0.25">
      <c r="AE2851" s="39" t="str">
        <f>IF(D2851="","",IFERROR(VLOOKUP(D2851,Projects!$A$2:$A$20000,1,FALSE),""))</f>
        <v/>
      </c>
      <c r="AF2851" s="2" t="str">
        <f>IF(D2851="","",IFERROR(MATCH(D2851,Projects!$A:$A,0),""))</f>
        <v/>
      </c>
    </row>
    <row r="2852" spans="31:32" x14ac:dyDescent="0.25">
      <c r="AE2852" s="39" t="str">
        <f>IF(D2852="","",IFERROR(VLOOKUP(D2852,Projects!$A$2:$A$20000,1,FALSE),""))</f>
        <v/>
      </c>
      <c r="AF2852" s="2" t="str">
        <f>IF(D2852="","",IFERROR(MATCH(D2852,Projects!$A:$A,0),""))</f>
        <v/>
      </c>
    </row>
    <row r="2853" spans="31:32" x14ac:dyDescent="0.25">
      <c r="AE2853" s="39" t="str">
        <f>IF(D2853="","",IFERROR(VLOOKUP(D2853,Projects!$A$2:$A$20000,1,FALSE),""))</f>
        <v/>
      </c>
      <c r="AF2853" s="2" t="str">
        <f>IF(D2853="","",IFERROR(MATCH(D2853,Projects!$A:$A,0),""))</f>
        <v/>
      </c>
    </row>
    <row r="2854" spans="31:32" x14ac:dyDescent="0.25">
      <c r="AE2854" s="39" t="str">
        <f>IF(D2854="","",IFERROR(VLOOKUP(D2854,Projects!$A$2:$A$20000,1,FALSE),""))</f>
        <v/>
      </c>
      <c r="AF2854" s="2" t="str">
        <f>IF(D2854="","",IFERROR(MATCH(D2854,Projects!$A:$A,0),""))</f>
        <v/>
      </c>
    </row>
    <row r="2855" spans="31:32" x14ac:dyDescent="0.25">
      <c r="AE2855" s="39" t="str">
        <f>IF(D2855="","",IFERROR(VLOOKUP(D2855,Projects!$A$2:$A$20000,1,FALSE),""))</f>
        <v/>
      </c>
      <c r="AF2855" s="2" t="str">
        <f>IF(D2855="","",IFERROR(MATCH(D2855,Projects!$A:$A,0),""))</f>
        <v/>
      </c>
    </row>
    <row r="2856" spans="31:32" x14ac:dyDescent="0.25">
      <c r="AE2856" s="39" t="str">
        <f>IF(D2856="","",IFERROR(VLOOKUP(D2856,Projects!$A$2:$A$20000,1,FALSE),""))</f>
        <v/>
      </c>
      <c r="AF2856" s="2" t="str">
        <f>IF(D2856="","",IFERROR(MATCH(D2856,Projects!$A:$A,0),""))</f>
        <v/>
      </c>
    </row>
    <row r="2857" spans="31:32" x14ac:dyDescent="0.25">
      <c r="AE2857" s="39" t="str">
        <f>IF(D2857="","",IFERROR(VLOOKUP(D2857,Projects!$A$2:$A$20000,1,FALSE),""))</f>
        <v/>
      </c>
      <c r="AF2857" s="2" t="str">
        <f>IF(D2857="","",IFERROR(MATCH(D2857,Projects!$A:$A,0),""))</f>
        <v/>
      </c>
    </row>
    <row r="2858" spans="31:32" x14ac:dyDescent="0.25">
      <c r="AE2858" s="39" t="str">
        <f>IF(D2858="","",IFERROR(VLOOKUP(D2858,Projects!$A$2:$A$20000,1,FALSE),""))</f>
        <v/>
      </c>
      <c r="AF2858" s="2" t="str">
        <f>IF(D2858="","",IFERROR(MATCH(D2858,Projects!$A:$A,0),""))</f>
        <v/>
      </c>
    </row>
    <row r="2859" spans="31:32" x14ac:dyDescent="0.25">
      <c r="AE2859" s="39" t="str">
        <f>IF(D2859="","",IFERROR(VLOOKUP(D2859,Projects!$A$2:$A$20000,1,FALSE),""))</f>
        <v/>
      </c>
      <c r="AF2859" s="2" t="str">
        <f>IF(D2859="","",IFERROR(MATCH(D2859,Projects!$A:$A,0),""))</f>
        <v/>
      </c>
    </row>
    <row r="2860" spans="31:32" x14ac:dyDescent="0.25">
      <c r="AE2860" s="39" t="str">
        <f>IF(D2860="","",IFERROR(VLOOKUP(D2860,Projects!$A$2:$A$20000,1,FALSE),""))</f>
        <v/>
      </c>
      <c r="AF2860" s="2" t="str">
        <f>IF(D2860="","",IFERROR(MATCH(D2860,Projects!$A:$A,0),""))</f>
        <v/>
      </c>
    </row>
    <row r="2861" spans="31:32" x14ac:dyDescent="0.25">
      <c r="AE2861" s="39" t="str">
        <f>IF(D2861="","",IFERROR(VLOOKUP(D2861,Projects!$A$2:$A$20000,1,FALSE),""))</f>
        <v/>
      </c>
      <c r="AF2861" s="2" t="str">
        <f>IF(D2861="","",IFERROR(MATCH(D2861,Projects!$A:$A,0),""))</f>
        <v/>
      </c>
    </row>
    <row r="2862" spans="31:32" x14ac:dyDescent="0.25">
      <c r="AE2862" s="39" t="str">
        <f>IF(D2862="","",IFERROR(VLOOKUP(D2862,Projects!$A$2:$A$20000,1,FALSE),""))</f>
        <v/>
      </c>
      <c r="AF2862" s="2" t="str">
        <f>IF(D2862="","",IFERROR(MATCH(D2862,Projects!$A:$A,0),""))</f>
        <v/>
      </c>
    </row>
    <row r="2863" spans="31:32" x14ac:dyDescent="0.25">
      <c r="AE2863" s="39" t="str">
        <f>IF(D2863="","",IFERROR(VLOOKUP(D2863,Projects!$A$2:$A$20000,1,FALSE),""))</f>
        <v/>
      </c>
      <c r="AF2863" s="2" t="str">
        <f>IF(D2863="","",IFERROR(MATCH(D2863,Projects!$A:$A,0),""))</f>
        <v/>
      </c>
    </row>
    <row r="2864" spans="31:32" x14ac:dyDescent="0.25">
      <c r="AE2864" s="39" t="str">
        <f>IF(D2864="","",IFERROR(VLOOKUP(D2864,Projects!$A$2:$A$20000,1,FALSE),""))</f>
        <v/>
      </c>
      <c r="AF2864" s="2" t="str">
        <f>IF(D2864="","",IFERROR(MATCH(D2864,Projects!$A:$A,0),""))</f>
        <v/>
      </c>
    </row>
    <row r="2865" spans="31:32" x14ac:dyDescent="0.25">
      <c r="AE2865" s="39" t="str">
        <f>IF(D2865="","",IFERROR(VLOOKUP(D2865,Projects!$A$2:$A$20000,1,FALSE),""))</f>
        <v/>
      </c>
      <c r="AF2865" s="2" t="str">
        <f>IF(D2865="","",IFERROR(MATCH(D2865,Projects!$A:$A,0),""))</f>
        <v/>
      </c>
    </row>
    <row r="2866" spans="31:32" x14ac:dyDescent="0.25">
      <c r="AE2866" s="39" t="str">
        <f>IF(D2866="","",IFERROR(VLOOKUP(D2866,Projects!$A$2:$A$20000,1,FALSE),""))</f>
        <v/>
      </c>
      <c r="AF2866" s="2" t="str">
        <f>IF(D2866="","",IFERROR(MATCH(D2866,Projects!$A:$A,0),""))</f>
        <v/>
      </c>
    </row>
    <row r="2867" spans="31:32" x14ac:dyDescent="0.25">
      <c r="AE2867" s="39" t="str">
        <f>IF(D2867="","",IFERROR(VLOOKUP(D2867,Projects!$A$2:$A$20000,1,FALSE),""))</f>
        <v/>
      </c>
      <c r="AF2867" s="2" t="str">
        <f>IF(D2867="","",IFERROR(MATCH(D2867,Projects!$A:$A,0),""))</f>
        <v/>
      </c>
    </row>
    <row r="2868" spans="31:32" x14ac:dyDescent="0.25">
      <c r="AE2868" s="39" t="str">
        <f>IF(D2868="","",IFERROR(VLOOKUP(D2868,Projects!$A$2:$A$20000,1,FALSE),""))</f>
        <v/>
      </c>
      <c r="AF2868" s="2" t="str">
        <f>IF(D2868="","",IFERROR(MATCH(D2868,Projects!$A:$A,0),""))</f>
        <v/>
      </c>
    </row>
    <row r="2869" spans="31:32" x14ac:dyDescent="0.25">
      <c r="AE2869" s="39" t="str">
        <f>IF(D2869="","",IFERROR(VLOOKUP(D2869,Projects!$A$2:$A$20000,1,FALSE),""))</f>
        <v/>
      </c>
      <c r="AF2869" s="2" t="str">
        <f>IF(D2869="","",IFERROR(MATCH(D2869,Projects!$A:$A,0),""))</f>
        <v/>
      </c>
    </row>
    <row r="2870" spans="31:32" x14ac:dyDescent="0.25">
      <c r="AE2870" s="39" t="str">
        <f>IF(D2870="","",IFERROR(VLOOKUP(D2870,Projects!$A$2:$A$20000,1,FALSE),""))</f>
        <v/>
      </c>
      <c r="AF2870" s="2" t="str">
        <f>IF(D2870="","",IFERROR(MATCH(D2870,Projects!$A:$A,0),""))</f>
        <v/>
      </c>
    </row>
    <row r="2871" spans="31:32" x14ac:dyDescent="0.25">
      <c r="AE2871" s="39" t="str">
        <f>IF(D2871="","",IFERROR(VLOOKUP(D2871,Projects!$A$2:$A$20000,1,FALSE),""))</f>
        <v/>
      </c>
      <c r="AF2871" s="2" t="str">
        <f>IF(D2871="","",IFERROR(MATCH(D2871,Projects!$A:$A,0),""))</f>
        <v/>
      </c>
    </row>
    <row r="2872" spans="31:32" x14ac:dyDescent="0.25">
      <c r="AE2872" s="39" t="str">
        <f>IF(D2872="","",IFERROR(VLOOKUP(D2872,Projects!$A$2:$A$20000,1,FALSE),""))</f>
        <v/>
      </c>
      <c r="AF2872" s="2" t="str">
        <f>IF(D2872="","",IFERROR(MATCH(D2872,Projects!$A:$A,0),""))</f>
        <v/>
      </c>
    </row>
    <row r="2873" spans="31:32" x14ac:dyDescent="0.25">
      <c r="AE2873" s="39" t="str">
        <f>IF(D2873="","",IFERROR(VLOOKUP(D2873,Projects!$A$2:$A$20000,1,FALSE),""))</f>
        <v/>
      </c>
      <c r="AF2873" s="2" t="str">
        <f>IF(D2873="","",IFERROR(MATCH(D2873,Projects!$A:$A,0),""))</f>
        <v/>
      </c>
    </row>
    <row r="2874" spans="31:32" x14ac:dyDescent="0.25">
      <c r="AE2874" s="39" t="str">
        <f>IF(D2874="","",IFERROR(VLOOKUP(D2874,Projects!$A$2:$A$20000,1,FALSE),""))</f>
        <v/>
      </c>
      <c r="AF2874" s="2" t="str">
        <f>IF(D2874="","",IFERROR(MATCH(D2874,Projects!$A:$A,0),""))</f>
        <v/>
      </c>
    </row>
    <row r="2875" spans="31:32" x14ac:dyDescent="0.25">
      <c r="AE2875" s="39" t="str">
        <f>IF(D2875="","",IFERROR(VLOOKUP(D2875,Projects!$A$2:$A$20000,1,FALSE),""))</f>
        <v/>
      </c>
      <c r="AF2875" s="2" t="str">
        <f>IF(D2875="","",IFERROR(MATCH(D2875,Projects!$A:$A,0),""))</f>
        <v/>
      </c>
    </row>
    <row r="2876" spans="31:32" x14ac:dyDescent="0.25">
      <c r="AE2876" s="39" t="str">
        <f>IF(D2876="","",IFERROR(VLOOKUP(D2876,Projects!$A$2:$A$20000,1,FALSE),""))</f>
        <v/>
      </c>
      <c r="AF2876" s="2" t="str">
        <f>IF(D2876="","",IFERROR(MATCH(D2876,Projects!$A:$A,0),""))</f>
        <v/>
      </c>
    </row>
    <row r="2877" spans="31:32" x14ac:dyDescent="0.25">
      <c r="AE2877" s="39" t="str">
        <f>IF(D2877="","",IFERROR(VLOOKUP(D2877,Projects!$A$2:$A$20000,1,FALSE),""))</f>
        <v/>
      </c>
      <c r="AF2877" s="2" t="str">
        <f>IF(D2877="","",IFERROR(MATCH(D2877,Projects!$A:$A,0),""))</f>
        <v/>
      </c>
    </row>
    <row r="2878" spans="31:32" x14ac:dyDescent="0.25">
      <c r="AE2878" s="39" t="str">
        <f>IF(D2878="","",IFERROR(VLOOKUP(D2878,Projects!$A$2:$A$20000,1,FALSE),""))</f>
        <v/>
      </c>
      <c r="AF2878" s="2" t="str">
        <f>IF(D2878="","",IFERROR(MATCH(D2878,Projects!$A:$A,0),""))</f>
        <v/>
      </c>
    </row>
    <row r="2879" spans="31:32" x14ac:dyDescent="0.25">
      <c r="AE2879" s="39" t="str">
        <f>IF(D2879="","",IFERROR(VLOOKUP(D2879,Projects!$A$2:$A$20000,1,FALSE),""))</f>
        <v/>
      </c>
      <c r="AF2879" s="2" t="str">
        <f>IF(D2879="","",IFERROR(MATCH(D2879,Projects!$A:$A,0),""))</f>
        <v/>
      </c>
    </row>
    <row r="2880" spans="31:32" x14ac:dyDescent="0.25">
      <c r="AE2880" s="39" t="str">
        <f>IF(D2880="","",IFERROR(VLOOKUP(D2880,Projects!$A$2:$A$20000,1,FALSE),""))</f>
        <v/>
      </c>
      <c r="AF2880" s="2" t="str">
        <f>IF(D2880="","",IFERROR(MATCH(D2880,Projects!$A:$A,0),""))</f>
        <v/>
      </c>
    </row>
    <row r="2881" spans="31:32" x14ac:dyDescent="0.25">
      <c r="AE2881" s="39" t="str">
        <f>IF(D2881="","",IFERROR(VLOOKUP(D2881,Projects!$A$2:$A$20000,1,FALSE),""))</f>
        <v/>
      </c>
      <c r="AF2881" s="2" t="str">
        <f>IF(D2881="","",IFERROR(MATCH(D2881,Projects!$A:$A,0),""))</f>
        <v/>
      </c>
    </row>
    <row r="2882" spans="31:32" x14ac:dyDescent="0.25">
      <c r="AE2882" s="39" t="str">
        <f>IF(D2882="","",IFERROR(VLOOKUP(D2882,Projects!$A$2:$A$20000,1,FALSE),""))</f>
        <v/>
      </c>
      <c r="AF2882" s="2" t="str">
        <f>IF(D2882="","",IFERROR(MATCH(D2882,Projects!$A:$A,0),""))</f>
        <v/>
      </c>
    </row>
    <row r="2883" spans="31:32" x14ac:dyDescent="0.25">
      <c r="AE2883" s="39" t="str">
        <f>IF(D2883="","",IFERROR(VLOOKUP(D2883,Projects!$A$2:$A$20000,1,FALSE),""))</f>
        <v/>
      </c>
      <c r="AF2883" s="2" t="str">
        <f>IF(D2883="","",IFERROR(MATCH(D2883,Projects!$A:$A,0),""))</f>
        <v/>
      </c>
    </row>
    <row r="2884" spans="31:32" x14ac:dyDescent="0.25">
      <c r="AE2884" s="39" t="str">
        <f>IF(D2884="","",IFERROR(VLOOKUP(D2884,Projects!$A$2:$A$20000,1,FALSE),""))</f>
        <v/>
      </c>
      <c r="AF2884" s="2" t="str">
        <f>IF(D2884="","",IFERROR(MATCH(D2884,Projects!$A:$A,0),""))</f>
        <v/>
      </c>
    </row>
    <row r="2885" spans="31:32" x14ac:dyDescent="0.25">
      <c r="AE2885" s="39" t="str">
        <f>IF(D2885="","",IFERROR(VLOOKUP(D2885,Projects!$A$2:$A$20000,1,FALSE),""))</f>
        <v/>
      </c>
      <c r="AF2885" s="2" t="str">
        <f>IF(D2885="","",IFERROR(MATCH(D2885,Projects!$A:$A,0),""))</f>
        <v/>
      </c>
    </row>
    <row r="2886" spans="31:32" x14ac:dyDescent="0.25">
      <c r="AE2886" s="39" t="str">
        <f>IF(D2886="","",IFERROR(VLOOKUP(D2886,Projects!$A$2:$A$20000,1,FALSE),""))</f>
        <v/>
      </c>
      <c r="AF2886" s="2" t="str">
        <f>IF(D2886="","",IFERROR(MATCH(D2886,Projects!$A:$A,0),""))</f>
        <v/>
      </c>
    </row>
    <row r="2887" spans="31:32" x14ac:dyDescent="0.25">
      <c r="AE2887" s="39" t="str">
        <f>IF(D2887="","",IFERROR(VLOOKUP(D2887,Projects!$A$2:$A$20000,1,FALSE),""))</f>
        <v/>
      </c>
      <c r="AF2887" s="2" t="str">
        <f>IF(D2887="","",IFERROR(MATCH(D2887,Projects!$A:$A,0),""))</f>
        <v/>
      </c>
    </row>
    <row r="2888" spans="31:32" x14ac:dyDescent="0.25">
      <c r="AE2888" s="39" t="str">
        <f>IF(D2888="","",IFERROR(VLOOKUP(D2888,Projects!$A$2:$A$20000,1,FALSE),""))</f>
        <v/>
      </c>
      <c r="AF2888" s="2" t="str">
        <f>IF(D2888="","",IFERROR(MATCH(D2888,Projects!$A:$A,0),""))</f>
        <v/>
      </c>
    </row>
    <row r="2889" spans="31:32" x14ac:dyDescent="0.25">
      <c r="AE2889" s="39" t="str">
        <f>IF(D2889="","",IFERROR(VLOOKUP(D2889,Projects!$A$2:$A$20000,1,FALSE),""))</f>
        <v/>
      </c>
      <c r="AF2889" s="2" t="str">
        <f>IF(D2889="","",IFERROR(MATCH(D2889,Projects!$A:$A,0),""))</f>
        <v/>
      </c>
    </row>
    <row r="2890" spans="31:32" x14ac:dyDescent="0.25">
      <c r="AE2890" s="39" t="str">
        <f>IF(D2890="","",IFERROR(VLOOKUP(D2890,Projects!$A$2:$A$20000,1,FALSE),""))</f>
        <v/>
      </c>
      <c r="AF2890" s="2" t="str">
        <f>IF(D2890="","",IFERROR(MATCH(D2890,Projects!$A:$A,0),""))</f>
        <v/>
      </c>
    </row>
    <row r="2891" spans="31:32" x14ac:dyDescent="0.25">
      <c r="AE2891" s="39" t="str">
        <f>IF(D2891="","",IFERROR(VLOOKUP(D2891,Projects!$A$2:$A$20000,1,FALSE),""))</f>
        <v/>
      </c>
      <c r="AF2891" s="2" t="str">
        <f>IF(D2891="","",IFERROR(MATCH(D2891,Projects!$A:$A,0),""))</f>
        <v/>
      </c>
    </row>
    <row r="2892" spans="31:32" x14ac:dyDescent="0.25">
      <c r="AE2892" s="39" t="str">
        <f>IF(D2892="","",IFERROR(VLOOKUP(D2892,Projects!$A$2:$A$20000,1,FALSE),""))</f>
        <v/>
      </c>
      <c r="AF2892" s="2" t="str">
        <f>IF(D2892="","",IFERROR(MATCH(D2892,Projects!$A:$A,0),""))</f>
        <v/>
      </c>
    </row>
    <row r="2893" spans="31:32" x14ac:dyDescent="0.25">
      <c r="AE2893" s="39" t="str">
        <f>IF(D2893="","",IFERROR(VLOOKUP(D2893,Projects!$A$2:$A$20000,1,FALSE),""))</f>
        <v/>
      </c>
      <c r="AF2893" s="2" t="str">
        <f>IF(D2893="","",IFERROR(MATCH(D2893,Projects!$A:$A,0),""))</f>
        <v/>
      </c>
    </row>
    <row r="2894" spans="31:32" x14ac:dyDescent="0.25">
      <c r="AE2894" s="39" t="str">
        <f>IF(D2894="","",IFERROR(VLOOKUP(D2894,Projects!$A$2:$A$20000,1,FALSE),""))</f>
        <v/>
      </c>
      <c r="AF2894" s="2" t="str">
        <f>IF(D2894="","",IFERROR(MATCH(D2894,Projects!$A:$A,0),""))</f>
        <v/>
      </c>
    </row>
    <row r="2895" spans="31:32" x14ac:dyDescent="0.25">
      <c r="AE2895" s="39" t="str">
        <f>IF(D2895="","",IFERROR(VLOOKUP(D2895,Projects!$A$2:$A$20000,1,FALSE),""))</f>
        <v/>
      </c>
      <c r="AF2895" s="2" t="str">
        <f>IF(D2895="","",IFERROR(MATCH(D2895,Projects!$A:$A,0),""))</f>
        <v/>
      </c>
    </row>
    <row r="2896" spans="31:32" x14ac:dyDescent="0.25">
      <c r="AE2896" s="39" t="str">
        <f>IF(D2896="","",IFERROR(VLOOKUP(D2896,Projects!$A$2:$A$20000,1,FALSE),""))</f>
        <v/>
      </c>
      <c r="AF2896" s="2" t="str">
        <f>IF(D2896="","",IFERROR(MATCH(D2896,Projects!$A:$A,0),""))</f>
        <v/>
      </c>
    </row>
    <row r="2897" spans="31:32" x14ac:dyDescent="0.25">
      <c r="AE2897" s="39" t="str">
        <f>IF(D2897="","",IFERROR(VLOOKUP(D2897,Projects!$A$2:$A$20000,1,FALSE),""))</f>
        <v/>
      </c>
      <c r="AF2897" s="2" t="str">
        <f>IF(D2897="","",IFERROR(MATCH(D2897,Projects!$A:$A,0),""))</f>
        <v/>
      </c>
    </row>
    <row r="2898" spans="31:32" x14ac:dyDescent="0.25">
      <c r="AE2898" s="39" t="str">
        <f>IF(D2898="","",IFERROR(VLOOKUP(D2898,Projects!$A$2:$A$20000,1,FALSE),""))</f>
        <v/>
      </c>
      <c r="AF2898" s="2" t="str">
        <f>IF(D2898="","",IFERROR(MATCH(D2898,Projects!$A:$A,0),""))</f>
        <v/>
      </c>
    </row>
    <row r="2899" spans="31:32" x14ac:dyDescent="0.25">
      <c r="AE2899" s="39" t="str">
        <f>IF(D2899="","",IFERROR(VLOOKUP(D2899,Projects!$A$2:$A$20000,1,FALSE),""))</f>
        <v/>
      </c>
      <c r="AF2899" s="2" t="str">
        <f>IF(D2899="","",IFERROR(MATCH(D2899,Projects!$A:$A,0),""))</f>
        <v/>
      </c>
    </row>
    <row r="2900" spans="31:32" x14ac:dyDescent="0.25">
      <c r="AE2900" s="39" t="str">
        <f>IF(D2900="","",IFERROR(VLOOKUP(D2900,Projects!$A$2:$A$20000,1,FALSE),""))</f>
        <v/>
      </c>
      <c r="AF2900" s="2" t="str">
        <f>IF(D2900="","",IFERROR(MATCH(D2900,Projects!$A:$A,0),""))</f>
        <v/>
      </c>
    </row>
    <row r="2901" spans="31:32" x14ac:dyDescent="0.25">
      <c r="AE2901" s="39" t="str">
        <f>IF(D2901="","",IFERROR(VLOOKUP(D2901,Projects!$A$2:$A$20000,1,FALSE),""))</f>
        <v/>
      </c>
      <c r="AF2901" s="2" t="str">
        <f>IF(D2901="","",IFERROR(MATCH(D2901,Projects!$A:$A,0),""))</f>
        <v/>
      </c>
    </row>
    <row r="2902" spans="31:32" x14ac:dyDescent="0.25">
      <c r="AE2902" s="39" t="str">
        <f>IF(D2902="","",IFERROR(VLOOKUP(D2902,Projects!$A$2:$A$20000,1,FALSE),""))</f>
        <v/>
      </c>
      <c r="AF2902" s="2" t="str">
        <f>IF(D2902="","",IFERROR(MATCH(D2902,Projects!$A:$A,0),""))</f>
        <v/>
      </c>
    </row>
    <row r="2903" spans="31:32" x14ac:dyDescent="0.25">
      <c r="AE2903" s="39" t="str">
        <f>IF(D2903="","",IFERROR(VLOOKUP(D2903,Projects!$A$2:$A$20000,1,FALSE),""))</f>
        <v/>
      </c>
      <c r="AF2903" s="2" t="str">
        <f>IF(D2903="","",IFERROR(MATCH(D2903,Projects!$A:$A,0),""))</f>
        <v/>
      </c>
    </row>
    <row r="2904" spans="31:32" x14ac:dyDescent="0.25">
      <c r="AE2904" s="39" t="str">
        <f>IF(D2904="","",IFERROR(VLOOKUP(D2904,Projects!$A$2:$A$20000,1,FALSE),""))</f>
        <v/>
      </c>
      <c r="AF2904" s="2" t="str">
        <f>IF(D2904="","",IFERROR(MATCH(D2904,Projects!$A:$A,0),""))</f>
        <v/>
      </c>
    </row>
    <row r="2905" spans="31:32" x14ac:dyDescent="0.25">
      <c r="AE2905" s="39" t="str">
        <f>IF(D2905="","",IFERROR(VLOOKUP(D2905,Projects!$A$2:$A$20000,1,FALSE),""))</f>
        <v/>
      </c>
      <c r="AF2905" s="2" t="str">
        <f>IF(D2905="","",IFERROR(MATCH(D2905,Projects!$A:$A,0),""))</f>
        <v/>
      </c>
    </row>
    <row r="2906" spans="31:32" x14ac:dyDescent="0.25">
      <c r="AE2906" s="39" t="str">
        <f>IF(D2906="","",IFERROR(VLOOKUP(D2906,Projects!$A$2:$A$20000,1,FALSE),""))</f>
        <v/>
      </c>
      <c r="AF2906" s="2" t="str">
        <f>IF(D2906="","",IFERROR(MATCH(D2906,Projects!$A:$A,0),""))</f>
        <v/>
      </c>
    </row>
    <row r="2907" spans="31:32" x14ac:dyDescent="0.25">
      <c r="AE2907" s="39" t="str">
        <f>IF(D2907="","",IFERROR(VLOOKUP(D2907,Projects!$A$2:$A$20000,1,FALSE),""))</f>
        <v/>
      </c>
      <c r="AF2907" s="2" t="str">
        <f>IF(D2907="","",IFERROR(MATCH(D2907,Projects!$A:$A,0),""))</f>
        <v/>
      </c>
    </row>
    <row r="2908" spans="31:32" x14ac:dyDescent="0.25">
      <c r="AE2908" s="39" t="str">
        <f>IF(D2908="","",IFERROR(VLOOKUP(D2908,Projects!$A$2:$A$20000,1,FALSE),""))</f>
        <v/>
      </c>
      <c r="AF2908" s="2" t="str">
        <f>IF(D2908="","",IFERROR(MATCH(D2908,Projects!$A:$A,0),""))</f>
        <v/>
      </c>
    </row>
    <row r="2909" spans="31:32" x14ac:dyDescent="0.25">
      <c r="AE2909" s="39" t="str">
        <f>IF(D2909="","",IFERROR(VLOOKUP(D2909,Projects!$A$2:$A$20000,1,FALSE),""))</f>
        <v/>
      </c>
      <c r="AF2909" s="2" t="str">
        <f>IF(D2909="","",IFERROR(MATCH(D2909,Projects!$A:$A,0),""))</f>
        <v/>
      </c>
    </row>
    <row r="2910" spans="31:32" x14ac:dyDescent="0.25">
      <c r="AE2910" s="39" t="str">
        <f>IF(D2910="","",IFERROR(VLOOKUP(D2910,Projects!$A$2:$A$20000,1,FALSE),""))</f>
        <v/>
      </c>
      <c r="AF2910" s="2" t="str">
        <f>IF(D2910="","",IFERROR(MATCH(D2910,Projects!$A:$A,0),""))</f>
        <v/>
      </c>
    </row>
    <row r="2911" spans="31:32" x14ac:dyDescent="0.25">
      <c r="AE2911" s="39" t="str">
        <f>IF(D2911="","",IFERROR(VLOOKUP(D2911,Projects!$A$2:$A$20000,1,FALSE),""))</f>
        <v/>
      </c>
      <c r="AF2911" s="2" t="str">
        <f>IF(D2911="","",IFERROR(MATCH(D2911,Projects!$A:$A,0),""))</f>
        <v/>
      </c>
    </row>
    <row r="2912" spans="31:32" x14ac:dyDescent="0.25">
      <c r="AE2912" s="39" t="str">
        <f>IF(D2912="","",IFERROR(VLOOKUP(D2912,Projects!$A$2:$A$20000,1,FALSE),""))</f>
        <v/>
      </c>
      <c r="AF2912" s="2" t="str">
        <f>IF(D2912="","",IFERROR(MATCH(D2912,Projects!$A:$A,0),""))</f>
        <v/>
      </c>
    </row>
    <row r="2913" spans="31:32" x14ac:dyDescent="0.25">
      <c r="AE2913" s="39" t="str">
        <f>IF(D2913="","",IFERROR(VLOOKUP(D2913,Projects!$A$2:$A$20000,1,FALSE),""))</f>
        <v/>
      </c>
      <c r="AF2913" s="2" t="str">
        <f>IF(D2913="","",IFERROR(MATCH(D2913,Projects!$A:$A,0),""))</f>
        <v/>
      </c>
    </row>
    <row r="2914" spans="31:32" x14ac:dyDescent="0.25">
      <c r="AE2914" s="39" t="str">
        <f>IF(D2914="","",IFERROR(VLOOKUP(D2914,Projects!$A$2:$A$20000,1,FALSE),""))</f>
        <v/>
      </c>
      <c r="AF2914" s="2" t="str">
        <f>IF(D2914="","",IFERROR(MATCH(D2914,Projects!$A:$A,0),""))</f>
        <v/>
      </c>
    </row>
    <row r="2915" spans="31:32" x14ac:dyDescent="0.25">
      <c r="AE2915" s="39" t="str">
        <f>IF(D2915="","",IFERROR(VLOOKUP(D2915,Projects!$A$2:$A$20000,1,FALSE),""))</f>
        <v/>
      </c>
      <c r="AF2915" s="2" t="str">
        <f>IF(D2915="","",IFERROR(MATCH(D2915,Projects!$A:$A,0),""))</f>
        <v/>
      </c>
    </row>
    <row r="2916" spans="31:32" x14ac:dyDescent="0.25">
      <c r="AE2916" s="39" t="str">
        <f>IF(D2916="","",IFERROR(VLOOKUP(D2916,Projects!$A$2:$A$20000,1,FALSE),""))</f>
        <v/>
      </c>
      <c r="AF2916" s="2" t="str">
        <f>IF(D2916="","",IFERROR(MATCH(D2916,Projects!$A:$A,0),""))</f>
        <v/>
      </c>
    </row>
    <row r="2917" spans="31:32" x14ac:dyDescent="0.25">
      <c r="AE2917" s="39" t="str">
        <f>IF(D2917="","",IFERROR(VLOOKUP(D2917,Projects!$A$2:$A$20000,1,FALSE),""))</f>
        <v/>
      </c>
      <c r="AF2917" s="2" t="str">
        <f>IF(D2917="","",IFERROR(MATCH(D2917,Projects!$A:$A,0),""))</f>
        <v/>
      </c>
    </row>
    <row r="2918" spans="31:32" x14ac:dyDescent="0.25">
      <c r="AE2918" s="39" t="str">
        <f>IF(D2918="","",IFERROR(VLOOKUP(D2918,Projects!$A$2:$A$20000,1,FALSE),""))</f>
        <v/>
      </c>
      <c r="AF2918" s="2" t="str">
        <f>IF(D2918="","",IFERROR(MATCH(D2918,Projects!$A:$A,0),""))</f>
        <v/>
      </c>
    </row>
    <row r="2919" spans="31:32" x14ac:dyDescent="0.25">
      <c r="AE2919" s="39" t="str">
        <f>IF(D2919="","",IFERROR(VLOOKUP(D2919,Projects!$A$2:$A$20000,1,FALSE),""))</f>
        <v/>
      </c>
      <c r="AF2919" s="2" t="str">
        <f>IF(D2919="","",IFERROR(MATCH(D2919,Projects!$A:$A,0),""))</f>
        <v/>
      </c>
    </row>
    <row r="2920" spans="31:32" x14ac:dyDescent="0.25">
      <c r="AE2920" s="39" t="str">
        <f>IF(D2920="","",IFERROR(VLOOKUP(D2920,Projects!$A$2:$A$20000,1,FALSE),""))</f>
        <v/>
      </c>
      <c r="AF2920" s="2" t="str">
        <f>IF(D2920="","",IFERROR(MATCH(D2920,Projects!$A:$A,0),""))</f>
        <v/>
      </c>
    </row>
    <row r="2921" spans="31:32" x14ac:dyDescent="0.25">
      <c r="AE2921" s="39" t="str">
        <f>IF(D2921="","",IFERROR(VLOOKUP(D2921,Projects!$A$2:$A$20000,1,FALSE),""))</f>
        <v/>
      </c>
      <c r="AF2921" s="2" t="str">
        <f>IF(D2921="","",IFERROR(MATCH(D2921,Projects!$A:$A,0),""))</f>
        <v/>
      </c>
    </row>
    <row r="2922" spans="31:32" x14ac:dyDescent="0.25">
      <c r="AE2922" s="39" t="str">
        <f>IF(D2922="","",IFERROR(VLOOKUP(D2922,Projects!$A$2:$A$20000,1,FALSE),""))</f>
        <v/>
      </c>
      <c r="AF2922" s="2" t="str">
        <f>IF(D2922="","",IFERROR(MATCH(D2922,Projects!$A:$A,0),""))</f>
        <v/>
      </c>
    </row>
    <row r="2923" spans="31:32" x14ac:dyDescent="0.25">
      <c r="AE2923" s="39" t="str">
        <f>IF(D2923="","",IFERROR(VLOOKUP(D2923,Projects!$A$2:$A$20000,1,FALSE),""))</f>
        <v/>
      </c>
      <c r="AF2923" s="2" t="str">
        <f>IF(D2923="","",IFERROR(MATCH(D2923,Projects!$A:$A,0),""))</f>
        <v/>
      </c>
    </row>
    <row r="2924" spans="31:32" x14ac:dyDescent="0.25">
      <c r="AE2924" s="39" t="str">
        <f>IF(D2924="","",IFERROR(VLOOKUP(D2924,Projects!$A$2:$A$20000,1,FALSE),""))</f>
        <v/>
      </c>
      <c r="AF2924" s="2" t="str">
        <f>IF(D2924="","",IFERROR(MATCH(D2924,Projects!$A:$A,0),""))</f>
        <v/>
      </c>
    </row>
    <row r="2925" spans="31:32" x14ac:dyDescent="0.25">
      <c r="AE2925" s="39" t="str">
        <f>IF(D2925="","",IFERROR(VLOOKUP(D2925,Projects!$A$2:$A$20000,1,FALSE),""))</f>
        <v/>
      </c>
      <c r="AF2925" s="2" t="str">
        <f>IF(D2925="","",IFERROR(MATCH(D2925,Projects!$A:$A,0),""))</f>
        <v/>
      </c>
    </row>
    <row r="2926" spans="31:32" x14ac:dyDescent="0.25">
      <c r="AE2926" s="39" t="str">
        <f>IF(D2926="","",IFERROR(VLOOKUP(D2926,Projects!$A$2:$A$20000,1,FALSE),""))</f>
        <v/>
      </c>
      <c r="AF2926" s="2" t="str">
        <f>IF(D2926="","",IFERROR(MATCH(D2926,Projects!$A:$A,0),""))</f>
        <v/>
      </c>
    </row>
    <row r="2927" spans="31:32" x14ac:dyDescent="0.25">
      <c r="AE2927" s="39" t="str">
        <f>IF(D2927="","",IFERROR(VLOOKUP(D2927,Projects!$A$2:$A$20000,1,FALSE),""))</f>
        <v/>
      </c>
      <c r="AF2927" s="2" t="str">
        <f>IF(D2927="","",IFERROR(MATCH(D2927,Projects!$A:$A,0),""))</f>
        <v/>
      </c>
    </row>
    <row r="2928" spans="31:32" x14ac:dyDescent="0.25">
      <c r="AE2928" s="39" t="str">
        <f>IF(D2928="","",IFERROR(VLOOKUP(D2928,Projects!$A$2:$A$20000,1,FALSE),""))</f>
        <v/>
      </c>
      <c r="AF2928" s="2" t="str">
        <f>IF(D2928="","",IFERROR(MATCH(D2928,Projects!$A:$A,0),""))</f>
        <v/>
      </c>
    </row>
    <row r="2929" spans="31:32" x14ac:dyDescent="0.25">
      <c r="AE2929" s="39" t="str">
        <f>IF(D2929="","",IFERROR(VLOOKUP(D2929,Projects!$A$2:$A$20000,1,FALSE),""))</f>
        <v/>
      </c>
      <c r="AF2929" s="2" t="str">
        <f>IF(D2929="","",IFERROR(MATCH(D2929,Projects!$A:$A,0),""))</f>
        <v/>
      </c>
    </row>
    <row r="2930" spans="31:32" x14ac:dyDescent="0.25">
      <c r="AE2930" s="39" t="str">
        <f>IF(D2930="","",IFERROR(VLOOKUP(D2930,Projects!$A$2:$A$20000,1,FALSE),""))</f>
        <v/>
      </c>
      <c r="AF2930" s="2" t="str">
        <f>IF(D2930="","",IFERROR(MATCH(D2930,Projects!$A:$A,0),""))</f>
        <v/>
      </c>
    </row>
    <row r="2931" spans="31:32" x14ac:dyDescent="0.25">
      <c r="AE2931" s="39" t="str">
        <f>IF(D2931="","",IFERROR(VLOOKUP(D2931,Projects!$A$2:$A$20000,1,FALSE),""))</f>
        <v/>
      </c>
      <c r="AF2931" s="2" t="str">
        <f>IF(D2931="","",IFERROR(MATCH(D2931,Projects!$A:$A,0),""))</f>
        <v/>
      </c>
    </row>
    <row r="2932" spans="31:32" x14ac:dyDescent="0.25">
      <c r="AE2932" s="39" t="str">
        <f>IF(D2932="","",IFERROR(VLOOKUP(D2932,Projects!$A$2:$A$20000,1,FALSE),""))</f>
        <v/>
      </c>
      <c r="AF2932" s="2" t="str">
        <f>IF(D2932="","",IFERROR(MATCH(D2932,Projects!$A:$A,0),""))</f>
        <v/>
      </c>
    </row>
    <row r="2933" spans="31:32" x14ac:dyDescent="0.25">
      <c r="AE2933" s="39" t="str">
        <f>IF(D2933="","",IFERROR(VLOOKUP(D2933,Projects!$A$2:$A$20000,1,FALSE),""))</f>
        <v/>
      </c>
      <c r="AF2933" s="2" t="str">
        <f>IF(D2933="","",IFERROR(MATCH(D2933,Projects!$A:$A,0),""))</f>
        <v/>
      </c>
    </row>
    <row r="2934" spans="31:32" x14ac:dyDescent="0.25">
      <c r="AE2934" s="39" t="str">
        <f>IF(D2934="","",IFERROR(VLOOKUP(D2934,Projects!$A$2:$A$20000,1,FALSE),""))</f>
        <v/>
      </c>
      <c r="AF2934" s="2" t="str">
        <f>IF(D2934="","",IFERROR(MATCH(D2934,Projects!$A:$A,0),""))</f>
        <v/>
      </c>
    </row>
    <row r="2935" spans="31:32" x14ac:dyDescent="0.25">
      <c r="AE2935" s="39" t="str">
        <f>IF(D2935="","",IFERROR(VLOOKUP(D2935,Projects!$A$2:$A$20000,1,FALSE),""))</f>
        <v/>
      </c>
      <c r="AF2935" s="2" t="str">
        <f>IF(D2935="","",IFERROR(MATCH(D2935,Projects!$A:$A,0),""))</f>
        <v/>
      </c>
    </row>
    <row r="2936" spans="31:32" x14ac:dyDescent="0.25">
      <c r="AE2936" s="39" t="str">
        <f>IF(D2936="","",IFERROR(VLOOKUP(D2936,Projects!$A$2:$A$20000,1,FALSE),""))</f>
        <v/>
      </c>
      <c r="AF2936" s="2" t="str">
        <f>IF(D2936="","",IFERROR(MATCH(D2936,Projects!$A:$A,0),""))</f>
        <v/>
      </c>
    </row>
    <row r="2937" spans="31:32" x14ac:dyDescent="0.25">
      <c r="AE2937" s="39" t="str">
        <f>IF(D2937="","",IFERROR(VLOOKUP(D2937,Projects!$A$2:$A$20000,1,FALSE),""))</f>
        <v/>
      </c>
      <c r="AF2937" s="2" t="str">
        <f>IF(D2937="","",IFERROR(MATCH(D2937,Projects!$A:$A,0),""))</f>
        <v/>
      </c>
    </row>
    <row r="2938" spans="31:32" x14ac:dyDescent="0.25">
      <c r="AE2938" s="39" t="str">
        <f>IF(D2938="","",IFERROR(VLOOKUP(D2938,Projects!$A$2:$A$20000,1,FALSE),""))</f>
        <v/>
      </c>
      <c r="AF2938" s="2" t="str">
        <f>IF(D2938="","",IFERROR(MATCH(D2938,Projects!$A:$A,0),""))</f>
        <v/>
      </c>
    </row>
    <row r="2939" spans="31:32" x14ac:dyDescent="0.25">
      <c r="AE2939" s="39" t="str">
        <f>IF(D2939="","",IFERROR(VLOOKUP(D2939,Projects!$A$2:$A$20000,1,FALSE),""))</f>
        <v/>
      </c>
      <c r="AF2939" s="2" t="str">
        <f>IF(D2939="","",IFERROR(MATCH(D2939,Projects!$A:$A,0),""))</f>
        <v/>
      </c>
    </row>
    <row r="2940" spans="31:32" x14ac:dyDescent="0.25">
      <c r="AE2940" s="39" t="str">
        <f>IF(D2940="","",IFERROR(VLOOKUP(D2940,Projects!$A$2:$A$20000,1,FALSE),""))</f>
        <v/>
      </c>
      <c r="AF2940" s="2" t="str">
        <f>IF(D2940="","",IFERROR(MATCH(D2940,Projects!$A:$A,0),""))</f>
        <v/>
      </c>
    </row>
    <row r="2941" spans="31:32" x14ac:dyDescent="0.25">
      <c r="AE2941" s="39" t="str">
        <f>IF(D2941="","",IFERROR(VLOOKUP(D2941,Projects!$A$2:$A$20000,1,FALSE),""))</f>
        <v/>
      </c>
      <c r="AF2941" s="2" t="str">
        <f>IF(D2941="","",IFERROR(MATCH(D2941,Projects!$A:$A,0),""))</f>
        <v/>
      </c>
    </row>
    <row r="2942" spans="31:32" x14ac:dyDescent="0.25">
      <c r="AE2942" s="39" t="str">
        <f>IF(D2942="","",IFERROR(VLOOKUP(D2942,Projects!$A$2:$A$20000,1,FALSE),""))</f>
        <v/>
      </c>
      <c r="AF2942" s="2" t="str">
        <f>IF(D2942="","",IFERROR(MATCH(D2942,Projects!$A:$A,0),""))</f>
        <v/>
      </c>
    </row>
    <row r="2943" spans="31:32" x14ac:dyDescent="0.25">
      <c r="AE2943" s="39" t="str">
        <f>IF(D2943="","",IFERROR(VLOOKUP(D2943,Projects!$A$2:$A$20000,1,FALSE),""))</f>
        <v/>
      </c>
      <c r="AF2943" s="2" t="str">
        <f>IF(D2943="","",IFERROR(MATCH(D2943,Projects!$A:$A,0),""))</f>
        <v/>
      </c>
    </row>
    <row r="2944" spans="31:32" x14ac:dyDescent="0.25">
      <c r="AE2944" s="39" t="str">
        <f>IF(D2944="","",IFERROR(VLOOKUP(D2944,Projects!$A$2:$A$20000,1,FALSE),""))</f>
        <v/>
      </c>
      <c r="AF2944" s="2" t="str">
        <f>IF(D2944="","",IFERROR(MATCH(D2944,Projects!$A:$A,0),""))</f>
        <v/>
      </c>
    </row>
    <row r="2945" spans="31:32" x14ac:dyDescent="0.25">
      <c r="AE2945" s="39" t="str">
        <f>IF(D2945="","",IFERROR(VLOOKUP(D2945,Projects!$A$2:$A$20000,1,FALSE),""))</f>
        <v/>
      </c>
      <c r="AF2945" s="2" t="str">
        <f>IF(D2945="","",IFERROR(MATCH(D2945,Projects!$A:$A,0),""))</f>
        <v/>
      </c>
    </row>
    <row r="2946" spans="31:32" x14ac:dyDescent="0.25">
      <c r="AE2946" s="39" t="str">
        <f>IF(D2946="","",IFERROR(VLOOKUP(D2946,Projects!$A$2:$A$20000,1,FALSE),""))</f>
        <v/>
      </c>
      <c r="AF2946" s="2" t="str">
        <f>IF(D2946="","",IFERROR(MATCH(D2946,Projects!$A:$A,0),""))</f>
        <v/>
      </c>
    </row>
    <row r="2947" spans="31:32" x14ac:dyDescent="0.25">
      <c r="AE2947" s="39" t="str">
        <f>IF(D2947="","",IFERROR(VLOOKUP(D2947,Projects!$A$2:$A$20000,1,FALSE),""))</f>
        <v/>
      </c>
      <c r="AF2947" s="2" t="str">
        <f>IF(D2947="","",IFERROR(MATCH(D2947,Projects!$A:$A,0),""))</f>
        <v/>
      </c>
    </row>
    <row r="2948" spans="31:32" x14ac:dyDescent="0.25">
      <c r="AE2948" s="39" t="str">
        <f>IF(D2948="","",IFERROR(VLOOKUP(D2948,Projects!$A$2:$A$20000,1,FALSE),""))</f>
        <v/>
      </c>
      <c r="AF2948" s="2" t="str">
        <f>IF(D2948="","",IFERROR(MATCH(D2948,Projects!$A:$A,0),""))</f>
        <v/>
      </c>
    </row>
    <row r="2949" spans="31:32" x14ac:dyDescent="0.25">
      <c r="AE2949" s="39" t="str">
        <f>IF(D2949="","",IFERROR(VLOOKUP(D2949,Projects!$A$2:$A$20000,1,FALSE),""))</f>
        <v/>
      </c>
      <c r="AF2949" s="2" t="str">
        <f>IF(D2949="","",IFERROR(MATCH(D2949,Projects!$A:$A,0),""))</f>
        <v/>
      </c>
    </row>
    <row r="2950" spans="31:32" x14ac:dyDescent="0.25">
      <c r="AE2950" s="39" t="str">
        <f>IF(D2950="","",IFERROR(VLOOKUP(D2950,Projects!$A$2:$A$20000,1,FALSE),""))</f>
        <v/>
      </c>
      <c r="AF2950" s="2" t="str">
        <f>IF(D2950="","",IFERROR(MATCH(D2950,Projects!$A:$A,0),""))</f>
        <v/>
      </c>
    </row>
    <row r="2951" spans="31:32" x14ac:dyDescent="0.25">
      <c r="AE2951" s="39" t="str">
        <f>IF(D2951="","",IFERROR(VLOOKUP(D2951,Projects!$A$2:$A$20000,1,FALSE),""))</f>
        <v/>
      </c>
      <c r="AF2951" s="2" t="str">
        <f>IF(D2951="","",IFERROR(MATCH(D2951,Projects!$A:$A,0),""))</f>
        <v/>
      </c>
    </row>
    <row r="2952" spans="31:32" x14ac:dyDescent="0.25">
      <c r="AE2952" s="39" t="str">
        <f>IF(D2952="","",IFERROR(VLOOKUP(D2952,Projects!$A$2:$A$20000,1,FALSE),""))</f>
        <v/>
      </c>
      <c r="AF2952" s="2" t="str">
        <f>IF(D2952="","",IFERROR(MATCH(D2952,Projects!$A:$A,0),""))</f>
        <v/>
      </c>
    </row>
    <row r="2953" spans="31:32" x14ac:dyDescent="0.25">
      <c r="AE2953" s="39" t="str">
        <f>IF(D2953="","",IFERROR(VLOOKUP(D2953,Projects!$A$2:$A$20000,1,FALSE),""))</f>
        <v/>
      </c>
      <c r="AF2953" s="2" t="str">
        <f>IF(D2953="","",IFERROR(MATCH(D2953,Projects!$A:$A,0),""))</f>
        <v/>
      </c>
    </row>
    <row r="2954" spans="31:32" x14ac:dyDescent="0.25">
      <c r="AE2954" s="39" t="str">
        <f>IF(D2954="","",IFERROR(VLOOKUP(D2954,Projects!$A$2:$A$20000,1,FALSE),""))</f>
        <v/>
      </c>
      <c r="AF2954" s="2" t="str">
        <f>IF(D2954="","",IFERROR(MATCH(D2954,Projects!$A:$A,0),""))</f>
        <v/>
      </c>
    </row>
    <row r="2955" spans="31:32" x14ac:dyDescent="0.25">
      <c r="AE2955" s="39" t="str">
        <f>IF(D2955="","",IFERROR(VLOOKUP(D2955,Projects!$A$2:$A$20000,1,FALSE),""))</f>
        <v/>
      </c>
      <c r="AF2955" s="2" t="str">
        <f>IF(D2955="","",IFERROR(MATCH(D2955,Projects!$A:$A,0),""))</f>
        <v/>
      </c>
    </row>
    <row r="2956" spans="31:32" x14ac:dyDescent="0.25">
      <c r="AE2956" s="39" t="str">
        <f>IF(D2956="","",IFERROR(VLOOKUP(D2956,Projects!$A$2:$A$20000,1,FALSE),""))</f>
        <v/>
      </c>
      <c r="AF2956" s="2" t="str">
        <f>IF(D2956="","",IFERROR(MATCH(D2956,Projects!$A:$A,0),""))</f>
        <v/>
      </c>
    </row>
    <row r="2957" spans="31:32" x14ac:dyDescent="0.25">
      <c r="AE2957" s="39" t="str">
        <f>IF(D2957="","",IFERROR(VLOOKUP(D2957,Projects!$A$2:$A$20000,1,FALSE),""))</f>
        <v/>
      </c>
      <c r="AF2957" s="2" t="str">
        <f>IF(D2957="","",IFERROR(MATCH(D2957,Projects!$A:$A,0),""))</f>
        <v/>
      </c>
    </row>
    <row r="2958" spans="31:32" x14ac:dyDescent="0.25">
      <c r="AE2958" s="39" t="str">
        <f>IF(D2958="","",IFERROR(VLOOKUP(D2958,Projects!$A$2:$A$20000,1,FALSE),""))</f>
        <v/>
      </c>
      <c r="AF2958" s="2" t="str">
        <f>IF(D2958="","",IFERROR(MATCH(D2958,Projects!$A:$A,0),""))</f>
        <v/>
      </c>
    </row>
    <row r="2959" spans="31:32" x14ac:dyDescent="0.25">
      <c r="AE2959" s="39" t="str">
        <f>IF(D2959="","",IFERROR(VLOOKUP(D2959,Projects!$A$2:$A$20000,1,FALSE),""))</f>
        <v/>
      </c>
      <c r="AF2959" s="2" t="str">
        <f>IF(D2959="","",IFERROR(MATCH(D2959,Projects!$A:$A,0),""))</f>
        <v/>
      </c>
    </row>
    <row r="2960" spans="31:32" x14ac:dyDescent="0.25">
      <c r="AE2960" s="39" t="str">
        <f>IF(D2960="","",IFERROR(VLOOKUP(D2960,Projects!$A$2:$A$20000,1,FALSE),""))</f>
        <v/>
      </c>
      <c r="AF2960" s="2" t="str">
        <f>IF(D2960="","",IFERROR(MATCH(D2960,Projects!$A:$A,0),""))</f>
        <v/>
      </c>
    </row>
    <row r="2961" spans="31:32" x14ac:dyDescent="0.25">
      <c r="AE2961" s="39" t="str">
        <f>IF(D2961="","",IFERROR(VLOOKUP(D2961,Projects!$A$2:$A$20000,1,FALSE),""))</f>
        <v/>
      </c>
      <c r="AF2961" s="2" t="str">
        <f>IF(D2961="","",IFERROR(MATCH(D2961,Projects!$A:$A,0),""))</f>
        <v/>
      </c>
    </row>
    <row r="2962" spans="31:32" x14ac:dyDescent="0.25">
      <c r="AE2962" s="39" t="str">
        <f>IF(D2962="","",IFERROR(VLOOKUP(D2962,Projects!$A$2:$A$20000,1,FALSE),""))</f>
        <v/>
      </c>
      <c r="AF2962" s="2" t="str">
        <f>IF(D2962="","",IFERROR(MATCH(D2962,Projects!$A:$A,0),""))</f>
        <v/>
      </c>
    </row>
    <row r="2963" spans="31:32" x14ac:dyDescent="0.25">
      <c r="AE2963" s="39" t="str">
        <f>IF(D2963="","",IFERROR(VLOOKUP(D2963,Projects!$A$2:$A$20000,1,FALSE),""))</f>
        <v/>
      </c>
      <c r="AF2963" s="2" t="str">
        <f>IF(D2963="","",IFERROR(MATCH(D2963,Projects!$A:$A,0),""))</f>
        <v/>
      </c>
    </row>
    <row r="2964" spans="31:32" x14ac:dyDescent="0.25">
      <c r="AE2964" s="39" t="str">
        <f>IF(D2964="","",IFERROR(VLOOKUP(D2964,Projects!$A$2:$A$20000,1,FALSE),""))</f>
        <v/>
      </c>
      <c r="AF2964" s="2" t="str">
        <f>IF(D2964="","",IFERROR(MATCH(D2964,Projects!$A:$A,0),""))</f>
        <v/>
      </c>
    </row>
    <row r="2965" spans="31:32" x14ac:dyDescent="0.25">
      <c r="AE2965" s="39" t="str">
        <f>IF(D2965="","",IFERROR(VLOOKUP(D2965,Projects!$A$2:$A$20000,1,FALSE),""))</f>
        <v/>
      </c>
      <c r="AF2965" s="2" t="str">
        <f>IF(D2965="","",IFERROR(MATCH(D2965,Projects!$A:$A,0),""))</f>
        <v/>
      </c>
    </row>
    <row r="2966" spans="31:32" x14ac:dyDescent="0.25">
      <c r="AE2966" s="39" t="str">
        <f>IF(D2966="","",IFERROR(VLOOKUP(D2966,Projects!$A$2:$A$20000,1,FALSE),""))</f>
        <v/>
      </c>
      <c r="AF2966" s="2" t="str">
        <f>IF(D2966="","",IFERROR(MATCH(D2966,Projects!$A:$A,0),""))</f>
        <v/>
      </c>
    </row>
    <row r="2967" spans="31:32" x14ac:dyDescent="0.25">
      <c r="AE2967" s="39" t="str">
        <f>IF(D2967="","",IFERROR(VLOOKUP(D2967,Projects!$A$2:$A$20000,1,FALSE),""))</f>
        <v/>
      </c>
      <c r="AF2967" s="2" t="str">
        <f>IF(D2967="","",IFERROR(MATCH(D2967,Projects!$A:$A,0),""))</f>
        <v/>
      </c>
    </row>
    <row r="2968" spans="31:32" x14ac:dyDescent="0.25">
      <c r="AE2968" s="39" t="str">
        <f>IF(D2968="","",IFERROR(VLOOKUP(D2968,Projects!$A$2:$A$20000,1,FALSE),""))</f>
        <v/>
      </c>
      <c r="AF2968" s="2" t="str">
        <f>IF(D2968="","",IFERROR(MATCH(D2968,Projects!$A:$A,0),""))</f>
        <v/>
      </c>
    </row>
    <row r="2969" spans="31:32" x14ac:dyDescent="0.25">
      <c r="AE2969" s="39" t="str">
        <f>IF(D2969="","",IFERROR(VLOOKUP(D2969,Projects!$A$2:$A$20000,1,FALSE),""))</f>
        <v/>
      </c>
      <c r="AF2969" s="2" t="str">
        <f>IF(D2969="","",IFERROR(MATCH(D2969,Projects!$A:$A,0),""))</f>
        <v/>
      </c>
    </row>
    <row r="2970" spans="31:32" x14ac:dyDescent="0.25">
      <c r="AE2970" s="39" t="str">
        <f>IF(D2970="","",IFERROR(VLOOKUP(D2970,Projects!$A$2:$A$20000,1,FALSE),""))</f>
        <v/>
      </c>
      <c r="AF2970" s="2" t="str">
        <f>IF(D2970="","",IFERROR(MATCH(D2970,Projects!$A:$A,0),""))</f>
        <v/>
      </c>
    </row>
    <row r="2971" spans="31:32" x14ac:dyDescent="0.25">
      <c r="AE2971" s="39" t="str">
        <f>IF(D2971="","",IFERROR(VLOOKUP(D2971,Projects!$A$2:$A$20000,1,FALSE),""))</f>
        <v/>
      </c>
      <c r="AF2971" s="2" t="str">
        <f>IF(D2971="","",IFERROR(MATCH(D2971,Projects!$A:$A,0),""))</f>
        <v/>
      </c>
    </row>
    <row r="2972" spans="31:32" x14ac:dyDescent="0.25">
      <c r="AE2972" s="39" t="str">
        <f>IF(D2972="","",IFERROR(VLOOKUP(D2972,Projects!$A$2:$A$20000,1,FALSE),""))</f>
        <v/>
      </c>
      <c r="AF2972" s="2" t="str">
        <f>IF(D2972="","",IFERROR(MATCH(D2972,Projects!$A:$A,0),""))</f>
        <v/>
      </c>
    </row>
    <row r="2973" spans="31:32" x14ac:dyDescent="0.25">
      <c r="AE2973" s="39" t="str">
        <f>IF(D2973="","",IFERROR(VLOOKUP(D2973,Projects!$A$2:$A$20000,1,FALSE),""))</f>
        <v/>
      </c>
      <c r="AF2973" s="2" t="str">
        <f>IF(D2973="","",IFERROR(MATCH(D2973,Projects!$A:$A,0),""))</f>
        <v/>
      </c>
    </row>
    <row r="2974" spans="31:32" x14ac:dyDescent="0.25">
      <c r="AE2974" s="39" t="str">
        <f>IF(D2974="","",IFERROR(VLOOKUP(D2974,Projects!$A$2:$A$20000,1,FALSE),""))</f>
        <v/>
      </c>
      <c r="AF2974" s="2" t="str">
        <f>IF(D2974="","",IFERROR(MATCH(D2974,Projects!$A:$A,0),""))</f>
        <v/>
      </c>
    </row>
    <row r="2975" spans="31:32" x14ac:dyDescent="0.25">
      <c r="AE2975" s="39" t="str">
        <f>IF(D2975="","",IFERROR(VLOOKUP(D2975,Projects!$A$2:$A$20000,1,FALSE),""))</f>
        <v/>
      </c>
      <c r="AF2975" s="2" t="str">
        <f>IF(D2975="","",IFERROR(MATCH(D2975,Projects!$A:$A,0),""))</f>
        <v/>
      </c>
    </row>
    <row r="2976" spans="31:32" x14ac:dyDescent="0.25">
      <c r="AE2976" s="39" t="str">
        <f>IF(D2976="","",IFERROR(VLOOKUP(D2976,Projects!$A$2:$A$20000,1,FALSE),""))</f>
        <v/>
      </c>
      <c r="AF2976" s="2" t="str">
        <f>IF(D2976="","",IFERROR(MATCH(D2976,Projects!$A:$A,0),""))</f>
        <v/>
      </c>
    </row>
    <row r="2977" spans="31:32" x14ac:dyDescent="0.25">
      <c r="AE2977" s="39" t="str">
        <f>IF(D2977="","",IFERROR(VLOOKUP(D2977,Projects!$A$2:$A$20000,1,FALSE),""))</f>
        <v/>
      </c>
      <c r="AF2977" s="2" t="str">
        <f>IF(D2977="","",IFERROR(MATCH(D2977,Projects!$A:$A,0),""))</f>
        <v/>
      </c>
    </row>
    <row r="2978" spans="31:32" x14ac:dyDescent="0.25">
      <c r="AE2978" s="39" t="str">
        <f>IF(D2978="","",IFERROR(VLOOKUP(D2978,Projects!$A$2:$A$20000,1,FALSE),""))</f>
        <v/>
      </c>
      <c r="AF2978" s="2" t="str">
        <f>IF(D2978="","",IFERROR(MATCH(D2978,Projects!$A:$A,0),""))</f>
        <v/>
      </c>
    </row>
    <row r="2979" spans="31:32" x14ac:dyDescent="0.25">
      <c r="AE2979" s="39" t="str">
        <f>IF(D2979="","",IFERROR(VLOOKUP(D2979,Projects!$A$2:$A$20000,1,FALSE),""))</f>
        <v/>
      </c>
      <c r="AF2979" s="2" t="str">
        <f>IF(D2979="","",IFERROR(MATCH(D2979,Projects!$A:$A,0),""))</f>
        <v/>
      </c>
    </row>
    <row r="2980" spans="31:32" x14ac:dyDescent="0.25">
      <c r="AE2980" s="39" t="str">
        <f>IF(D2980="","",IFERROR(VLOOKUP(D2980,Projects!$A$2:$A$20000,1,FALSE),""))</f>
        <v/>
      </c>
      <c r="AF2980" s="2" t="str">
        <f>IF(D2980="","",IFERROR(MATCH(D2980,Projects!$A:$A,0),""))</f>
        <v/>
      </c>
    </row>
    <row r="2981" spans="31:32" x14ac:dyDescent="0.25">
      <c r="AE2981" s="39" t="str">
        <f>IF(D2981="","",IFERROR(VLOOKUP(D2981,Projects!$A$2:$A$20000,1,FALSE),""))</f>
        <v/>
      </c>
      <c r="AF2981" s="2" t="str">
        <f>IF(D2981="","",IFERROR(MATCH(D2981,Projects!$A:$A,0),""))</f>
        <v/>
      </c>
    </row>
    <row r="2982" spans="31:32" x14ac:dyDescent="0.25">
      <c r="AE2982" s="39" t="str">
        <f>IF(D2982="","",IFERROR(VLOOKUP(D2982,Projects!$A$2:$A$20000,1,FALSE),""))</f>
        <v/>
      </c>
      <c r="AF2982" s="2" t="str">
        <f>IF(D2982="","",IFERROR(MATCH(D2982,Projects!$A:$A,0),""))</f>
        <v/>
      </c>
    </row>
    <row r="2983" spans="31:32" x14ac:dyDescent="0.25">
      <c r="AE2983" s="39" t="str">
        <f>IF(D2983="","",IFERROR(VLOOKUP(D2983,Projects!$A$2:$A$20000,1,FALSE),""))</f>
        <v/>
      </c>
      <c r="AF2983" s="2" t="str">
        <f>IF(D2983="","",IFERROR(MATCH(D2983,Projects!$A:$A,0),""))</f>
        <v/>
      </c>
    </row>
    <row r="2984" spans="31:32" x14ac:dyDescent="0.25">
      <c r="AE2984" s="39" t="str">
        <f>IF(D2984="","",IFERROR(VLOOKUP(D2984,Projects!$A$2:$A$20000,1,FALSE),""))</f>
        <v/>
      </c>
      <c r="AF2984" s="2" t="str">
        <f>IF(D2984="","",IFERROR(MATCH(D2984,Projects!$A:$A,0),""))</f>
        <v/>
      </c>
    </row>
    <row r="2985" spans="31:32" x14ac:dyDescent="0.25">
      <c r="AE2985" s="39" t="str">
        <f>IF(D2985="","",IFERROR(VLOOKUP(D2985,Projects!$A$2:$A$20000,1,FALSE),""))</f>
        <v/>
      </c>
      <c r="AF2985" s="2" t="str">
        <f>IF(D2985="","",IFERROR(MATCH(D2985,Projects!$A:$A,0),""))</f>
        <v/>
      </c>
    </row>
    <row r="2986" spans="31:32" x14ac:dyDescent="0.25">
      <c r="AE2986" s="39" t="str">
        <f>IF(D2986="","",IFERROR(VLOOKUP(D2986,Projects!$A$2:$A$20000,1,FALSE),""))</f>
        <v/>
      </c>
      <c r="AF2986" s="2" t="str">
        <f>IF(D2986="","",IFERROR(MATCH(D2986,Projects!$A:$A,0),""))</f>
        <v/>
      </c>
    </row>
    <row r="2987" spans="31:32" x14ac:dyDescent="0.25">
      <c r="AE2987" s="39" t="str">
        <f>IF(D2987="","",IFERROR(VLOOKUP(D2987,Projects!$A$2:$A$20000,1,FALSE),""))</f>
        <v/>
      </c>
      <c r="AF2987" s="2" t="str">
        <f>IF(D2987="","",IFERROR(MATCH(D2987,Projects!$A:$A,0),""))</f>
        <v/>
      </c>
    </row>
    <row r="2988" spans="31:32" x14ac:dyDescent="0.25">
      <c r="AE2988" s="39" t="str">
        <f>IF(D2988="","",IFERROR(VLOOKUP(D2988,Projects!$A$2:$A$20000,1,FALSE),""))</f>
        <v/>
      </c>
      <c r="AF2988" s="2" t="str">
        <f>IF(D2988="","",IFERROR(MATCH(D2988,Projects!$A:$A,0),""))</f>
        <v/>
      </c>
    </row>
    <row r="2989" spans="31:32" x14ac:dyDescent="0.25">
      <c r="AE2989" s="39" t="str">
        <f>IF(D2989="","",IFERROR(VLOOKUP(D2989,Projects!$A$2:$A$20000,1,FALSE),""))</f>
        <v/>
      </c>
      <c r="AF2989" s="2" t="str">
        <f>IF(D2989="","",IFERROR(MATCH(D2989,Projects!$A:$A,0),""))</f>
        <v/>
      </c>
    </row>
    <row r="2990" spans="31:32" x14ac:dyDescent="0.25">
      <c r="AE2990" s="39" t="str">
        <f>IF(D2990="","",IFERROR(VLOOKUP(D2990,Projects!$A$2:$A$20000,1,FALSE),""))</f>
        <v/>
      </c>
      <c r="AF2990" s="2" t="str">
        <f>IF(D2990="","",IFERROR(MATCH(D2990,Projects!$A:$A,0),""))</f>
        <v/>
      </c>
    </row>
    <row r="2991" spans="31:32" x14ac:dyDescent="0.25">
      <c r="AE2991" s="39" t="str">
        <f>IF(D2991="","",IFERROR(VLOOKUP(D2991,Projects!$A$2:$A$20000,1,FALSE),""))</f>
        <v/>
      </c>
      <c r="AF2991" s="2" t="str">
        <f>IF(D2991="","",IFERROR(MATCH(D2991,Projects!$A:$A,0),""))</f>
        <v/>
      </c>
    </row>
    <row r="2992" spans="31:32" x14ac:dyDescent="0.25">
      <c r="AE2992" s="39" t="str">
        <f>IF(D2992="","",IFERROR(VLOOKUP(D2992,Projects!$A$2:$A$20000,1,FALSE),""))</f>
        <v/>
      </c>
      <c r="AF2992" s="2" t="str">
        <f>IF(D2992="","",IFERROR(MATCH(D2992,Projects!$A:$A,0),""))</f>
        <v/>
      </c>
    </row>
    <row r="2993" spans="31:32" x14ac:dyDescent="0.25">
      <c r="AE2993" s="39" t="str">
        <f>IF(D2993="","",IFERROR(VLOOKUP(D2993,Projects!$A$2:$A$20000,1,FALSE),""))</f>
        <v/>
      </c>
      <c r="AF2993" s="2" t="str">
        <f>IF(D2993="","",IFERROR(MATCH(D2993,Projects!$A:$A,0),""))</f>
        <v/>
      </c>
    </row>
    <row r="2994" spans="31:32" x14ac:dyDescent="0.25">
      <c r="AE2994" s="39" t="str">
        <f>IF(D2994="","",IFERROR(VLOOKUP(D2994,Projects!$A$2:$A$20000,1,FALSE),""))</f>
        <v/>
      </c>
      <c r="AF2994" s="2" t="str">
        <f>IF(D2994="","",IFERROR(MATCH(D2994,Projects!$A:$A,0),""))</f>
        <v/>
      </c>
    </row>
    <row r="2995" spans="31:32" x14ac:dyDescent="0.25">
      <c r="AE2995" s="39" t="str">
        <f>IF(D2995="","",IFERROR(VLOOKUP(D2995,Projects!$A$2:$A$20000,1,FALSE),""))</f>
        <v/>
      </c>
      <c r="AF2995" s="2" t="str">
        <f>IF(D2995="","",IFERROR(MATCH(D2995,Projects!$A:$A,0),""))</f>
        <v/>
      </c>
    </row>
    <row r="2996" spans="31:32" x14ac:dyDescent="0.25">
      <c r="AE2996" s="39" t="str">
        <f>IF(D2996="","",IFERROR(VLOOKUP(D2996,Projects!$A$2:$A$20000,1,FALSE),""))</f>
        <v/>
      </c>
      <c r="AF2996" s="2" t="str">
        <f>IF(D2996="","",IFERROR(MATCH(D2996,Projects!$A:$A,0),""))</f>
        <v/>
      </c>
    </row>
    <row r="2997" spans="31:32" x14ac:dyDescent="0.25">
      <c r="AE2997" s="39" t="str">
        <f>IF(D2997="","",IFERROR(VLOOKUP(D2997,Projects!$A$2:$A$20000,1,FALSE),""))</f>
        <v/>
      </c>
      <c r="AF2997" s="2" t="str">
        <f>IF(D2997="","",IFERROR(MATCH(D2997,Projects!$A:$A,0),""))</f>
        <v/>
      </c>
    </row>
    <row r="2998" spans="31:32" x14ac:dyDescent="0.25">
      <c r="AE2998" s="39" t="str">
        <f>IF(D2998="","",IFERROR(VLOOKUP(D2998,Projects!$A$2:$A$20000,1,FALSE),""))</f>
        <v/>
      </c>
      <c r="AF2998" s="2" t="str">
        <f>IF(D2998="","",IFERROR(MATCH(D2998,Projects!$A:$A,0),""))</f>
        <v/>
      </c>
    </row>
    <row r="2999" spans="31:32" x14ac:dyDescent="0.25">
      <c r="AE2999" s="39" t="str">
        <f>IF(D2999="","",IFERROR(VLOOKUP(D2999,Projects!$A$2:$A$20000,1,FALSE),""))</f>
        <v/>
      </c>
      <c r="AF2999" s="2" t="str">
        <f>IF(D2999="","",IFERROR(MATCH(D2999,Projects!$A:$A,0),""))</f>
        <v/>
      </c>
    </row>
    <row r="3000" spans="31:32" x14ac:dyDescent="0.25">
      <c r="AE3000" s="39" t="str">
        <f>IF(D3000="","",IFERROR(VLOOKUP(D3000,Projects!$A$2:$A$20000,1,FALSE),""))</f>
        <v/>
      </c>
      <c r="AF3000" s="2" t="str">
        <f>IF(D3000="","",IFERROR(MATCH(D3000,Projects!$A:$A,0),""))</f>
        <v/>
      </c>
    </row>
    <row r="3001" spans="31:32" x14ac:dyDescent="0.25">
      <c r="AE3001" s="39" t="str">
        <f>IF(D3001="","",IFERROR(VLOOKUP(D3001,Projects!$A$2:$A$20000,1,FALSE),""))</f>
        <v/>
      </c>
      <c r="AF3001" s="2" t="str">
        <f>IF(D3001="","",IFERROR(MATCH(D3001,Projects!$A:$A,0),""))</f>
        <v/>
      </c>
    </row>
    <row r="3002" spans="31:32" x14ac:dyDescent="0.25">
      <c r="AE3002" s="39" t="str">
        <f>IF(D3002="","",IFERROR(VLOOKUP(D3002,Projects!$A$2:$A$20000,1,FALSE),""))</f>
        <v/>
      </c>
      <c r="AF3002" s="2" t="str">
        <f>IF(D3002="","",IFERROR(MATCH(D3002,Projects!$A:$A,0),""))</f>
        <v/>
      </c>
    </row>
    <row r="3003" spans="31:32" x14ac:dyDescent="0.25">
      <c r="AE3003" s="39" t="str">
        <f>IF(D3003="","",IFERROR(VLOOKUP(D3003,Projects!$A$2:$A$20000,1,FALSE),""))</f>
        <v/>
      </c>
      <c r="AF3003" s="2" t="str">
        <f>IF(D3003="","",IFERROR(MATCH(D3003,Projects!$A:$A,0),""))</f>
        <v/>
      </c>
    </row>
    <row r="3004" spans="31:32" x14ac:dyDescent="0.25">
      <c r="AE3004" s="39" t="str">
        <f>IF(D3004="","",IFERROR(VLOOKUP(D3004,Projects!$A$2:$A$20000,1,FALSE),""))</f>
        <v/>
      </c>
      <c r="AF3004" s="2" t="str">
        <f>IF(D3004="","",IFERROR(MATCH(D3004,Projects!$A:$A,0),""))</f>
        <v/>
      </c>
    </row>
    <row r="3005" spans="31:32" x14ac:dyDescent="0.25">
      <c r="AE3005" s="39" t="str">
        <f>IF(D3005="","",IFERROR(VLOOKUP(D3005,Projects!$A$2:$A$20000,1,FALSE),""))</f>
        <v/>
      </c>
      <c r="AF3005" s="2" t="str">
        <f>IF(D3005="","",IFERROR(MATCH(D3005,Projects!$A:$A,0),""))</f>
        <v/>
      </c>
    </row>
    <row r="3006" spans="31:32" x14ac:dyDescent="0.25">
      <c r="AE3006" s="39" t="str">
        <f>IF(D3006="","",IFERROR(VLOOKUP(D3006,Projects!$A$2:$A$20000,1,FALSE),""))</f>
        <v/>
      </c>
      <c r="AF3006" s="2" t="str">
        <f>IF(D3006="","",IFERROR(MATCH(D3006,Projects!$A:$A,0),""))</f>
        <v/>
      </c>
    </row>
    <row r="3007" spans="31:32" x14ac:dyDescent="0.25">
      <c r="AE3007" s="39" t="str">
        <f>IF(D3007="","",IFERROR(VLOOKUP(D3007,Projects!$A$2:$A$20000,1,FALSE),""))</f>
        <v/>
      </c>
      <c r="AF3007" s="2" t="str">
        <f>IF(D3007="","",IFERROR(MATCH(D3007,Projects!$A:$A,0),""))</f>
        <v/>
      </c>
    </row>
    <row r="3008" spans="31:32" x14ac:dyDescent="0.25">
      <c r="AE3008" s="39" t="str">
        <f>IF(D3008="","",IFERROR(VLOOKUP(D3008,Projects!$A$2:$A$20000,1,FALSE),""))</f>
        <v/>
      </c>
      <c r="AF3008" s="2" t="str">
        <f>IF(D3008="","",IFERROR(MATCH(D3008,Projects!$A:$A,0),""))</f>
        <v/>
      </c>
    </row>
    <row r="3009" spans="31:32" x14ac:dyDescent="0.25">
      <c r="AE3009" s="39" t="str">
        <f>IF(D3009="","",IFERROR(VLOOKUP(D3009,Projects!$A$2:$A$20000,1,FALSE),""))</f>
        <v/>
      </c>
      <c r="AF3009" s="2" t="str">
        <f>IF(D3009="","",IFERROR(MATCH(D3009,Projects!$A:$A,0),""))</f>
        <v/>
      </c>
    </row>
    <row r="3010" spans="31:32" x14ac:dyDescent="0.25">
      <c r="AE3010" s="39" t="str">
        <f>IF(D3010="","",IFERROR(VLOOKUP(D3010,Projects!$A$2:$A$20000,1,FALSE),""))</f>
        <v/>
      </c>
      <c r="AF3010" s="2" t="str">
        <f>IF(D3010="","",IFERROR(MATCH(D3010,Projects!$A:$A,0),""))</f>
        <v/>
      </c>
    </row>
    <row r="3011" spans="31:32" x14ac:dyDescent="0.25">
      <c r="AE3011" s="39" t="str">
        <f>IF(D3011="","",IFERROR(VLOOKUP(D3011,Projects!$A$2:$A$20000,1,FALSE),""))</f>
        <v/>
      </c>
      <c r="AF3011" s="2" t="str">
        <f>IF(D3011="","",IFERROR(MATCH(D3011,Projects!$A:$A,0),""))</f>
        <v/>
      </c>
    </row>
    <row r="3012" spans="31:32" x14ac:dyDescent="0.25">
      <c r="AE3012" s="39" t="str">
        <f>IF(D3012="","",IFERROR(VLOOKUP(D3012,Projects!$A$2:$A$20000,1,FALSE),""))</f>
        <v/>
      </c>
      <c r="AF3012" s="2" t="str">
        <f>IF(D3012="","",IFERROR(MATCH(D3012,Projects!$A:$A,0),""))</f>
        <v/>
      </c>
    </row>
    <row r="3013" spans="31:32" x14ac:dyDescent="0.25">
      <c r="AE3013" s="39" t="str">
        <f>IF(D3013="","",IFERROR(VLOOKUP(D3013,Projects!$A$2:$A$20000,1,FALSE),""))</f>
        <v/>
      </c>
      <c r="AF3013" s="2" t="str">
        <f>IF(D3013="","",IFERROR(MATCH(D3013,Projects!$A:$A,0),""))</f>
        <v/>
      </c>
    </row>
    <row r="3014" spans="31:32" x14ac:dyDescent="0.25">
      <c r="AE3014" s="39" t="str">
        <f>IF(D3014="","",IFERROR(VLOOKUP(D3014,Projects!$A$2:$A$20000,1,FALSE),""))</f>
        <v/>
      </c>
      <c r="AF3014" s="2" t="str">
        <f>IF(D3014="","",IFERROR(MATCH(D3014,Projects!$A:$A,0),""))</f>
        <v/>
      </c>
    </row>
    <row r="3015" spans="31:32" x14ac:dyDescent="0.25">
      <c r="AE3015" s="39" t="str">
        <f>IF(D3015="","",IFERROR(VLOOKUP(D3015,Projects!$A$2:$A$20000,1,FALSE),""))</f>
        <v/>
      </c>
      <c r="AF3015" s="2" t="str">
        <f>IF(D3015="","",IFERROR(MATCH(D3015,Projects!$A:$A,0),""))</f>
        <v/>
      </c>
    </row>
    <row r="3016" spans="31:32" x14ac:dyDescent="0.25">
      <c r="AE3016" s="39" t="str">
        <f>IF(D3016="","",IFERROR(VLOOKUP(D3016,Projects!$A$2:$A$20000,1,FALSE),""))</f>
        <v/>
      </c>
      <c r="AF3016" s="2" t="str">
        <f>IF(D3016="","",IFERROR(MATCH(D3016,Projects!$A:$A,0),""))</f>
        <v/>
      </c>
    </row>
    <row r="3017" spans="31:32" x14ac:dyDescent="0.25">
      <c r="AE3017" s="39" t="str">
        <f>IF(D3017="","",IFERROR(VLOOKUP(D3017,Projects!$A$2:$A$20000,1,FALSE),""))</f>
        <v/>
      </c>
      <c r="AF3017" s="2" t="str">
        <f>IF(D3017="","",IFERROR(MATCH(D3017,Projects!$A:$A,0),""))</f>
        <v/>
      </c>
    </row>
    <row r="3018" spans="31:32" x14ac:dyDescent="0.25">
      <c r="AE3018" s="39" t="str">
        <f>IF(D3018="","",IFERROR(VLOOKUP(D3018,Projects!$A$2:$A$20000,1,FALSE),""))</f>
        <v/>
      </c>
      <c r="AF3018" s="2" t="str">
        <f>IF(D3018="","",IFERROR(MATCH(D3018,Projects!$A:$A,0),""))</f>
        <v/>
      </c>
    </row>
    <row r="3019" spans="31:32" x14ac:dyDescent="0.25">
      <c r="AE3019" s="39" t="str">
        <f>IF(D3019="","",IFERROR(VLOOKUP(D3019,Projects!$A$2:$A$20000,1,FALSE),""))</f>
        <v/>
      </c>
      <c r="AF3019" s="2" t="str">
        <f>IF(D3019="","",IFERROR(MATCH(D3019,Projects!$A:$A,0),""))</f>
        <v/>
      </c>
    </row>
    <row r="3020" spans="31:32" x14ac:dyDescent="0.25">
      <c r="AE3020" s="39" t="str">
        <f>IF(D3020="","",IFERROR(VLOOKUP(D3020,Projects!$A$2:$A$20000,1,FALSE),""))</f>
        <v/>
      </c>
      <c r="AF3020" s="2" t="str">
        <f>IF(D3020="","",IFERROR(MATCH(D3020,Projects!$A:$A,0),""))</f>
        <v/>
      </c>
    </row>
    <row r="3021" spans="31:32" x14ac:dyDescent="0.25">
      <c r="AE3021" s="39" t="str">
        <f>IF(D3021="","",IFERROR(VLOOKUP(D3021,Projects!$A$2:$A$20000,1,FALSE),""))</f>
        <v/>
      </c>
      <c r="AF3021" s="2" t="str">
        <f>IF(D3021="","",IFERROR(MATCH(D3021,Projects!$A:$A,0),""))</f>
        <v/>
      </c>
    </row>
    <row r="3022" spans="31:32" x14ac:dyDescent="0.25">
      <c r="AE3022" s="39" t="str">
        <f>IF(D3022="","",IFERROR(VLOOKUP(D3022,Projects!$A$2:$A$20000,1,FALSE),""))</f>
        <v/>
      </c>
      <c r="AF3022" s="2" t="str">
        <f>IF(D3022="","",IFERROR(MATCH(D3022,Projects!$A:$A,0),""))</f>
        <v/>
      </c>
    </row>
    <row r="3023" spans="31:32" x14ac:dyDescent="0.25">
      <c r="AE3023" s="39" t="str">
        <f>IF(D3023="","",IFERROR(VLOOKUP(D3023,Projects!$A$2:$A$20000,1,FALSE),""))</f>
        <v/>
      </c>
      <c r="AF3023" s="2" t="str">
        <f>IF(D3023="","",IFERROR(MATCH(D3023,Projects!$A:$A,0),""))</f>
        <v/>
      </c>
    </row>
    <row r="3024" spans="31:32" x14ac:dyDescent="0.25">
      <c r="AE3024" s="39" t="str">
        <f>IF(D3024="","",IFERROR(VLOOKUP(D3024,Projects!$A$2:$A$20000,1,FALSE),""))</f>
        <v/>
      </c>
      <c r="AF3024" s="2" t="str">
        <f>IF(D3024="","",IFERROR(MATCH(D3024,Projects!$A:$A,0),""))</f>
        <v/>
      </c>
    </row>
    <row r="3025" spans="31:32" x14ac:dyDescent="0.25">
      <c r="AE3025" s="39" t="str">
        <f>IF(D3025="","",IFERROR(VLOOKUP(D3025,Projects!$A$2:$A$20000,1,FALSE),""))</f>
        <v/>
      </c>
      <c r="AF3025" s="2" t="str">
        <f>IF(D3025="","",IFERROR(MATCH(D3025,Projects!$A:$A,0),""))</f>
        <v/>
      </c>
    </row>
    <row r="3026" spans="31:32" x14ac:dyDescent="0.25">
      <c r="AE3026" s="39" t="str">
        <f>IF(D3026="","",IFERROR(VLOOKUP(D3026,Projects!$A$2:$A$20000,1,FALSE),""))</f>
        <v/>
      </c>
      <c r="AF3026" s="2" t="str">
        <f>IF(D3026="","",IFERROR(MATCH(D3026,Projects!$A:$A,0),""))</f>
        <v/>
      </c>
    </row>
    <row r="3027" spans="31:32" x14ac:dyDescent="0.25">
      <c r="AE3027" s="39" t="str">
        <f>IF(D3027="","",IFERROR(VLOOKUP(D3027,Projects!$A$2:$A$20000,1,FALSE),""))</f>
        <v/>
      </c>
      <c r="AF3027" s="2" t="str">
        <f>IF(D3027="","",IFERROR(MATCH(D3027,Projects!$A:$A,0),""))</f>
        <v/>
      </c>
    </row>
    <row r="3028" spans="31:32" x14ac:dyDescent="0.25">
      <c r="AE3028" s="39" t="str">
        <f>IF(D3028="","",IFERROR(VLOOKUP(D3028,Projects!$A$2:$A$20000,1,FALSE),""))</f>
        <v/>
      </c>
      <c r="AF3028" s="2" t="str">
        <f>IF(D3028="","",IFERROR(MATCH(D3028,Projects!$A:$A,0),""))</f>
        <v/>
      </c>
    </row>
    <row r="3029" spans="31:32" x14ac:dyDescent="0.25">
      <c r="AE3029" s="39" t="str">
        <f>IF(D3029="","",IFERROR(VLOOKUP(D3029,Projects!$A$2:$A$20000,1,FALSE),""))</f>
        <v/>
      </c>
      <c r="AF3029" s="2" t="str">
        <f>IF(D3029="","",IFERROR(MATCH(D3029,Projects!$A:$A,0),""))</f>
        <v/>
      </c>
    </row>
    <row r="3030" spans="31:32" x14ac:dyDescent="0.25">
      <c r="AE3030" s="39" t="str">
        <f>IF(D3030="","",IFERROR(VLOOKUP(D3030,Projects!$A$2:$A$20000,1,FALSE),""))</f>
        <v/>
      </c>
      <c r="AF3030" s="2" t="str">
        <f>IF(D3030="","",IFERROR(MATCH(D3030,Projects!$A:$A,0),""))</f>
        <v/>
      </c>
    </row>
    <row r="3031" spans="31:32" x14ac:dyDescent="0.25">
      <c r="AE3031" s="39" t="str">
        <f>IF(D3031="","",IFERROR(VLOOKUP(D3031,Projects!$A$2:$A$20000,1,FALSE),""))</f>
        <v/>
      </c>
      <c r="AF3031" s="2" t="str">
        <f>IF(D3031="","",IFERROR(MATCH(D3031,Projects!$A:$A,0),""))</f>
        <v/>
      </c>
    </row>
    <row r="3032" spans="31:32" x14ac:dyDescent="0.25">
      <c r="AE3032" s="39" t="str">
        <f>IF(D3032="","",IFERROR(VLOOKUP(D3032,Projects!$A$2:$A$20000,1,FALSE),""))</f>
        <v/>
      </c>
      <c r="AF3032" s="2" t="str">
        <f>IF(D3032="","",IFERROR(MATCH(D3032,Projects!$A:$A,0),""))</f>
        <v/>
      </c>
    </row>
    <row r="3033" spans="31:32" x14ac:dyDescent="0.25">
      <c r="AE3033" s="39" t="str">
        <f>IF(D3033="","",IFERROR(VLOOKUP(D3033,Projects!$A$2:$A$20000,1,FALSE),""))</f>
        <v/>
      </c>
      <c r="AF3033" s="2" t="str">
        <f>IF(D3033="","",IFERROR(MATCH(D3033,Projects!$A:$A,0),""))</f>
        <v/>
      </c>
    </row>
    <row r="3034" spans="31:32" x14ac:dyDescent="0.25">
      <c r="AE3034" s="39" t="str">
        <f>IF(D3034="","",IFERROR(VLOOKUP(D3034,Projects!$A$2:$A$20000,1,FALSE),""))</f>
        <v/>
      </c>
      <c r="AF3034" s="2" t="str">
        <f>IF(D3034="","",IFERROR(MATCH(D3034,Projects!$A:$A,0),""))</f>
        <v/>
      </c>
    </row>
    <row r="3035" spans="31:32" x14ac:dyDescent="0.25">
      <c r="AE3035" s="39" t="str">
        <f>IF(D3035="","",IFERROR(VLOOKUP(D3035,Projects!$A$2:$A$20000,1,FALSE),""))</f>
        <v/>
      </c>
      <c r="AF3035" s="2" t="str">
        <f>IF(D3035="","",IFERROR(MATCH(D3035,Projects!$A:$A,0),""))</f>
        <v/>
      </c>
    </row>
    <row r="3036" spans="31:32" x14ac:dyDescent="0.25">
      <c r="AE3036" s="39" t="str">
        <f>IF(D3036="","",IFERROR(VLOOKUP(D3036,Projects!$A$2:$A$20000,1,FALSE),""))</f>
        <v/>
      </c>
      <c r="AF3036" s="2" t="str">
        <f>IF(D3036="","",IFERROR(MATCH(D3036,Projects!$A:$A,0),""))</f>
        <v/>
      </c>
    </row>
    <row r="3037" spans="31:32" x14ac:dyDescent="0.25">
      <c r="AE3037" s="39" t="str">
        <f>IF(D3037="","",IFERROR(VLOOKUP(D3037,Projects!$A$2:$A$20000,1,FALSE),""))</f>
        <v/>
      </c>
      <c r="AF3037" s="2" t="str">
        <f>IF(D3037="","",IFERROR(MATCH(D3037,Projects!$A:$A,0),""))</f>
        <v/>
      </c>
    </row>
    <row r="3038" spans="31:32" x14ac:dyDescent="0.25">
      <c r="AE3038" s="39" t="str">
        <f>IF(D3038="","",IFERROR(VLOOKUP(D3038,Projects!$A$2:$A$20000,1,FALSE),""))</f>
        <v/>
      </c>
      <c r="AF3038" s="2" t="str">
        <f>IF(D3038="","",IFERROR(MATCH(D3038,Projects!$A:$A,0),""))</f>
        <v/>
      </c>
    </row>
    <row r="3039" spans="31:32" x14ac:dyDescent="0.25">
      <c r="AE3039" s="39" t="str">
        <f>IF(D3039="","",IFERROR(VLOOKUP(D3039,Projects!$A$2:$A$20000,1,FALSE),""))</f>
        <v/>
      </c>
      <c r="AF3039" s="2" t="str">
        <f>IF(D3039="","",IFERROR(MATCH(D3039,Projects!$A:$A,0),""))</f>
        <v/>
      </c>
    </row>
    <row r="3040" spans="31:32" x14ac:dyDescent="0.25">
      <c r="AE3040" s="39" t="str">
        <f>IF(D3040="","",IFERROR(VLOOKUP(D3040,Projects!$A$2:$A$20000,1,FALSE),""))</f>
        <v/>
      </c>
      <c r="AF3040" s="2" t="str">
        <f>IF(D3040="","",IFERROR(MATCH(D3040,Projects!$A:$A,0),""))</f>
        <v/>
      </c>
    </row>
    <row r="3041" spans="31:32" x14ac:dyDescent="0.25">
      <c r="AE3041" s="39" t="str">
        <f>IF(D3041="","",IFERROR(VLOOKUP(D3041,Projects!$A$2:$A$20000,1,FALSE),""))</f>
        <v/>
      </c>
      <c r="AF3041" s="2" t="str">
        <f>IF(D3041="","",IFERROR(MATCH(D3041,Projects!$A:$A,0),""))</f>
        <v/>
      </c>
    </row>
    <row r="3042" spans="31:32" x14ac:dyDescent="0.25">
      <c r="AE3042" s="39" t="str">
        <f>IF(D3042="","",IFERROR(VLOOKUP(D3042,Projects!$A$2:$A$20000,1,FALSE),""))</f>
        <v/>
      </c>
      <c r="AF3042" s="2" t="str">
        <f>IF(D3042="","",IFERROR(MATCH(D3042,Projects!$A:$A,0),""))</f>
        <v/>
      </c>
    </row>
    <row r="3043" spans="31:32" x14ac:dyDescent="0.25">
      <c r="AE3043" s="39" t="str">
        <f>IF(D3043="","",IFERROR(VLOOKUP(D3043,Projects!$A$2:$A$20000,1,FALSE),""))</f>
        <v/>
      </c>
      <c r="AF3043" s="2" t="str">
        <f>IF(D3043="","",IFERROR(MATCH(D3043,Projects!$A:$A,0),""))</f>
        <v/>
      </c>
    </row>
    <row r="3044" spans="31:32" x14ac:dyDescent="0.25">
      <c r="AE3044" s="39" t="str">
        <f>IF(D3044="","",IFERROR(VLOOKUP(D3044,Projects!$A$2:$A$20000,1,FALSE),""))</f>
        <v/>
      </c>
      <c r="AF3044" s="2" t="str">
        <f>IF(D3044="","",IFERROR(MATCH(D3044,Projects!$A:$A,0),""))</f>
        <v/>
      </c>
    </row>
    <row r="3045" spans="31:32" x14ac:dyDescent="0.25">
      <c r="AE3045" s="39" t="str">
        <f>IF(D3045="","",IFERROR(VLOOKUP(D3045,Projects!$A$2:$A$20000,1,FALSE),""))</f>
        <v/>
      </c>
      <c r="AF3045" s="2" t="str">
        <f>IF(D3045="","",IFERROR(MATCH(D3045,Projects!$A:$A,0),""))</f>
        <v/>
      </c>
    </row>
    <row r="3046" spans="31:32" x14ac:dyDescent="0.25">
      <c r="AE3046" s="39" t="str">
        <f>IF(D3046="","",IFERROR(VLOOKUP(D3046,Projects!$A$2:$A$20000,1,FALSE),""))</f>
        <v/>
      </c>
      <c r="AF3046" s="2" t="str">
        <f>IF(D3046="","",IFERROR(MATCH(D3046,Projects!$A:$A,0),""))</f>
        <v/>
      </c>
    </row>
    <row r="3047" spans="31:32" x14ac:dyDescent="0.25">
      <c r="AE3047" s="39" t="str">
        <f>IF(D3047="","",IFERROR(VLOOKUP(D3047,Projects!$A$2:$A$20000,1,FALSE),""))</f>
        <v/>
      </c>
      <c r="AF3047" s="2" t="str">
        <f>IF(D3047="","",IFERROR(MATCH(D3047,Projects!$A:$A,0),""))</f>
        <v/>
      </c>
    </row>
    <row r="3048" spans="31:32" x14ac:dyDescent="0.25">
      <c r="AE3048" s="39" t="str">
        <f>IF(D3048="","",IFERROR(VLOOKUP(D3048,Projects!$A$2:$A$20000,1,FALSE),""))</f>
        <v/>
      </c>
      <c r="AF3048" s="2" t="str">
        <f>IF(D3048="","",IFERROR(MATCH(D3048,Projects!$A:$A,0),""))</f>
        <v/>
      </c>
    </row>
    <row r="3049" spans="31:32" x14ac:dyDescent="0.25">
      <c r="AE3049" s="39" t="str">
        <f>IF(D3049="","",IFERROR(VLOOKUP(D3049,Projects!$A$2:$A$20000,1,FALSE),""))</f>
        <v/>
      </c>
      <c r="AF3049" s="2" t="str">
        <f>IF(D3049="","",IFERROR(MATCH(D3049,Projects!$A:$A,0),""))</f>
        <v/>
      </c>
    </row>
    <row r="3050" spans="31:32" x14ac:dyDescent="0.25">
      <c r="AE3050" s="39" t="str">
        <f>IF(D3050="","",IFERROR(VLOOKUP(D3050,Projects!$A$2:$A$20000,1,FALSE),""))</f>
        <v/>
      </c>
      <c r="AF3050" s="2" t="str">
        <f>IF(D3050="","",IFERROR(MATCH(D3050,Projects!$A:$A,0),""))</f>
        <v/>
      </c>
    </row>
    <row r="3051" spans="31:32" x14ac:dyDescent="0.25">
      <c r="AE3051" s="39" t="str">
        <f>IF(D3051="","",IFERROR(VLOOKUP(D3051,Projects!$A$2:$A$20000,1,FALSE),""))</f>
        <v/>
      </c>
      <c r="AF3051" s="2" t="str">
        <f>IF(D3051="","",IFERROR(MATCH(D3051,Projects!$A:$A,0),""))</f>
        <v/>
      </c>
    </row>
    <row r="3052" spans="31:32" x14ac:dyDescent="0.25">
      <c r="AE3052" s="39" t="str">
        <f>IF(D3052="","",IFERROR(VLOOKUP(D3052,Projects!$A$2:$A$20000,1,FALSE),""))</f>
        <v/>
      </c>
      <c r="AF3052" s="2" t="str">
        <f>IF(D3052="","",IFERROR(MATCH(D3052,Projects!$A:$A,0),""))</f>
        <v/>
      </c>
    </row>
    <row r="3053" spans="31:32" x14ac:dyDescent="0.25">
      <c r="AE3053" s="39" t="str">
        <f>IF(D3053="","",IFERROR(VLOOKUP(D3053,Projects!$A$2:$A$20000,1,FALSE),""))</f>
        <v/>
      </c>
      <c r="AF3053" s="2" t="str">
        <f>IF(D3053="","",IFERROR(MATCH(D3053,Projects!$A:$A,0),""))</f>
        <v/>
      </c>
    </row>
    <row r="3054" spans="31:32" x14ac:dyDescent="0.25">
      <c r="AE3054" s="39" t="str">
        <f>IF(D3054="","",IFERROR(VLOOKUP(D3054,Projects!$A$2:$A$20000,1,FALSE),""))</f>
        <v/>
      </c>
      <c r="AF3054" s="2" t="str">
        <f>IF(D3054="","",IFERROR(MATCH(D3054,Projects!$A:$A,0),""))</f>
        <v/>
      </c>
    </row>
    <row r="3055" spans="31:32" x14ac:dyDescent="0.25">
      <c r="AE3055" s="39" t="str">
        <f>IF(D3055="","",IFERROR(VLOOKUP(D3055,Projects!$A$2:$A$20000,1,FALSE),""))</f>
        <v/>
      </c>
      <c r="AF3055" s="2" t="str">
        <f>IF(D3055="","",IFERROR(MATCH(D3055,Projects!$A:$A,0),""))</f>
        <v/>
      </c>
    </row>
    <row r="3056" spans="31:32" x14ac:dyDescent="0.25">
      <c r="AE3056" s="39" t="str">
        <f>IF(D3056="","",IFERROR(VLOOKUP(D3056,Projects!$A$2:$A$20000,1,FALSE),""))</f>
        <v/>
      </c>
      <c r="AF3056" s="2" t="str">
        <f>IF(D3056="","",IFERROR(MATCH(D3056,Projects!$A:$A,0),""))</f>
        <v/>
      </c>
    </row>
    <row r="3057" spans="31:32" x14ac:dyDescent="0.25">
      <c r="AE3057" s="39" t="str">
        <f>IF(D3057="","",IFERROR(VLOOKUP(D3057,Projects!$A$2:$A$20000,1,FALSE),""))</f>
        <v/>
      </c>
      <c r="AF3057" s="2" t="str">
        <f>IF(D3057="","",IFERROR(MATCH(D3057,Projects!$A:$A,0),""))</f>
        <v/>
      </c>
    </row>
    <row r="3058" spans="31:32" x14ac:dyDescent="0.25">
      <c r="AE3058" s="39" t="str">
        <f>IF(D3058="","",IFERROR(VLOOKUP(D3058,Projects!$A$2:$A$20000,1,FALSE),""))</f>
        <v/>
      </c>
      <c r="AF3058" s="2" t="str">
        <f>IF(D3058="","",IFERROR(MATCH(D3058,Projects!$A:$A,0),""))</f>
        <v/>
      </c>
    </row>
    <row r="3059" spans="31:32" x14ac:dyDescent="0.25">
      <c r="AE3059" s="39" t="str">
        <f>IF(D3059="","",IFERROR(VLOOKUP(D3059,Projects!$A$2:$A$20000,1,FALSE),""))</f>
        <v/>
      </c>
      <c r="AF3059" s="2" t="str">
        <f>IF(D3059="","",IFERROR(MATCH(D3059,Projects!$A:$A,0),""))</f>
        <v/>
      </c>
    </row>
    <row r="3060" spans="31:32" x14ac:dyDescent="0.25">
      <c r="AE3060" s="39" t="str">
        <f>IF(D3060="","",IFERROR(VLOOKUP(D3060,Projects!$A$2:$A$20000,1,FALSE),""))</f>
        <v/>
      </c>
      <c r="AF3060" s="2" t="str">
        <f>IF(D3060="","",IFERROR(MATCH(D3060,Projects!$A:$A,0),""))</f>
        <v/>
      </c>
    </row>
    <row r="3061" spans="31:32" x14ac:dyDescent="0.25">
      <c r="AE3061" s="39" t="str">
        <f>IF(D3061="","",IFERROR(VLOOKUP(D3061,Projects!$A$2:$A$20000,1,FALSE),""))</f>
        <v/>
      </c>
      <c r="AF3061" s="2" t="str">
        <f>IF(D3061="","",IFERROR(MATCH(D3061,Projects!$A:$A,0),""))</f>
        <v/>
      </c>
    </row>
    <row r="3062" spans="31:32" x14ac:dyDescent="0.25">
      <c r="AE3062" s="39" t="str">
        <f>IF(D3062="","",IFERROR(VLOOKUP(D3062,Projects!$A$2:$A$20000,1,FALSE),""))</f>
        <v/>
      </c>
      <c r="AF3062" s="2" t="str">
        <f>IF(D3062="","",IFERROR(MATCH(D3062,Projects!$A:$A,0),""))</f>
        <v/>
      </c>
    </row>
    <row r="3063" spans="31:32" x14ac:dyDescent="0.25">
      <c r="AE3063" s="39" t="str">
        <f>IF(D3063="","",IFERROR(VLOOKUP(D3063,Projects!$A$2:$A$20000,1,FALSE),""))</f>
        <v/>
      </c>
      <c r="AF3063" s="2" t="str">
        <f>IF(D3063="","",IFERROR(MATCH(D3063,Projects!$A:$A,0),""))</f>
        <v/>
      </c>
    </row>
    <row r="3064" spans="31:32" x14ac:dyDescent="0.25">
      <c r="AE3064" s="39" t="str">
        <f>IF(D3064="","",IFERROR(VLOOKUP(D3064,Projects!$A$2:$A$20000,1,FALSE),""))</f>
        <v/>
      </c>
      <c r="AF3064" s="2" t="str">
        <f>IF(D3064="","",IFERROR(MATCH(D3064,Projects!$A:$A,0),""))</f>
        <v/>
      </c>
    </row>
    <row r="3065" spans="31:32" x14ac:dyDescent="0.25">
      <c r="AE3065" s="39" t="str">
        <f>IF(D3065="","",IFERROR(VLOOKUP(D3065,Projects!$A$2:$A$20000,1,FALSE),""))</f>
        <v/>
      </c>
      <c r="AF3065" s="2" t="str">
        <f>IF(D3065="","",IFERROR(MATCH(D3065,Projects!$A:$A,0),""))</f>
        <v/>
      </c>
    </row>
    <row r="3066" spans="31:32" x14ac:dyDescent="0.25">
      <c r="AE3066" s="39" t="str">
        <f>IF(D3066="","",IFERROR(VLOOKUP(D3066,Projects!$A$2:$A$20000,1,FALSE),""))</f>
        <v/>
      </c>
      <c r="AF3066" s="2" t="str">
        <f>IF(D3066="","",IFERROR(MATCH(D3066,Projects!$A:$A,0),""))</f>
        <v/>
      </c>
    </row>
    <row r="3067" spans="31:32" x14ac:dyDescent="0.25">
      <c r="AE3067" s="39" t="str">
        <f>IF(D3067="","",IFERROR(VLOOKUP(D3067,Projects!$A$2:$A$20000,1,FALSE),""))</f>
        <v/>
      </c>
      <c r="AF3067" s="2" t="str">
        <f>IF(D3067="","",IFERROR(MATCH(D3067,Projects!$A:$A,0),""))</f>
        <v/>
      </c>
    </row>
    <row r="3068" spans="31:32" x14ac:dyDescent="0.25">
      <c r="AE3068" s="39" t="str">
        <f>IF(D3068="","",IFERROR(VLOOKUP(D3068,Projects!$A$2:$A$20000,1,FALSE),""))</f>
        <v/>
      </c>
      <c r="AF3068" s="2" t="str">
        <f>IF(D3068="","",IFERROR(MATCH(D3068,Projects!$A:$A,0),""))</f>
        <v/>
      </c>
    </row>
    <row r="3069" spans="31:32" x14ac:dyDescent="0.25">
      <c r="AE3069" s="39" t="str">
        <f>IF(D3069="","",IFERROR(VLOOKUP(D3069,Projects!$A$2:$A$20000,1,FALSE),""))</f>
        <v/>
      </c>
      <c r="AF3069" s="2" t="str">
        <f>IF(D3069="","",IFERROR(MATCH(D3069,Projects!$A:$A,0),""))</f>
        <v/>
      </c>
    </row>
    <row r="3070" spans="31:32" x14ac:dyDescent="0.25">
      <c r="AE3070" s="39" t="str">
        <f>IF(D3070="","",IFERROR(VLOOKUP(D3070,Projects!$A$2:$A$20000,1,FALSE),""))</f>
        <v/>
      </c>
      <c r="AF3070" s="2" t="str">
        <f>IF(D3070="","",IFERROR(MATCH(D3070,Projects!$A:$A,0),""))</f>
        <v/>
      </c>
    </row>
    <row r="3071" spans="31:32" x14ac:dyDescent="0.25">
      <c r="AE3071" s="39" t="str">
        <f>IF(D3071="","",IFERROR(VLOOKUP(D3071,Projects!$A$2:$A$20000,1,FALSE),""))</f>
        <v/>
      </c>
      <c r="AF3071" s="2" t="str">
        <f>IF(D3071="","",IFERROR(MATCH(D3071,Projects!$A:$A,0),""))</f>
        <v/>
      </c>
    </row>
    <row r="3072" spans="31:32" x14ac:dyDescent="0.25">
      <c r="AE3072" s="39" t="str">
        <f>IF(D3072="","",IFERROR(VLOOKUP(D3072,Projects!$A$2:$A$20000,1,FALSE),""))</f>
        <v/>
      </c>
      <c r="AF3072" s="2" t="str">
        <f>IF(D3072="","",IFERROR(MATCH(D3072,Projects!$A:$A,0),""))</f>
        <v/>
      </c>
    </row>
    <row r="3073" spans="31:32" x14ac:dyDescent="0.25">
      <c r="AE3073" s="39" t="str">
        <f>IF(D3073="","",IFERROR(VLOOKUP(D3073,Projects!$A$2:$A$20000,1,FALSE),""))</f>
        <v/>
      </c>
      <c r="AF3073" s="2" t="str">
        <f>IF(D3073="","",IFERROR(MATCH(D3073,Projects!$A:$A,0),""))</f>
        <v/>
      </c>
    </row>
    <row r="3074" spans="31:32" x14ac:dyDescent="0.25">
      <c r="AE3074" s="39" t="str">
        <f>IF(D3074="","",IFERROR(VLOOKUP(D3074,Projects!$A$2:$A$20000,1,FALSE),""))</f>
        <v/>
      </c>
      <c r="AF3074" s="2" t="str">
        <f>IF(D3074="","",IFERROR(MATCH(D3074,Projects!$A:$A,0),""))</f>
        <v/>
      </c>
    </row>
    <row r="3075" spans="31:32" x14ac:dyDescent="0.25">
      <c r="AE3075" s="39" t="str">
        <f>IF(D3075="","",IFERROR(VLOOKUP(D3075,Projects!$A$2:$A$20000,1,FALSE),""))</f>
        <v/>
      </c>
      <c r="AF3075" s="2" t="str">
        <f>IF(D3075="","",IFERROR(MATCH(D3075,Projects!$A:$A,0),""))</f>
        <v/>
      </c>
    </row>
    <row r="3076" spans="31:32" x14ac:dyDescent="0.25">
      <c r="AE3076" s="39" t="str">
        <f>IF(D3076="","",IFERROR(VLOOKUP(D3076,Projects!$A$2:$A$20000,1,FALSE),""))</f>
        <v/>
      </c>
      <c r="AF3076" s="2" t="str">
        <f>IF(D3076="","",IFERROR(MATCH(D3076,Projects!$A:$A,0),""))</f>
        <v/>
      </c>
    </row>
    <row r="3077" spans="31:32" x14ac:dyDescent="0.25">
      <c r="AE3077" s="39" t="str">
        <f>IF(D3077="","",IFERROR(VLOOKUP(D3077,Projects!$A$2:$A$20000,1,FALSE),""))</f>
        <v/>
      </c>
      <c r="AF3077" s="2" t="str">
        <f>IF(D3077="","",IFERROR(MATCH(D3077,Projects!$A:$A,0),""))</f>
        <v/>
      </c>
    </row>
    <row r="3078" spans="31:32" x14ac:dyDescent="0.25">
      <c r="AE3078" s="39" t="str">
        <f>IF(D3078="","",IFERROR(VLOOKUP(D3078,Projects!$A$2:$A$20000,1,FALSE),""))</f>
        <v/>
      </c>
      <c r="AF3078" s="2" t="str">
        <f>IF(D3078="","",IFERROR(MATCH(D3078,Projects!$A:$A,0),""))</f>
        <v/>
      </c>
    </row>
    <row r="3079" spans="31:32" x14ac:dyDescent="0.25">
      <c r="AE3079" s="39" t="str">
        <f>IF(D3079="","",IFERROR(VLOOKUP(D3079,Projects!$A$2:$A$20000,1,FALSE),""))</f>
        <v/>
      </c>
      <c r="AF3079" s="2" t="str">
        <f>IF(D3079="","",IFERROR(MATCH(D3079,Projects!$A:$A,0),""))</f>
        <v/>
      </c>
    </row>
    <row r="3080" spans="31:32" x14ac:dyDescent="0.25">
      <c r="AE3080" s="39" t="str">
        <f>IF(D3080="","",IFERROR(VLOOKUP(D3080,Projects!$A$2:$A$20000,1,FALSE),""))</f>
        <v/>
      </c>
      <c r="AF3080" s="2" t="str">
        <f>IF(D3080="","",IFERROR(MATCH(D3080,Projects!$A:$A,0),""))</f>
        <v/>
      </c>
    </row>
    <row r="3081" spans="31:32" x14ac:dyDescent="0.25">
      <c r="AE3081" s="39" t="str">
        <f>IF(D3081="","",IFERROR(VLOOKUP(D3081,Projects!$A$2:$A$20000,1,FALSE),""))</f>
        <v/>
      </c>
      <c r="AF3081" s="2" t="str">
        <f>IF(D3081="","",IFERROR(MATCH(D3081,Projects!$A:$A,0),""))</f>
        <v/>
      </c>
    </row>
    <row r="3082" spans="31:32" x14ac:dyDescent="0.25">
      <c r="AE3082" s="39" t="str">
        <f>IF(D3082="","",IFERROR(VLOOKUP(D3082,Projects!$A$2:$A$20000,1,FALSE),""))</f>
        <v/>
      </c>
      <c r="AF3082" s="2" t="str">
        <f>IF(D3082="","",IFERROR(MATCH(D3082,Projects!$A:$A,0),""))</f>
        <v/>
      </c>
    </row>
    <row r="3083" spans="31:32" x14ac:dyDescent="0.25">
      <c r="AE3083" s="39" t="str">
        <f>IF(D3083="","",IFERROR(VLOOKUP(D3083,Projects!$A$2:$A$20000,1,FALSE),""))</f>
        <v/>
      </c>
      <c r="AF3083" s="2" t="str">
        <f>IF(D3083="","",IFERROR(MATCH(D3083,Projects!$A:$A,0),""))</f>
        <v/>
      </c>
    </row>
    <row r="3084" spans="31:32" x14ac:dyDescent="0.25">
      <c r="AE3084" s="39" t="str">
        <f>IF(D3084="","",IFERROR(VLOOKUP(D3084,Projects!$A$2:$A$20000,1,FALSE),""))</f>
        <v/>
      </c>
      <c r="AF3084" s="2" t="str">
        <f>IF(D3084="","",IFERROR(MATCH(D3084,Projects!$A:$A,0),""))</f>
        <v/>
      </c>
    </row>
    <row r="3085" spans="31:32" x14ac:dyDescent="0.25">
      <c r="AE3085" s="39" t="str">
        <f>IF(D3085="","",IFERROR(VLOOKUP(D3085,Projects!$A$2:$A$20000,1,FALSE),""))</f>
        <v/>
      </c>
      <c r="AF3085" s="2" t="str">
        <f>IF(D3085="","",IFERROR(MATCH(D3085,Projects!$A:$A,0),""))</f>
        <v/>
      </c>
    </row>
    <row r="3086" spans="31:32" x14ac:dyDescent="0.25">
      <c r="AE3086" s="39" t="str">
        <f>IF(D3086="","",IFERROR(VLOOKUP(D3086,Projects!$A$2:$A$20000,1,FALSE),""))</f>
        <v/>
      </c>
      <c r="AF3086" s="2" t="str">
        <f>IF(D3086="","",IFERROR(MATCH(D3086,Projects!$A:$A,0),""))</f>
        <v/>
      </c>
    </row>
    <row r="3087" spans="31:32" x14ac:dyDescent="0.25">
      <c r="AE3087" s="39" t="str">
        <f>IF(D3087="","",IFERROR(VLOOKUP(D3087,Projects!$A$2:$A$20000,1,FALSE),""))</f>
        <v/>
      </c>
      <c r="AF3087" s="2" t="str">
        <f>IF(D3087="","",IFERROR(MATCH(D3087,Projects!$A:$A,0),""))</f>
        <v/>
      </c>
    </row>
    <row r="3088" spans="31:32" x14ac:dyDescent="0.25">
      <c r="AE3088" s="39" t="str">
        <f>IF(D3088="","",IFERROR(VLOOKUP(D3088,Projects!$A$2:$A$20000,1,FALSE),""))</f>
        <v/>
      </c>
      <c r="AF3088" s="2" t="str">
        <f>IF(D3088="","",IFERROR(MATCH(D3088,Projects!$A:$A,0),""))</f>
        <v/>
      </c>
    </row>
    <row r="3089" spans="31:32" x14ac:dyDescent="0.25">
      <c r="AE3089" s="39" t="str">
        <f>IF(D3089="","",IFERROR(VLOOKUP(D3089,Projects!$A$2:$A$20000,1,FALSE),""))</f>
        <v/>
      </c>
      <c r="AF3089" s="2" t="str">
        <f>IF(D3089="","",IFERROR(MATCH(D3089,Projects!$A:$A,0),""))</f>
        <v/>
      </c>
    </row>
    <row r="3090" spans="31:32" x14ac:dyDescent="0.25">
      <c r="AE3090" s="39" t="str">
        <f>IF(D3090="","",IFERROR(VLOOKUP(D3090,Projects!$A$2:$A$20000,1,FALSE),""))</f>
        <v/>
      </c>
      <c r="AF3090" s="2" t="str">
        <f>IF(D3090="","",IFERROR(MATCH(D3090,Projects!$A:$A,0),""))</f>
        <v/>
      </c>
    </row>
    <row r="3091" spans="31:32" x14ac:dyDescent="0.25">
      <c r="AE3091" s="39" t="str">
        <f>IF(D3091="","",IFERROR(VLOOKUP(D3091,Projects!$A$2:$A$20000,1,FALSE),""))</f>
        <v/>
      </c>
      <c r="AF3091" s="2" t="str">
        <f>IF(D3091="","",IFERROR(MATCH(D3091,Projects!$A:$A,0),""))</f>
        <v/>
      </c>
    </row>
    <row r="3092" spans="31:32" x14ac:dyDescent="0.25">
      <c r="AE3092" s="39" t="str">
        <f>IF(D3092="","",IFERROR(VLOOKUP(D3092,Projects!$A$2:$A$20000,1,FALSE),""))</f>
        <v/>
      </c>
      <c r="AF3092" s="2" t="str">
        <f>IF(D3092="","",IFERROR(MATCH(D3092,Projects!$A:$A,0),""))</f>
        <v/>
      </c>
    </row>
    <row r="3093" spans="31:32" x14ac:dyDescent="0.25">
      <c r="AE3093" s="39" t="str">
        <f>IF(D3093="","",IFERROR(VLOOKUP(D3093,Projects!$A$2:$A$20000,1,FALSE),""))</f>
        <v/>
      </c>
      <c r="AF3093" s="2" t="str">
        <f>IF(D3093="","",IFERROR(MATCH(D3093,Projects!$A:$A,0),""))</f>
        <v/>
      </c>
    </row>
    <row r="3094" spans="31:32" x14ac:dyDescent="0.25">
      <c r="AE3094" s="39" t="str">
        <f>IF(D3094="","",IFERROR(VLOOKUP(D3094,Projects!$A$2:$A$20000,1,FALSE),""))</f>
        <v/>
      </c>
      <c r="AF3094" s="2" t="str">
        <f>IF(D3094="","",IFERROR(MATCH(D3094,Projects!$A:$A,0),""))</f>
        <v/>
      </c>
    </row>
    <row r="3095" spans="31:32" x14ac:dyDescent="0.25">
      <c r="AE3095" s="39" t="str">
        <f>IF(D3095="","",IFERROR(VLOOKUP(D3095,Projects!$A$2:$A$20000,1,FALSE),""))</f>
        <v/>
      </c>
      <c r="AF3095" s="2" t="str">
        <f>IF(D3095="","",IFERROR(MATCH(D3095,Projects!$A:$A,0),""))</f>
        <v/>
      </c>
    </row>
    <row r="3096" spans="31:32" x14ac:dyDescent="0.25">
      <c r="AE3096" s="39" t="str">
        <f>IF(D3096="","",IFERROR(VLOOKUP(D3096,Projects!$A$2:$A$20000,1,FALSE),""))</f>
        <v/>
      </c>
      <c r="AF3096" s="2" t="str">
        <f>IF(D3096="","",IFERROR(MATCH(D3096,Projects!$A:$A,0),""))</f>
        <v/>
      </c>
    </row>
    <row r="3097" spans="31:32" x14ac:dyDescent="0.25">
      <c r="AE3097" s="39" t="str">
        <f>IF(D3097="","",IFERROR(VLOOKUP(D3097,Projects!$A$2:$A$20000,1,FALSE),""))</f>
        <v/>
      </c>
      <c r="AF3097" s="2" t="str">
        <f>IF(D3097="","",IFERROR(MATCH(D3097,Projects!$A:$A,0),""))</f>
        <v/>
      </c>
    </row>
    <row r="3098" spans="31:32" x14ac:dyDescent="0.25">
      <c r="AE3098" s="39" t="str">
        <f>IF(D3098="","",IFERROR(VLOOKUP(D3098,Projects!$A$2:$A$20000,1,FALSE),""))</f>
        <v/>
      </c>
      <c r="AF3098" s="2" t="str">
        <f>IF(D3098="","",IFERROR(MATCH(D3098,Projects!$A:$A,0),""))</f>
        <v/>
      </c>
    </row>
    <row r="3099" spans="31:32" x14ac:dyDescent="0.25">
      <c r="AE3099" s="39" t="str">
        <f>IF(D3099="","",IFERROR(VLOOKUP(D3099,Projects!$A$2:$A$20000,1,FALSE),""))</f>
        <v/>
      </c>
      <c r="AF3099" s="2" t="str">
        <f>IF(D3099="","",IFERROR(MATCH(D3099,Projects!$A:$A,0),""))</f>
        <v/>
      </c>
    </row>
    <row r="3100" spans="31:32" x14ac:dyDescent="0.25">
      <c r="AE3100" s="39" t="str">
        <f>IF(D3100="","",IFERROR(VLOOKUP(D3100,Projects!$A$2:$A$20000,1,FALSE),""))</f>
        <v/>
      </c>
      <c r="AF3100" s="2" t="str">
        <f>IF(D3100="","",IFERROR(MATCH(D3100,Projects!$A:$A,0),""))</f>
        <v/>
      </c>
    </row>
    <row r="3101" spans="31:32" x14ac:dyDescent="0.25">
      <c r="AE3101" s="39" t="str">
        <f>IF(D3101="","",IFERROR(VLOOKUP(D3101,Projects!$A$2:$A$20000,1,FALSE),""))</f>
        <v/>
      </c>
      <c r="AF3101" s="2" t="str">
        <f>IF(D3101="","",IFERROR(MATCH(D3101,Projects!$A:$A,0),""))</f>
        <v/>
      </c>
    </row>
    <row r="3102" spans="31:32" x14ac:dyDescent="0.25">
      <c r="AE3102" s="39" t="str">
        <f>IF(D3102="","",IFERROR(VLOOKUP(D3102,Projects!$A$2:$A$20000,1,FALSE),""))</f>
        <v/>
      </c>
      <c r="AF3102" s="2" t="str">
        <f>IF(D3102="","",IFERROR(MATCH(D3102,Projects!$A:$A,0),""))</f>
        <v/>
      </c>
    </row>
    <row r="3103" spans="31:32" x14ac:dyDescent="0.25">
      <c r="AE3103" s="39" t="str">
        <f>IF(D3103="","",IFERROR(VLOOKUP(D3103,Projects!$A$2:$A$20000,1,FALSE),""))</f>
        <v/>
      </c>
      <c r="AF3103" s="2" t="str">
        <f>IF(D3103="","",IFERROR(MATCH(D3103,Projects!$A:$A,0),""))</f>
        <v/>
      </c>
    </row>
    <row r="3104" spans="31:32" x14ac:dyDescent="0.25">
      <c r="AE3104" s="39" t="str">
        <f>IF(D3104="","",IFERROR(VLOOKUP(D3104,Projects!$A$2:$A$20000,1,FALSE),""))</f>
        <v/>
      </c>
      <c r="AF3104" s="2" t="str">
        <f>IF(D3104="","",IFERROR(MATCH(D3104,Projects!$A:$A,0),""))</f>
        <v/>
      </c>
    </row>
    <row r="3105" spans="31:32" x14ac:dyDescent="0.25">
      <c r="AE3105" s="39" t="str">
        <f>IF(D3105="","",IFERROR(VLOOKUP(D3105,Projects!$A$2:$A$20000,1,FALSE),""))</f>
        <v/>
      </c>
      <c r="AF3105" s="2" t="str">
        <f>IF(D3105="","",IFERROR(MATCH(D3105,Projects!$A:$A,0),""))</f>
        <v/>
      </c>
    </row>
    <row r="3106" spans="31:32" x14ac:dyDescent="0.25">
      <c r="AE3106" s="39" t="str">
        <f>IF(D3106="","",IFERROR(VLOOKUP(D3106,Projects!$A$2:$A$20000,1,FALSE),""))</f>
        <v/>
      </c>
      <c r="AF3106" s="2" t="str">
        <f>IF(D3106="","",IFERROR(MATCH(D3106,Projects!$A:$A,0),""))</f>
        <v/>
      </c>
    </row>
    <row r="3107" spans="31:32" x14ac:dyDescent="0.25">
      <c r="AE3107" s="39" t="str">
        <f>IF(D3107="","",IFERROR(VLOOKUP(D3107,Projects!$A$2:$A$20000,1,FALSE),""))</f>
        <v/>
      </c>
      <c r="AF3107" s="2" t="str">
        <f>IF(D3107="","",IFERROR(MATCH(D3107,Projects!$A:$A,0),""))</f>
        <v/>
      </c>
    </row>
    <row r="3108" spans="31:32" x14ac:dyDescent="0.25">
      <c r="AE3108" s="39" t="str">
        <f>IF(D3108="","",IFERROR(VLOOKUP(D3108,Projects!$A$2:$A$20000,1,FALSE),""))</f>
        <v/>
      </c>
      <c r="AF3108" s="2" t="str">
        <f>IF(D3108="","",IFERROR(MATCH(D3108,Projects!$A:$A,0),""))</f>
        <v/>
      </c>
    </row>
    <row r="3109" spans="31:32" x14ac:dyDescent="0.25">
      <c r="AE3109" s="39" t="str">
        <f>IF(D3109="","",IFERROR(VLOOKUP(D3109,Projects!$A$2:$A$20000,1,FALSE),""))</f>
        <v/>
      </c>
      <c r="AF3109" s="2" t="str">
        <f>IF(D3109="","",IFERROR(MATCH(D3109,Projects!$A:$A,0),""))</f>
        <v/>
      </c>
    </row>
    <row r="3110" spans="31:32" x14ac:dyDescent="0.25">
      <c r="AE3110" s="39" t="str">
        <f>IF(D3110="","",IFERROR(VLOOKUP(D3110,Projects!$A$2:$A$20000,1,FALSE),""))</f>
        <v/>
      </c>
      <c r="AF3110" s="2" t="str">
        <f>IF(D3110="","",IFERROR(MATCH(D3110,Projects!$A:$A,0),""))</f>
        <v/>
      </c>
    </row>
    <row r="3111" spans="31:32" x14ac:dyDescent="0.25">
      <c r="AE3111" s="39" t="str">
        <f>IF(D3111="","",IFERROR(VLOOKUP(D3111,Projects!$A$2:$A$20000,1,FALSE),""))</f>
        <v/>
      </c>
      <c r="AF3111" s="2" t="str">
        <f>IF(D3111="","",IFERROR(MATCH(D3111,Projects!$A:$A,0),""))</f>
        <v/>
      </c>
    </row>
    <row r="3112" spans="31:32" x14ac:dyDescent="0.25">
      <c r="AE3112" s="39" t="str">
        <f>IF(D3112="","",IFERROR(VLOOKUP(D3112,Projects!$A$2:$A$20000,1,FALSE),""))</f>
        <v/>
      </c>
      <c r="AF3112" s="2" t="str">
        <f>IF(D3112="","",IFERROR(MATCH(D3112,Projects!$A:$A,0),""))</f>
        <v/>
      </c>
    </row>
    <row r="3113" spans="31:32" x14ac:dyDescent="0.25">
      <c r="AE3113" s="39" t="str">
        <f>IF(D3113="","",IFERROR(VLOOKUP(D3113,Projects!$A$2:$A$20000,1,FALSE),""))</f>
        <v/>
      </c>
      <c r="AF3113" s="2" t="str">
        <f>IF(D3113="","",IFERROR(MATCH(D3113,Projects!$A:$A,0),""))</f>
        <v/>
      </c>
    </row>
    <row r="3114" spans="31:32" x14ac:dyDescent="0.25">
      <c r="AE3114" s="39" t="str">
        <f>IF(D3114="","",IFERROR(VLOOKUP(D3114,Projects!$A$2:$A$20000,1,FALSE),""))</f>
        <v/>
      </c>
      <c r="AF3114" s="2" t="str">
        <f>IF(D3114="","",IFERROR(MATCH(D3114,Projects!$A:$A,0),""))</f>
        <v/>
      </c>
    </row>
    <row r="3115" spans="31:32" x14ac:dyDescent="0.25">
      <c r="AE3115" s="39" t="str">
        <f>IF(D3115="","",IFERROR(VLOOKUP(D3115,Projects!$A$2:$A$20000,1,FALSE),""))</f>
        <v/>
      </c>
      <c r="AF3115" s="2" t="str">
        <f>IF(D3115="","",IFERROR(MATCH(D3115,Projects!$A:$A,0),""))</f>
        <v/>
      </c>
    </row>
    <row r="3116" spans="31:32" x14ac:dyDescent="0.25">
      <c r="AE3116" s="39" t="str">
        <f>IF(D3116="","",IFERROR(VLOOKUP(D3116,Projects!$A$2:$A$20000,1,FALSE),""))</f>
        <v/>
      </c>
      <c r="AF3116" s="2" t="str">
        <f>IF(D3116="","",IFERROR(MATCH(D3116,Projects!$A:$A,0),""))</f>
        <v/>
      </c>
    </row>
    <row r="3117" spans="31:32" x14ac:dyDescent="0.25">
      <c r="AE3117" s="39" t="str">
        <f>IF(D3117="","",IFERROR(VLOOKUP(D3117,Projects!$A$2:$A$20000,1,FALSE),""))</f>
        <v/>
      </c>
      <c r="AF3117" s="2" t="str">
        <f>IF(D3117="","",IFERROR(MATCH(D3117,Projects!$A:$A,0),""))</f>
        <v/>
      </c>
    </row>
    <row r="3118" spans="31:32" x14ac:dyDescent="0.25">
      <c r="AE3118" s="39" t="str">
        <f>IF(D3118="","",IFERROR(VLOOKUP(D3118,Projects!$A$2:$A$20000,1,FALSE),""))</f>
        <v/>
      </c>
      <c r="AF3118" s="2" t="str">
        <f>IF(D3118="","",IFERROR(MATCH(D3118,Projects!$A:$A,0),""))</f>
        <v/>
      </c>
    </row>
    <row r="3119" spans="31:32" x14ac:dyDescent="0.25">
      <c r="AE3119" s="39" t="str">
        <f>IF(D3119="","",IFERROR(VLOOKUP(D3119,Projects!$A$2:$A$20000,1,FALSE),""))</f>
        <v/>
      </c>
      <c r="AF3119" s="2" t="str">
        <f>IF(D3119="","",IFERROR(MATCH(D3119,Projects!$A:$A,0),""))</f>
        <v/>
      </c>
    </row>
    <row r="3120" spans="31:32" x14ac:dyDescent="0.25">
      <c r="AE3120" s="39" t="str">
        <f>IF(D3120="","",IFERROR(VLOOKUP(D3120,Projects!$A$2:$A$20000,1,FALSE),""))</f>
        <v/>
      </c>
      <c r="AF3120" s="2" t="str">
        <f>IF(D3120="","",IFERROR(MATCH(D3120,Projects!$A:$A,0),""))</f>
        <v/>
      </c>
    </row>
    <row r="3121" spans="31:32" x14ac:dyDescent="0.25">
      <c r="AE3121" s="39" t="str">
        <f>IF(D3121="","",IFERROR(VLOOKUP(D3121,Projects!$A$2:$A$20000,1,FALSE),""))</f>
        <v/>
      </c>
      <c r="AF3121" s="2" t="str">
        <f>IF(D3121="","",IFERROR(MATCH(D3121,Projects!$A:$A,0),""))</f>
        <v/>
      </c>
    </row>
    <row r="3122" spans="31:32" x14ac:dyDescent="0.25">
      <c r="AE3122" s="39" t="str">
        <f>IF(D3122="","",IFERROR(VLOOKUP(D3122,Projects!$A$2:$A$20000,1,FALSE),""))</f>
        <v/>
      </c>
      <c r="AF3122" s="2" t="str">
        <f>IF(D3122="","",IFERROR(MATCH(D3122,Projects!$A:$A,0),""))</f>
        <v/>
      </c>
    </row>
    <row r="3123" spans="31:32" x14ac:dyDescent="0.25">
      <c r="AE3123" s="39" t="str">
        <f>IF(D3123="","",IFERROR(VLOOKUP(D3123,Projects!$A$2:$A$20000,1,FALSE),""))</f>
        <v/>
      </c>
      <c r="AF3123" s="2" t="str">
        <f>IF(D3123="","",IFERROR(MATCH(D3123,Projects!$A:$A,0),""))</f>
        <v/>
      </c>
    </row>
    <row r="3124" spans="31:32" x14ac:dyDescent="0.25">
      <c r="AE3124" s="39" t="str">
        <f>IF(D3124="","",IFERROR(VLOOKUP(D3124,Projects!$A$2:$A$20000,1,FALSE),""))</f>
        <v/>
      </c>
      <c r="AF3124" s="2" t="str">
        <f>IF(D3124="","",IFERROR(MATCH(D3124,Projects!$A:$A,0),""))</f>
        <v/>
      </c>
    </row>
    <row r="3125" spans="31:32" x14ac:dyDescent="0.25">
      <c r="AE3125" s="39" t="str">
        <f>IF(D3125="","",IFERROR(VLOOKUP(D3125,Projects!$A$2:$A$20000,1,FALSE),""))</f>
        <v/>
      </c>
      <c r="AF3125" s="2" t="str">
        <f>IF(D3125="","",IFERROR(MATCH(D3125,Projects!$A:$A,0),""))</f>
        <v/>
      </c>
    </row>
    <row r="3126" spans="31:32" x14ac:dyDescent="0.25">
      <c r="AE3126" s="39" t="str">
        <f>IF(D3126="","",IFERROR(VLOOKUP(D3126,Projects!$A$2:$A$20000,1,FALSE),""))</f>
        <v/>
      </c>
      <c r="AF3126" s="2" t="str">
        <f>IF(D3126="","",IFERROR(MATCH(D3126,Projects!$A:$A,0),""))</f>
        <v/>
      </c>
    </row>
    <row r="3127" spans="31:32" x14ac:dyDescent="0.25">
      <c r="AE3127" s="39" t="str">
        <f>IF(D3127="","",IFERROR(VLOOKUP(D3127,Projects!$A$2:$A$20000,1,FALSE),""))</f>
        <v/>
      </c>
      <c r="AF3127" s="2" t="str">
        <f>IF(D3127="","",IFERROR(MATCH(D3127,Projects!$A:$A,0),""))</f>
        <v/>
      </c>
    </row>
    <row r="3128" spans="31:32" x14ac:dyDescent="0.25">
      <c r="AE3128" s="39" t="str">
        <f>IF(D3128="","",IFERROR(VLOOKUP(D3128,Projects!$A$2:$A$20000,1,FALSE),""))</f>
        <v/>
      </c>
      <c r="AF3128" s="2" t="str">
        <f>IF(D3128="","",IFERROR(MATCH(D3128,Projects!$A:$A,0),""))</f>
        <v/>
      </c>
    </row>
    <row r="3129" spans="31:32" x14ac:dyDescent="0.25">
      <c r="AE3129" s="39" t="str">
        <f>IF(D3129="","",IFERROR(VLOOKUP(D3129,Projects!$A$2:$A$20000,1,FALSE),""))</f>
        <v/>
      </c>
      <c r="AF3129" s="2" t="str">
        <f>IF(D3129="","",IFERROR(MATCH(D3129,Projects!$A:$A,0),""))</f>
        <v/>
      </c>
    </row>
    <row r="3130" spans="31:32" x14ac:dyDescent="0.25">
      <c r="AE3130" s="39" t="str">
        <f>IF(D3130="","",IFERROR(VLOOKUP(D3130,Projects!$A$2:$A$20000,1,FALSE),""))</f>
        <v/>
      </c>
      <c r="AF3130" s="2" t="str">
        <f>IF(D3130="","",IFERROR(MATCH(D3130,Projects!$A:$A,0),""))</f>
        <v/>
      </c>
    </row>
    <row r="3131" spans="31:32" x14ac:dyDescent="0.25">
      <c r="AE3131" s="39" t="str">
        <f>IF(D3131="","",IFERROR(VLOOKUP(D3131,Projects!$A$2:$A$20000,1,FALSE),""))</f>
        <v/>
      </c>
      <c r="AF3131" s="2" t="str">
        <f>IF(D3131="","",IFERROR(MATCH(D3131,Projects!$A:$A,0),""))</f>
        <v/>
      </c>
    </row>
    <row r="3132" spans="31:32" x14ac:dyDescent="0.25">
      <c r="AE3132" s="39" t="str">
        <f>IF(D3132="","",IFERROR(VLOOKUP(D3132,Projects!$A$2:$A$20000,1,FALSE),""))</f>
        <v/>
      </c>
      <c r="AF3132" s="2" t="str">
        <f>IF(D3132="","",IFERROR(MATCH(D3132,Projects!$A:$A,0),""))</f>
        <v/>
      </c>
    </row>
    <row r="3133" spans="31:32" x14ac:dyDescent="0.25">
      <c r="AE3133" s="39" t="str">
        <f>IF(D3133="","",IFERROR(VLOOKUP(D3133,Projects!$A$2:$A$20000,1,FALSE),""))</f>
        <v/>
      </c>
      <c r="AF3133" s="2" t="str">
        <f>IF(D3133="","",IFERROR(MATCH(D3133,Projects!$A:$A,0),""))</f>
        <v/>
      </c>
    </row>
    <row r="3134" spans="31:32" x14ac:dyDescent="0.25">
      <c r="AE3134" s="39" t="str">
        <f>IF(D3134="","",IFERROR(VLOOKUP(D3134,Projects!$A$2:$A$20000,1,FALSE),""))</f>
        <v/>
      </c>
      <c r="AF3134" s="2" t="str">
        <f>IF(D3134="","",IFERROR(MATCH(D3134,Projects!$A:$A,0),""))</f>
        <v/>
      </c>
    </row>
    <row r="3135" spans="31:32" x14ac:dyDescent="0.25">
      <c r="AE3135" s="39" t="str">
        <f>IF(D3135="","",IFERROR(VLOOKUP(D3135,Projects!$A$2:$A$20000,1,FALSE),""))</f>
        <v/>
      </c>
      <c r="AF3135" s="2" t="str">
        <f>IF(D3135="","",IFERROR(MATCH(D3135,Projects!$A:$A,0),""))</f>
        <v/>
      </c>
    </row>
    <row r="3136" spans="31:32" x14ac:dyDescent="0.25">
      <c r="AE3136" s="39" t="str">
        <f>IF(D3136="","",IFERROR(VLOOKUP(D3136,Projects!$A$2:$A$20000,1,FALSE),""))</f>
        <v/>
      </c>
      <c r="AF3136" s="2" t="str">
        <f>IF(D3136="","",IFERROR(MATCH(D3136,Projects!$A:$A,0),""))</f>
        <v/>
      </c>
    </row>
    <row r="3137" spans="31:32" x14ac:dyDescent="0.25">
      <c r="AE3137" s="39" t="str">
        <f>IF(D3137="","",IFERROR(VLOOKUP(D3137,Projects!$A$2:$A$20000,1,FALSE),""))</f>
        <v/>
      </c>
      <c r="AF3137" s="2" t="str">
        <f>IF(D3137="","",IFERROR(MATCH(D3137,Projects!$A:$A,0),""))</f>
        <v/>
      </c>
    </row>
    <row r="3138" spans="31:32" x14ac:dyDescent="0.25">
      <c r="AE3138" s="39" t="str">
        <f>IF(D3138="","",IFERROR(VLOOKUP(D3138,Projects!$A$2:$A$20000,1,FALSE),""))</f>
        <v/>
      </c>
      <c r="AF3138" s="2" t="str">
        <f>IF(D3138="","",IFERROR(MATCH(D3138,Projects!$A:$A,0),""))</f>
        <v/>
      </c>
    </row>
    <row r="3139" spans="31:32" x14ac:dyDescent="0.25">
      <c r="AE3139" s="39" t="str">
        <f>IF(D3139="","",IFERROR(VLOOKUP(D3139,Projects!$A$2:$A$20000,1,FALSE),""))</f>
        <v/>
      </c>
      <c r="AF3139" s="2" t="str">
        <f>IF(D3139="","",IFERROR(MATCH(D3139,Projects!$A:$A,0),""))</f>
        <v/>
      </c>
    </row>
    <row r="3140" spans="31:32" x14ac:dyDescent="0.25">
      <c r="AE3140" s="39" t="str">
        <f>IF(D3140="","",IFERROR(VLOOKUP(D3140,Projects!$A$2:$A$20000,1,FALSE),""))</f>
        <v/>
      </c>
      <c r="AF3140" s="2" t="str">
        <f>IF(D3140="","",IFERROR(MATCH(D3140,Projects!$A:$A,0),""))</f>
        <v/>
      </c>
    </row>
    <row r="3141" spans="31:32" x14ac:dyDescent="0.25">
      <c r="AE3141" s="39" t="str">
        <f>IF(D3141="","",IFERROR(VLOOKUP(D3141,Projects!$A$2:$A$20000,1,FALSE),""))</f>
        <v/>
      </c>
      <c r="AF3141" s="2" t="str">
        <f>IF(D3141="","",IFERROR(MATCH(D3141,Projects!$A:$A,0),""))</f>
        <v/>
      </c>
    </row>
    <row r="3142" spans="31:32" x14ac:dyDescent="0.25">
      <c r="AE3142" s="39" t="str">
        <f>IF(D3142="","",IFERROR(VLOOKUP(D3142,Projects!$A$2:$A$20000,1,FALSE),""))</f>
        <v/>
      </c>
      <c r="AF3142" s="2" t="str">
        <f>IF(D3142="","",IFERROR(MATCH(D3142,Projects!$A:$A,0),""))</f>
        <v/>
      </c>
    </row>
    <row r="3143" spans="31:32" x14ac:dyDescent="0.25">
      <c r="AE3143" s="39" t="str">
        <f>IF(D3143="","",IFERROR(VLOOKUP(D3143,Projects!$A$2:$A$20000,1,FALSE),""))</f>
        <v/>
      </c>
      <c r="AF3143" s="2" t="str">
        <f>IF(D3143="","",IFERROR(MATCH(D3143,Projects!$A:$A,0),""))</f>
        <v/>
      </c>
    </row>
    <row r="3144" spans="31:32" x14ac:dyDescent="0.25">
      <c r="AE3144" s="39" t="str">
        <f>IF(D3144="","",IFERROR(VLOOKUP(D3144,Projects!$A$2:$A$20000,1,FALSE),""))</f>
        <v/>
      </c>
      <c r="AF3144" s="2" t="str">
        <f>IF(D3144="","",IFERROR(MATCH(D3144,Projects!$A:$A,0),""))</f>
        <v/>
      </c>
    </row>
    <row r="3145" spans="31:32" x14ac:dyDescent="0.25">
      <c r="AE3145" s="39" t="str">
        <f>IF(D3145="","",IFERROR(VLOOKUP(D3145,Projects!$A$2:$A$20000,1,FALSE),""))</f>
        <v/>
      </c>
      <c r="AF3145" s="2" t="str">
        <f>IF(D3145="","",IFERROR(MATCH(D3145,Projects!$A:$A,0),""))</f>
        <v/>
      </c>
    </row>
    <row r="3146" spans="31:32" x14ac:dyDescent="0.25">
      <c r="AE3146" s="39" t="str">
        <f>IF(D3146="","",IFERROR(VLOOKUP(D3146,Projects!$A$2:$A$20000,1,FALSE),""))</f>
        <v/>
      </c>
      <c r="AF3146" s="2" t="str">
        <f>IF(D3146="","",IFERROR(MATCH(D3146,Projects!$A:$A,0),""))</f>
        <v/>
      </c>
    </row>
    <row r="3147" spans="31:32" x14ac:dyDescent="0.25">
      <c r="AE3147" s="39" t="str">
        <f>IF(D3147="","",IFERROR(VLOOKUP(D3147,Projects!$A$2:$A$20000,1,FALSE),""))</f>
        <v/>
      </c>
      <c r="AF3147" s="2" t="str">
        <f>IF(D3147="","",IFERROR(MATCH(D3147,Projects!$A:$A,0),""))</f>
        <v/>
      </c>
    </row>
    <row r="3148" spans="31:32" x14ac:dyDescent="0.25">
      <c r="AE3148" s="39" t="str">
        <f>IF(D3148="","",IFERROR(VLOOKUP(D3148,Projects!$A$2:$A$20000,1,FALSE),""))</f>
        <v/>
      </c>
      <c r="AF3148" s="2" t="str">
        <f>IF(D3148="","",IFERROR(MATCH(D3148,Projects!$A:$A,0),""))</f>
        <v/>
      </c>
    </row>
    <row r="3149" spans="31:32" x14ac:dyDescent="0.25">
      <c r="AE3149" s="39" t="str">
        <f>IF(D3149="","",IFERROR(VLOOKUP(D3149,Projects!$A$2:$A$20000,1,FALSE),""))</f>
        <v/>
      </c>
      <c r="AF3149" s="2" t="str">
        <f>IF(D3149="","",IFERROR(MATCH(D3149,Projects!$A:$A,0),""))</f>
        <v/>
      </c>
    </row>
    <row r="3150" spans="31:32" x14ac:dyDescent="0.25">
      <c r="AE3150" s="39" t="str">
        <f>IF(D3150="","",IFERROR(VLOOKUP(D3150,Projects!$A$2:$A$20000,1,FALSE),""))</f>
        <v/>
      </c>
      <c r="AF3150" s="2" t="str">
        <f>IF(D3150="","",IFERROR(MATCH(D3150,Projects!$A:$A,0),""))</f>
        <v/>
      </c>
    </row>
    <row r="3151" spans="31:32" x14ac:dyDescent="0.25">
      <c r="AE3151" s="39" t="str">
        <f>IF(D3151="","",IFERROR(VLOOKUP(D3151,Projects!$A$2:$A$20000,1,FALSE),""))</f>
        <v/>
      </c>
      <c r="AF3151" s="2" t="str">
        <f>IF(D3151="","",IFERROR(MATCH(D3151,Projects!$A:$A,0),""))</f>
        <v/>
      </c>
    </row>
    <row r="3152" spans="31:32" x14ac:dyDescent="0.25">
      <c r="AE3152" s="39" t="str">
        <f>IF(D3152="","",IFERROR(VLOOKUP(D3152,Projects!$A$2:$A$20000,1,FALSE),""))</f>
        <v/>
      </c>
      <c r="AF3152" s="2" t="str">
        <f>IF(D3152="","",IFERROR(MATCH(D3152,Projects!$A:$A,0),""))</f>
        <v/>
      </c>
    </row>
    <row r="3153" spans="31:32" x14ac:dyDescent="0.25">
      <c r="AE3153" s="39" t="str">
        <f>IF(D3153="","",IFERROR(VLOOKUP(D3153,Projects!$A$2:$A$20000,1,FALSE),""))</f>
        <v/>
      </c>
      <c r="AF3153" s="2" t="str">
        <f>IF(D3153="","",IFERROR(MATCH(D3153,Projects!$A:$A,0),""))</f>
        <v/>
      </c>
    </row>
    <row r="3154" spans="31:32" x14ac:dyDescent="0.25">
      <c r="AE3154" s="39" t="str">
        <f>IF(D3154="","",IFERROR(VLOOKUP(D3154,Projects!$A$2:$A$20000,1,FALSE),""))</f>
        <v/>
      </c>
      <c r="AF3154" s="2" t="str">
        <f>IF(D3154="","",IFERROR(MATCH(D3154,Projects!$A:$A,0),""))</f>
        <v/>
      </c>
    </row>
    <row r="3155" spans="31:32" x14ac:dyDescent="0.25">
      <c r="AE3155" s="39" t="str">
        <f>IF(D3155="","",IFERROR(VLOOKUP(D3155,Projects!$A$2:$A$20000,1,FALSE),""))</f>
        <v/>
      </c>
      <c r="AF3155" s="2" t="str">
        <f>IF(D3155="","",IFERROR(MATCH(D3155,Projects!$A:$A,0),""))</f>
        <v/>
      </c>
    </row>
    <row r="3156" spans="31:32" x14ac:dyDescent="0.25">
      <c r="AE3156" s="39" t="str">
        <f>IF(D3156="","",IFERROR(VLOOKUP(D3156,Projects!$A$2:$A$20000,1,FALSE),""))</f>
        <v/>
      </c>
      <c r="AF3156" s="2" t="str">
        <f>IF(D3156="","",IFERROR(MATCH(D3156,Projects!$A:$A,0),""))</f>
        <v/>
      </c>
    </row>
    <row r="3157" spans="31:32" x14ac:dyDescent="0.25">
      <c r="AE3157" s="39" t="str">
        <f>IF(D3157="","",IFERROR(VLOOKUP(D3157,Projects!$A$2:$A$20000,1,FALSE),""))</f>
        <v/>
      </c>
      <c r="AF3157" s="2" t="str">
        <f>IF(D3157="","",IFERROR(MATCH(D3157,Projects!$A:$A,0),""))</f>
        <v/>
      </c>
    </row>
    <row r="3158" spans="31:32" x14ac:dyDescent="0.25">
      <c r="AE3158" s="39" t="str">
        <f>IF(D3158="","",IFERROR(VLOOKUP(D3158,Projects!$A$2:$A$20000,1,FALSE),""))</f>
        <v/>
      </c>
      <c r="AF3158" s="2" t="str">
        <f>IF(D3158="","",IFERROR(MATCH(D3158,Projects!$A:$A,0),""))</f>
        <v/>
      </c>
    </row>
    <row r="3159" spans="31:32" x14ac:dyDescent="0.25">
      <c r="AE3159" s="39" t="str">
        <f>IF(D3159="","",IFERROR(VLOOKUP(D3159,Projects!$A$2:$A$20000,1,FALSE),""))</f>
        <v/>
      </c>
      <c r="AF3159" s="2" t="str">
        <f>IF(D3159="","",IFERROR(MATCH(D3159,Projects!$A:$A,0),""))</f>
        <v/>
      </c>
    </row>
    <row r="3160" spans="31:32" x14ac:dyDescent="0.25">
      <c r="AE3160" s="39" t="str">
        <f>IF(D3160="","",IFERROR(VLOOKUP(D3160,Projects!$A$2:$A$20000,1,FALSE),""))</f>
        <v/>
      </c>
      <c r="AF3160" s="2" t="str">
        <f>IF(D3160="","",IFERROR(MATCH(D3160,Projects!$A:$A,0),""))</f>
        <v/>
      </c>
    </row>
    <row r="3161" spans="31:32" x14ac:dyDescent="0.25">
      <c r="AE3161" s="39" t="str">
        <f>IF(D3161="","",IFERROR(VLOOKUP(D3161,Projects!$A$2:$A$20000,1,FALSE),""))</f>
        <v/>
      </c>
      <c r="AF3161" s="2" t="str">
        <f>IF(D3161="","",IFERROR(MATCH(D3161,Projects!$A:$A,0),""))</f>
        <v/>
      </c>
    </row>
    <row r="3162" spans="31:32" x14ac:dyDescent="0.25">
      <c r="AE3162" s="39" t="str">
        <f>IF(D3162="","",IFERROR(VLOOKUP(D3162,Projects!$A$2:$A$20000,1,FALSE),""))</f>
        <v/>
      </c>
      <c r="AF3162" s="2" t="str">
        <f>IF(D3162="","",IFERROR(MATCH(D3162,Projects!$A:$A,0),""))</f>
        <v/>
      </c>
    </row>
    <row r="3163" spans="31:32" x14ac:dyDescent="0.25">
      <c r="AE3163" s="39" t="str">
        <f>IF(D3163="","",IFERROR(VLOOKUP(D3163,Projects!$A$2:$A$20000,1,FALSE),""))</f>
        <v/>
      </c>
      <c r="AF3163" s="2" t="str">
        <f>IF(D3163="","",IFERROR(MATCH(D3163,Projects!$A:$A,0),""))</f>
        <v/>
      </c>
    </row>
    <row r="3164" spans="31:32" x14ac:dyDescent="0.25">
      <c r="AE3164" s="39" t="str">
        <f>IF(D3164="","",IFERROR(VLOOKUP(D3164,Projects!$A$2:$A$20000,1,FALSE),""))</f>
        <v/>
      </c>
      <c r="AF3164" s="2" t="str">
        <f>IF(D3164="","",IFERROR(MATCH(D3164,Projects!$A:$A,0),""))</f>
        <v/>
      </c>
    </row>
    <row r="3165" spans="31:32" x14ac:dyDescent="0.25">
      <c r="AE3165" s="39" t="str">
        <f>IF(D3165="","",IFERROR(VLOOKUP(D3165,Projects!$A$2:$A$20000,1,FALSE),""))</f>
        <v/>
      </c>
      <c r="AF3165" s="2" t="str">
        <f>IF(D3165="","",IFERROR(MATCH(D3165,Projects!$A:$A,0),""))</f>
        <v/>
      </c>
    </row>
    <row r="3166" spans="31:32" x14ac:dyDescent="0.25">
      <c r="AE3166" s="39" t="str">
        <f>IF(D3166="","",IFERROR(VLOOKUP(D3166,Projects!$A$2:$A$20000,1,FALSE),""))</f>
        <v/>
      </c>
      <c r="AF3166" s="2" t="str">
        <f>IF(D3166="","",IFERROR(MATCH(D3166,Projects!$A:$A,0),""))</f>
        <v/>
      </c>
    </row>
    <row r="3167" spans="31:32" x14ac:dyDescent="0.25">
      <c r="AE3167" s="39" t="str">
        <f>IF(D3167="","",IFERROR(VLOOKUP(D3167,Projects!$A$2:$A$20000,1,FALSE),""))</f>
        <v/>
      </c>
      <c r="AF3167" s="2" t="str">
        <f>IF(D3167="","",IFERROR(MATCH(D3167,Projects!$A:$A,0),""))</f>
        <v/>
      </c>
    </row>
    <row r="3168" spans="31:32" x14ac:dyDescent="0.25">
      <c r="AE3168" s="39" t="str">
        <f>IF(D3168="","",IFERROR(VLOOKUP(D3168,Projects!$A$2:$A$20000,1,FALSE),""))</f>
        <v/>
      </c>
      <c r="AF3168" s="2" t="str">
        <f>IF(D3168="","",IFERROR(MATCH(D3168,Projects!$A:$A,0),""))</f>
        <v/>
      </c>
    </row>
    <row r="3169" spans="31:32" x14ac:dyDescent="0.25">
      <c r="AE3169" s="39" t="str">
        <f>IF(D3169="","",IFERROR(VLOOKUP(D3169,Projects!$A$2:$A$20000,1,FALSE),""))</f>
        <v/>
      </c>
      <c r="AF3169" s="2" t="str">
        <f>IF(D3169="","",IFERROR(MATCH(D3169,Projects!$A:$A,0),""))</f>
        <v/>
      </c>
    </row>
    <row r="3170" spans="31:32" x14ac:dyDescent="0.25">
      <c r="AE3170" s="39" t="str">
        <f>IF(D3170="","",IFERROR(VLOOKUP(D3170,Projects!$A$2:$A$20000,1,FALSE),""))</f>
        <v/>
      </c>
      <c r="AF3170" s="2" t="str">
        <f>IF(D3170="","",IFERROR(MATCH(D3170,Projects!$A:$A,0),""))</f>
        <v/>
      </c>
    </row>
    <row r="3171" spans="31:32" x14ac:dyDescent="0.25">
      <c r="AE3171" s="39" t="str">
        <f>IF(D3171="","",IFERROR(VLOOKUP(D3171,Projects!$A$2:$A$20000,1,FALSE),""))</f>
        <v/>
      </c>
      <c r="AF3171" s="2" t="str">
        <f>IF(D3171="","",IFERROR(MATCH(D3171,Projects!$A:$A,0),""))</f>
        <v/>
      </c>
    </row>
    <row r="3172" spans="31:32" x14ac:dyDescent="0.25">
      <c r="AE3172" s="39" t="str">
        <f>IF(D3172="","",IFERROR(VLOOKUP(D3172,Projects!$A$2:$A$20000,1,FALSE),""))</f>
        <v/>
      </c>
      <c r="AF3172" s="2" t="str">
        <f>IF(D3172="","",IFERROR(MATCH(D3172,Projects!$A:$A,0),""))</f>
        <v/>
      </c>
    </row>
    <row r="3173" spans="31:32" x14ac:dyDescent="0.25">
      <c r="AE3173" s="39" t="str">
        <f>IF(D3173="","",IFERROR(VLOOKUP(D3173,Projects!$A$2:$A$20000,1,FALSE),""))</f>
        <v/>
      </c>
      <c r="AF3173" s="2" t="str">
        <f>IF(D3173="","",IFERROR(MATCH(D3173,Projects!$A:$A,0),""))</f>
        <v/>
      </c>
    </row>
    <row r="3174" spans="31:32" x14ac:dyDescent="0.25">
      <c r="AE3174" s="39" t="str">
        <f>IF(D3174="","",IFERROR(VLOOKUP(D3174,Projects!$A$2:$A$20000,1,FALSE),""))</f>
        <v/>
      </c>
      <c r="AF3174" s="2" t="str">
        <f>IF(D3174="","",IFERROR(MATCH(D3174,Projects!$A:$A,0),""))</f>
        <v/>
      </c>
    </row>
    <row r="3175" spans="31:32" x14ac:dyDescent="0.25">
      <c r="AE3175" s="39" t="str">
        <f>IF(D3175="","",IFERROR(VLOOKUP(D3175,Projects!$A$2:$A$20000,1,FALSE),""))</f>
        <v/>
      </c>
      <c r="AF3175" s="2" t="str">
        <f>IF(D3175="","",IFERROR(MATCH(D3175,Projects!$A:$A,0),""))</f>
        <v/>
      </c>
    </row>
    <row r="3176" spans="31:32" x14ac:dyDescent="0.25">
      <c r="AE3176" s="39" t="str">
        <f>IF(D3176="","",IFERROR(VLOOKUP(D3176,Projects!$A$2:$A$20000,1,FALSE),""))</f>
        <v/>
      </c>
      <c r="AF3176" s="2" t="str">
        <f>IF(D3176="","",IFERROR(MATCH(D3176,Projects!$A:$A,0),""))</f>
        <v/>
      </c>
    </row>
    <row r="3177" spans="31:32" x14ac:dyDescent="0.25">
      <c r="AE3177" s="39" t="str">
        <f>IF(D3177="","",IFERROR(VLOOKUP(D3177,Projects!$A$2:$A$20000,1,FALSE),""))</f>
        <v/>
      </c>
      <c r="AF3177" s="2" t="str">
        <f>IF(D3177="","",IFERROR(MATCH(D3177,Projects!$A:$A,0),""))</f>
        <v/>
      </c>
    </row>
    <row r="3178" spans="31:32" x14ac:dyDescent="0.25">
      <c r="AE3178" s="39" t="str">
        <f>IF(D3178="","",IFERROR(VLOOKUP(D3178,Projects!$A$2:$A$20000,1,FALSE),""))</f>
        <v/>
      </c>
      <c r="AF3178" s="2" t="str">
        <f>IF(D3178="","",IFERROR(MATCH(D3178,Projects!$A:$A,0),""))</f>
        <v/>
      </c>
    </row>
    <row r="3179" spans="31:32" x14ac:dyDescent="0.25">
      <c r="AE3179" s="39" t="str">
        <f>IF(D3179="","",IFERROR(VLOOKUP(D3179,Projects!$A$2:$A$20000,1,FALSE),""))</f>
        <v/>
      </c>
      <c r="AF3179" s="2" t="str">
        <f>IF(D3179="","",IFERROR(MATCH(D3179,Projects!$A:$A,0),""))</f>
        <v/>
      </c>
    </row>
    <row r="3180" spans="31:32" x14ac:dyDescent="0.25">
      <c r="AE3180" s="39" t="str">
        <f>IF(D3180="","",IFERROR(VLOOKUP(D3180,Projects!$A$2:$A$20000,1,FALSE),""))</f>
        <v/>
      </c>
      <c r="AF3180" s="2" t="str">
        <f>IF(D3180="","",IFERROR(MATCH(D3180,Projects!$A:$A,0),""))</f>
        <v/>
      </c>
    </row>
    <row r="3181" spans="31:32" x14ac:dyDescent="0.25">
      <c r="AE3181" s="39" t="str">
        <f>IF(D3181="","",IFERROR(VLOOKUP(D3181,Projects!$A$2:$A$20000,1,FALSE),""))</f>
        <v/>
      </c>
      <c r="AF3181" s="2" t="str">
        <f>IF(D3181="","",IFERROR(MATCH(D3181,Projects!$A:$A,0),""))</f>
        <v/>
      </c>
    </row>
    <row r="3182" spans="31:32" x14ac:dyDescent="0.25">
      <c r="AE3182" s="39" t="str">
        <f>IF(D3182="","",IFERROR(VLOOKUP(D3182,Projects!$A$2:$A$20000,1,FALSE),""))</f>
        <v/>
      </c>
      <c r="AF3182" s="2" t="str">
        <f>IF(D3182="","",IFERROR(MATCH(D3182,Projects!$A:$A,0),""))</f>
        <v/>
      </c>
    </row>
    <row r="3183" spans="31:32" x14ac:dyDescent="0.25">
      <c r="AE3183" s="39" t="str">
        <f>IF(D3183="","",IFERROR(VLOOKUP(D3183,Projects!$A$2:$A$20000,1,FALSE),""))</f>
        <v/>
      </c>
      <c r="AF3183" s="2" t="str">
        <f>IF(D3183="","",IFERROR(MATCH(D3183,Projects!$A:$A,0),""))</f>
        <v/>
      </c>
    </row>
    <row r="3184" spans="31:32" x14ac:dyDescent="0.25">
      <c r="AE3184" s="39" t="str">
        <f>IF(D3184="","",IFERROR(VLOOKUP(D3184,Projects!$A$2:$A$20000,1,FALSE),""))</f>
        <v/>
      </c>
      <c r="AF3184" s="2" t="str">
        <f>IF(D3184="","",IFERROR(MATCH(D3184,Projects!$A:$A,0),""))</f>
        <v/>
      </c>
    </row>
    <row r="3185" spans="31:32" x14ac:dyDescent="0.25">
      <c r="AE3185" s="39" t="str">
        <f>IF(D3185="","",IFERROR(VLOOKUP(D3185,Projects!$A$2:$A$20000,1,FALSE),""))</f>
        <v/>
      </c>
      <c r="AF3185" s="2" t="str">
        <f>IF(D3185="","",IFERROR(MATCH(D3185,Projects!$A:$A,0),""))</f>
        <v/>
      </c>
    </row>
    <row r="3186" spans="31:32" x14ac:dyDescent="0.25">
      <c r="AE3186" s="39" t="str">
        <f>IF(D3186="","",IFERROR(VLOOKUP(D3186,Projects!$A$2:$A$20000,1,FALSE),""))</f>
        <v/>
      </c>
      <c r="AF3186" s="2" t="str">
        <f>IF(D3186="","",IFERROR(MATCH(D3186,Projects!$A:$A,0),""))</f>
        <v/>
      </c>
    </row>
    <row r="3187" spans="31:32" x14ac:dyDescent="0.25">
      <c r="AE3187" s="39" t="str">
        <f>IF(D3187="","",IFERROR(VLOOKUP(D3187,Projects!$A$2:$A$20000,1,FALSE),""))</f>
        <v/>
      </c>
      <c r="AF3187" s="2" t="str">
        <f>IF(D3187="","",IFERROR(MATCH(D3187,Projects!$A:$A,0),""))</f>
        <v/>
      </c>
    </row>
    <row r="3188" spans="31:32" x14ac:dyDescent="0.25">
      <c r="AE3188" s="39" t="str">
        <f>IF(D3188="","",IFERROR(VLOOKUP(D3188,Projects!$A$2:$A$20000,1,FALSE),""))</f>
        <v/>
      </c>
      <c r="AF3188" s="2" t="str">
        <f>IF(D3188="","",IFERROR(MATCH(D3188,Projects!$A:$A,0),""))</f>
        <v/>
      </c>
    </row>
    <row r="3189" spans="31:32" x14ac:dyDescent="0.25">
      <c r="AE3189" s="39" t="str">
        <f>IF(D3189="","",IFERROR(VLOOKUP(D3189,Projects!$A$2:$A$20000,1,FALSE),""))</f>
        <v/>
      </c>
      <c r="AF3189" s="2" t="str">
        <f>IF(D3189="","",IFERROR(MATCH(D3189,Projects!$A:$A,0),""))</f>
        <v/>
      </c>
    </row>
    <row r="3190" spans="31:32" x14ac:dyDescent="0.25">
      <c r="AE3190" s="39" t="str">
        <f>IF(D3190="","",IFERROR(VLOOKUP(D3190,Projects!$A$2:$A$20000,1,FALSE),""))</f>
        <v/>
      </c>
      <c r="AF3190" s="2" t="str">
        <f>IF(D3190="","",IFERROR(MATCH(D3190,Projects!$A:$A,0),""))</f>
        <v/>
      </c>
    </row>
    <row r="3191" spans="31:32" x14ac:dyDescent="0.25">
      <c r="AE3191" s="39" t="str">
        <f>IF(D3191="","",IFERROR(VLOOKUP(D3191,Projects!$A$2:$A$20000,1,FALSE),""))</f>
        <v/>
      </c>
      <c r="AF3191" s="2" t="str">
        <f>IF(D3191="","",IFERROR(MATCH(D3191,Projects!$A:$A,0),""))</f>
        <v/>
      </c>
    </row>
    <row r="3192" spans="31:32" x14ac:dyDescent="0.25">
      <c r="AE3192" s="39" t="str">
        <f>IF(D3192="","",IFERROR(VLOOKUP(D3192,Projects!$A$2:$A$20000,1,FALSE),""))</f>
        <v/>
      </c>
      <c r="AF3192" s="2" t="str">
        <f>IF(D3192="","",IFERROR(MATCH(D3192,Projects!$A:$A,0),""))</f>
        <v/>
      </c>
    </row>
    <row r="3193" spans="31:32" x14ac:dyDescent="0.25">
      <c r="AE3193" s="39" t="str">
        <f>IF(D3193="","",IFERROR(VLOOKUP(D3193,Projects!$A$2:$A$20000,1,FALSE),""))</f>
        <v/>
      </c>
      <c r="AF3193" s="2" t="str">
        <f>IF(D3193="","",IFERROR(MATCH(D3193,Projects!$A:$A,0),""))</f>
        <v/>
      </c>
    </row>
    <row r="3194" spans="31:32" x14ac:dyDescent="0.25">
      <c r="AE3194" s="39" t="str">
        <f>IF(D3194="","",IFERROR(VLOOKUP(D3194,Projects!$A$2:$A$20000,1,FALSE),""))</f>
        <v/>
      </c>
      <c r="AF3194" s="2" t="str">
        <f>IF(D3194="","",IFERROR(MATCH(D3194,Projects!$A:$A,0),""))</f>
        <v/>
      </c>
    </row>
    <row r="3195" spans="31:32" x14ac:dyDescent="0.25">
      <c r="AE3195" s="39" t="str">
        <f>IF(D3195="","",IFERROR(VLOOKUP(D3195,Projects!$A$2:$A$20000,1,FALSE),""))</f>
        <v/>
      </c>
      <c r="AF3195" s="2" t="str">
        <f>IF(D3195="","",IFERROR(MATCH(D3195,Projects!$A:$A,0),""))</f>
        <v/>
      </c>
    </row>
    <row r="3196" spans="31:32" x14ac:dyDescent="0.25">
      <c r="AE3196" s="39" t="str">
        <f>IF(D3196="","",IFERROR(VLOOKUP(D3196,Projects!$A$2:$A$20000,1,FALSE),""))</f>
        <v/>
      </c>
      <c r="AF3196" s="2" t="str">
        <f>IF(D3196="","",IFERROR(MATCH(D3196,Projects!$A:$A,0),""))</f>
        <v/>
      </c>
    </row>
    <row r="3197" spans="31:32" x14ac:dyDescent="0.25">
      <c r="AE3197" s="39" t="str">
        <f>IF(D3197="","",IFERROR(VLOOKUP(D3197,Projects!$A$2:$A$20000,1,FALSE),""))</f>
        <v/>
      </c>
      <c r="AF3197" s="2" t="str">
        <f>IF(D3197="","",IFERROR(MATCH(D3197,Projects!$A:$A,0),""))</f>
        <v/>
      </c>
    </row>
    <row r="3198" spans="31:32" x14ac:dyDescent="0.25">
      <c r="AE3198" s="39" t="str">
        <f>IF(D3198="","",IFERROR(VLOOKUP(D3198,Projects!$A$2:$A$20000,1,FALSE),""))</f>
        <v/>
      </c>
      <c r="AF3198" s="2" t="str">
        <f>IF(D3198="","",IFERROR(MATCH(D3198,Projects!$A:$A,0),""))</f>
        <v/>
      </c>
    </row>
    <row r="3199" spans="31:32" x14ac:dyDescent="0.25">
      <c r="AE3199" s="39" t="str">
        <f>IF(D3199="","",IFERROR(VLOOKUP(D3199,Projects!$A$2:$A$20000,1,FALSE),""))</f>
        <v/>
      </c>
      <c r="AF3199" s="2" t="str">
        <f>IF(D3199="","",IFERROR(MATCH(D3199,Projects!$A:$A,0),""))</f>
        <v/>
      </c>
    </row>
    <row r="3200" spans="31:32" x14ac:dyDescent="0.25">
      <c r="AE3200" s="39" t="str">
        <f>IF(D3200="","",IFERROR(VLOOKUP(D3200,Projects!$A$2:$A$20000,1,FALSE),""))</f>
        <v/>
      </c>
      <c r="AF3200" s="2" t="str">
        <f>IF(D3200="","",IFERROR(MATCH(D3200,Projects!$A:$A,0),""))</f>
        <v/>
      </c>
    </row>
    <row r="3201" spans="31:32" x14ac:dyDescent="0.25">
      <c r="AE3201" s="39" t="str">
        <f>IF(D3201="","",IFERROR(VLOOKUP(D3201,Projects!$A$2:$A$20000,1,FALSE),""))</f>
        <v/>
      </c>
      <c r="AF3201" s="2" t="str">
        <f>IF(D3201="","",IFERROR(MATCH(D3201,Projects!$A:$A,0),""))</f>
        <v/>
      </c>
    </row>
    <row r="3202" spans="31:32" x14ac:dyDescent="0.25">
      <c r="AE3202" s="39" t="str">
        <f>IF(D3202="","",IFERROR(VLOOKUP(D3202,Projects!$A$2:$A$20000,1,FALSE),""))</f>
        <v/>
      </c>
      <c r="AF3202" s="2" t="str">
        <f>IF(D3202="","",IFERROR(MATCH(D3202,Projects!$A:$A,0),""))</f>
        <v/>
      </c>
    </row>
    <row r="3203" spans="31:32" x14ac:dyDescent="0.25">
      <c r="AE3203" s="39" t="str">
        <f>IF(D3203="","",IFERROR(VLOOKUP(D3203,Projects!$A$2:$A$20000,1,FALSE),""))</f>
        <v/>
      </c>
      <c r="AF3203" s="2" t="str">
        <f>IF(D3203="","",IFERROR(MATCH(D3203,Projects!$A:$A,0),""))</f>
        <v/>
      </c>
    </row>
    <row r="3204" spans="31:32" x14ac:dyDescent="0.25">
      <c r="AE3204" s="39" t="str">
        <f>IF(D3204="","",IFERROR(VLOOKUP(D3204,Projects!$A$2:$A$20000,1,FALSE),""))</f>
        <v/>
      </c>
      <c r="AF3204" s="2" t="str">
        <f>IF(D3204="","",IFERROR(MATCH(D3204,Projects!$A:$A,0),""))</f>
        <v/>
      </c>
    </row>
    <row r="3205" spans="31:32" x14ac:dyDescent="0.25">
      <c r="AE3205" s="39" t="str">
        <f>IF(D3205="","",IFERROR(VLOOKUP(D3205,Projects!$A$2:$A$20000,1,FALSE),""))</f>
        <v/>
      </c>
      <c r="AF3205" s="2" t="str">
        <f>IF(D3205="","",IFERROR(MATCH(D3205,Projects!$A:$A,0),""))</f>
        <v/>
      </c>
    </row>
    <row r="3206" spans="31:32" x14ac:dyDescent="0.25">
      <c r="AE3206" s="39" t="str">
        <f>IF(D3206="","",IFERROR(VLOOKUP(D3206,Projects!$A$2:$A$20000,1,FALSE),""))</f>
        <v/>
      </c>
      <c r="AF3206" s="2" t="str">
        <f>IF(D3206="","",IFERROR(MATCH(D3206,Projects!$A:$A,0),""))</f>
        <v/>
      </c>
    </row>
    <row r="3207" spans="31:32" x14ac:dyDescent="0.25">
      <c r="AE3207" s="39" t="str">
        <f>IF(D3207="","",IFERROR(VLOOKUP(D3207,Projects!$A$2:$A$20000,1,FALSE),""))</f>
        <v/>
      </c>
      <c r="AF3207" s="2" t="str">
        <f>IF(D3207="","",IFERROR(MATCH(D3207,Projects!$A:$A,0),""))</f>
        <v/>
      </c>
    </row>
    <row r="3208" spans="31:32" x14ac:dyDescent="0.25">
      <c r="AE3208" s="39" t="str">
        <f>IF(D3208="","",IFERROR(VLOOKUP(D3208,Projects!$A$2:$A$20000,1,FALSE),""))</f>
        <v/>
      </c>
      <c r="AF3208" s="2" t="str">
        <f>IF(D3208="","",IFERROR(MATCH(D3208,Projects!$A:$A,0),""))</f>
        <v/>
      </c>
    </row>
    <row r="3209" spans="31:32" x14ac:dyDescent="0.25">
      <c r="AE3209" s="39" t="str">
        <f>IF(D3209="","",IFERROR(VLOOKUP(D3209,Projects!$A$2:$A$20000,1,FALSE),""))</f>
        <v/>
      </c>
      <c r="AF3209" s="2" t="str">
        <f>IF(D3209="","",IFERROR(MATCH(D3209,Projects!$A:$A,0),""))</f>
        <v/>
      </c>
    </row>
    <row r="3210" spans="31:32" x14ac:dyDescent="0.25">
      <c r="AE3210" s="39" t="str">
        <f>IF(D3210="","",IFERROR(VLOOKUP(D3210,Projects!$A$2:$A$20000,1,FALSE),""))</f>
        <v/>
      </c>
      <c r="AF3210" s="2" t="str">
        <f>IF(D3210="","",IFERROR(MATCH(D3210,Projects!$A:$A,0),""))</f>
        <v/>
      </c>
    </row>
    <row r="3211" spans="31:32" x14ac:dyDescent="0.25">
      <c r="AE3211" s="39" t="str">
        <f>IF(D3211="","",IFERROR(VLOOKUP(D3211,Projects!$A$2:$A$20000,1,FALSE),""))</f>
        <v/>
      </c>
      <c r="AF3211" s="2" t="str">
        <f>IF(D3211="","",IFERROR(MATCH(D3211,Projects!$A:$A,0),""))</f>
        <v/>
      </c>
    </row>
    <row r="3212" spans="31:32" x14ac:dyDescent="0.25">
      <c r="AE3212" s="39" t="str">
        <f>IF(D3212="","",IFERROR(VLOOKUP(D3212,Projects!$A$2:$A$20000,1,FALSE),""))</f>
        <v/>
      </c>
      <c r="AF3212" s="2" t="str">
        <f>IF(D3212="","",IFERROR(MATCH(D3212,Projects!$A:$A,0),""))</f>
        <v/>
      </c>
    </row>
    <row r="3213" spans="31:32" x14ac:dyDescent="0.25">
      <c r="AE3213" s="39" t="str">
        <f>IF(D3213="","",IFERROR(VLOOKUP(D3213,Projects!$A$2:$A$20000,1,FALSE),""))</f>
        <v/>
      </c>
      <c r="AF3213" s="2" t="str">
        <f>IF(D3213="","",IFERROR(MATCH(D3213,Projects!$A:$A,0),""))</f>
        <v/>
      </c>
    </row>
    <row r="3214" spans="31:32" x14ac:dyDescent="0.25">
      <c r="AE3214" s="39" t="str">
        <f>IF(D3214="","",IFERROR(VLOOKUP(D3214,Projects!$A$2:$A$20000,1,FALSE),""))</f>
        <v/>
      </c>
      <c r="AF3214" s="2" t="str">
        <f>IF(D3214="","",IFERROR(MATCH(D3214,Projects!$A:$A,0),""))</f>
        <v/>
      </c>
    </row>
    <row r="3215" spans="31:32" x14ac:dyDescent="0.25">
      <c r="AE3215" s="39" t="str">
        <f>IF(D3215="","",IFERROR(VLOOKUP(D3215,Projects!$A$2:$A$20000,1,FALSE),""))</f>
        <v/>
      </c>
      <c r="AF3215" s="2" t="str">
        <f>IF(D3215="","",IFERROR(MATCH(D3215,Projects!$A:$A,0),""))</f>
        <v/>
      </c>
    </row>
    <row r="3216" spans="31:32" x14ac:dyDescent="0.25">
      <c r="AE3216" s="39" t="str">
        <f>IF(D3216="","",IFERROR(VLOOKUP(D3216,Projects!$A$2:$A$20000,1,FALSE),""))</f>
        <v/>
      </c>
      <c r="AF3216" s="2" t="str">
        <f>IF(D3216="","",IFERROR(MATCH(D3216,Projects!$A:$A,0),""))</f>
        <v/>
      </c>
    </row>
    <row r="3217" spans="31:32" x14ac:dyDescent="0.25">
      <c r="AE3217" s="39" t="str">
        <f>IF(D3217="","",IFERROR(VLOOKUP(D3217,Projects!$A$2:$A$20000,1,FALSE),""))</f>
        <v/>
      </c>
      <c r="AF3217" s="2" t="str">
        <f>IF(D3217="","",IFERROR(MATCH(D3217,Projects!$A:$A,0),""))</f>
        <v/>
      </c>
    </row>
    <row r="3218" spans="31:32" x14ac:dyDescent="0.25">
      <c r="AE3218" s="39" t="str">
        <f>IF(D3218="","",IFERROR(VLOOKUP(D3218,Projects!$A$2:$A$20000,1,FALSE),""))</f>
        <v/>
      </c>
      <c r="AF3218" s="2" t="str">
        <f>IF(D3218="","",IFERROR(MATCH(D3218,Projects!$A:$A,0),""))</f>
        <v/>
      </c>
    </row>
    <row r="3219" spans="31:32" x14ac:dyDescent="0.25">
      <c r="AE3219" s="39" t="str">
        <f>IF(D3219="","",IFERROR(VLOOKUP(D3219,Projects!$A$2:$A$20000,1,FALSE),""))</f>
        <v/>
      </c>
      <c r="AF3219" s="2" t="str">
        <f>IF(D3219="","",IFERROR(MATCH(D3219,Projects!$A:$A,0),""))</f>
        <v/>
      </c>
    </row>
    <row r="3220" spans="31:32" x14ac:dyDescent="0.25">
      <c r="AE3220" s="39" t="str">
        <f>IF(D3220="","",IFERROR(VLOOKUP(D3220,Projects!$A$2:$A$20000,1,FALSE),""))</f>
        <v/>
      </c>
      <c r="AF3220" s="2" t="str">
        <f>IF(D3220="","",IFERROR(MATCH(D3220,Projects!$A:$A,0),""))</f>
        <v/>
      </c>
    </row>
    <row r="3221" spans="31:32" x14ac:dyDescent="0.25">
      <c r="AE3221" s="39" t="str">
        <f>IF(D3221="","",IFERROR(VLOOKUP(D3221,Projects!$A$2:$A$20000,1,FALSE),""))</f>
        <v/>
      </c>
      <c r="AF3221" s="2" t="str">
        <f>IF(D3221="","",IFERROR(MATCH(D3221,Projects!$A:$A,0),""))</f>
        <v/>
      </c>
    </row>
    <row r="3222" spans="31:32" x14ac:dyDescent="0.25">
      <c r="AE3222" s="39" t="str">
        <f>IF(D3222="","",IFERROR(VLOOKUP(D3222,Projects!$A$2:$A$20000,1,FALSE),""))</f>
        <v/>
      </c>
      <c r="AF3222" s="2" t="str">
        <f>IF(D3222="","",IFERROR(MATCH(D3222,Projects!$A:$A,0),""))</f>
        <v/>
      </c>
    </row>
    <row r="3223" spans="31:32" x14ac:dyDescent="0.25">
      <c r="AE3223" s="39" t="str">
        <f>IF(D3223="","",IFERROR(VLOOKUP(D3223,Projects!$A$2:$A$20000,1,FALSE),""))</f>
        <v/>
      </c>
      <c r="AF3223" s="2" t="str">
        <f>IF(D3223="","",IFERROR(MATCH(D3223,Projects!$A:$A,0),""))</f>
        <v/>
      </c>
    </row>
    <row r="3224" spans="31:32" x14ac:dyDescent="0.25">
      <c r="AE3224" s="39" t="str">
        <f>IF(D3224="","",IFERROR(VLOOKUP(D3224,Projects!$A$2:$A$20000,1,FALSE),""))</f>
        <v/>
      </c>
      <c r="AF3224" s="2" t="str">
        <f>IF(D3224="","",IFERROR(MATCH(D3224,Projects!$A:$A,0),""))</f>
        <v/>
      </c>
    </row>
    <row r="3225" spans="31:32" x14ac:dyDescent="0.25">
      <c r="AE3225" s="39" t="str">
        <f>IF(D3225="","",IFERROR(VLOOKUP(D3225,Projects!$A$2:$A$20000,1,FALSE),""))</f>
        <v/>
      </c>
      <c r="AF3225" s="2" t="str">
        <f>IF(D3225="","",IFERROR(MATCH(D3225,Projects!$A:$A,0),""))</f>
        <v/>
      </c>
    </row>
    <row r="3226" spans="31:32" x14ac:dyDescent="0.25">
      <c r="AE3226" s="39" t="str">
        <f>IF(D3226="","",IFERROR(VLOOKUP(D3226,Projects!$A$2:$A$20000,1,FALSE),""))</f>
        <v/>
      </c>
      <c r="AF3226" s="2" t="str">
        <f>IF(D3226="","",IFERROR(MATCH(D3226,Projects!$A:$A,0),""))</f>
        <v/>
      </c>
    </row>
    <row r="3227" spans="31:32" x14ac:dyDescent="0.25">
      <c r="AE3227" s="39" t="str">
        <f>IF(D3227="","",IFERROR(VLOOKUP(D3227,Projects!$A$2:$A$20000,1,FALSE),""))</f>
        <v/>
      </c>
      <c r="AF3227" s="2" t="str">
        <f>IF(D3227="","",IFERROR(MATCH(D3227,Projects!$A:$A,0),""))</f>
        <v/>
      </c>
    </row>
    <row r="3228" spans="31:32" x14ac:dyDescent="0.25">
      <c r="AE3228" s="39" t="str">
        <f>IF(D3228="","",IFERROR(VLOOKUP(D3228,Projects!$A$2:$A$20000,1,FALSE),""))</f>
        <v/>
      </c>
      <c r="AF3228" s="2" t="str">
        <f>IF(D3228="","",IFERROR(MATCH(D3228,Projects!$A:$A,0),""))</f>
        <v/>
      </c>
    </row>
    <row r="3229" spans="31:32" x14ac:dyDescent="0.25">
      <c r="AE3229" s="39" t="str">
        <f>IF(D3229="","",IFERROR(VLOOKUP(D3229,Projects!$A$2:$A$20000,1,FALSE),""))</f>
        <v/>
      </c>
      <c r="AF3229" s="2" t="str">
        <f>IF(D3229="","",IFERROR(MATCH(D3229,Projects!$A:$A,0),""))</f>
        <v/>
      </c>
    </row>
    <row r="3230" spans="31:32" x14ac:dyDescent="0.25">
      <c r="AE3230" s="39" t="str">
        <f>IF(D3230="","",IFERROR(VLOOKUP(D3230,Projects!$A$2:$A$20000,1,FALSE),""))</f>
        <v/>
      </c>
      <c r="AF3230" s="2" t="str">
        <f>IF(D3230="","",IFERROR(MATCH(D3230,Projects!$A:$A,0),""))</f>
        <v/>
      </c>
    </row>
    <row r="3231" spans="31:32" x14ac:dyDescent="0.25">
      <c r="AE3231" s="39" t="str">
        <f>IF(D3231="","",IFERROR(VLOOKUP(D3231,Projects!$A$2:$A$20000,1,FALSE),""))</f>
        <v/>
      </c>
      <c r="AF3231" s="2" t="str">
        <f>IF(D3231="","",IFERROR(MATCH(D3231,Projects!$A:$A,0),""))</f>
        <v/>
      </c>
    </row>
    <row r="3232" spans="31:32" x14ac:dyDescent="0.25">
      <c r="AE3232" s="39" t="str">
        <f>IF(D3232="","",IFERROR(VLOOKUP(D3232,Projects!$A$2:$A$20000,1,FALSE),""))</f>
        <v/>
      </c>
      <c r="AF3232" s="2" t="str">
        <f>IF(D3232="","",IFERROR(MATCH(D3232,Projects!$A:$A,0),""))</f>
        <v/>
      </c>
    </row>
    <row r="3233" spans="31:32" x14ac:dyDescent="0.25">
      <c r="AE3233" s="39" t="str">
        <f>IF(D3233="","",IFERROR(VLOOKUP(D3233,Projects!$A$2:$A$20000,1,FALSE),""))</f>
        <v/>
      </c>
      <c r="AF3233" s="2" t="str">
        <f>IF(D3233="","",IFERROR(MATCH(D3233,Projects!$A:$A,0),""))</f>
        <v/>
      </c>
    </row>
    <row r="3234" spans="31:32" x14ac:dyDescent="0.25">
      <c r="AE3234" s="39" t="str">
        <f>IF(D3234="","",IFERROR(VLOOKUP(D3234,Projects!$A$2:$A$20000,1,FALSE),""))</f>
        <v/>
      </c>
      <c r="AF3234" s="2" t="str">
        <f>IF(D3234="","",IFERROR(MATCH(D3234,Projects!$A:$A,0),""))</f>
        <v/>
      </c>
    </row>
    <row r="3235" spans="31:32" x14ac:dyDescent="0.25">
      <c r="AE3235" s="39" t="str">
        <f>IF(D3235="","",IFERROR(VLOOKUP(D3235,Projects!$A$2:$A$20000,1,FALSE),""))</f>
        <v/>
      </c>
      <c r="AF3235" s="2" t="str">
        <f>IF(D3235="","",IFERROR(MATCH(D3235,Projects!$A:$A,0),""))</f>
        <v/>
      </c>
    </row>
    <row r="3236" spans="31:32" x14ac:dyDescent="0.25">
      <c r="AE3236" s="39" t="str">
        <f>IF(D3236="","",IFERROR(VLOOKUP(D3236,Projects!$A$2:$A$20000,1,FALSE),""))</f>
        <v/>
      </c>
      <c r="AF3236" s="2" t="str">
        <f>IF(D3236="","",IFERROR(MATCH(D3236,Projects!$A:$A,0),""))</f>
        <v/>
      </c>
    </row>
    <row r="3237" spans="31:32" x14ac:dyDescent="0.25">
      <c r="AE3237" s="39" t="str">
        <f>IF(D3237="","",IFERROR(VLOOKUP(D3237,Projects!$A$2:$A$20000,1,FALSE),""))</f>
        <v/>
      </c>
      <c r="AF3237" s="2" t="str">
        <f>IF(D3237="","",IFERROR(MATCH(D3237,Projects!$A:$A,0),""))</f>
        <v/>
      </c>
    </row>
    <row r="3238" spans="31:32" x14ac:dyDescent="0.25">
      <c r="AE3238" s="39" t="str">
        <f>IF(D3238="","",IFERROR(VLOOKUP(D3238,Projects!$A$2:$A$20000,1,FALSE),""))</f>
        <v/>
      </c>
      <c r="AF3238" s="2" t="str">
        <f>IF(D3238="","",IFERROR(MATCH(D3238,Projects!$A:$A,0),""))</f>
        <v/>
      </c>
    </row>
    <row r="3239" spans="31:32" x14ac:dyDescent="0.25">
      <c r="AE3239" s="39" t="str">
        <f>IF(D3239="","",IFERROR(VLOOKUP(D3239,Projects!$A$2:$A$20000,1,FALSE),""))</f>
        <v/>
      </c>
      <c r="AF3239" s="2" t="str">
        <f>IF(D3239="","",IFERROR(MATCH(D3239,Projects!$A:$A,0),""))</f>
        <v/>
      </c>
    </row>
    <row r="3240" spans="31:32" x14ac:dyDescent="0.25">
      <c r="AE3240" s="39" t="str">
        <f>IF(D3240="","",IFERROR(VLOOKUP(D3240,Projects!$A$2:$A$20000,1,FALSE),""))</f>
        <v/>
      </c>
      <c r="AF3240" s="2" t="str">
        <f>IF(D3240="","",IFERROR(MATCH(D3240,Projects!$A:$A,0),""))</f>
        <v/>
      </c>
    </row>
    <row r="3241" spans="31:32" x14ac:dyDescent="0.25">
      <c r="AE3241" s="39" t="str">
        <f>IF(D3241="","",IFERROR(VLOOKUP(D3241,Projects!$A$2:$A$20000,1,FALSE),""))</f>
        <v/>
      </c>
      <c r="AF3241" s="2" t="str">
        <f>IF(D3241="","",IFERROR(MATCH(D3241,Projects!$A:$A,0),""))</f>
        <v/>
      </c>
    </row>
    <row r="3242" spans="31:32" x14ac:dyDescent="0.25">
      <c r="AE3242" s="39" t="str">
        <f>IF(D3242="","",IFERROR(VLOOKUP(D3242,Projects!$A$2:$A$20000,1,FALSE),""))</f>
        <v/>
      </c>
      <c r="AF3242" s="2" t="str">
        <f>IF(D3242="","",IFERROR(MATCH(D3242,Projects!$A:$A,0),""))</f>
        <v/>
      </c>
    </row>
    <row r="3243" spans="31:32" x14ac:dyDescent="0.25">
      <c r="AE3243" s="39" t="str">
        <f>IF(D3243="","",IFERROR(VLOOKUP(D3243,Projects!$A$2:$A$20000,1,FALSE),""))</f>
        <v/>
      </c>
      <c r="AF3243" s="2" t="str">
        <f>IF(D3243="","",IFERROR(MATCH(D3243,Projects!$A:$A,0),""))</f>
        <v/>
      </c>
    </row>
    <row r="3244" spans="31:32" x14ac:dyDescent="0.25">
      <c r="AE3244" s="39" t="str">
        <f>IF(D3244="","",IFERROR(VLOOKUP(D3244,Projects!$A$2:$A$20000,1,FALSE),""))</f>
        <v/>
      </c>
      <c r="AF3244" s="2" t="str">
        <f>IF(D3244="","",IFERROR(MATCH(D3244,Projects!$A:$A,0),""))</f>
        <v/>
      </c>
    </row>
    <row r="3245" spans="31:32" x14ac:dyDescent="0.25">
      <c r="AE3245" s="39" t="str">
        <f>IF(D3245="","",IFERROR(VLOOKUP(D3245,Projects!$A$2:$A$20000,1,FALSE),""))</f>
        <v/>
      </c>
      <c r="AF3245" s="2" t="str">
        <f>IF(D3245="","",IFERROR(MATCH(D3245,Projects!$A:$A,0),""))</f>
        <v/>
      </c>
    </row>
    <row r="3246" spans="31:32" x14ac:dyDescent="0.25">
      <c r="AE3246" s="39" t="str">
        <f>IF(D3246="","",IFERROR(VLOOKUP(D3246,Projects!$A$2:$A$20000,1,FALSE),""))</f>
        <v/>
      </c>
      <c r="AF3246" s="2" t="str">
        <f>IF(D3246="","",IFERROR(MATCH(D3246,Projects!$A:$A,0),""))</f>
        <v/>
      </c>
    </row>
    <row r="3247" spans="31:32" x14ac:dyDescent="0.25">
      <c r="AE3247" s="39" t="str">
        <f>IF(D3247="","",IFERROR(VLOOKUP(D3247,Projects!$A$2:$A$20000,1,FALSE),""))</f>
        <v/>
      </c>
      <c r="AF3247" s="2" t="str">
        <f>IF(D3247="","",IFERROR(MATCH(D3247,Projects!$A:$A,0),""))</f>
        <v/>
      </c>
    </row>
    <row r="3248" spans="31:32" x14ac:dyDescent="0.25">
      <c r="AE3248" s="39" t="str">
        <f>IF(D3248="","",IFERROR(VLOOKUP(D3248,Projects!$A$2:$A$20000,1,FALSE),""))</f>
        <v/>
      </c>
      <c r="AF3248" s="2" t="str">
        <f>IF(D3248="","",IFERROR(MATCH(D3248,Projects!$A:$A,0),""))</f>
        <v/>
      </c>
    </row>
    <row r="3249" spans="31:32" x14ac:dyDescent="0.25">
      <c r="AE3249" s="39" t="str">
        <f>IF(D3249="","",IFERROR(VLOOKUP(D3249,Projects!$A$2:$A$20000,1,FALSE),""))</f>
        <v/>
      </c>
      <c r="AF3249" s="2" t="str">
        <f>IF(D3249="","",IFERROR(MATCH(D3249,Projects!$A:$A,0),""))</f>
        <v/>
      </c>
    </row>
    <row r="3250" spans="31:32" x14ac:dyDescent="0.25">
      <c r="AE3250" s="39" t="str">
        <f>IF(D3250="","",IFERROR(VLOOKUP(D3250,Projects!$A$2:$A$20000,1,FALSE),""))</f>
        <v/>
      </c>
      <c r="AF3250" s="2" t="str">
        <f>IF(D3250="","",IFERROR(MATCH(D3250,Projects!$A:$A,0),""))</f>
        <v/>
      </c>
    </row>
    <row r="3251" spans="31:32" x14ac:dyDescent="0.25">
      <c r="AE3251" s="39" t="str">
        <f>IF(D3251="","",IFERROR(VLOOKUP(D3251,Projects!$A$2:$A$20000,1,FALSE),""))</f>
        <v/>
      </c>
      <c r="AF3251" s="2" t="str">
        <f>IF(D3251="","",IFERROR(MATCH(D3251,Projects!$A:$A,0),""))</f>
        <v/>
      </c>
    </row>
    <row r="3252" spans="31:32" x14ac:dyDescent="0.25">
      <c r="AE3252" s="39" t="str">
        <f>IF(D3252="","",IFERROR(VLOOKUP(D3252,Projects!$A$2:$A$20000,1,FALSE),""))</f>
        <v/>
      </c>
      <c r="AF3252" s="2" t="str">
        <f>IF(D3252="","",IFERROR(MATCH(D3252,Projects!$A:$A,0),""))</f>
        <v/>
      </c>
    </row>
    <row r="3253" spans="31:32" x14ac:dyDescent="0.25">
      <c r="AE3253" s="39" t="str">
        <f>IF(D3253="","",IFERROR(VLOOKUP(D3253,Projects!$A$2:$A$20000,1,FALSE),""))</f>
        <v/>
      </c>
      <c r="AF3253" s="2" t="str">
        <f>IF(D3253="","",IFERROR(MATCH(D3253,Projects!$A:$A,0),""))</f>
        <v/>
      </c>
    </row>
    <row r="3254" spans="31:32" x14ac:dyDescent="0.25">
      <c r="AE3254" s="39" t="str">
        <f>IF(D3254="","",IFERROR(VLOOKUP(D3254,Projects!$A$2:$A$20000,1,FALSE),""))</f>
        <v/>
      </c>
      <c r="AF3254" s="2" t="str">
        <f>IF(D3254="","",IFERROR(MATCH(D3254,Projects!$A:$A,0),""))</f>
        <v/>
      </c>
    </row>
    <row r="3255" spans="31:32" x14ac:dyDescent="0.25">
      <c r="AE3255" s="39" t="str">
        <f>IF(D3255="","",IFERROR(VLOOKUP(D3255,Projects!$A$2:$A$20000,1,FALSE),""))</f>
        <v/>
      </c>
      <c r="AF3255" s="2" t="str">
        <f>IF(D3255="","",IFERROR(MATCH(D3255,Projects!$A:$A,0),""))</f>
        <v/>
      </c>
    </row>
    <row r="3256" spans="31:32" x14ac:dyDescent="0.25">
      <c r="AE3256" s="39" t="str">
        <f>IF(D3256="","",IFERROR(VLOOKUP(D3256,Projects!$A$2:$A$20000,1,FALSE),""))</f>
        <v/>
      </c>
      <c r="AF3256" s="2" t="str">
        <f>IF(D3256="","",IFERROR(MATCH(D3256,Projects!$A:$A,0),""))</f>
        <v/>
      </c>
    </row>
    <row r="3257" spans="31:32" x14ac:dyDescent="0.25">
      <c r="AE3257" s="39" t="str">
        <f>IF(D3257="","",IFERROR(VLOOKUP(D3257,Projects!$A$2:$A$20000,1,FALSE),""))</f>
        <v/>
      </c>
      <c r="AF3257" s="2" t="str">
        <f>IF(D3257="","",IFERROR(MATCH(D3257,Projects!$A:$A,0),""))</f>
        <v/>
      </c>
    </row>
    <row r="3258" spans="31:32" x14ac:dyDescent="0.25">
      <c r="AE3258" s="39" t="str">
        <f>IF(D3258="","",IFERROR(VLOOKUP(D3258,Projects!$A$2:$A$20000,1,FALSE),""))</f>
        <v/>
      </c>
      <c r="AF3258" s="2" t="str">
        <f>IF(D3258="","",IFERROR(MATCH(D3258,Projects!$A:$A,0),""))</f>
        <v/>
      </c>
    </row>
    <row r="3259" spans="31:32" x14ac:dyDescent="0.25">
      <c r="AE3259" s="39" t="str">
        <f>IF(D3259="","",IFERROR(VLOOKUP(D3259,Projects!$A$2:$A$20000,1,FALSE),""))</f>
        <v/>
      </c>
      <c r="AF3259" s="2" t="str">
        <f>IF(D3259="","",IFERROR(MATCH(D3259,Projects!$A:$A,0),""))</f>
        <v/>
      </c>
    </row>
    <row r="3260" spans="31:32" x14ac:dyDescent="0.25">
      <c r="AE3260" s="39" t="str">
        <f>IF(D3260="","",IFERROR(VLOOKUP(D3260,Projects!$A$2:$A$20000,1,FALSE),""))</f>
        <v/>
      </c>
      <c r="AF3260" s="2" t="str">
        <f>IF(D3260="","",IFERROR(MATCH(D3260,Projects!$A:$A,0),""))</f>
        <v/>
      </c>
    </row>
    <row r="3261" spans="31:32" x14ac:dyDescent="0.25">
      <c r="AE3261" s="39" t="str">
        <f>IF(D3261="","",IFERROR(VLOOKUP(D3261,Projects!$A$2:$A$20000,1,FALSE),""))</f>
        <v/>
      </c>
      <c r="AF3261" s="2" t="str">
        <f>IF(D3261="","",IFERROR(MATCH(D3261,Projects!$A:$A,0),""))</f>
        <v/>
      </c>
    </row>
    <row r="3262" spans="31:32" x14ac:dyDescent="0.25">
      <c r="AE3262" s="39" t="str">
        <f>IF(D3262="","",IFERROR(VLOOKUP(D3262,Projects!$A$2:$A$20000,1,FALSE),""))</f>
        <v/>
      </c>
      <c r="AF3262" s="2" t="str">
        <f>IF(D3262="","",IFERROR(MATCH(D3262,Projects!$A:$A,0),""))</f>
        <v/>
      </c>
    </row>
    <row r="3263" spans="31:32" x14ac:dyDescent="0.25">
      <c r="AE3263" s="39" t="str">
        <f>IF(D3263="","",IFERROR(VLOOKUP(D3263,Projects!$A$2:$A$20000,1,FALSE),""))</f>
        <v/>
      </c>
      <c r="AF3263" s="2" t="str">
        <f>IF(D3263="","",IFERROR(MATCH(D3263,Projects!$A:$A,0),""))</f>
        <v/>
      </c>
    </row>
    <row r="3264" spans="31:32" x14ac:dyDescent="0.25">
      <c r="AE3264" s="39" t="str">
        <f>IF(D3264="","",IFERROR(VLOOKUP(D3264,Projects!$A$2:$A$20000,1,FALSE),""))</f>
        <v/>
      </c>
      <c r="AF3264" s="2" t="str">
        <f>IF(D3264="","",IFERROR(MATCH(D3264,Projects!$A:$A,0),""))</f>
        <v/>
      </c>
    </row>
    <row r="3265" spans="31:32" x14ac:dyDescent="0.25">
      <c r="AE3265" s="39" t="str">
        <f>IF(D3265="","",IFERROR(VLOOKUP(D3265,Projects!$A$2:$A$20000,1,FALSE),""))</f>
        <v/>
      </c>
      <c r="AF3265" s="2" t="str">
        <f>IF(D3265="","",IFERROR(MATCH(D3265,Projects!$A:$A,0),""))</f>
        <v/>
      </c>
    </row>
    <row r="3266" spans="31:32" x14ac:dyDescent="0.25">
      <c r="AE3266" s="39" t="str">
        <f>IF(D3266="","",IFERROR(VLOOKUP(D3266,Projects!$A$2:$A$20000,1,FALSE),""))</f>
        <v/>
      </c>
      <c r="AF3266" s="2" t="str">
        <f>IF(D3266="","",IFERROR(MATCH(D3266,Projects!$A:$A,0),""))</f>
        <v/>
      </c>
    </row>
    <row r="3267" spans="31:32" x14ac:dyDescent="0.25">
      <c r="AE3267" s="39" t="str">
        <f>IF(D3267="","",IFERROR(VLOOKUP(D3267,Projects!$A$2:$A$20000,1,FALSE),""))</f>
        <v/>
      </c>
      <c r="AF3267" s="2" t="str">
        <f>IF(D3267="","",IFERROR(MATCH(D3267,Projects!$A:$A,0),""))</f>
        <v/>
      </c>
    </row>
    <row r="3268" spans="31:32" x14ac:dyDescent="0.25">
      <c r="AE3268" s="39" t="str">
        <f>IF(D3268="","",IFERROR(VLOOKUP(D3268,Projects!$A$2:$A$20000,1,FALSE),""))</f>
        <v/>
      </c>
      <c r="AF3268" s="2" t="str">
        <f>IF(D3268="","",IFERROR(MATCH(D3268,Projects!$A:$A,0),""))</f>
        <v/>
      </c>
    </row>
    <row r="3269" spans="31:32" x14ac:dyDescent="0.25">
      <c r="AE3269" s="39" t="str">
        <f>IF(D3269="","",IFERROR(VLOOKUP(D3269,Projects!$A$2:$A$20000,1,FALSE),""))</f>
        <v/>
      </c>
      <c r="AF3269" s="2" t="str">
        <f>IF(D3269="","",IFERROR(MATCH(D3269,Projects!$A:$A,0),""))</f>
        <v/>
      </c>
    </row>
    <row r="3270" spans="31:32" x14ac:dyDescent="0.25">
      <c r="AE3270" s="39" t="str">
        <f>IF(D3270="","",IFERROR(VLOOKUP(D3270,Projects!$A$2:$A$20000,1,FALSE),""))</f>
        <v/>
      </c>
      <c r="AF3270" s="2" t="str">
        <f>IF(D3270="","",IFERROR(MATCH(D3270,Projects!$A:$A,0),""))</f>
        <v/>
      </c>
    </row>
    <row r="3271" spans="31:32" x14ac:dyDescent="0.25">
      <c r="AE3271" s="39" t="str">
        <f>IF(D3271="","",IFERROR(VLOOKUP(D3271,Projects!$A$2:$A$20000,1,FALSE),""))</f>
        <v/>
      </c>
      <c r="AF3271" s="2" t="str">
        <f>IF(D3271="","",IFERROR(MATCH(D3271,Projects!$A:$A,0),""))</f>
        <v/>
      </c>
    </row>
    <row r="3272" spans="31:32" x14ac:dyDescent="0.25">
      <c r="AE3272" s="39" t="str">
        <f>IF(D3272="","",IFERROR(VLOOKUP(D3272,Projects!$A$2:$A$20000,1,FALSE),""))</f>
        <v/>
      </c>
      <c r="AF3272" s="2" t="str">
        <f>IF(D3272="","",IFERROR(MATCH(D3272,Projects!$A:$A,0),""))</f>
        <v/>
      </c>
    </row>
    <row r="3273" spans="31:32" x14ac:dyDescent="0.25">
      <c r="AE3273" s="39" t="str">
        <f>IF(D3273="","",IFERROR(VLOOKUP(D3273,Projects!$A$2:$A$20000,1,FALSE),""))</f>
        <v/>
      </c>
      <c r="AF3273" s="2" t="str">
        <f>IF(D3273="","",IFERROR(MATCH(D3273,Projects!$A:$A,0),""))</f>
        <v/>
      </c>
    </row>
    <row r="3274" spans="31:32" x14ac:dyDescent="0.25">
      <c r="AE3274" s="39" t="str">
        <f>IF(D3274="","",IFERROR(VLOOKUP(D3274,Projects!$A$2:$A$20000,1,FALSE),""))</f>
        <v/>
      </c>
      <c r="AF3274" s="2" t="str">
        <f>IF(D3274="","",IFERROR(MATCH(D3274,Projects!$A:$A,0),""))</f>
        <v/>
      </c>
    </row>
    <row r="3275" spans="31:32" x14ac:dyDescent="0.25">
      <c r="AE3275" s="39" t="str">
        <f>IF(D3275="","",IFERROR(VLOOKUP(D3275,Projects!$A$2:$A$20000,1,FALSE),""))</f>
        <v/>
      </c>
      <c r="AF3275" s="2" t="str">
        <f>IF(D3275="","",IFERROR(MATCH(D3275,Projects!$A:$A,0),""))</f>
        <v/>
      </c>
    </row>
    <row r="3276" spans="31:32" x14ac:dyDescent="0.25">
      <c r="AE3276" s="39" t="str">
        <f>IF(D3276="","",IFERROR(VLOOKUP(D3276,Projects!$A$2:$A$20000,1,FALSE),""))</f>
        <v/>
      </c>
      <c r="AF3276" s="2" t="str">
        <f>IF(D3276="","",IFERROR(MATCH(D3276,Projects!$A:$A,0),""))</f>
        <v/>
      </c>
    </row>
    <row r="3277" spans="31:32" x14ac:dyDescent="0.25">
      <c r="AE3277" s="39" t="str">
        <f>IF(D3277="","",IFERROR(VLOOKUP(D3277,Projects!$A$2:$A$20000,1,FALSE),""))</f>
        <v/>
      </c>
      <c r="AF3277" s="2" t="str">
        <f>IF(D3277="","",IFERROR(MATCH(D3277,Projects!$A:$A,0),""))</f>
        <v/>
      </c>
    </row>
    <row r="3278" spans="31:32" x14ac:dyDescent="0.25">
      <c r="AE3278" s="39" t="str">
        <f>IF(D3278="","",IFERROR(VLOOKUP(D3278,Projects!$A$2:$A$20000,1,FALSE),""))</f>
        <v/>
      </c>
      <c r="AF3278" s="2" t="str">
        <f>IF(D3278="","",IFERROR(MATCH(D3278,Projects!$A:$A,0),""))</f>
        <v/>
      </c>
    </row>
    <row r="3279" spans="31:32" x14ac:dyDescent="0.25">
      <c r="AE3279" s="39" t="str">
        <f>IF(D3279="","",IFERROR(VLOOKUP(D3279,Projects!$A$2:$A$20000,1,FALSE),""))</f>
        <v/>
      </c>
      <c r="AF3279" s="2" t="str">
        <f>IF(D3279="","",IFERROR(MATCH(D3279,Projects!$A:$A,0),""))</f>
        <v/>
      </c>
    </row>
    <row r="3280" spans="31:32" x14ac:dyDescent="0.25">
      <c r="AE3280" s="39" t="str">
        <f>IF(D3280="","",IFERROR(VLOOKUP(D3280,Projects!$A$2:$A$20000,1,FALSE),""))</f>
        <v/>
      </c>
      <c r="AF3280" s="2" t="str">
        <f>IF(D3280="","",IFERROR(MATCH(D3280,Projects!$A:$A,0),""))</f>
        <v/>
      </c>
    </row>
    <row r="3281" spans="31:32" x14ac:dyDescent="0.25">
      <c r="AE3281" s="39" t="str">
        <f>IF(D3281="","",IFERROR(VLOOKUP(D3281,Projects!$A$2:$A$20000,1,FALSE),""))</f>
        <v/>
      </c>
      <c r="AF3281" s="2" t="str">
        <f>IF(D3281="","",IFERROR(MATCH(D3281,Projects!$A:$A,0),""))</f>
        <v/>
      </c>
    </row>
    <row r="3282" spans="31:32" x14ac:dyDescent="0.25">
      <c r="AE3282" s="39" t="str">
        <f>IF(D3282="","",IFERROR(VLOOKUP(D3282,Projects!$A$2:$A$20000,1,FALSE),""))</f>
        <v/>
      </c>
      <c r="AF3282" s="2" t="str">
        <f>IF(D3282="","",IFERROR(MATCH(D3282,Projects!$A:$A,0),""))</f>
        <v/>
      </c>
    </row>
    <row r="3283" spans="31:32" x14ac:dyDescent="0.25">
      <c r="AE3283" s="39" t="str">
        <f>IF(D3283="","",IFERROR(VLOOKUP(D3283,Projects!$A$2:$A$20000,1,FALSE),""))</f>
        <v/>
      </c>
      <c r="AF3283" s="2" t="str">
        <f>IF(D3283="","",IFERROR(MATCH(D3283,Projects!$A:$A,0),""))</f>
        <v/>
      </c>
    </row>
    <row r="3284" spans="31:32" x14ac:dyDescent="0.25">
      <c r="AE3284" s="39" t="str">
        <f>IF(D3284="","",IFERROR(VLOOKUP(D3284,Projects!$A$2:$A$20000,1,FALSE),""))</f>
        <v/>
      </c>
      <c r="AF3284" s="2" t="str">
        <f>IF(D3284="","",IFERROR(MATCH(D3284,Projects!$A:$A,0),""))</f>
        <v/>
      </c>
    </row>
    <row r="3285" spans="31:32" x14ac:dyDescent="0.25">
      <c r="AE3285" s="39" t="str">
        <f>IF(D3285="","",IFERROR(VLOOKUP(D3285,Projects!$A$2:$A$20000,1,FALSE),""))</f>
        <v/>
      </c>
      <c r="AF3285" s="2" t="str">
        <f>IF(D3285="","",IFERROR(MATCH(D3285,Projects!$A:$A,0),""))</f>
        <v/>
      </c>
    </row>
    <row r="3286" spans="31:32" x14ac:dyDescent="0.25">
      <c r="AE3286" s="39" t="str">
        <f>IF(D3286="","",IFERROR(VLOOKUP(D3286,Projects!$A$2:$A$20000,1,FALSE),""))</f>
        <v/>
      </c>
      <c r="AF3286" s="2" t="str">
        <f>IF(D3286="","",IFERROR(MATCH(D3286,Projects!$A:$A,0),""))</f>
        <v/>
      </c>
    </row>
    <row r="3287" spans="31:32" x14ac:dyDescent="0.25">
      <c r="AE3287" s="39" t="str">
        <f>IF(D3287="","",IFERROR(VLOOKUP(D3287,Projects!$A$2:$A$20000,1,FALSE),""))</f>
        <v/>
      </c>
      <c r="AF3287" s="2" t="str">
        <f>IF(D3287="","",IFERROR(MATCH(D3287,Projects!$A:$A,0),""))</f>
        <v/>
      </c>
    </row>
    <row r="3288" spans="31:32" x14ac:dyDescent="0.25">
      <c r="AE3288" s="39" t="str">
        <f>IF(D3288="","",IFERROR(VLOOKUP(D3288,Projects!$A$2:$A$20000,1,FALSE),""))</f>
        <v/>
      </c>
      <c r="AF3288" s="2" t="str">
        <f>IF(D3288="","",IFERROR(MATCH(D3288,Projects!$A:$A,0),""))</f>
        <v/>
      </c>
    </row>
    <row r="3289" spans="31:32" x14ac:dyDescent="0.25">
      <c r="AE3289" s="39" t="str">
        <f>IF(D3289="","",IFERROR(VLOOKUP(D3289,Projects!$A$2:$A$20000,1,FALSE),""))</f>
        <v/>
      </c>
      <c r="AF3289" s="2" t="str">
        <f>IF(D3289="","",IFERROR(MATCH(D3289,Projects!$A:$A,0),""))</f>
        <v/>
      </c>
    </row>
    <row r="3290" spans="31:32" x14ac:dyDescent="0.25">
      <c r="AE3290" s="39" t="str">
        <f>IF(D3290="","",IFERROR(VLOOKUP(D3290,Projects!$A$2:$A$20000,1,FALSE),""))</f>
        <v/>
      </c>
      <c r="AF3290" s="2" t="str">
        <f>IF(D3290="","",IFERROR(MATCH(D3290,Projects!$A:$A,0),""))</f>
        <v/>
      </c>
    </row>
    <row r="3291" spans="31:32" x14ac:dyDescent="0.25">
      <c r="AE3291" s="39" t="str">
        <f>IF(D3291="","",IFERROR(VLOOKUP(D3291,Projects!$A$2:$A$20000,1,FALSE),""))</f>
        <v/>
      </c>
      <c r="AF3291" s="2" t="str">
        <f>IF(D3291="","",IFERROR(MATCH(D3291,Projects!$A:$A,0),""))</f>
        <v/>
      </c>
    </row>
    <row r="3292" spans="31:32" x14ac:dyDescent="0.25">
      <c r="AE3292" s="39" t="str">
        <f>IF(D3292="","",IFERROR(VLOOKUP(D3292,Projects!$A$2:$A$20000,1,FALSE),""))</f>
        <v/>
      </c>
      <c r="AF3292" s="2" t="str">
        <f>IF(D3292="","",IFERROR(MATCH(D3292,Projects!$A:$A,0),""))</f>
        <v/>
      </c>
    </row>
    <row r="3293" spans="31:32" x14ac:dyDescent="0.25">
      <c r="AE3293" s="39" t="str">
        <f>IF(D3293="","",IFERROR(VLOOKUP(D3293,Projects!$A$2:$A$20000,1,FALSE),""))</f>
        <v/>
      </c>
      <c r="AF3293" s="2" t="str">
        <f>IF(D3293="","",IFERROR(MATCH(D3293,Projects!$A:$A,0),""))</f>
        <v/>
      </c>
    </row>
    <row r="3294" spans="31:32" x14ac:dyDescent="0.25">
      <c r="AE3294" s="39" t="str">
        <f>IF(D3294="","",IFERROR(VLOOKUP(D3294,Projects!$A$2:$A$20000,1,FALSE),""))</f>
        <v/>
      </c>
      <c r="AF3294" s="2" t="str">
        <f>IF(D3294="","",IFERROR(MATCH(D3294,Projects!$A:$A,0),""))</f>
        <v/>
      </c>
    </row>
    <row r="3295" spans="31:32" x14ac:dyDescent="0.25">
      <c r="AE3295" s="39" t="str">
        <f>IF(D3295="","",IFERROR(VLOOKUP(D3295,Projects!$A$2:$A$20000,1,FALSE),""))</f>
        <v/>
      </c>
      <c r="AF3295" s="2" t="str">
        <f>IF(D3295="","",IFERROR(MATCH(D3295,Projects!$A:$A,0),""))</f>
        <v/>
      </c>
    </row>
    <row r="3296" spans="31:32" x14ac:dyDescent="0.25">
      <c r="AE3296" s="39" t="str">
        <f>IF(D3296="","",IFERROR(VLOOKUP(D3296,Projects!$A$2:$A$20000,1,FALSE),""))</f>
        <v/>
      </c>
      <c r="AF3296" s="2" t="str">
        <f>IF(D3296="","",IFERROR(MATCH(D3296,Projects!$A:$A,0),""))</f>
        <v/>
      </c>
    </row>
    <row r="3297" spans="31:32" x14ac:dyDescent="0.25">
      <c r="AE3297" s="39" t="str">
        <f>IF(D3297="","",IFERROR(VLOOKUP(D3297,Projects!$A$2:$A$20000,1,FALSE),""))</f>
        <v/>
      </c>
      <c r="AF3297" s="2" t="str">
        <f>IF(D3297="","",IFERROR(MATCH(D3297,Projects!$A:$A,0),""))</f>
        <v/>
      </c>
    </row>
    <row r="3298" spans="31:32" x14ac:dyDescent="0.25">
      <c r="AE3298" s="39" t="str">
        <f>IF(D3298="","",IFERROR(VLOOKUP(D3298,Projects!$A$2:$A$20000,1,FALSE),""))</f>
        <v/>
      </c>
      <c r="AF3298" s="2" t="str">
        <f>IF(D3298="","",IFERROR(MATCH(D3298,Projects!$A:$A,0),""))</f>
        <v/>
      </c>
    </row>
    <row r="3299" spans="31:32" x14ac:dyDescent="0.25">
      <c r="AE3299" s="39" t="str">
        <f>IF(D3299="","",IFERROR(VLOOKUP(D3299,Projects!$A$2:$A$20000,1,FALSE),""))</f>
        <v/>
      </c>
      <c r="AF3299" s="2" t="str">
        <f>IF(D3299="","",IFERROR(MATCH(D3299,Projects!$A:$A,0),""))</f>
        <v/>
      </c>
    </row>
    <row r="3300" spans="31:32" x14ac:dyDescent="0.25">
      <c r="AE3300" s="39" t="str">
        <f>IF(D3300="","",IFERROR(VLOOKUP(D3300,Projects!$A$2:$A$20000,1,FALSE),""))</f>
        <v/>
      </c>
      <c r="AF3300" s="2" t="str">
        <f>IF(D3300="","",IFERROR(MATCH(D3300,Projects!$A:$A,0),""))</f>
        <v/>
      </c>
    </row>
    <row r="3301" spans="31:32" x14ac:dyDescent="0.25">
      <c r="AE3301" s="39" t="str">
        <f>IF(D3301="","",IFERROR(VLOOKUP(D3301,Projects!$A$2:$A$20000,1,FALSE),""))</f>
        <v/>
      </c>
      <c r="AF3301" s="2" t="str">
        <f>IF(D3301="","",IFERROR(MATCH(D3301,Projects!$A:$A,0),""))</f>
        <v/>
      </c>
    </row>
    <row r="3302" spans="31:32" x14ac:dyDescent="0.25">
      <c r="AE3302" s="39" t="str">
        <f>IF(D3302="","",IFERROR(VLOOKUP(D3302,Projects!$A$2:$A$20000,1,FALSE),""))</f>
        <v/>
      </c>
      <c r="AF3302" s="2" t="str">
        <f>IF(D3302="","",IFERROR(MATCH(D3302,Projects!$A:$A,0),""))</f>
        <v/>
      </c>
    </row>
    <row r="3303" spans="31:32" x14ac:dyDescent="0.25">
      <c r="AE3303" s="39" t="str">
        <f>IF(D3303="","",IFERROR(VLOOKUP(D3303,Projects!$A$2:$A$20000,1,FALSE),""))</f>
        <v/>
      </c>
      <c r="AF3303" s="2" t="str">
        <f>IF(D3303="","",IFERROR(MATCH(D3303,Projects!$A:$A,0),""))</f>
        <v/>
      </c>
    </row>
    <row r="3304" spans="31:32" x14ac:dyDescent="0.25">
      <c r="AE3304" s="39" t="str">
        <f>IF(D3304="","",IFERROR(VLOOKUP(D3304,Projects!$A$2:$A$20000,1,FALSE),""))</f>
        <v/>
      </c>
      <c r="AF3304" s="2" t="str">
        <f>IF(D3304="","",IFERROR(MATCH(D3304,Projects!$A:$A,0),""))</f>
        <v/>
      </c>
    </row>
    <row r="3305" spans="31:32" x14ac:dyDescent="0.25">
      <c r="AE3305" s="39" t="str">
        <f>IF(D3305="","",IFERROR(VLOOKUP(D3305,Projects!$A$2:$A$20000,1,FALSE),""))</f>
        <v/>
      </c>
      <c r="AF3305" s="2" t="str">
        <f>IF(D3305="","",IFERROR(MATCH(D3305,Projects!$A:$A,0),""))</f>
        <v/>
      </c>
    </row>
    <row r="3306" spans="31:32" x14ac:dyDescent="0.25">
      <c r="AE3306" s="39" t="str">
        <f>IF(D3306="","",IFERROR(VLOOKUP(D3306,Projects!$A$2:$A$20000,1,FALSE),""))</f>
        <v/>
      </c>
      <c r="AF3306" s="2" t="str">
        <f>IF(D3306="","",IFERROR(MATCH(D3306,Projects!$A:$A,0),""))</f>
        <v/>
      </c>
    </row>
    <row r="3307" spans="31:32" x14ac:dyDescent="0.25">
      <c r="AE3307" s="39" t="str">
        <f>IF(D3307="","",IFERROR(VLOOKUP(D3307,Projects!$A$2:$A$20000,1,FALSE),""))</f>
        <v/>
      </c>
      <c r="AF3307" s="2" t="str">
        <f>IF(D3307="","",IFERROR(MATCH(D3307,Projects!$A:$A,0),""))</f>
        <v/>
      </c>
    </row>
    <row r="3308" spans="31:32" x14ac:dyDescent="0.25">
      <c r="AE3308" s="39" t="str">
        <f>IF(D3308="","",IFERROR(VLOOKUP(D3308,Projects!$A$2:$A$20000,1,FALSE),""))</f>
        <v/>
      </c>
      <c r="AF3308" s="2" t="str">
        <f>IF(D3308="","",IFERROR(MATCH(D3308,Projects!$A:$A,0),""))</f>
        <v/>
      </c>
    </row>
    <row r="3309" spans="31:32" x14ac:dyDescent="0.25">
      <c r="AE3309" s="39" t="str">
        <f>IF(D3309="","",IFERROR(VLOOKUP(D3309,Projects!$A$2:$A$20000,1,FALSE),""))</f>
        <v/>
      </c>
      <c r="AF3309" s="2" t="str">
        <f>IF(D3309="","",IFERROR(MATCH(D3309,Projects!$A:$A,0),""))</f>
        <v/>
      </c>
    </row>
    <row r="3310" spans="31:32" x14ac:dyDescent="0.25">
      <c r="AE3310" s="39" t="str">
        <f>IF(D3310="","",IFERROR(VLOOKUP(D3310,Projects!$A$2:$A$20000,1,FALSE),""))</f>
        <v/>
      </c>
      <c r="AF3310" s="2" t="str">
        <f>IF(D3310="","",IFERROR(MATCH(D3310,Projects!$A:$A,0),""))</f>
        <v/>
      </c>
    </row>
    <row r="3311" spans="31:32" x14ac:dyDescent="0.25">
      <c r="AE3311" s="39" t="str">
        <f>IF(D3311="","",IFERROR(VLOOKUP(D3311,Projects!$A$2:$A$20000,1,FALSE),""))</f>
        <v/>
      </c>
      <c r="AF3311" s="2" t="str">
        <f>IF(D3311="","",IFERROR(MATCH(D3311,Projects!$A:$A,0),""))</f>
        <v/>
      </c>
    </row>
    <row r="3312" spans="31:32" x14ac:dyDescent="0.25">
      <c r="AE3312" s="39" t="str">
        <f>IF(D3312="","",IFERROR(VLOOKUP(D3312,Projects!$A$2:$A$20000,1,FALSE),""))</f>
        <v/>
      </c>
      <c r="AF3312" s="2" t="str">
        <f>IF(D3312="","",IFERROR(MATCH(D3312,Projects!$A:$A,0),""))</f>
        <v/>
      </c>
    </row>
    <row r="3313" spans="31:32" x14ac:dyDescent="0.25">
      <c r="AE3313" s="39" t="str">
        <f>IF(D3313="","",IFERROR(VLOOKUP(D3313,Projects!$A$2:$A$20000,1,FALSE),""))</f>
        <v/>
      </c>
      <c r="AF3313" s="2" t="str">
        <f>IF(D3313="","",IFERROR(MATCH(D3313,Projects!$A:$A,0),""))</f>
        <v/>
      </c>
    </row>
    <row r="3314" spans="31:32" x14ac:dyDescent="0.25">
      <c r="AE3314" s="39" t="str">
        <f>IF(D3314="","",IFERROR(VLOOKUP(D3314,Projects!$A$2:$A$20000,1,FALSE),""))</f>
        <v/>
      </c>
      <c r="AF3314" s="2" t="str">
        <f>IF(D3314="","",IFERROR(MATCH(D3314,Projects!$A:$A,0),""))</f>
        <v/>
      </c>
    </row>
    <row r="3315" spans="31:32" x14ac:dyDescent="0.25">
      <c r="AE3315" s="39" t="str">
        <f>IF(D3315="","",IFERROR(VLOOKUP(D3315,Projects!$A$2:$A$20000,1,FALSE),""))</f>
        <v/>
      </c>
      <c r="AF3315" s="2" t="str">
        <f>IF(D3315="","",IFERROR(MATCH(D3315,Projects!$A:$A,0),""))</f>
        <v/>
      </c>
    </row>
    <row r="3316" spans="31:32" x14ac:dyDescent="0.25">
      <c r="AE3316" s="39" t="str">
        <f>IF(D3316="","",IFERROR(VLOOKUP(D3316,Projects!$A$2:$A$20000,1,FALSE),""))</f>
        <v/>
      </c>
      <c r="AF3316" s="2" t="str">
        <f>IF(D3316="","",IFERROR(MATCH(D3316,Projects!$A:$A,0),""))</f>
        <v/>
      </c>
    </row>
    <row r="3317" spans="31:32" x14ac:dyDescent="0.25">
      <c r="AE3317" s="39" t="str">
        <f>IF(D3317="","",IFERROR(VLOOKUP(D3317,Projects!$A$2:$A$20000,1,FALSE),""))</f>
        <v/>
      </c>
      <c r="AF3317" s="2" t="str">
        <f>IF(D3317="","",IFERROR(MATCH(D3317,Projects!$A:$A,0),""))</f>
        <v/>
      </c>
    </row>
    <row r="3318" spans="31:32" x14ac:dyDescent="0.25">
      <c r="AE3318" s="39" t="str">
        <f>IF(D3318="","",IFERROR(VLOOKUP(D3318,Projects!$A$2:$A$20000,1,FALSE),""))</f>
        <v/>
      </c>
      <c r="AF3318" s="2" t="str">
        <f>IF(D3318="","",IFERROR(MATCH(D3318,Projects!$A:$A,0),""))</f>
        <v/>
      </c>
    </row>
    <row r="3319" spans="31:32" x14ac:dyDescent="0.25">
      <c r="AE3319" s="39" t="str">
        <f>IF(D3319="","",IFERROR(VLOOKUP(D3319,Projects!$A$2:$A$20000,1,FALSE),""))</f>
        <v/>
      </c>
      <c r="AF3319" s="2" t="str">
        <f>IF(D3319="","",IFERROR(MATCH(D3319,Projects!$A:$A,0),""))</f>
        <v/>
      </c>
    </row>
    <row r="3320" spans="31:32" x14ac:dyDescent="0.25">
      <c r="AE3320" s="39" t="str">
        <f>IF(D3320="","",IFERROR(VLOOKUP(D3320,Projects!$A$2:$A$20000,1,FALSE),""))</f>
        <v/>
      </c>
      <c r="AF3320" s="2" t="str">
        <f>IF(D3320="","",IFERROR(MATCH(D3320,Projects!$A:$A,0),""))</f>
        <v/>
      </c>
    </row>
    <row r="3321" spans="31:32" x14ac:dyDescent="0.25">
      <c r="AE3321" s="39" t="str">
        <f>IF(D3321="","",IFERROR(VLOOKUP(D3321,Projects!$A$2:$A$20000,1,FALSE),""))</f>
        <v/>
      </c>
      <c r="AF3321" s="2" t="str">
        <f>IF(D3321="","",IFERROR(MATCH(D3321,Projects!$A:$A,0),""))</f>
        <v/>
      </c>
    </row>
    <row r="3322" spans="31:32" x14ac:dyDescent="0.25">
      <c r="AE3322" s="39" t="str">
        <f>IF(D3322="","",IFERROR(VLOOKUP(D3322,Projects!$A$2:$A$20000,1,FALSE),""))</f>
        <v/>
      </c>
      <c r="AF3322" s="2" t="str">
        <f>IF(D3322="","",IFERROR(MATCH(D3322,Projects!$A:$A,0),""))</f>
        <v/>
      </c>
    </row>
    <row r="3323" spans="31:32" x14ac:dyDescent="0.25">
      <c r="AE3323" s="39" t="str">
        <f>IF(D3323="","",IFERROR(VLOOKUP(D3323,Projects!$A$2:$A$20000,1,FALSE),""))</f>
        <v/>
      </c>
      <c r="AF3323" s="2" t="str">
        <f>IF(D3323="","",IFERROR(MATCH(D3323,Projects!$A:$A,0),""))</f>
        <v/>
      </c>
    </row>
    <row r="3324" spans="31:32" x14ac:dyDescent="0.25">
      <c r="AE3324" s="39" t="str">
        <f>IF(D3324="","",IFERROR(VLOOKUP(D3324,Projects!$A$2:$A$20000,1,FALSE),""))</f>
        <v/>
      </c>
      <c r="AF3324" s="2" t="str">
        <f>IF(D3324="","",IFERROR(MATCH(D3324,Projects!$A:$A,0),""))</f>
        <v/>
      </c>
    </row>
    <row r="3325" spans="31:32" x14ac:dyDescent="0.25">
      <c r="AE3325" s="39" t="str">
        <f>IF(D3325="","",IFERROR(VLOOKUP(D3325,Projects!$A$2:$A$20000,1,FALSE),""))</f>
        <v/>
      </c>
      <c r="AF3325" s="2" t="str">
        <f>IF(D3325="","",IFERROR(MATCH(D3325,Projects!$A:$A,0),""))</f>
        <v/>
      </c>
    </row>
    <row r="3326" spans="31:32" x14ac:dyDescent="0.25">
      <c r="AE3326" s="39" t="str">
        <f>IF(D3326="","",IFERROR(VLOOKUP(D3326,Projects!$A$2:$A$20000,1,FALSE),""))</f>
        <v/>
      </c>
      <c r="AF3326" s="2" t="str">
        <f>IF(D3326="","",IFERROR(MATCH(D3326,Projects!$A:$A,0),""))</f>
        <v/>
      </c>
    </row>
    <row r="3327" spans="31:32" x14ac:dyDescent="0.25">
      <c r="AE3327" s="39" t="str">
        <f>IF(D3327="","",IFERROR(VLOOKUP(D3327,Projects!$A$2:$A$20000,1,FALSE),""))</f>
        <v/>
      </c>
      <c r="AF3327" s="2" t="str">
        <f>IF(D3327="","",IFERROR(MATCH(D3327,Projects!$A:$A,0),""))</f>
        <v/>
      </c>
    </row>
    <row r="3328" spans="31:32" x14ac:dyDescent="0.25">
      <c r="AE3328" s="39" t="str">
        <f>IF(D3328="","",IFERROR(VLOOKUP(D3328,Projects!$A$2:$A$20000,1,FALSE),""))</f>
        <v/>
      </c>
      <c r="AF3328" s="2" t="str">
        <f>IF(D3328="","",IFERROR(MATCH(D3328,Projects!$A:$A,0),""))</f>
        <v/>
      </c>
    </row>
    <row r="3329" spans="31:32" x14ac:dyDescent="0.25">
      <c r="AE3329" s="39" t="str">
        <f>IF(D3329="","",IFERROR(VLOOKUP(D3329,Projects!$A$2:$A$20000,1,FALSE),""))</f>
        <v/>
      </c>
      <c r="AF3329" s="2" t="str">
        <f>IF(D3329="","",IFERROR(MATCH(D3329,Projects!$A:$A,0),""))</f>
        <v/>
      </c>
    </row>
    <row r="3330" spans="31:32" x14ac:dyDescent="0.25">
      <c r="AE3330" s="39" t="str">
        <f>IF(D3330="","",IFERROR(VLOOKUP(D3330,Projects!$A$2:$A$20000,1,FALSE),""))</f>
        <v/>
      </c>
      <c r="AF3330" s="2" t="str">
        <f>IF(D3330="","",IFERROR(MATCH(D3330,Projects!$A:$A,0),""))</f>
        <v/>
      </c>
    </row>
    <row r="3331" spans="31:32" x14ac:dyDescent="0.25">
      <c r="AE3331" s="39" t="str">
        <f>IF(D3331="","",IFERROR(VLOOKUP(D3331,Projects!$A$2:$A$20000,1,FALSE),""))</f>
        <v/>
      </c>
      <c r="AF3331" s="2" t="str">
        <f>IF(D3331="","",IFERROR(MATCH(D3331,Projects!$A:$A,0),""))</f>
        <v/>
      </c>
    </row>
    <row r="3332" spans="31:32" x14ac:dyDescent="0.25">
      <c r="AE3332" s="39" t="str">
        <f>IF(D3332="","",IFERROR(VLOOKUP(D3332,Projects!$A$2:$A$20000,1,FALSE),""))</f>
        <v/>
      </c>
      <c r="AF3332" s="2" t="str">
        <f>IF(D3332="","",IFERROR(MATCH(D3332,Projects!$A:$A,0),""))</f>
        <v/>
      </c>
    </row>
    <row r="3333" spans="31:32" x14ac:dyDescent="0.25">
      <c r="AE3333" s="39" t="str">
        <f>IF(D3333="","",IFERROR(VLOOKUP(D3333,Projects!$A$2:$A$20000,1,FALSE),""))</f>
        <v/>
      </c>
      <c r="AF3333" s="2" t="str">
        <f>IF(D3333="","",IFERROR(MATCH(D3333,Projects!$A:$A,0),""))</f>
        <v/>
      </c>
    </row>
    <row r="3334" spans="31:32" x14ac:dyDescent="0.25">
      <c r="AE3334" s="39" t="str">
        <f>IF(D3334="","",IFERROR(VLOOKUP(D3334,Projects!$A$2:$A$20000,1,FALSE),""))</f>
        <v/>
      </c>
      <c r="AF3334" s="2" t="str">
        <f>IF(D3334="","",IFERROR(MATCH(D3334,Projects!$A:$A,0),""))</f>
        <v/>
      </c>
    </row>
    <row r="3335" spans="31:32" x14ac:dyDescent="0.25">
      <c r="AE3335" s="39" t="str">
        <f>IF(D3335="","",IFERROR(VLOOKUP(D3335,Projects!$A$2:$A$20000,1,FALSE),""))</f>
        <v/>
      </c>
      <c r="AF3335" s="2" t="str">
        <f>IF(D3335="","",IFERROR(MATCH(D3335,Projects!$A:$A,0),""))</f>
        <v/>
      </c>
    </row>
    <row r="3336" spans="31:32" x14ac:dyDescent="0.25">
      <c r="AE3336" s="39" t="str">
        <f>IF(D3336="","",IFERROR(VLOOKUP(D3336,Projects!$A$2:$A$20000,1,FALSE),""))</f>
        <v/>
      </c>
      <c r="AF3336" s="2" t="str">
        <f>IF(D3336="","",IFERROR(MATCH(D3336,Projects!$A:$A,0),""))</f>
        <v/>
      </c>
    </row>
    <row r="3337" spans="31:32" x14ac:dyDescent="0.25">
      <c r="AE3337" s="39" t="str">
        <f>IF(D3337="","",IFERROR(VLOOKUP(D3337,Projects!$A$2:$A$20000,1,FALSE),""))</f>
        <v/>
      </c>
      <c r="AF3337" s="2" t="str">
        <f>IF(D3337="","",IFERROR(MATCH(D3337,Projects!$A:$A,0),""))</f>
        <v/>
      </c>
    </row>
    <row r="3338" spans="31:32" x14ac:dyDescent="0.25">
      <c r="AE3338" s="39" t="str">
        <f>IF(D3338="","",IFERROR(VLOOKUP(D3338,Projects!$A$2:$A$20000,1,FALSE),""))</f>
        <v/>
      </c>
      <c r="AF3338" s="2" t="str">
        <f>IF(D3338="","",IFERROR(MATCH(D3338,Projects!$A:$A,0),""))</f>
        <v/>
      </c>
    </row>
    <row r="3339" spans="31:32" x14ac:dyDescent="0.25">
      <c r="AE3339" s="39" t="str">
        <f>IF(D3339="","",IFERROR(VLOOKUP(D3339,Projects!$A$2:$A$20000,1,FALSE),""))</f>
        <v/>
      </c>
      <c r="AF3339" s="2" t="str">
        <f>IF(D3339="","",IFERROR(MATCH(D3339,Projects!$A:$A,0),""))</f>
        <v/>
      </c>
    </row>
    <row r="3340" spans="31:32" x14ac:dyDescent="0.25">
      <c r="AE3340" s="39" t="str">
        <f>IF(D3340="","",IFERROR(VLOOKUP(D3340,Projects!$A$2:$A$20000,1,FALSE),""))</f>
        <v/>
      </c>
      <c r="AF3340" s="2" t="str">
        <f>IF(D3340="","",IFERROR(MATCH(D3340,Projects!$A:$A,0),""))</f>
        <v/>
      </c>
    </row>
    <row r="3341" spans="31:32" x14ac:dyDescent="0.25">
      <c r="AE3341" s="39" t="str">
        <f>IF(D3341="","",IFERROR(VLOOKUP(D3341,Projects!$A$2:$A$20000,1,FALSE),""))</f>
        <v/>
      </c>
      <c r="AF3341" s="2" t="str">
        <f>IF(D3341="","",IFERROR(MATCH(D3341,Projects!$A:$A,0),""))</f>
        <v/>
      </c>
    </row>
    <row r="3342" spans="31:32" x14ac:dyDescent="0.25">
      <c r="AE3342" s="39" t="str">
        <f>IF(D3342="","",IFERROR(VLOOKUP(D3342,Projects!$A$2:$A$20000,1,FALSE),""))</f>
        <v/>
      </c>
      <c r="AF3342" s="2" t="str">
        <f>IF(D3342="","",IFERROR(MATCH(D3342,Projects!$A:$A,0),""))</f>
        <v/>
      </c>
    </row>
    <row r="3343" spans="31:32" x14ac:dyDescent="0.25">
      <c r="AE3343" s="39" t="str">
        <f>IF(D3343="","",IFERROR(VLOOKUP(D3343,Projects!$A$2:$A$20000,1,FALSE),""))</f>
        <v/>
      </c>
      <c r="AF3343" s="2" t="str">
        <f>IF(D3343="","",IFERROR(MATCH(D3343,Projects!$A:$A,0),""))</f>
        <v/>
      </c>
    </row>
    <row r="3344" spans="31:32" x14ac:dyDescent="0.25">
      <c r="AE3344" s="39" t="str">
        <f>IF(D3344="","",IFERROR(VLOOKUP(D3344,Projects!$A$2:$A$20000,1,FALSE),""))</f>
        <v/>
      </c>
      <c r="AF3344" s="2" t="str">
        <f>IF(D3344="","",IFERROR(MATCH(D3344,Projects!$A:$A,0),""))</f>
        <v/>
      </c>
    </row>
    <row r="3345" spans="31:32" x14ac:dyDescent="0.25">
      <c r="AE3345" s="39" t="str">
        <f>IF(D3345="","",IFERROR(VLOOKUP(D3345,Projects!$A$2:$A$20000,1,FALSE),""))</f>
        <v/>
      </c>
      <c r="AF3345" s="2" t="str">
        <f>IF(D3345="","",IFERROR(MATCH(D3345,Projects!$A:$A,0),""))</f>
        <v/>
      </c>
    </row>
    <row r="3346" spans="31:32" x14ac:dyDescent="0.25">
      <c r="AE3346" s="39" t="str">
        <f>IF(D3346="","",IFERROR(VLOOKUP(D3346,Projects!$A$2:$A$20000,1,FALSE),""))</f>
        <v/>
      </c>
      <c r="AF3346" s="2" t="str">
        <f>IF(D3346="","",IFERROR(MATCH(D3346,Projects!$A:$A,0),""))</f>
        <v/>
      </c>
    </row>
    <row r="3347" spans="31:32" x14ac:dyDescent="0.25">
      <c r="AE3347" s="39" t="str">
        <f>IF(D3347="","",IFERROR(VLOOKUP(D3347,Projects!$A$2:$A$20000,1,FALSE),""))</f>
        <v/>
      </c>
      <c r="AF3347" s="2" t="str">
        <f>IF(D3347="","",IFERROR(MATCH(D3347,Projects!$A:$A,0),""))</f>
        <v/>
      </c>
    </row>
    <row r="3348" spans="31:32" x14ac:dyDescent="0.25">
      <c r="AE3348" s="39" t="str">
        <f>IF(D3348="","",IFERROR(VLOOKUP(D3348,Projects!$A$2:$A$20000,1,FALSE),""))</f>
        <v/>
      </c>
      <c r="AF3348" s="2" t="str">
        <f>IF(D3348="","",IFERROR(MATCH(D3348,Projects!$A:$A,0),""))</f>
        <v/>
      </c>
    </row>
    <row r="3349" spans="31:32" x14ac:dyDescent="0.25">
      <c r="AE3349" s="39" t="str">
        <f>IF(D3349="","",IFERROR(VLOOKUP(D3349,Projects!$A$2:$A$20000,1,FALSE),""))</f>
        <v/>
      </c>
      <c r="AF3349" s="2" t="str">
        <f>IF(D3349="","",IFERROR(MATCH(D3349,Projects!$A:$A,0),""))</f>
        <v/>
      </c>
    </row>
    <row r="3350" spans="31:32" x14ac:dyDescent="0.25">
      <c r="AE3350" s="39" t="str">
        <f>IF(D3350="","",IFERROR(VLOOKUP(D3350,Projects!$A$2:$A$20000,1,FALSE),""))</f>
        <v/>
      </c>
      <c r="AF3350" s="2" t="str">
        <f>IF(D3350="","",IFERROR(MATCH(D3350,Projects!$A:$A,0),""))</f>
        <v/>
      </c>
    </row>
    <row r="3351" spans="31:32" x14ac:dyDescent="0.25">
      <c r="AE3351" s="39" t="str">
        <f>IF(D3351="","",IFERROR(VLOOKUP(D3351,Projects!$A$2:$A$20000,1,FALSE),""))</f>
        <v/>
      </c>
      <c r="AF3351" s="2" t="str">
        <f>IF(D3351="","",IFERROR(MATCH(D3351,Projects!$A:$A,0),""))</f>
        <v/>
      </c>
    </row>
    <row r="3352" spans="31:32" x14ac:dyDescent="0.25">
      <c r="AE3352" s="39" t="str">
        <f>IF(D3352="","",IFERROR(VLOOKUP(D3352,Projects!$A$2:$A$20000,1,FALSE),""))</f>
        <v/>
      </c>
      <c r="AF3352" s="2" t="str">
        <f>IF(D3352="","",IFERROR(MATCH(D3352,Projects!$A:$A,0),""))</f>
        <v/>
      </c>
    </row>
    <row r="3353" spans="31:32" x14ac:dyDescent="0.25">
      <c r="AE3353" s="39" t="str">
        <f>IF(D3353="","",IFERROR(VLOOKUP(D3353,Projects!$A$2:$A$20000,1,FALSE),""))</f>
        <v/>
      </c>
      <c r="AF3353" s="2" t="str">
        <f>IF(D3353="","",IFERROR(MATCH(D3353,Projects!$A:$A,0),""))</f>
        <v/>
      </c>
    </row>
    <row r="3354" spans="31:32" x14ac:dyDescent="0.25">
      <c r="AE3354" s="39" t="str">
        <f>IF(D3354="","",IFERROR(VLOOKUP(D3354,Projects!$A$2:$A$20000,1,FALSE),""))</f>
        <v/>
      </c>
      <c r="AF3354" s="2" t="str">
        <f>IF(D3354="","",IFERROR(MATCH(D3354,Projects!$A:$A,0),""))</f>
        <v/>
      </c>
    </row>
    <row r="3355" spans="31:32" x14ac:dyDescent="0.25">
      <c r="AE3355" s="39" t="str">
        <f>IF(D3355="","",IFERROR(VLOOKUP(D3355,Projects!$A$2:$A$20000,1,FALSE),""))</f>
        <v/>
      </c>
      <c r="AF3355" s="2" t="str">
        <f>IF(D3355="","",IFERROR(MATCH(D3355,Projects!$A:$A,0),""))</f>
        <v/>
      </c>
    </row>
    <row r="3356" spans="31:32" x14ac:dyDescent="0.25">
      <c r="AE3356" s="39" t="str">
        <f>IF(D3356="","",IFERROR(VLOOKUP(D3356,Projects!$A$2:$A$20000,1,FALSE),""))</f>
        <v/>
      </c>
      <c r="AF3356" s="2" t="str">
        <f>IF(D3356="","",IFERROR(MATCH(D3356,Projects!$A:$A,0),""))</f>
        <v/>
      </c>
    </row>
    <row r="3357" spans="31:32" x14ac:dyDescent="0.25">
      <c r="AE3357" s="39" t="str">
        <f>IF(D3357="","",IFERROR(VLOOKUP(D3357,Projects!$A$2:$A$20000,1,FALSE),""))</f>
        <v/>
      </c>
      <c r="AF3357" s="2" t="str">
        <f>IF(D3357="","",IFERROR(MATCH(D3357,Projects!$A:$A,0),""))</f>
        <v/>
      </c>
    </row>
    <row r="3358" spans="31:32" x14ac:dyDescent="0.25">
      <c r="AE3358" s="39" t="str">
        <f>IF(D3358="","",IFERROR(VLOOKUP(D3358,Projects!$A$2:$A$20000,1,FALSE),""))</f>
        <v/>
      </c>
      <c r="AF3358" s="2" t="str">
        <f>IF(D3358="","",IFERROR(MATCH(D3358,Projects!$A:$A,0),""))</f>
        <v/>
      </c>
    </row>
    <row r="3359" spans="31:32" x14ac:dyDescent="0.25">
      <c r="AE3359" s="39" t="str">
        <f>IF(D3359="","",IFERROR(VLOOKUP(D3359,Projects!$A$2:$A$20000,1,FALSE),""))</f>
        <v/>
      </c>
      <c r="AF3359" s="2" t="str">
        <f>IF(D3359="","",IFERROR(MATCH(D3359,Projects!$A:$A,0),""))</f>
        <v/>
      </c>
    </row>
    <row r="3360" spans="31:32" x14ac:dyDescent="0.25">
      <c r="AE3360" s="39" t="str">
        <f>IF(D3360="","",IFERROR(VLOOKUP(D3360,Projects!$A$2:$A$20000,1,FALSE),""))</f>
        <v/>
      </c>
      <c r="AF3360" s="2" t="str">
        <f>IF(D3360="","",IFERROR(MATCH(D3360,Projects!$A:$A,0),""))</f>
        <v/>
      </c>
    </row>
    <row r="3361" spans="31:32" x14ac:dyDescent="0.25">
      <c r="AE3361" s="39" t="str">
        <f>IF(D3361="","",IFERROR(VLOOKUP(D3361,Projects!$A$2:$A$20000,1,FALSE),""))</f>
        <v/>
      </c>
      <c r="AF3361" s="2" t="str">
        <f>IF(D3361="","",IFERROR(MATCH(D3361,Projects!$A:$A,0),""))</f>
        <v/>
      </c>
    </row>
    <row r="3362" spans="31:32" x14ac:dyDescent="0.25">
      <c r="AE3362" s="39" t="str">
        <f>IF(D3362="","",IFERROR(VLOOKUP(D3362,Projects!$A$2:$A$20000,1,FALSE),""))</f>
        <v/>
      </c>
      <c r="AF3362" s="2" t="str">
        <f>IF(D3362="","",IFERROR(MATCH(D3362,Projects!$A:$A,0),""))</f>
        <v/>
      </c>
    </row>
    <row r="3363" spans="31:32" x14ac:dyDescent="0.25">
      <c r="AE3363" s="39" t="str">
        <f>IF(D3363="","",IFERROR(VLOOKUP(D3363,Projects!$A$2:$A$20000,1,FALSE),""))</f>
        <v/>
      </c>
      <c r="AF3363" s="2" t="str">
        <f>IF(D3363="","",IFERROR(MATCH(D3363,Projects!$A:$A,0),""))</f>
        <v/>
      </c>
    </row>
    <row r="3364" spans="31:32" x14ac:dyDescent="0.25">
      <c r="AE3364" s="39" t="str">
        <f>IF(D3364="","",IFERROR(VLOOKUP(D3364,Projects!$A$2:$A$20000,1,FALSE),""))</f>
        <v/>
      </c>
      <c r="AF3364" s="2" t="str">
        <f>IF(D3364="","",IFERROR(MATCH(D3364,Projects!$A:$A,0),""))</f>
        <v/>
      </c>
    </row>
    <row r="3365" spans="31:32" x14ac:dyDescent="0.25">
      <c r="AE3365" s="39" t="str">
        <f>IF(D3365="","",IFERROR(VLOOKUP(D3365,Projects!$A$2:$A$20000,1,FALSE),""))</f>
        <v/>
      </c>
      <c r="AF3365" s="2" t="str">
        <f>IF(D3365="","",IFERROR(MATCH(D3365,Projects!$A:$A,0),""))</f>
        <v/>
      </c>
    </row>
    <row r="3366" spans="31:32" x14ac:dyDescent="0.25">
      <c r="AE3366" s="39" t="str">
        <f>IF(D3366="","",IFERROR(VLOOKUP(D3366,Projects!$A$2:$A$20000,1,FALSE),""))</f>
        <v/>
      </c>
      <c r="AF3366" s="2" t="str">
        <f>IF(D3366="","",IFERROR(MATCH(D3366,Projects!$A:$A,0),""))</f>
        <v/>
      </c>
    </row>
    <row r="3367" spans="31:32" x14ac:dyDescent="0.25">
      <c r="AE3367" s="39" t="str">
        <f>IF(D3367="","",IFERROR(VLOOKUP(D3367,Projects!$A$2:$A$20000,1,FALSE),""))</f>
        <v/>
      </c>
      <c r="AF3367" s="2" t="str">
        <f>IF(D3367="","",IFERROR(MATCH(D3367,Projects!$A:$A,0),""))</f>
        <v/>
      </c>
    </row>
    <row r="3368" spans="31:32" x14ac:dyDescent="0.25">
      <c r="AE3368" s="39" t="str">
        <f>IF(D3368="","",IFERROR(VLOOKUP(D3368,Projects!$A$2:$A$20000,1,FALSE),""))</f>
        <v/>
      </c>
      <c r="AF3368" s="2" t="str">
        <f>IF(D3368="","",IFERROR(MATCH(D3368,Projects!$A:$A,0),""))</f>
        <v/>
      </c>
    </row>
    <row r="3369" spans="31:32" x14ac:dyDescent="0.25">
      <c r="AE3369" s="39" t="str">
        <f>IF(D3369="","",IFERROR(VLOOKUP(D3369,Projects!$A$2:$A$20000,1,FALSE),""))</f>
        <v/>
      </c>
      <c r="AF3369" s="2" t="str">
        <f>IF(D3369="","",IFERROR(MATCH(D3369,Projects!$A:$A,0),""))</f>
        <v/>
      </c>
    </row>
    <row r="3370" spans="31:32" x14ac:dyDescent="0.25">
      <c r="AE3370" s="39" t="str">
        <f>IF(D3370="","",IFERROR(VLOOKUP(D3370,Projects!$A$2:$A$20000,1,FALSE),""))</f>
        <v/>
      </c>
      <c r="AF3370" s="2" t="str">
        <f>IF(D3370="","",IFERROR(MATCH(D3370,Projects!$A:$A,0),""))</f>
        <v/>
      </c>
    </row>
    <row r="3371" spans="31:32" x14ac:dyDescent="0.25">
      <c r="AE3371" s="39" t="str">
        <f>IF(D3371="","",IFERROR(VLOOKUP(D3371,Projects!$A$2:$A$20000,1,FALSE),""))</f>
        <v/>
      </c>
      <c r="AF3371" s="2" t="str">
        <f>IF(D3371="","",IFERROR(MATCH(D3371,Projects!$A:$A,0),""))</f>
        <v/>
      </c>
    </row>
    <row r="3372" spans="31:32" x14ac:dyDescent="0.25">
      <c r="AE3372" s="39" t="str">
        <f>IF(D3372="","",IFERROR(VLOOKUP(D3372,Projects!$A$2:$A$20000,1,FALSE),""))</f>
        <v/>
      </c>
      <c r="AF3372" s="2" t="str">
        <f>IF(D3372="","",IFERROR(MATCH(D3372,Projects!$A:$A,0),""))</f>
        <v/>
      </c>
    </row>
    <row r="3373" spans="31:32" x14ac:dyDescent="0.25">
      <c r="AE3373" s="39" t="str">
        <f>IF(D3373="","",IFERROR(VLOOKUP(D3373,Projects!$A$2:$A$20000,1,FALSE),""))</f>
        <v/>
      </c>
      <c r="AF3373" s="2" t="str">
        <f>IF(D3373="","",IFERROR(MATCH(D3373,Projects!$A:$A,0),""))</f>
        <v/>
      </c>
    </row>
    <row r="3374" spans="31:32" x14ac:dyDescent="0.25">
      <c r="AE3374" s="39" t="str">
        <f>IF(D3374="","",IFERROR(VLOOKUP(D3374,Projects!$A$2:$A$20000,1,FALSE),""))</f>
        <v/>
      </c>
      <c r="AF3374" s="2" t="str">
        <f>IF(D3374="","",IFERROR(MATCH(D3374,Projects!$A:$A,0),""))</f>
        <v/>
      </c>
    </row>
    <row r="3375" spans="31:32" x14ac:dyDescent="0.25">
      <c r="AE3375" s="39" t="str">
        <f>IF(D3375="","",IFERROR(VLOOKUP(D3375,Projects!$A$2:$A$20000,1,FALSE),""))</f>
        <v/>
      </c>
      <c r="AF3375" s="2" t="str">
        <f>IF(D3375="","",IFERROR(MATCH(D3375,Projects!$A:$A,0),""))</f>
        <v/>
      </c>
    </row>
    <row r="3376" spans="31:32" x14ac:dyDescent="0.25">
      <c r="AE3376" s="39" t="str">
        <f>IF(D3376="","",IFERROR(VLOOKUP(D3376,Projects!$A$2:$A$20000,1,FALSE),""))</f>
        <v/>
      </c>
      <c r="AF3376" s="2" t="str">
        <f>IF(D3376="","",IFERROR(MATCH(D3376,Projects!$A:$A,0),""))</f>
        <v/>
      </c>
    </row>
    <row r="3377" spans="31:32" x14ac:dyDescent="0.25">
      <c r="AE3377" s="39" t="str">
        <f>IF(D3377="","",IFERROR(VLOOKUP(D3377,Projects!$A$2:$A$20000,1,FALSE),""))</f>
        <v/>
      </c>
      <c r="AF3377" s="2" t="str">
        <f>IF(D3377="","",IFERROR(MATCH(D3377,Projects!$A:$A,0),""))</f>
        <v/>
      </c>
    </row>
    <row r="3378" spans="31:32" x14ac:dyDescent="0.25">
      <c r="AE3378" s="39" t="str">
        <f>IF(D3378="","",IFERROR(VLOOKUP(D3378,Projects!$A$2:$A$20000,1,FALSE),""))</f>
        <v/>
      </c>
      <c r="AF3378" s="2" t="str">
        <f>IF(D3378="","",IFERROR(MATCH(D3378,Projects!$A:$A,0),""))</f>
        <v/>
      </c>
    </row>
    <row r="3379" spans="31:32" x14ac:dyDescent="0.25">
      <c r="AE3379" s="39" t="str">
        <f>IF(D3379="","",IFERROR(VLOOKUP(D3379,Projects!$A$2:$A$20000,1,FALSE),""))</f>
        <v/>
      </c>
      <c r="AF3379" s="2" t="str">
        <f>IF(D3379="","",IFERROR(MATCH(D3379,Projects!$A:$A,0),""))</f>
        <v/>
      </c>
    </row>
    <row r="3380" spans="31:32" x14ac:dyDescent="0.25">
      <c r="AE3380" s="39" t="str">
        <f>IF(D3380="","",IFERROR(VLOOKUP(D3380,Projects!$A$2:$A$20000,1,FALSE),""))</f>
        <v/>
      </c>
      <c r="AF3380" s="2" t="str">
        <f>IF(D3380="","",IFERROR(MATCH(D3380,Projects!$A:$A,0),""))</f>
        <v/>
      </c>
    </row>
    <row r="3381" spans="31:32" x14ac:dyDescent="0.25">
      <c r="AE3381" s="39" t="str">
        <f>IF(D3381="","",IFERROR(VLOOKUP(D3381,Projects!$A$2:$A$20000,1,FALSE),""))</f>
        <v/>
      </c>
      <c r="AF3381" s="2" t="str">
        <f>IF(D3381="","",IFERROR(MATCH(D3381,Projects!$A:$A,0),""))</f>
        <v/>
      </c>
    </row>
    <row r="3382" spans="31:32" x14ac:dyDescent="0.25">
      <c r="AE3382" s="39" t="str">
        <f>IF(D3382="","",IFERROR(VLOOKUP(D3382,Projects!$A$2:$A$20000,1,FALSE),""))</f>
        <v/>
      </c>
      <c r="AF3382" s="2" t="str">
        <f>IF(D3382="","",IFERROR(MATCH(D3382,Projects!$A:$A,0),""))</f>
        <v/>
      </c>
    </row>
    <row r="3383" spans="31:32" x14ac:dyDescent="0.25">
      <c r="AE3383" s="39" t="str">
        <f>IF(D3383="","",IFERROR(VLOOKUP(D3383,Projects!$A$2:$A$20000,1,FALSE),""))</f>
        <v/>
      </c>
      <c r="AF3383" s="2" t="str">
        <f>IF(D3383="","",IFERROR(MATCH(D3383,Projects!$A:$A,0),""))</f>
        <v/>
      </c>
    </row>
    <row r="3384" spans="31:32" x14ac:dyDescent="0.25">
      <c r="AE3384" s="39" t="str">
        <f>IF(D3384="","",IFERROR(VLOOKUP(D3384,Projects!$A$2:$A$20000,1,FALSE),""))</f>
        <v/>
      </c>
      <c r="AF3384" s="2" t="str">
        <f>IF(D3384="","",IFERROR(MATCH(D3384,Projects!$A:$A,0),""))</f>
        <v/>
      </c>
    </row>
    <row r="3385" spans="31:32" x14ac:dyDescent="0.25">
      <c r="AE3385" s="39" t="str">
        <f>IF(D3385="","",IFERROR(VLOOKUP(D3385,Projects!$A$2:$A$20000,1,FALSE),""))</f>
        <v/>
      </c>
      <c r="AF3385" s="2" t="str">
        <f>IF(D3385="","",IFERROR(MATCH(D3385,Projects!$A:$A,0),""))</f>
        <v/>
      </c>
    </row>
    <row r="3386" spans="31:32" x14ac:dyDescent="0.25">
      <c r="AE3386" s="39" t="str">
        <f>IF(D3386="","",IFERROR(VLOOKUP(D3386,Projects!$A$2:$A$20000,1,FALSE),""))</f>
        <v/>
      </c>
      <c r="AF3386" s="2" t="str">
        <f>IF(D3386="","",IFERROR(MATCH(D3386,Projects!$A:$A,0),""))</f>
        <v/>
      </c>
    </row>
    <row r="3387" spans="31:32" x14ac:dyDescent="0.25">
      <c r="AE3387" s="39" t="str">
        <f>IF(D3387="","",IFERROR(VLOOKUP(D3387,Projects!$A$2:$A$20000,1,FALSE),""))</f>
        <v/>
      </c>
      <c r="AF3387" s="2" t="str">
        <f>IF(D3387="","",IFERROR(MATCH(D3387,Projects!$A:$A,0),""))</f>
        <v/>
      </c>
    </row>
    <row r="3388" spans="31:32" x14ac:dyDescent="0.25">
      <c r="AE3388" s="39" t="str">
        <f>IF(D3388="","",IFERROR(VLOOKUP(D3388,Projects!$A$2:$A$20000,1,FALSE),""))</f>
        <v/>
      </c>
      <c r="AF3388" s="2" t="str">
        <f>IF(D3388="","",IFERROR(MATCH(D3388,Projects!$A:$A,0),""))</f>
        <v/>
      </c>
    </row>
    <row r="3389" spans="31:32" x14ac:dyDescent="0.25">
      <c r="AE3389" s="39" t="str">
        <f>IF(D3389="","",IFERROR(VLOOKUP(D3389,Projects!$A$2:$A$20000,1,FALSE),""))</f>
        <v/>
      </c>
      <c r="AF3389" s="2" t="str">
        <f>IF(D3389="","",IFERROR(MATCH(D3389,Projects!$A:$A,0),""))</f>
        <v/>
      </c>
    </row>
    <row r="3390" spans="31:32" x14ac:dyDescent="0.25">
      <c r="AE3390" s="39" t="str">
        <f>IF(D3390="","",IFERROR(VLOOKUP(D3390,Projects!$A$2:$A$20000,1,FALSE),""))</f>
        <v/>
      </c>
      <c r="AF3390" s="2" t="str">
        <f>IF(D3390="","",IFERROR(MATCH(D3390,Projects!$A:$A,0),""))</f>
        <v/>
      </c>
    </row>
    <row r="3391" spans="31:32" x14ac:dyDescent="0.25">
      <c r="AE3391" s="39" t="str">
        <f>IF(D3391="","",IFERROR(VLOOKUP(D3391,Projects!$A$2:$A$20000,1,FALSE),""))</f>
        <v/>
      </c>
      <c r="AF3391" s="2" t="str">
        <f>IF(D3391="","",IFERROR(MATCH(D3391,Projects!$A:$A,0),""))</f>
        <v/>
      </c>
    </row>
    <row r="3392" spans="31:32" x14ac:dyDescent="0.25">
      <c r="AE3392" s="39" t="str">
        <f>IF(D3392="","",IFERROR(VLOOKUP(D3392,Projects!$A$2:$A$20000,1,FALSE),""))</f>
        <v/>
      </c>
      <c r="AF3392" s="2" t="str">
        <f>IF(D3392="","",IFERROR(MATCH(D3392,Projects!$A:$A,0),""))</f>
        <v/>
      </c>
    </row>
    <row r="3393" spans="31:32" x14ac:dyDescent="0.25">
      <c r="AE3393" s="39" t="str">
        <f>IF(D3393="","",IFERROR(VLOOKUP(D3393,Projects!$A$2:$A$20000,1,FALSE),""))</f>
        <v/>
      </c>
      <c r="AF3393" s="2" t="str">
        <f>IF(D3393="","",IFERROR(MATCH(D3393,Projects!$A:$A,0),""))</f>
        <v/>
      </c>
    </row>
    <row r="3394" spans="31:32" x14ac:dyDescent="0.25">
      <c r="AE3394" s="39" t="str">
        <f>IF(D3394="","",IFERROR(VLOOKUP(D3394,Projects!$A$2:$A$20000,1,FALSE),""))</f>
        <v/>
      </c>
      <c r="AF3394" s="2" t="str">
        <f>IF(D3394="","",IFERROR(MATCH(D3394,Projects!$A:$A,0),""))</f>
        <v/>
      </c>
    </row>
    <row r="3395" spans="31:32" x14ac:dyDescent="0.25">
      <c r="AE3395" s="39" t="str">
        <f>IF(D3395="","",IFERROR(VLOOKUP(D3395,Projects!$A$2:$A$20000,1,FALSE),""))</f>
        <v/>
      </c>
      <c r="AF3395" s="2" t="str">
        <f>IF(D3395="","",IFERROR(MATCH(D3395,Projects!$A:$A,0),""))</f>
        <v/>
      </c>
    </row>
    <row r="3396" spans="31:32" x14ac:dyDescent="0.25">
      <c r="AE3396" s="39" t="str">
        <f>IF(D3396="","",IFERROR(VLOOKUP(D3396,Projects!$A$2:$A$20000,1,FALSE),""))</f>
        <v/>
      </c>
      <c r="AF3396" s="2" t="str">
        <f>IF(D3396="","",IFERROR(MATCH(D3396,Projects!$A:$A,0),""))</f>
        <v/>
      </c>
    </row>
    <row r="3397" spans="31:32" x14ac:dyDescent="0.25">
      <c r="AE3397" s="39" t="str">
        <f>IF(D3397="","",IFERROR(VLOOKUP(D3397,Projects!$A$2:$A$20000,1,FALSE),""))</f>
        <v/>
      </c>
      <c r="AF3397" s="2" t="str">
        <f>IF(D3397="","",IFERROR(MATCH(D3397,Projects!$A:$A,0),""))</f>
        <v/>
      </c>
    </row>
    <row r="3398" spans="31:32" x14ac:dyDescent="0.25">
      <c r="AE3398" s="39" t="str">
        <f>IF(D3398="","",IFERROR(VLOOKUP(D3398,Projects!$A$2:$A$20000,1,FALSE),""))</f>
        <v/>
      </c>
      <c r="AF3398" s="2" t="str">
        <f>IF(D3398="","",IFERROR(MATCH(D3398,Projects!$A:$A,0),""))</f>
        <v/>
      </c>
    </row>
    <row r="3399" spans="31:32" x14ac:dyDescent="0.25">
      <c r="AE3399" s="39" t="str">
        <f>IF(D3399="","",IFERROR(VLOOKUP(D3399,Projects!$A$2:$A$20000,1,FALSE),""))</f>
        <v/>
      </c>
      <c r="AF3399" s="2" t="str">
        <f>IF(D3399="","",IFERROR(MATCH(D3399,Projects!$A:$A,0),""))</f>
        <v/>
      </c>
    </row>
    <row r="3400" spans="31:32" x14ac:dyDescent="0.25">
      <c r="AE3400" s="39" t="str">
        <f>IF(D3400="","",IFERROR(VLOOKUP(D3400,Projects!$A$2:$A$20000,1,FALSE),""))</f>
        <v/>
      </c>
      <c r="AF3400" s="2" t="str">
        <f>IF(D3400="","",IFERROR(MATCH(D3400,Projects!$A:$A,0),""))</f>
        <v/>
      </c>
    </row>
    <row r="3401" spans="31:32" x14ac:dyDescent="0.25">
      <c r="AE3401" s="39" t="str">
        <f>IF(D3401="","",IFERROR(VLOOKUP(D3401,Projects!$A$2:$A$20000,1,FALSE),""))</f>
        <v/>
      </c>
      <c r="AF3401" s="2" t="str">
        <f>IF(D3401="","",IFERROR(MATCH(D3401,Projects!$A:$A,0),""))</f>
        <v/>
      </c>
    </row>
    <row r="3402" spans="31:32" x14ac:dyDescent="0.25">
      <c r="AE3402" s="39" t="str">
        <f>IF(D3402="","",IFERROR(VLOOKUP(D3402,Projects!$A$2:$A$20000,1,FALSE),""))</f>
        <v/>
      </c>
      <c r="AF3402" s="2" t="str">
        <f>IF(D3402="","",IFERROR(MATCH(D3402,Projects!$A:$A,0),""))</f>
        <v/>
      </c>
    </row>
    <row r="3403" spans="31:32" x14ac:dyDescent="0.25">
      <c r="AE3403" s="39" t="str">
        <f>IF(D3403="","",IFERROR(VLOOKUP(D3403,Projects!$A$2:$A$20000,1,FALSE),""))</f>
        <v/>
      </c>
      <c r="AF3403" s="2" t="str">
        <f>IF(D3403="","",IFERROR(MATCH(D3403,Projects!$A:$A,0),""))</f>
        <v/>
      </c>
    </row>
    <row r="3404" spans="31:32" x14ac:dyDescent="0.25">
      <c r="AE3404" s="39" t="str">
        <f>IF(D3404="","",IFERROR(VLOOKUP(D3404,Projects!$A$2:$A$20000,1,FALSE),""))</f>
        <v/>
      </c>
      <c r="AF3404" s="2" t="str">
        <f>IF(D3404="","",IFERROR(MATCH(D3404,Projects!$A:$A,0),""))</f>
        <v/>
      </c>
    </row>
    <row r="3405" spans="31:32" x14ac:dyDescent="0.25">
      <c r="AE3405" s="39" t="str">
        <f>IF(D3405="","",IFERROR(VLOOKUP(D3405,Projects!$A$2:$A$20000,1,FALSE),""))</f>
        <v/>
      </c>
      <c r="AF3405" s="2" t="str">
        <f>IF(D3405="","",IFERROR(MATCH(D3405,Projects!$A:$A,0),""))</f>
        <v/>
      </c>
    </row>
    <row r="3406" spans="31:32" x14ac:dyDescent="0.25">
      <c r="AE3406" s="39" t="str">
        <f>IF(D3406="","",IFERROR(VLOOKUP(D3406,Projects!$A$2:$A$20000,1,FALSE),""))</f>
        <v/>
      </c>
      <c r="AF3406" s="2" t="str">
        <f>IF(D3406="","",IFERROR(MATCH(D3406,Projects!$A:$A,0),""))</f>
        <v/>
      </c>
    </row>
    <row r="3407" spans="31:32" x14ac:dyDescent="0.25">
      <c r="AE3407" s="39" t="str">
        <f>IF(D3407="","",IFERROR(VLOOKUP(D3407,Projects!$A$2:$A$20000,1,FALSE),""))</f>
        <v/>
      </c>
      <c r="AF3407" s="2" t="str">
        <f>IF(D3407="","",IFERROR(MATCH(D3407,Projects!$A:$A,0),""))</f>
        <v/>
      </c>
    </row>
    <row r="3408" spans="31:32" x14ac:dyDescent="0.25">
      <c r="AE3408" s="39" t="str">
        <f>IF(D3408="","",IFERROR(VLOOKUP(D3408,Projects!$A$2:$A$20000,1,FALSE),""))</f>
        <v/>
      </c>
      <c r="AF3408" s="2" t="str">
        <f>IF(D3408="","",IFERROR(MATCH(D3408,Projects!$A:$A,0),""))</f>
        <v/>
      </c>
    </row>
    <row r="3409" spans="31:32" x14ac:dyDescent="0.25">
      <c r="AE3409" s="39" t="str">
        <f>IF(D3409="","",IFERROR(VLOOKUP(D3409,Projects!$A$2:$A$20000,1,FALSE),""))</f>
        <v/>
      </c>
      <c r="AF3409" s="2" t="str">
        <f>IF(D3409="","",IFERROR(MATCH(D3409,Projects!$A:$A,0),""))</f>
        <v/>
      </c>
    </row>
    <row r="3410" spans="31:32" x14ac:dyDescent="0.25">
      <c r="AE3410" s="39" t="str">
        <f>IF(D3410="","",IFERROR(VLOOKUP(D3410,Projects!$A$2:$A$20000,1,FALSE),""))</f>
        <v/>
      </c>
      <c r="AF3410" s="2" t="str">
        <f>IF(D3410="","",IFERROR(MATCH(D3410,Projects!$A:$A,0),""))</f>
        <v/>
      </c>
    </row>
    <row r="3411" spans="31:32" x14ac:dyDescent="0.25">
      <c r="AE3411" s="39" t="str">
        <f>IF(D3411="","",IFERROR(VLOOKUP(D3411,Projects!$A$2:$A$20000,1,FALSE),""))</f>
        <v/>
      </c>
      <c r="AF3411" s="2" t="str">
        <f>IF(D3411="","",IFERROR(MATCH(D3411,Projects!$A:$A,0),""))</f>
        <v/>
      </c>
    </row>
    <row r="3412" spans="31:32" x14ac:dyDescent="0.25">
      <c r="AE3412" s="39" t="str">
        <f>IF(D3412="","",IFERROR(VLOOKUP(D3412,Projects!$A$2:$A$20000,1,FALSE),""))</f>
        <v/>
      </c>
      <c r="AF3412" s="2" t="str">
        <f>IF(D3412="","",IFERROR(MATCH(D3412,Projects!$A:$A,0),""))</f>
        <v/>
      </c>
    </row>
    <row r="3413" spans="31:32" x14ac:dyDescent="0.25">
      <c r="AE3413" s="39" t="str">
        <f>IF(D3413="","",IFERROR(VLOOKUP(D3413,Projects!$A$2:$A$20000,1,FALSE),""))</f>
        <v/>
      </c>
      <c r="AF3413" s="2" t="str">
        <f>IF(D3413="","",IFERROR(MATCH(D3413,Projects!$A:$A,0),""))</f>
        <v/>
      </c>
    </row>
    <row r="3414" spans="31:32" x14ac:dyDescent="0.25">
      <c r="AE3414" s="39" t="str">
        <f>IF(D3414="","",IFERROR(VLOOKUP(D3414,Projects!$A$2:$A$20000,1,FALSE),""))</f>
        <v/>
      </c>
      <c r="AF3414" s="2" t="str">
        <f>IF(D3414="","",IFERROR(MATCH(D3414,Projects!$A:$A,0),""))</f>
        <v/>
      </c>
    </row>
    <row r="3415" spans="31:32" x14ac:dyDescent="0.25">
      <c r="AE3415" s="39" t="str">
        <f>IF(D3415="","",IFERROR(VLOOKUP(D3415,Projects!$A$2:$A$20000,1,FALSE),""))</f>
        <v/>
      </c>
      <c r="AF3415" s="2" t="str">
        <f>IF(D3415="","",IFERROR(MATCH(D3415,Projects!$A:$A,0),""))</f>
        <v/>
      </c>
    </row>
    <row r="3416" spans="31:32" x14ac:dyDescent="0.25">
      <c r="AE3416" s="39" t="str">
        <f>IF(D3416="","",IFERROR(VLOOKUP(D3416,Projects!$A$2:$A$20000,1,FALSE),""))</f>
        <v/>
      </c>
      <c r="AF3416" s="2" t="str">
        <f>IF(D3416="","",IFERROR(MATCH(D3416,Projects!$A:$A,0),""))</f>
        <v/>
      </c>
    </row>
    <row r="3417" spans="31:32" x14ac:dyDescent="0.25">
      <c r="AE3417" s="39" t="str">
        <f>IF(D3417="","",IFERROR(VLOOKUP(D3417,Projects!$A$2:$A$20000,1,FALSE),""))</f>
        <v/>
      </c>
      <c r="AF3417" s="2" t="str">
        <f>IF(D3417="","",IFERROR(MATCH(D3417,Projects!$A:$A,0),""))</f>
        <v/>
      </c>
    </row>
    <row r="3418" spans="31:32" x14ac:dyDescent="0.25">
      <c r="AE3418" s="39" t="str">
        <f>IF(D3418="","",IFERROR(VLOOKUP(D3418,Projects!$A$2:$A$20000,1,FALSE),""))</f>
        <v/>
      </c>
      <c r="AF3418" s="2" t="str">
        <f>IF(D3418="","",IFERROR(MATCH(D3418,Projects!$A:$A,0),""))</f>
        <v/>
      </c>
    </row>
    <row r="3419" spans="31:32" x14ac:dyDescent="0.25">
      <c r="AE3419" s="39" t="str">
        <f>IF(D3419="","",IFERROR(VLOOKUP(D3419,Projects!$A$2:$A$20000,1,FALSE),""))</f>
        <v/>
      </c>
      <c r="AF3419" s="2" t="str">
        <f>IF(D3419="","",IFERROR(MATCH(D3419,Projects!$A:$A,0),""))</f>
        <v/>
      </c>
    </row>
    <row r="3420" spans="31:32" x14ac:dyDescent="0.25">
      <c r="AE3420" s="39" t="str">
        <f>IF(D3420="","",IFERROR(VLOOKUP(D3420,Projects!$A$2:$A$20000,1,FALSE),""))</f>
        <v/>
      </c>
      <c r="AF3420" s="2" t="str">
        <f>IF(D3420="","",IFERROR(MATCH(D3420,Projects!$A:$A,0),""))</f>
        <v/>
      </c>
    </row>
    <row r="3421" spans="31:32" x14ac:dyDescent="0.25">
      <c r="AE3421" s="39" t="str">
        <f>IF(D3421="","",IFERROR(VLOOKUP(D3421,Projects!$A$2:$A$20000,1,FALSE),""))</f>
        <v/>
      </c>
      <c r="AF3421" s="2" t="str">
        <f>IF(D3421="","",IFERROR(MATCH(D3421,Projects!$A:$A,0),""))</f>
        <v/>
      </c>
    </row>
    <row r="3422" spans="31:32" x14ac:dyDescent="0.25">
      <c r="AE3422" s="39" t="str">
        <f>IF(D3422="","",IFERROR(VLOOKUP(D3422,Projects!$A$2:$A$20000,1,FALSE),""))</f>
        <v/>
      </c>
      <c r="AF3422" s="2" t="str">
        <f>IF(D3422="","",IFERROR(MATCH(D3422,Projects!$A:$A,0),""))</f>
        <v/>
      </c>
    </row>
    <row r="3423" spans="31:32" x14ac:dyDescent="0.25">
      <c r="AE3423" s="39" t="str">
        <f>IF(D3423="","",IFERROR(VLOOKUP(D3423,Projects!$A$2:$A$20000,1,FALSE),""))</f>
        <v/>
      </c>
      <c r="AF3423" s="2" t="str">
        <f>IF(D3423="","",IFERROR(MATCH(D3423,Projects!$A:$A,0),""))</f>
        <v/>
      </c>
    </row>
    <row r="3424" spans="31:32" x14ac:dyDescent="0.25">
      <c r="AE3424" s="39" t="str">
        <f>IF(D3424="","",IFERROR(VLOOKUP(D3424,Projects!$A$2:$A$20000,1,FALSE),""))</f>
        <v/>
      </c>
      <c r="AF3424" s="2" t="str">
        <f>IF(D3424="","",IFERROR(MATCH(D3424,Projects!$A:$A,0),""))</f>
        <v/>
      </c>
    </row>
    <row r="3425" spans="31:32" x14ac:dyDescent="0.25">
      <c r="AE3425" s="39" t="str">
        <f>IF(D3425="","",IFERROR(VLOOKUP(D3425,Projects!$A$2:$A$20000,1,FALSE),""))</f>
        <v/>
      </c>
      <c r="AF3425" s="2" t="str">
        <f>IF(D3425="","",IFERROR(MATCH(D3425,Projects!$A:$A,0),""))</f>
        <v/>
      </c>
    </row>
    <row r="3426" spans="31:32" x14ac:dyDescent="0.25">
      <c r="AE3426" s="39" t="str">
        <f>IF(D3426="","",IFERROR(VLOOKUP(D3426,Projects!$A$2:$A$20000,1,FALSE),""))</f>
        <v/>
      </c>
      <c r="AF3426" s="2" t="str">
        <f>IF(D3426="","",IFERROR(MATCH(D3426,Projects!$A:$A,0),""))</f>
        <v/>
      </c>
    </row>
    <row r="3427" spans="31:32" x14ac:dyDescent="0.25">
      <c r="AE3427" s="39" t="str">
        <f>IF(D3427="","",IFERROR(VLOOKUP(D3427,Projects!$A$2:$A$20000,1,FALSE),""))</f>
        <v/>
      </c>
      <c r="AF3427" s="2" t="str">
        <f>IF(D3427="","",IFERROR(MATCH(D3427,Projects!$A:$A,0),""))</f>
        <v/>
      </c>
    </row>
    <row r="3428" spans="31:32" x14ac:dyDescent="0.25">
      <c r="AE3428" s="39" t="str">
        <f>IF(D3428="","",IFERROR(VLOOKUP(D3428,Projects!$A$2:$A$20000,1,FALSE),""))</f>
        <v/>
      </c>
      <c r="AF3428" s="2" t="str">
        <f>IF(D3428="","",IFERROR(MATCH(D3428,Projects!$A:$A,0),""))</f>
        <v/>
      </c>
    </row>
    <row r="3429" spans="31:32" x14ac:dyDescent="0.25">
      <c r="AE3429" s="39" t="str">
        <f>IF(D3429="","",IFERROR(VLOOKUP(D3429,Projects!$A$2:$A$20000,1,FALSE),""))</f>
        <v/>
      </c>
      <c r="AF3429" s="2" t="str">
        <f>IF(D3429="","",IFERROR(MATCH(D3429,Projects!$A:$A,0),""))</f>
        <v/>
      </c>
    </row>
    <row r="3430" spans="31:32" x14ac:dyDescent="0.25">
      <c r="AE3430" s="39" t="str">
        <f>IF(D3430="","",IFERROR(VLOOKUP(D3430,Projects!$A$2:$A$20000,1,FALSE),""))</f>
        <v/>
      </c>
      <c r="AF3430" s="2" t="str">
        <f>IF(D3430="","",IFERROR(MATCH(D3430,Projects!$A:$A,0),""))</f>
        <v/>
      </c>
    </row>
    <row r="3431" spans="31:32" x14ac:dyDescent="0.25">
      <c r="AE3431" s="39" t="str">
        <f>IF(D3431="","",IFERROR(VLOOKUP(D3431,Projects!$A$2:$A$20000,1,FALSE),""))</f>
        <v/>
      </c>
      <c r="AF3431" s="2" t="str">
        <f>IF(D3431="","",IFERROR(MATCH(D3431,Projects!$A:$A,0),""))</f>
        <v/>
      </c>
    </row>
    <row r="3432" spans="31:32" x14ac:dyDescent="0.25">
      <c r="AE3432" s="39" t="str">
        <f>IF(D3432="","",IFERROR(VLOOKUP(D3432,Projects!$A$2:$A$20000,1,FALSE),""))</f>
        <v/>
      </c>
      <c r="AF3432" s="2" t="str">
        <f>IF(D3432="","",IFERROR(MATCH(D3432,Projects!$A:$A,0),""))</f>
        <v/>
      </c>
    </row>
    <row r="3433" spans="31:32" x14ac:dyDescent="0.25">
      <c r="AE3433" s="39" t="str">
        <f>IF(D3433="","",IFERROR(VLOOKUP(D3433,Projects!$A$2:$A$20000,1,FALSE),""))</f>
        <v/>
      </c>
      <c r="AF3433" s="2" t="str">
        <f>IF(D3433="","",IFERROR(MATCH(D3433,Projects!$A:$A,0),""))</f>
        <v/>
      </c>
    </row>
    <row r="3434" spans="31:32" x14ac:dyDescent="0.25">
      <c r="AE3434" s="39" t="str">
        <f>IF(D3434="","",IFERROR(VLOOKUP(D3434,Projects!$A$2:$A$20000,1,FALSE),""))</f>
        <v/>
      </c>
      <c r="AF3434" s="2" t="str">
        <f>IF(D3434="","",IFERROR(MATCH(D3434,Projects!$A:$A,0),""))</f>
        <v/>
      </c>
    </row>
    <row r="3435" spans="31:32" x14ac:dyDescent="0.25">
      <c r="AE3435" s="39" t="str">
        <f>IF(D3435="","",IFERROR(VLOOKUP(D3435,Projects!$A$2:$A$20000,1,FALSE),""))</f>
        <v/>
      </c>
      <c r="AF3435" s="2" t="str">
        <f>IF(D3435="","",IFERROR(MATCH(D3435,Projects!$A:$A,0),""))</f>
        <v/>
      </c>
    </row>
    <row r="3436" spans="31:32" x14ac:dyDescent="0.25">
      <c r="AE3436" s="39" t="str">
        <f>IF(D3436="","",IFERROR(VLOOKUP(D3436,Projects!$A$2:$A$20000,1,FALSE),""))</f>
        <v/>
      </c>
      <c r="AF3436" s="2" t="str">
        <f>IF(D3436="","",IFERROR(MATCH(D3436,Projects!$A:$A,0),""))</f>
        <v/>
      </c>
    </row>
    <row r="3437" spans="31:32" x14ac:dyDescent="0.25">
      <c r="AE3437" s="39" t="str">
        <f>IF(D3437="","",IFERROR(VLOOKUP(D3437,Projects!$A$2:$A$20000,1,FALSE),""))</f>
        <v/>
      </c>
      <c r="AF3437" s="2" t="str">
        <f>IF(D3437="","",IFERROR(MATCH(D3437,Projects!$A:$A,0),""))</f>
        <v/>
      </c>
    </row>
    <row r="3438" spans="31:32" x14ac:dyDescent="0.25">
      <c r="AE3438" s="39" t="str">
        <f>IF(D3438="","",IFERROR(VLOOKUP(D3438,Projects!$A$2:$A$20000,1,FALSE),""))</f>
        <v/>
      </c>
      <c r="AF3438" s="2" t="str">
        <f>IF(D3438="","",IFERROR(MATCH(D3438,Projects!$A:$A,0),""))</f>
        <v/>
      </c>
    </row>
    <row r="3439" spans="31:32" x14ac:dyDescent="0.25">
      <c r="AE3439" s="39" t="str">
        <f>IF(D3439="","",IFERROR(VLOOKUP(D3439,Projects!$A$2:$A$20000,1,FALSE),""))</f>
        <v/>
      </c>
      <c r="AF3439" s="2" t="str">
        <f>IF(D3439="","",IFERROR(MATCH(D3439,Projects!$A:$A,0),""))</f>
        <v/>
      </c>
    </row>
    <row r="3440" spans="31:32" x14ac:dyDescent="0.25">
      <c r="AE3440" s="39" t="str">
        <f>IF(D3440="","",IFERROR(VLOOKUP(D3440,Projects!$A$2:$A$20000,1,FALSE),""))</f>
        <v/>
      </c>
      <c r="AF3440" s="2" t="str">
        <f>IF(D3440="","",IFERROR(MATCH(D3440,Projects!$A:$A,0),""))</f>
        <v/>
      </c>
    </row>
    <row r="3441" spans="31:32" x14ac:dyDescent="0.25">
      <c r="AE3441" s="39" t="str">
        <f>IF(D3441="","",IFERROR(VLOOKUP(D3441,Projects!$A$2:$A$20000,1,FALSE),""))</f>
        <v/>
      </c>
      <c r="AF3441" s="2" t="str">
        <f>IF(D3441="","",IFERROR(MATCH(D3441,Projects!$A:$A,0),""))</f>
        <v/>
      </c>
    </row>
    <row r="3442" spans="31:32" x14ac:dyDescent="0.25">
      <c r="AE3442" s="39" t="str">
        <f>IF(D3442="","",IFERROR(VLOOKUP(D3442,Projects!$A$2:$A$20000,1,FALSE),""))</f>
        <v/>
      </c>
      <c r="AF3442" s="2" t="str">
        <f>IF(D3442="","",IFERROR(MATCH(D3442,Projects!$A:$A,0),""))</f>
        <v/>
      </c>
    </row>
    <row r="3443" spans="31:32" x14ac:dyDescent="0.25">
      <c r="AE3443" s="39" t="str">
        <f>IF(D3443="","",IFERROR(VLOOKUP(D3443,Projects!$A$2:$A$20000,1,FALSE),""))</f>
        <v/>
      </c>
      <c r="AF3443" s="2" t="str">
        <f>IF(D3443="","",IFERROR(MATCH(D3443,Projects!$A:$A,0),""))</f>
        <v/>
      </c>
    </row>
    <row r="3444" spans="31:32" x14ac:dyDescent="0.25">
      <c r="AE3444" s="39" t="str">
        <f>IF(D3444="","",IFERROR(VLOOKUP(D3444,Projects!$A$2:$A$20000,1,FALSE),""))</f>
        <v/>
      </c>
      <c r="AF3444" s="2" t="str">
        <f>IF(D3444="","",IFERROR(MATCH(D3444,Projects!$A:$A,0),""))</f>
        <v/>
      </c>
    </row>
    <row r="3445" spans="31:32" x14ac:dyDescent="0.25">
      <c r="AE3445" s="39" t="str">
        <f>IF(D3445="","",IFERROR(VLOOKUP(D3445,Projects!$A$2:$A$20000,1,FALSE),""))</f>
        <v/>
      </c>
      <c r="AF3445" s="2" t="str">
        <f>IF(D3445="","",IFERROR(MATCH(D3445,Projects!$A:$A,0),""))</f>
        <v/>
      </c>
    </row>
    <row r="3446" spans="31:32" x14ac:dyDescent="0.25">
      <c r="AE3446" s="39" t="str">
        <f>IF(D3446="","",IFERROR(VLOOKUP(D3446,Projects!$A$2:$A$20000,1,FALSE),""))</f>
        <v/>
      </c>
      <c r="AF3446" s="2" t="str">
        <f>IF(D3446="","",IFERROR(MATCH(D3446,Projects!$A:$A,0),""))</f>
        <v/>
      </c>
    </row>
    <row r="3447" spans="31:32" x14ac:dyDescent="0.25">
      <c r="AE3447" s="39" t="str">
        <f>IF(D3447="","",IFERROR(VLOOKUP(D3447,Projects!$A$2:$A$20000,1,FALSE),""))</f>
        <v/>
      </c>
      <c r="AF3447" s="2" t="str">
        <f>IF(D3447="","",IFERROR(MATCH(D3447,Projects!$A:$A,0),""))</f>
        <v/>
      </c>
    </row>
    <row r="3448" spans="31:32" x14ac:dyDescent="0.25">
      <c r="AE3448" s="39" t="str">
        <f>IF(D3448="","",IFERROR(VLOOKUP(D3448,Projects!$A$2:$A$20000,1,FALSE),""))</f>
        <v/>
      </c>
      <c r="AF3448" s="2" t="str">
        <f>IF(D3448="","",IFERROR(MATCH(D3448,Projects!$A:$A,0),""))</f>
        <v/>
      </c>
    </row>
    <row r="3449" spans="31:32" x14ac:dyDescent="0.25">
      <c r="AE3449" s="39" t="str">
        <f>IF(D3449="","",IFERROR(VLOOKUP(D3449,Projects!$A$2:$A$20000,1,FALSE),""))</f>
        <v/>
      </c>
      <c r="AF3449" s="2" t="str">
        <f>IF(D3449="","",IFERROR(MATCH(D3449,Projects!$A:$A,0),""))</f>
        <v/>
      </c>
    </row>
    <row r="3450" spans="31:32" x14ac:dyDescent="0.25">
      <c r="AE3450" s="39" t="str">
        <f>IF(D3450="","",IFERROR(VLOOKUP(D3450,Projects!$A$2:$A$20000,1,FALSE),""))</f>
        <v/>
      </c>
      <c r="AF3450" s="2" t="str">
        <f>IF(D3450="","",IFERROR(MATCH(D3450,Projects!$A:$A,0),""))</f>
        <v/>
      </c>
    </row>
    <row r="3451" spans="31:32" x14ac:dyDescent="0.25">
      <c r="AE3451" s="39" t="str">
        <f>IF(D3451="","",IFERROR(VLOOKUP(D3451,Projects!$A$2:$A$20000,1,FALSE),""))</f>
        <v/>
      </c>
      <c r="AF3451" s="2" t="str">
        <f>IF(D3451="","",IFERROR(MATCH(D3451,Projects!$A:$A,0),""))</f>
        <v/>
      </c>
    </row>
    <row r="3452" spans="31:32" x14ac:dyDescent="0.25">
      <c r="AE3452" s="39" t="str">
        <f>IF(D3452="","",IFERROR(VLOOKUP(D3452,Projects!$A$2:$A$20000,1,FALSE),""))</f>
        <v/>
      </c>
      <c r="AF3452" s="2" t="str">
        <f>IF(D3452="","",IFERROR(MATCH(D3452,Projects!$A:$A,0),""))</f>
        <v/>
      </c>
    </row>
    <row r="3453" spans="31:32" x14ac:dyDescent="0.25">
      <c r="AE3453" s="39" t="str">
        <f>IF(D3453="","",IFERROR(VLOOKUP(D3453,Projects!$A$2:$A$20000,1,FALSE),""))</f>
        <v/>
      </c>
      <c r="AF3453" s="2" t="str">
        <f>IF(D3453="","",IFERROR(MATCH(D3453,Projects!$A:$A,0),""))</f>
        <v/>
      </c>
    </row>
    <row r="3454" spans="31:32" x14ac:dyDescent="0.25">
      <c r="AE3454" s="39" t="str">
        <f>IF(D3454="","",IFERROR(VLOOKUP(D3454,Projects!$A$2:$A$20000,1,FALSE),""))</f>
        <v/>
      </c>
      <c r="AF3454" s="2" t="str">
        <f>IF(D3454="","",IFERROR(MATCH(D3454,Projects!$A:$A,0),""))</f>
        <v/>
      </c>
    </row>
    <row r="3455" spans="31:32" x14ac:dyDescent="0.25">
      <c r="AE3455" s="39" t="str">
        <f>IF(D3455="","",IFERROR(VLOOKUP(D3455,Projects!$A$2:$A$20000,1,FALSE),""))</f>
        <v/>
      </c>
      <c r="AF3455" s="2" t="str">
        <f>IF(D3455="","",IFERROR(MATCH(D3455,Projects!$A:$A,0),""))</f>
        <v/>
      </c>
    </row>
    <row r="3456" spans="31:32" x14ac:dyDescent="0.25">
      <c r="AE3456" s="39" t="str">
        <f>IF(D3456="","",IFERROR(VLOOKUP(D3456,Projects!$A$2:$A$20000,1,FALSE),""))</f>
        <v/>
      </c>
      <c r="AF3456" s="2" t="str">
        <f>IF(D3456="","",IFERROR(MATCH(D3456,Projects!$A:$A,0),""))</f>
        <v/>
      </c>
    </row>
    <row r="3457" spans="31:32" x14ac:dyDescent="0.25">
      <c r="AE3457" s="39" t="str">
        <f>IF(D3457="","",IFERROR(VLOOKUP(D3457,Projects!$A$2:$A$20000,1,FALSE),""))</f>
        <v/>
      </c>
      <c r="AF3457" s="2" t="str">
        <f>IF(D3457="","",IFERROR(MATCH(D3457,Projects!$A:$A,0),""))</f>
        <v/>
      </c>
    </row>
    <row r="3458" spans="31:32" x14ac:dyDescent="0.25">
      <c r="AE3458" s="39" t="str">
        <f>IF(D3458="","",IFERROR(VLOOKUP(D3458,Projects!$A$2:$A$20000,1,FALSE),""))</f>
        <v/>
      </c>
      <c r="AF3458" s="2" t="str">
        <f>IF(D3458="","",IFERROR(MATCH(D3458,Projects!$A:$A,0),""))</f>
        <v/>
      </c>
    </row>
    <row r="3459" spans="31:32" x14ac:dyDescent="0.25">
      <c r="AE3459" s="39" t="str">
        <f>IF(D3459="","",IFERROR(VLOOKUP(D3459,Projects!$A$2:$A$20000,1,FALSE),""))</f>
        <v/>
      </c>
      <c r="AF3459" s="2" t="str">
        <f>IF(D3459="","",IFERROR(MATCH(D3459,Projects!$A:$A,0),""))</f>
        <v/>
      </c>
    </row>
    <row r="3460" spans="31:32" x14ac:dyDescent="0.25">
      <c r="AE3460" s="39" t="str">
        <f>IF(D3460="","",IFERROR(VLOOKUP(D3460,Projects!$A$2:$A$20000,1,FALSE),""))</f>
        <v/>
      </c>
      <c r="AF3460" s="2" t="str">
        <f>IF(D3460="","",IFERROR(MATCH(D3460,Projects!$A:$A,0),""))</f>
        <v/>
      </c>
    </row>
    <row r="3461" spans="31:32" x14ac:dyDescent="0.25">
      <c r="AE3461" s="39" t="str">
        <f>IF(D3461="","",IFERROR(VLOOKUP(D3461,Projects!$A$2:$A$20000,1,FALSE),""))</f>
        <v/>
      </c>
      <c r="AF3461" s="2" t="str">
        <f>IF(D3461="","",IFERROR(MATCH(D3461,Projects!$A:$A,0),""))</f>
        <v/>
      </c>
    </row>
    <row r="3462" spans="31:32" x14ac:dyDescent="0.25">
      <c r="AE3462" s="39" t="str">
        <f>IF(D3462="","",IFERROR(VLOOKUP(D3462,Projects!$A$2:$A$20000,1,FALSE),""))</f>
        <v/>
      </c>
      <c r="AF3462" s="2" t="str">
        <f>IF(D3462="","",IFERROR(MATCH(D3462,Projects!$A:$A,0),""))</f>
        <v/>
      </c>
    </row>
    <row r="3463" spans="31:32" x14ac:dyDescent="0.25">
      <c r="AE3463" s="39" t="str">
        <f>IF(D3463="","",IFERROR(VLOOKUP(D3463,Projects!$A$2:$A$20000,1,FALSE),""))</f>
        <v/>
      </c>
      <c r="AF3463" s="2" t="str">
        <f>IF(D3463="","",IFERROR(MATCH(D3463,Projects!$A:$A,0),""))</f>
        <v/>
      </c>
    </row>
    <row r="3464" spans="31:32" x14ac:dyDescent="0.25">
      <c r="AE3464" s="39" t="str">
        <f>IF(D3464="","",IFERROR(VLOOKUP(D3464,Projects!$A$2:$A$20000,1,FALSE),""))</f>
        <v/>
      </c>
      <c r="AF3464" s="2" t="str">
        <f>IF(D3464="","",IFERROR(MATCH(D3464,Projects!$A:$A,0),""))</f>
        <v/>
      </c>
    </row>
    <row r="3465" spans="31:32" x14ac:dyDescent="0.25">
      <c r="AE3465" s="39" t="str">
        <f>IF(D3465="","",IFERROR(VLOOKUP(D3465,Projects!$A$2:$A$20000,1,FALSE),""))</f>
        <v/>
      </c>
      <c r="AF3465" s="2" t="str">
        <f>IF(D3465="","",IFERROR(MATCH(D3465,Projects!$A:$A,0),""))</f>
        <v/>
      </c>
    </row>
    <row r="3466" spans="31:32" x14ac:dyDescent="0.25">
      <c r="AE3466" s="39" t="str">
        <f>IF(D3466="","",IFERROR(VLOOKUP(D3466,Projects!$A$2:$A$20000,1,FALSE),""))</f>
        <v/>
      </c>
      <c r="AF3466" s="2" t="str">
        <f>IF(D3466="","",IFERROR(MATCH(D3466,Projects!$A:$A,0),""))</f>
        <v/>
      </c>
    </row>
    <row r="3467" spans="31:32" x14ac:dyDescent="0.25">
      <c r="AE3467" s="39" t="str">
        <f>IF(D3467="","",IFERROR(VLOOKUP(D3467,Projects!$A$2:$A$20000,1,FALSE),""))</f>
        <v/>
      </c>
      <c r="AF3467" s="2" t="str">
        <f>IF(D3467="","",IFERROR(MATCH(D3467,Projects!$A:$A,0),""))</f>
        <v/>
      </c>
    </row>
    <row r="3468" spans="31:32" x14ac:dyDescent="0.25">
      <c r="AE3468" s="39" t="str">
        <f>IF(D3468="","",IFERROR(VLOOKUP(D3468,Projects!$A$2:$A$20000,1,FALSE),""))</f>
        <v/>
      </c>
      <c r="AF3468" s="2" t="str">
        <f>IF(D3468="","",IFERROR(MATCH(D3468,Projects!$A:$A,0),""))</f>
        <v/>
      </c>
    </row>
    <row r="3469" spans="31:32" x14ac:dyDescent="0.25">
      <c r="AE3469" s="39" t="str">
        <f>IF(D3469="","",IFERROR(VLOOKUP(D3469,Projects!$A$2:$A$20000,1,FALSE),""))</f>
        <v/>
      </c>
      <c r="AF3469" s="2" t="str">
        <f>IF(D3469="","",IFERROR(MATCH(D3469,Projects!$A:$A,0),""))</f>
        <v/>
      </c>
    </row>
    <row r="3470" spans="31:32" x14ac:dyDescent="0.25">
      <c r="AE3470" s="39" t="str">
        <f>IF(D3470="","",IFERROR(VLOOKUP(D3470,Projects!$A$2:$A$20000,1,FALSE),""))</f>
        <v/>
      </c>
      <c r="AF3470" s="2" t="str">
        <f>IF(D3470="","",IFERROR(MATCH(D3470,Projects!$A:$A,0),""))</f>
        <v/>
      </c>
    </row>
    <row r="3471" spans="31:32" x14ac:dyDescent="0.25">
      <c r="AE3471" s="39" t="str">
        <f>IF(D3471="","",IFERROR(VLOOKUP(D3471,Projects!$A$2:$A$20000,1,FALSE),""))</f>
        <v/>
      </c>
      <c r="AF3471" s="2" t="str">
        <f>IF(D3471="","",IFERROR(MATCH(D3471,Projects!$A:$A,0),""))</f>
        <v/>
      </c>
    </row>
    <row r="3472" spans="31:32" x14ac:dyDescent="0.25">
      <c r="AE3472" s="39" t="str">
        <f>IF(D3472="","",IFERROR(VLOOKUP(D3472,Projects!$A$2:$A$20000,1,FALSE),""))</f>
        <v/>
      </c>
      <c r="AF3472" s="2" t="str">
        <f>IF(D3472="","",IFERROR(MATCH(D3472,Projects!$A:$A,0),""))</f>
        <v/>
      </c>
    </row>
    <row r="3473" spans="31:32" x14ac:dyDescent="0.25">
      <c r="AE3473" s="39" t="str">
        <f>IF(D3473="","",IFERROR(VLOOKUP(D3473,Projects!$A$2:$A$20000,1,FALSE),""))</f>
        <v/>
      </c>
      <c r="AF3473" s="2" t="str">
        <f>IF(D3473="","",IFERROR(MATCH(D3473,Projects!$A:$A,0),""))</f>
        <v/>
      </c>
    </row>
    <row r="3474" spans="31:32" x14ac:dyDescent="0.25">
      <c r="AE3474" s="39" t="str">
        <f>IF(D3474="","",IFERROR(VLOOKUP(D3474,Projects!$A$2:$A$20000,1,FALSE),""))</f>
        <v/>
      </c>
      <c r="AF3474" s="2" t="str">
        <f>IF(D3474="","",IFERROR(MATCH(D3474,Projects!$A:$A,0),""))</f>
        <v/>
      </c>
    </row>
    <row r="3475" spans="31:32" x14ac:dyDescent="0.25">
      <c r="AE3475" s="39" t="str">
        <f>IF(D3475="","",IFERROR(VLOOKUP(D3475,Projects!$A$2:$A$20000,1,FALSE),""))</f>
        <v/>
      </c>
      <c r="AF3475" s="2" t="str">
        <f>IF(D3475="","",IFERROR(MATCH(D3475,Projects!$A:$A,0),""))</f>
        <v/>
      </c>
    </row>
    <row r="3476" spans="31:32" x14ac:dyDescent="0.25">
      <c r="AE3476" s="39" t="str">
        <f>IF(D3476="","",IFERROR(VLOOKUP(D3476,Projects!$A$2:$A$20000,1,FALSE),""))</f>
        <v/>
      </c>
      <c r="AF3476" s="2" t="str">
        <f>IF(D3476="","",IFERROR(MATCH(D3476,Projects!$A:$A,0),""))</f>
        <v/>
      </c>
    </row>
    <row r="3477" spans="31:32" x14ac:dyDescent="0.25">
      <c r="AE3477" s="39" t="str">
        <f>IF(D3477="","",IFERROR(VLOOKUP(D3477,Projects!$A$2:$A$20000,1,FALSE),""))</f>
        <v/>
      </c>
      <c r="AF3477" s="2" t="str">
        <f>IF(D3477="","",IFERROR(MATCH(D3477,Projects!$A:$A,0),""))</f>
        <v/>
      </c>
    </row>
    <row r="3478" spans="31:32" x14ac:dyDescent="0.25">
      <c r="AE3478" s="39" t="str">
        <f>IF(D3478="","",IFERROR(VLOOKUP(D3478,Projects!$A$2:$A$20000,1,FALSE),""))</f>
        <v/>
      </c>
      <c r="AF3478" s="2" t="str">
        <f>IF(D3478="","",IFERROR(MATCH(D3478,Projects!$A:$A,0),""))</f>
        <v/>
      </c>
    </row>
    <row r="3479" spans="31:32" x14ac:dyDescent="0.25">
      <c r="AE3479" s="39" t="str">
        <f>IF(D3479="","",IFERROR(VLOOKUP(D3479,Projects!$A$2:$A$20000,1,FALSE),""))</f>
        <v/>
      </c>
      <c r="AF3479" s="2" t="str">
        <f>IF(D3479="","",IFERROR(MATCH(D3479,Projects!$A:$A,0),""))</f>
        <v/>
      </c>
    </row>
    <row r="3480" spans="31:32" x14ac:dyDescent="0.25">
      <c r="AE3480" s="39" t="str">
        <f>IF(D3480="","",IFERROR(VLOOKUP(D3480,Projects!$A$2:$A$20000,1,FALSE),""))</f>
        <v/>
      </c>
      <c r="AF3480" s="2" t="str">
        <f>IF(D3480="","",IFERROR(MATCH(D3480,Projects!$A:$A,0),""))</f>
        <v/>
      </c>
    </row>
    <row r="3481" spans="31:32" x14ac:dyDescent="0.25">
      <c r="AE3481" s="39" t="str">
        <f>IF(D3481="","",IFERROR(VLOOKUP(D3481,Projects!$A$2:$A$20000,1,FALSE),""))</f>
        <v/>
      </c>
      <c r="AF3481" s="2" t="str">
        <f>IF(D3481="","",IFERROR(MATCH(D3481,Projects!$A:$A,0),""))</f>
        <v/>
      </c>
    </row>
    <row r="3482" spans="31:32" x14ac:dyDescent="0.25">
      <c r="AE3482" s="39" t="str">
        <f>IF(D3482="","",IFERROR(VLOOKUP(D3482,Projects!$A$2:$A$20000,1,FALSE),""))</f>
        <v/>
      </c>
      <c r="AF3482" s="2" t="str">
        <f>IF(D3482="","",IFERROR(MATCH(D3482,Projects!$A:$A,0),""))</f>
        <v/>
      </c>
    </row>
    <row r="3483" spans="31:32" x14ac:dyDescent="0.25">
      <c r="AE3483" s="39" t="str">
        <f>IF(D3483="","",IFERROR(VLOOKUP(D3483,Projects!$A$2:$A$20000,1,FALSE),""))</f>
        <v/>
      </c>
      <c r="AF3483" s="2" t="str">
        <f>IF(D3483="","",IFERROR(MATCH(D3483,Projects!$A:$A,0),""))</f>
        <v/>
      </c>
    </row>
    <row r="3484" spans="31:32" x14ac:dyDescent="0.25">
      <c r="AE3484" s="39" t="str">
        <f>IF(D3484="","",IFERROR(VLOOKUP(D3484,Projects!$A$2:$A$20000,1,FALSE),""))</f>
        <v/>
      </c>
      <c r="AF3484" s="2" t="str">
        <f>IF(D3484="","",IFERROR(MATCH(D3484,Projects!$A:$A,0),""))</f>
        <v/>
      </c>
    </row>
    <row r="3485" spans="31:32" x14ac:dyDescent="0.25">
      <c r="AE3485" s="39" t="str">
        <f>IF(D3485="","",IFERROR(VLOOKUP(D3485,Projects!$A$2:$A$20000,1,FALSE),""))</f>
        <v/>
      </c>
      <c r="AF3485" s="2" t="str">
        <f>IF(D3485="","",IFERROR(MATCH(D3485,Projects!$A:$A,0),""))</f>
        <v/>
      </c>
    </row>
    <row r="3486" spans="31:32" x14ac:dyDescent="0.25">
      <c r="AE3486" s="39" t="str">
        <f>IF(D3486="","",IFERROR(VLOOKUP(D3486,Projects!$A$2:$A$20000,1,FALSE),""))</f>
        <v/>
      </c>
      <c r="AF3486" s="2" t="str">
        <f>IF(D3486="","",IFERROR(MATCH(D3486,Projects!$A:$A,0),""))</f>
        <v/>
      </c>
    </row>
    <row r="3487" spans="31:32" x14ac:dyDescent="0.25">
      <c r="AE3487" s="39" t="str">
        <f>IF(D3487="","",IFERROR(VLOOKUP(D3487,Projects!$A$2:$A$20000,1,FALSE),""))</f>
        <v/>
      </c>
      <c r="AF3487" s="2" t="str">
        <f>IF(D3487="","",IFERROR(MATCH(D3487,Projects!$A:$A,0),""))</f>
        <v/>
      </c>
    </row>
    <row r="3488" spans="31:32" x14ac:dyDescent="0.25">
      <c r="AE3488" s="39" t="str">
        <f>IF(D3488="","",IFERROR(VLOOKUP(D3488,Projects!$A$2:$A$20000,1,FALSE),""))</f>
        <v/>
      </c>
      <c r="AF3488" s="2" t="str">
        <f>IF(D3488="","",IFERROR(MATCH(D3488,Projects!$A:$A,0),""))</f>
        <v/>
      </c>
    </row>
    <row r="3489" spans="31:32" x14ac:dyDescent="0.25">
      <c r="AE3489" s="39" t="str">
        <f>IF(D3489="","",IFERROR(VLOOKUP(D3489,Projects!$A$2:$A$20000,1,FALSE),""))</f>
        <v/>
      </c>
      <c r="AF3489" s="2" t="str">
        <f>IF(D3489="","",IFERROR(MATCH(D3489,Projects!$A:$A,0),""))</f>
        <v/>
      </c>
    </row>
    <row r="3490" spans="31:32" x14ac:dyDescent="0.25">
      <c r="AE3490" s="39" t="str">
        <f>IF(D3490="","",IFERROR(VLOOKUP(D3490,Projects!$A$2:$A$20000,1,FALSE),""))</f>
        <v/>
      </c>
      <c r="AF3490" s="2" t="str">
        <f>IF(D3490="","",IFERROR(MATCH(D3490,Projects!$A:$A,0),""))</f>
        <v/>
      </c>
    </row>
    <row r="3491" spans="31:32" x14ac:dyDescent="0.25">
      <c r="AE3491" s="39" t="str">
        <f>IF(D3491="","",IFERROR(VLOOKUP(D3491,Projects!$A$2:$A$20000,1,FALSE),""))</f>
        <v/>
      </c>
      <c r="AF3491" s="2" t="str">
        <f>IF(D3491="","",IFERROR(MATCH(D3491,Projects!$A:$A,0),""))</f>
        <v/>
      </c>
    </row>
    <row r="3492" spans="31:32" x14ac:dyDescent="0.25">
      <c r="AE3492" s="39" t="str">
        <f>IF(D3492="","",IFERROR(VLOOKUP(D3492,Projects!$A$2:$A$20000,1,FALSE),""))</f>
        <v/>
      </c>
      <c r="AF3492" s="2" t="str">
        <f>IF(D3492="","",IFERROR(MATCH(D3492,Projects!$A:$A,0),""))</f>
        <v/>
      </c>
    </row>
    <row r="3493" spans="31:32" x14ac:dyDescent="0.25">
      <c r="AE3493" s="39" t="str">
        <f>IF(D3493="","",IFERROR(VLOOKUP(D3493,Projects!$A$2:$A$20000,1,FALSE),""))</f>
        <v/>
      </c>
      <c r="AF3493" s="2" t="str">
        <f>IF(D3493="","",IFERROR(MATCH(D3493,Projects!$A:$A,0),""))</f>
        <v/>
      </c>
    </row>
    <row r="3494" spans="31:32" x14ac:dyDescent="0.25">
      <c r="AE3494" s="39" t="str">
        <f>IF(D3494="","",IFERROR(VLOOKUP(D3494,Projects!$A$2:$A$20000,1,FALSE),""))</f>
        <v/>
      </c>
      <c r="AF3494" s="2" t="str">
        <f>IF(D3494="","",IFERROR(MATCH(D3494,Projects!$A:$A,0),""))</f>
        <v/>
      </c>
    </row>
    <row r="3495" spans="31:32" x14ac:dyDescent="0.25">
      <c r="AE3495" s="39" t="str">
        <f>IF(D3495="","",IFERROR(VLOOKUP(D3495,Projects!$A$2:$A$20000,1,FALSE),""))</f>
        <v/>
      </c>
      <c r="AF3495" s="2" t="str">
        <f>IF(D3495="","",IFERROR(MATCH(D3495,Projects!$A:$A,0),""))</f>
        <v/>
      </c>
    </row>
    <row r="3496" spans="31:32" x14ac:dyDescent="0.25">
      <c r="AE3496" s="39" t="str">
        <f>IF(D3496="","",IFERROR(VLOOKUP(D3496,Projects!$A$2:$A$20000,1,FALSE),""))</f>
        <v/>
      </c>
      <c r="AF3496" s="2" t="str">
        <f>IF(D3496="","",IFERROR(MATCH(D3496,Projects!$A:$A,0),""))</f>
        <v/>
      </c>
    </row>
    <row r="3497" spans="31:32" x14ac:dyDescent="0.25">
      <c r="AE3497" s="39" t="str">
        <f>IF(D3497="","",IFERROR(VLOOKUP(D3497,Projects!$A$2:$A$20000,1,FALSE),""))</f>
        <v/>
      </c>
      <c r="AF3497" s="2" t="str">
        <f>IF(D3497="","",IFERROR(MATCH(D3497,Projects!$A:$A,0),""))</f>
        <v/>
      </c>
    </row>
    <row r="3498" spans="31:32" x14ac:dyDescent="0.25">
      <c r="AE3498" s="39" t="str">
        <f>IF(D3498="","",IFERROR(VLOOKUP(D3498,Projects!$A$2:$A$20000,1,FALSE),""))</f>
        <v/>
      </c>
      <c r="AF3498" s="2" t="str">
        <f>IF(D3498="","",IFERROR(MATCH(D3498,Projects!$A:$A,0),""))</f>
        <v/>
      </c>
    </row>
    <row r="3499" spans="31:32" x14ac:dyDescent="0.25">
      <c r="AE3499" s="39" t="str">
        <f>IF(D3499="","",IFERROR(VLOOKUP(D3499,Projects!$A$2:$A$20000,1,FALSE),""))</f>
        <v/>
      </c>
      <c r="AF3499" s="2" t="str">
        <f>IF(D3499="","",IFERROR(MATCH(D3499,Projects!$A:$A,0),""))</f>
        <v/>
      </c>
    </row>
    <row r="3500" spans="31:32" x14ac:dyDescent="0.25">
      <c r="AE3500" s="39" t="str">
        <f>IF(D3500="","",IFERROR(VLOOKUP(D3500,Projects!$A$2:$A$20000,1,FALSE),""))</f>
        <v/>
      </c>
      <c r="AF3500" s="2" t="str">
        <f>IF(D3500="","",IFERROR(MATCH(D3500,Projects!$A:$A,0),""))</f>
        <v/>
      </c>
    </row>
    <row r="3501" spans="31:32" x14ac:dyDescent="0.25">
      <c r="AE3501" s="39" t="str">
        <f>IF(D3501="","",IFERROR(VLOOKUP(D3501,Projects!$A$2:$A$20000,1,FALSE),""))</f>
        <v/>
      </c>
      <c r="AF3501" s="2" t="str">
        <f>IF(D3501="","",IFERROR(MATCH(D3501,Projects!$A:$A,0),""))</f>
        <v/>
      </c>
    </row>
    <row r="3502" spans="31:32" x14ac:dyDescent="0.25">
      <c r="AE3502" s="39" t="str">
        <f>IF(D3502="","",IFERROR(VLOOKUP(D3502,Projects!$A$2:$A$20000,1,FALSE),""))</f>
        <v/>
      </c>
      <c r="AF3502" s="2" t="str">
        <f>IF(D3502="","",IFERROR(MATCH(D3502,Projects!$A:$A,0),""))</f>
        <v/>
      </c>
    </row>
    <row r="3503" spans="31:32" x14ac:dyDescent="0.25">
      <c r="AE3503" s="39" t="str">
        <f>IF(D3503="","",IFERROR(VLOOKUP(D3503,Projects!$A$2:$A$20000,1,FALSE),""))</f>
        <v/>
      </c>
      <c r="AF3503" s="2" t="str">
        <f>IF(D3503="","",IFERROR(MATCH(D3503,Projects!$A:$A,0),""))</f>
        <v/>
      </c>
    </row>
    <row r="3504" spans="31:32" x14ac:dyDescent="0.25">
      <c r="AE3504" s="39" t="str">
        <f>IF(D3504="","",IFERROR(VLOOKUP(D3504,Projects!$A$2:$A$20000,1,FALSE),""))</f>
        <v/>
      </c>
      <c r="AF3504" s="2" t="str">
        <f>IF(D3504="","",IFERROR(MATCH(D3504,Projects!$A:$A,0),""))</f>
        <v/>
      </c>
    </row>
    <row r="3505" spans="31:32" x14ac:dyDescent="0.25">
      <c r="AE3505" s="39" t="str">
        <f>IF(D3505="","",IFERROR(VLOOKUP(D3505,Projects!$A$2:$A$20000,1,FALSE),""))</f>
        <v/>
      </c>
      <c r="AF3505" s="2" t="str">
        <f>IF(D3505="","",IFERROR(MATCH(D3505,Projects!$A:$A,0),""))</f>
        <v/>
      </c>
    </row>
    <row r="3506" spans="31:32" x14ac:dyDescent="0.25">
      <c r="AE3506" s="39" t="str">
        <f>IF(D3506="","",IFERROR(VLOOKUP(D3506,Projects!$A$2:$A$20000,1,FALSE),""))</f>
        <v/>
      </c>
      <c r="AF3506" s="2" t="str">
        <f>IF(D3506="","",IFERROR(MATCH(D3506,Projects!$A:$A,0),""))</f>
        <v/>
      </c>
    </row>
    <row r="3507" spans="31:32" x14ac:dyDescent="0.25">
      <c r="AE3507" s="39" t="str">
        <f>IF(D3507="","",IFERROR(VLOOKUP(D3507,Projects!$A$2:$A$20000,1,FALSE),""))</f>
        <v/>
      </c>
      <c r="AF3507" s="2" t="str">
        <f>IF(D3507="","",IFERROR(MATCH(D3507,Projects!$A:$A,0),""))</f>
        <v/>
      </c>
    </row>
    <row r="3508" spans="31:32" x14ac:dyDescent="0.25">
      <c r="AE3508" s="39" t="str">
        <f>IF(D3508="","",IFERROR(VLOOKUP(D3508,Projects!$A$2:$A$20000,1,FALSE),""))</f>
        <v/>
      </c>
      <c r="AF3508" s="2" t="str">
        <f>IF(D3508="","",IFERROR(MATCH(D3508,Projects!$A:$A,0),""))</f>
        <v/>
      </c>
    </row>
    <row r="3509" spans="31:32" x14ac:dyDescent="0.25">
      <c r="AE3509" s="39" t="str">
        <f>IF(D3509="","",IFERROR(VLOOKUP(D3509,Projects!$A$2:$A$20000,1,FALSE),""))</f>
        <v/>
      </c>
      <c r="AF3509" s="2" t="str">
        <f>IF(D3509="","",IFERROR(MATCH(D3509,Projects!$A:$A,0),""))</f>
        <v/>
      </c>
    </row>
    <row r="3510" spans="31:32" x14ac:dyDescent="0.25">
      <c r="AE3510" s="39" t="str">
        <f>IF(D3510="","",IFERROR(VLOOKUP(D3510,Projects!$A$2:$A$20000,1,FALSE),""))</f>
        <v/>
      </c>
      <c r="AF3510" s="2" t="str">
        <f>IF(D3510="","",IFERROR(MATCH(D3510,Projects!$A:$A,0),""))</f>
        <v/>
      </c>
    </row>
    <row r="3511" spans="31:32" x14ac:dyDescent="0.25">
      <c r="AE3511" s="39" t="str">
        <f>IF(D3511="","",IFERROR(VLOOKUP(D3511,Projects!$A$2:$A$20000,1,FALSE),""))</f>
        <v/>
      </c>
      <c r="AF3511" s="2" t="str">
        <f>IF(D3511="","",IFERROR(MATCH(D3511,Projects!$A:$A,0),""))</f>
        <v/>
      </c>
    </row>
    <row r="3512" spans="31:32" x14ac:dyDescent="0.25">
      <c r="AE3512" s="39" t="str">
        <f>IF(D3512="","",IFERROR(VLOOKUP(D3512,Projects!$A$2:$A$20000,1,FALSE),""))</f>
        <v/>
      </c>
      <c r="AF3512" s="2" t="str">
        <f>IF(D3512="","",IFERROR(MATCH(D3512,Projects!$A:$A,0),""))</f>
        <v/>
      </c>
    </row>
    <row r="3513" spans="31:32" x14ac:dyDescent="0.25">
      <c r="AE3513" s="39" t="str">
        <f>IF(D3513="","",IFERROR(VLOOKUP(D3513,Projects!$A$2:$A$20000,1,FALSE),""))</f>
        <v/>
      </c>
      <c r="AF3513" s="2" t="str">
        <f>IF(D3513="","",IFERROR(MATCH(D3513,Projects!$A:$A,0),""))</f>
        <v/>
      </c>
    </row>
    <row r="3514" spans="31:32" x14ac:dyDescent="0.25">
      <c r="AE3514" s="39" t="str">
        <f>IF(D3514="","",IFERROR(VLOOKUP(D3514,Projects!$A$2:$A$20000,1,FALSE),""))</f>
        <v/>
      </c>
      <c r="AF3514" s="2" t="str">
        <f>IF(D3514="","",IFERROR(MATCH(D3514,Projects!$A:$A,0),""))</f>
        <v/>
      </c>
    </row>
    <row r="3515" spans="31:32" x14ac:dyDescent="0.25">
      <c r="AE3515" s="39" t="str">
        <f>IF(D3515="","",IFERROR(VLOOKUP(D3515,Projects!$A$2:$A$20000,1,FALSE),""))</f>
        <v/>
      </c>
      <c r="AF3515" s="2" t="str">
        <f>IF(D3515="","",IFERROR(MATCH(D3515,Projects!$A:$A,0),""))</f>
        <v/>
      </c>
    </row>
    <row r="3516" spans="31:32" x14ac:dyDescent="0.25">
      <c r="AE3516" s="39" t="str">
        <f>IF(D3516="","",IFERROR(VLOOKUP(D3516,Projects!$A$2:$A$20000,1,FALSE),""))</f>
        <v/>
      </c>
      <c r="AF3516" s="2" t="str">
        <f>IF(D3516="","",IFERROR(MATCH(D3516,Projects!$A:$A,0),""))</f>
        <v/>
      </c>
    </row>
    <row r="3517" spans="31:32" x14ac:dyDescent="0.25">
      <c r="AE3517" s="39" t="str">
        <f>IF(D3517="","",IFERROR(VLOOKUP(D3517,Projects!$A$2:$A$20000,1,FALSE),""))</f>
        <v/>
      </c>
      <c r="AF3517" s="2" t="str">
        <f>IF(D3517="","",IFERROR(MATCH(D3517,Projects!$A:$A,0),""))</f>
        <v/>
      </c>
    </row>
    <row r="3518" spans="31:32" x14ac:dyDescent="0.25">
      <c r="AE3518" s="39" t="str">
        <f>IF(D3518="","",IFERROR(VLOOKUP(D3518,Projects!$A$2:$A$20000,1,FALSE),""))</f>
        <v/>
      </c>
      <c r="AF3518" s="2" t="str">
        <f>IF(D3518="","",IFERROR(MATCH(D3518,Projects!$A:$A,0),""))</f>
        <v/>
      </c>
    </row>
    <row r="3519" spans="31:32" x14ac:dyDescent="0.25">
      <c r="AE3519" s="39" t="str">
        <f>IF(D3519="","",IFERROR(VLOOKUP(D3519,Projects!$A$2:$A$20000,1,FALSE),""))</f>
        <v/>
      </c>
      <c r="AF3519" s="2" t="str">
        <f>IF(D3519="","",IFERROR(MATCH(D3519,Projects!$A:$A,0),""))</f>
        <v/>
      </c>
    </row>
    <row r="3520" spans="31:32" x14ac:dyDescent="0.25">
      <c r="AE3520" s="39" t="str">
        <f>IF(D3520="","",IFERROR(VLOOKUP(D3520,Projects!$A$2:$A$20000,1,FALSE),""))</f>
        <v/>
      </c>
      <c r="AF3520" s="2" t="str">
        <f>IF(D3520="","",IFERROR(MATCH(D3520,Projects!$A:$A,0),""))</f>
        <v/>
      </c>
    </row>
    <row r="3521" spans="31:32" x14ac:dyDescent="0.25">
      <c r="AE3521" s="39" t="str">
        <f>IF(D3521="","",IFERROR(VLOOKUP(D3521,Projects!$A$2:$A$20000,1,FALSE),""))</f>
        <v/>
      </c>
      <c r="AF3521" s="2" t="str">
        <f>IF(D3521="","",IFERROR(MATCH(D3521,Projects!$A:$A,0),""))</f>
        <v/>
      </c>
    </row>
    <row r="3522" spans="31:32" x14ac:dyDescent="0.25">
      <c r="AE3522" s="39" t="str">
        <f>IF(D3522="","",IFERROR(VLOOKUP(D3522,Projects!$A$2:$A$20000,1,FALSE),""))</f>
        <v/>
      </c>
      <c r="AF3522" s="2" t="str">
        <f>IF(D3522="","",IFERROR(MATCH(D3522,Projects!$A:$A,0),""))</f>
        <v/>
      </c>
    </row>
    <row r="3523" spans="31:32" x14ac:dyDescent="0.25">
      <c r="AE3523" s="39" t="str">
        <f>IF(D3523="","",IFERROR(VLOOKUP(D3523,Projects!$A$2:$A$20000,1,FALSE),""))</f>
        <v/>
      </c>
      <c r="AF3523" s="2" t="str">
        <f>IF(D3523="","",IFERROR(MATCH(D3523,Projects!$A:$A,0),""))</f>
        <v/>
      </c>
    </row>
    <row r="3524" spans="31:32" x14ac:dyDescent="0.25">
      <c r="AE3524" s="39" t="str">
        <f>IF(D3524="","",IFERROR(VLOOKUP(D3524,Projects!$A$2:$A$20000,1,FALSE),""))</f>
        <v/>
      </c>
      <c r="AF3524" s="2" t="str">
        <f>IF(D3524="","",IFERROR(MATCH(D3524,Projects!$A:$A,0),""))</f>
        <v/>
      </c>
    </row>
    <row r="3525" spans="31:32" x14ac:dyDescent="0.25">
      <c r="AE3525" s="39" t="str">
        <f>IF(D3525="","",IFERROR(VLOOKUP(D3525,Projects!$A$2:$A$20000,1,FALSE),""))</f>
        <v/>
      </c>
      <c r="AF3525" s="2" t="str">
        <f>IF(D3525="","",IFERROR(MATCH(D3525,Projects!$A:$A,0),""))</f>
        <v/>
      </c>
    </row>
    <row r="3526" spans="31:32" x14ac:dyDescent="0.25">
      <c r="AE3526" s="39" t="str">
        <f>IF(D3526="","",IFERROR(VLOOKUP(D3526,Projects!$A$2:$A$20000,1,FALSE),""))</f>
        <v/>
      </c>
      <c r="AF3526" s="2" t="str">
        <f>IF(D3526="","",IFERROR(MATCH(D3526,Projects!$A:$A,0),""))</f>
        <v/>
      </c>
    </row>
    <row r="3527" spans="31:32" x14ac:dyDescent="0.25">
      <c r="AE3527" s="39" t="str">
        <f>IF(D3527="","",IFERROR(VLOOKUP(D3527,Projects!$A$2:$A$20000,1,FALSE),""))</f>
        <v/>
      </c>
      <c r="AF3527" s="2" t="str">
        <f>IF(D3527="","",IFERROR(MATCH(D3527,Projects!$A:$A,0),""))</f>
        <v/>
      </c>
    </row>
    <row r="3528" spans="31:32" x14ac:dyDescent="0.25">
      <c r="AE3528" s="39" t="str">
        <f>IF(D3528="","",IFERROR(VLOOKUP(D3528,Projects!$A$2:$A$20000,1,FALSE),""))</f>
        <v/>
      </c>
      <c r="AF3528" s="2" t="str">
        <f>IF(D3528="","",IFERROR(MATCH(D3528,Projects!$A:$A,0),""))</f>
        <v/>
      </c>
    </row>
    <row r="3529" spans="31:32" x14ac:dyDescent="0.25">
      <c r="AE3529" s="39" t="str">
        <f>IF(D3529="","",IFERROR(VLOOKUP(D3529,Projects!$A$2:$A$20000,1,FALSE),""))</f>
        <v/>
      </c>
      <c r="AF3529" s="2" t="str">
        <f>IF(D3529="","",IFERROR(MATCH(D3529,Projects!$A:$A,0),""))</f>
        <v/>
      </c>
    </row>
    <row r="3530" spans="31:32" x14ac:dyDescent="0.25">
      <c r="AE3530" s="39" t="str">
        <f>IF(D3530="","",IFERROR(VLOOKUP(D3530,Projects!$A$2:$A$20000,1,FALSE),""))</f>
        <v/>
      </c>
      <c r="AF3530" s="2" t="str">
        <f>IF(D3530="","",IFERROR(MATCH(D3530,Projects!$A:$A,0),""))</f>
        <v/>
      </c>
    </row>
    <row r="3531" spans="31:32" x14ac:dyDescent="0.25">
      <c r="AE3531" s="39" t="str">
        <f>IF(D3531="","",IFERROR(VLOOKUP(D3531,Projects!$A$2:$A$20000,1,FALSE),""))</f>
        <v/>
      </c>
      <c r="AF3531" s="2" t="str">
        <f>IF(D3531="","",IFERROR(MATCH(D3531,Projects!$A:$A,0),""))</f>
        <v/>
      </c>
    </row>
    <row r="3532" spans="31:32" x14ac:dyDescent="0.25">
      <c r="AE3532" s="39" t="str">
        <f>IF(D3532="","",IFERROR(VLOOKUP(D3532,Projects!$A$2:$A$20000,1,FALSE),""))</f>
        <v/>
      </c>
      <c r="AF3532" s="2" t="str">
        <f>IF(D3532="","",IFERROR(MATCH(D3532,Projects!$A:$A,0),""))</f>
        <v/>
      </c>
    </row>
    <row r="3533" spans="31:32" x14ac:dyDescent="0.25">
      <c r="AE3533" s="39" t="str">
        <f>IF(D3533="","",IFERROR(VLOOKUP(D3533,Projects!$A$2:$A$20000,1,FALSE),""))</f>
        <v/>
      </c>
      <c r="AF3533" s="2" t="str">
        <f>IF(D3533="","",IFERROR(MATCH(D3533,Projects!$A:$A,0),""))</f>
        <v/>
      </c>
    </row>
    <row r="3534" spans="31:32" x14ac:dyDescent="0.25">
      <c r="AE3534" s="39" t="str">
        <f>IF(D3534="","",IFERROR(VLOOKUP(D3534,Projects!$A$2:$A$20000,1,FALSE),""))</f>
        <v/>
      </c>
      <c r="AF3534" s="2" t="str">
        <f>IF(D3534="","",IFERROR(MATCH(D3534,Projects!$A:$A,0),""))</f>
        <v/>
      </c>
    </row>
    <row r="3535" spans="31:32" x14ac:dyDescent="0.25">
      <c r="AE3535" s="39" t="str">
        <f>IF(D3535="","",IFERROR(VLOOKUP(D3535,Projects!$A$2:$A$20000,1,FALSE),""))</f>
        <v/>
      </c>
      <c r="AF3535" s="2" t="str">
        <f>IF(D3535="","",IFERROR(MATCH(D3535,Projects!$A:$A,0),""))</f>
        <v/>
      </c>
    </row>
    <row r="3536" spans="31:32" x14ac:dyDescent="0.25">
      <c r="AE3536" s="39" t="str">
        <f>IF(D3536="","",IFERROR(VLOOKUP(D3536,Projects!$A$2:$A$20000,1,FALSE),""))</f>
        <v/>
      </c>
      <c r="AF3536" s="2" t="str">
        <f>IF(D3536="","",IFERROR(MATCH(D3536,Projects!$A:$A,0),""))</f>
        <v/>
      </c>
    </row>
    <row r="3537" spans="31:32" x14ac:dyDescent="0.25">
      <c r="AE3537" s="39" t="str">
        <f>IF(D3537="","",IFERROR(VLOOKUP(D3537,Projects!$A$2:$A$20000,1,FALSE),""))</f>
        <v/>
      </c>
      <c r="AF3537" s="2" t="str">
        <f>IF(D3537="","",IFERROR(MATCH(D3537,Projects!$A:$A,0),""))</f>
        <v/>
      </c>
    </row>
    <row r="3538" spans="31:32" x14ac:dyDescent="0.25">
      <c r="AE3538" s="39" t="str">
        <f>IF(D3538="","",IFERROR(VLOOKUP(D3538,Projects!$A$2:$A$20000,1,FALSE),""))</f>
        <v/>
      </c>
      <c r="AF3538" s="2" t="str">
        <f>IF(D3538="","",IFERROR(MATCH(D3538,Projects!$A:$A,0),""))</f>
        <v/>
      </c>
    </row>
    <row r="3539" spans="31:32" x14ac:dyDescent="0.25">
      <c r="AE3539" s="39" t="str">
        <f>IF(D3539="","",IFERROR(VLOOKUP(D3539,Projects!$A$2:$A$20000,1,FALSE),""))</f>
        <v/>
      </c>
      <c r="AF3539" s="2" t="str">
        <f>IF(D3539="","",IFERROR(MATCH(D3539,Projects!$A:$A,0),""))</f>
        <v/>
      </c>
    </row>
    <row r="3540" spans="31:32" x14ac:dyDescent="0.25">
      <c r="AE3540" s="39" t="str">
        <f>IF(D3540="","",IFERROR(VLOOKUP(D3540,Projects!$A$2:$A$20000,1,FALSE),""))</f>
        <v/>
      </c>
      <c r="AF3540" s="2" t="str">
        <f>IF(D3540="","",IFERROR(MATCH(D3540,Projects!$A:$A,0),""))</f>
        <v/>
      </c>
    </row>
    <row r="3541" spans="31:32" x14ac:dyDescent="0.25">
      <c r="AE3541" s="39" t="str">
        <f>IF(D3541="","",IFERROR(VLOOKUP(D3541,Projects!$A$2:$A$20000,1,FALSE),""))</f>
        <v/>
      </c>
      <c r="AF3541" s="2" t="str">
        <f>IF(D3541="","",IFERROR(MATCH(D3541,Projects!$A:$A,0),""))</f>
        <v/>
      </c>
    </row>
    <row r="3542" spans="31:32" x14ac:dyDescent="0.25">
      <c r="AE3542" s="39" t="str">
        <f>IF(D3542="","",IFERROR(VLOOKUP(D3542,Projects!$A$2:$A$20000,1,FALSE),""))</f>
        <v/>
      </c>
      <c r="AF3542" s="2" t="str">
        <f>IF(D3542="","",IFERROR(MATCH(D3542,Projects!$A:$A,0),""))</f>
        <v/>
      </c>
    </row>
    <row r="3543" spans="31:32" x14ac:dyDescent="0.25">
      <c r="AE3543" s="39" t="str">
        <f>IF(D3543="","",IFERROR(VLOOKUP(D3543,Projects!$A$2:$A$20000,1,FALSE),""))</f>
        <v/>
      </c>
      <c r="AF3543" s="2" t="str">
        <f>IF(D3543="","",IFERROR(MATCH(D3543,Projects!$A:$A,0),""))</f>
        <v/>
      </c>
    </row>
    <row r="3544" spans="31:32" x14ac:dyDescent="0.25">
      <c r="AE3544" s="39" t="str">
        <f>IF(D3544="","",IFERROR(VLOOKUP(D3544,Projects!$A$2:$A$20000,1,FALSE),""))</f>
        <v/>
      </c>
      <c r="AF3544" s="2" t="str">
        <f>IF(D3544="","",IFERROR(MATCH(D3544,Projects!$A:$A,0),""))</f>
        <v/>
      </c>
    </row>
    <row r="3545" spans="31:32" x14ac:dyDescent="0.25">
      <c r="AE3545" s="39" t="str">
        <f>IF(D3545="","",IFERROR(VLOOKUP(D3545,Projects!$A$2:$A$20000,1,FALSE),""))</f>
        <v/>
      </c>
      <c r="AF3545" s="2" t="str">
        <f>IF(D3545="","",IFERROR(MATCH(D3545,Projects!$A:$A,0),""))</f>
        <v/>
      </c>
    </row>
    <row r="3546" spans="31:32" x14ac:dyDescent="0.25">
      <c r="AE3546" s="39" t="str">
        <f>IF(D3546="","",IFERROR(VLOOKUP(D3546,Projects!$A$2:$A$20000,1,FALSE),""))</f>
        <v/>
      </c>
      <c r="AF3546" s="2" t="str">
        <f>IF(D3546="","",IFERROR(MATCH(D3546,Projects!$A:$A,0),""))</f>
        <v/>
      </c>
    </row>
    <row r="3547" spans="31:32" x14ac:dyDescent="0.25">
      <c r="AE3547" s="39" t="str">
        <f>IF(D3547="","",IFERROR(VLOOKUP(D3547,Projects!$A$2:$A$20000,1,FALSE),""))</f>
        <v/>
      </c>
      <c r="AF3547" s="2" t="str">
        <f>IF(D3547="","",IFERROR(MATCH(D3547,Projects!$A:$A,0),""))</f>
        <v/>
      </c>
    </row>
    <row r="3548" spans="31:32" x14ac:dyDescent="0.25">
      <c r="AE3548" s="39" t="str">
        <f>IF(D3548="","",IFERROR(VLOOKUP(D3548,Projects!$A$2:$A$20000,1,FALSE),""))</f>
        <v/>
      </c>
      <c r="AF3548" s="2" t="str">
        <f>IF(D3548="","",IFERROR(MATCH(D3548,Projects!$A:$A,0),""))</f>
        <v/>
      </c>
    </row>
    <row r="3549" spans="31:32" x14ac:dyDescent="0.25">
      <c r="AE3549" s="39" t="str">
        <f>IF(D3549="","",IFERROR(VLOOKUP(D3549,Projects!$A$2:$A$20000,1,FALSE),""))</f>
        <v/>
      </c>
      <c r="AF3549" s="2" t="str">
        <f>IF(D3549="","",IFERROR(MATCH(D3549,Projects!$A:$A,0),""))</f>
        <v/>
      </c>
    </row>
    <row r="3550" spans="31:32" x14ac:dyDescent="0.25">
      <c r="AE3550" s="39" t="str">
        <f>IF(D3550="","",IFERROR(VLOOKUP(D3550,Projects!$A$2:$A$20000,1,FALSE),""))</f>
        <v/>
      </c>
      <c r="AF3550" s="2" t="str">
        <f>IF(D3550="","",IFERROR(MATCH(D3550,Projects!$A:$A,0),""))</f>
        <v/>
      </c>
    </row>
    <row r="3551" spans="31:32" x14ac:dyDescent="0.25">
      <c r="AE3551" s="39" t="str">
        <f>IF(D3551="","",IFERROR(VLOOKUP(D3551,Projects!$A$2:$A$20000,1,FALSE),""))</f>
        <v/>
      </c>
      <c r="AF3551" s="2" t="str">
        <f>IF(D3551="","",IFERROR(MATCH(D3551,Projects!$A:$A,0),""))</f>
        <v/>
      </c>
    </row>
    <row r="3552" spans="31:32" x14ac:dyDescent="0.25">
      <c r="AE3552" s="39" t="str">
        <f>IF(D3552="","",IFERROR(VLOOKUP(D3552,Projects!$A$2:$A$20000,1,FALSE),""))</f>
        <v/>
      </c>
      <c r="AF3552" s="2" t="str">
        <f>IF(D3552="","",IFERROR(MATCH(D3552,Projects!$A:$A,0),""))</f>
        <v/>
      </c>
    </row>
    <row r="3553" spans="31:32" x14ac:dyDescent="0.25">
      <c r="AE3553" s="39" t="str">
        <f>IF(D3553="","",IFERROR(VLOOKUP(D3553,Projects!$A$2:$A$20000,1,FALSE),""))</f>
        <v/>
      </c>
      <c r="AF3553" s="2" t="str">
        <f>IF(D3553="","",IFERROR(MATCH(D3553,Projects!$A:$A,0),""))</f>
        <v/>
      </c>
    </row>
    <row r="3554" spans="31:32" x14ac:dyDescent="0.25">
      <c r="AE3554" s="39" t="str">
        <f>IF(D3554="","",IFERROR(VLOOKUP(D3554,Projects!$A$2:$A$20000,1,FALSE),""))</f>
        <v/>
      </c>
      <c r="AF3554" s="2" t="str">
        <f>IF(D3554="","",IFERROR(MATCH(D3554,Projects!$A:$A,0),""))</f>
        <v/>
      </c>
    </row>
    <row r="3555" spans="31:32" x14ac:dyDescent="0.25">
      <c r="AE3555" s="39" t="str">
        <f>IF(D3555="","",IFERROR(VLOOKUP(D3555,Projects!$A$2:$A$20000,1,FALSE),""))</f>
        <v/>
      </c>
      <c r="AF3555" s="2" t="str">
        <f>IF(D3555="","",IFERROR(MATCH(D3555,Projects!$A:$A,0),""))</f>
        <v/>
      </c>
    </row>
    <row r="3556" spans="31:32" x14ac:dyDescent="0.25">
      <c r="AE3556" s="39" t="str">
        <f>IF(D3556="","",IFERROR(VLOOKUP(D3556,Projects!$A$2:$A$20000,1,FALSE),""))</f>
        <v/>
      </c>
      <c r="AF3556" s="2" t="str">
        <f>IF(D3556="","",IFERROR(MATCH(D3556,Projects!$A:$A,0),""))</f>
        <v/>
      </c>
    </row>
    <row r="3557" spans="31:32" x14ac:dyDescent="0.25">
      <c r="AE3557" s="39" t="str">
        <f>IF(D3557="","",IFERROR(VLOOKUP(D3557,Projects!$A$2:$A$20000,1,FALSE),""))</f>
        <v/>
      </c>
      <c r="AF3557" s="2" t="str">
        <f>IF(D3557="","",IFERROR(MATCH(D3557,Projects!$A:$A,0),""))</f>
        <v/>
      </c>
    </row>
    <row r="3558" spans="31:32" x14ac:dyDescent="0.25">
      <c r="AE3558" s="39" t="str">
        <f>IF(D3558="","",IFERROR(VLOOKUP(D3558,Projects!$A$2:$A$20000,1,FALSE),""))</f>
        <v/>
      </c>
      <c r="AF3558" s="2" t="str">
        <f>IF(D3558="","",IFERROR(MATCH(D3558,Projects!$A:$A,0),""))</f>
        <v/>
      </c>
    </row>
    <row r="3559" spans="31:32" x14ac:dyDescent="0.25">
      <c r="AE3559" s="39" t="str">
        <f>IF(D3559="","",IFERROR(VLOOKUP(D3559,Projects!$A$2:$A$20000,1,FALSE),""))</f>
        <v/>
      </c>
      <c r="AF3559" s="2" t="str">
        <f>IF(D3559="","",IFERROR(MATCH(D3559,Projects!$A:$A,0),""))</f>
        <v/>
      </c>
    </row>
    <row r="3560" spans="31:32" x14ac:dyDescent="0.25">
      <c r="AE3560" s="39" t="str">
        <f>IF(D3560="","",IFERROR(VLOOKUP(D3560,Projects!$A$2:$A$20000,1,FALSE),""))</f>
        <v/>
      </c>
      <c r="AF3560" s="2" t="str">
        <f>IF(D3560="","",IFERROR(MATCH(D3560,Projects!$A:$A,0),""))</f>
        <v/>
      </c>
    </row>
    <row r="3561" spans="31:32" x14ac:dyDescent="0.25">
      <c r="AE3561" s="39" t="str">
        <f>IF(D3561="","",IFERROR(VLOOKUP(D3561,Projects!$A$2:$A$20000,1,FALSE),""))</f>
        <v/>
      </c>
      <c r="AF3561" s="2" t="str">
        <f>IF(D3561="","",IFERROR(MATCH(D3561,Projects!$A:$A,0),""))</f>
        <v/>
      </c>
    </row>
    <row r="3562" spans="31:32" x14ac:dyDescent="0.25">
      <c r="AE3562" s="39" t="str">
        <f>IF(D3562="","",IFERROR(VLOOKUP(D3562,Projects!$A$2:$A$20000,1,FALSE),""))</f>
        <v/>
      </c>
      <c r="AF3562" s="2" t="str">
        <f>IF(D3562="","",IFERROR(MATCH(D3562,Projects!$A:$A,0),""))</f>
        <v/>
      </c>
    </row>
    <row r="3563" spans="31:32" x14ac:dyDescent="0.25">
      <c r="AE3563" s="39" t="str">
        <f>IF(D3563="","",IFERROR(VLOOKUP(D3563,Projects!$A$2:$A$20000,1,FALSE),""))</f>
        <v/>
      </c>
      <c r="AF3563" s="2" t="str">
        <f>IF(D3563="","",IFERROR(MATCH(D3563,Projects!$A:$A,0),""))</f>
        <v/>
      </c>
    </row>
    <row r="3564" spans="31:32" x14ac:dyDescent="0.25">
      <c r="AE3564" s="39" t="str">
        <f>IF(D3564="","",IFERROR(VLOOKUP(D3564,Projects!$A$2:$A$20000,1,FALSE),""))</f>
        <v/>
      </c>
      <c r="AF3564" s="2" t="str">
        <f>IF(D3564="","",IFERROR(MATCH(D3564,Projects!$A:$A,0),""))</f>
        <v/>
      </c>
    </row>
    <row r="3565" spans="31:32" x14ac:dyDescent="0.25">
      <c r="AE3565" s="39" t="str">
        <f>IF(D3565="","",IFERROR(VLOOKUP(D3565,Projects!$A$2:$A$20000,1,FALSE),""))</f>
        <v/>
      </c>
      <c r="AF3565" s="2" t="str">
        <f>IF(D3565="","",IFERROR(MATCH(D3565,Projects!$A:$A,0),""))</f>
        <v/>
      </c>
    </row>
    <row r="3566" spans="31:32" x14ac:dyDescent="0.25">
      <c r="AE3566" s="39" t="str">
        <f>IF(D3566="","",IFERROR(VLOOKUP(D3566,Projects!$A$2:$A$20000,1,FALSE),""))</f>
        <v/>
      </c>
      <c r="AF3566" s="2" t="str">
        <f>IF(D3566="","",IFERROR(MATCH(D3566,Projects!$A:$A,0),""))</f>
        <v/>
      </c>
    </row>
    <row r="3567" spans="31:32" x14ac:dyDescent="0.25">
      <c r="AE3567" s="39" t="str">
        <f>IF(D3567="","",IFERROR(VLOOKUP(D3567,Projects!$A$2:$A$20000,1,FALSE),""))</f>
        <v/>
      </c>
      <c r="AF3567" s="2" t="str">
        <f>IF(D3567="","",IFERROR(MATCH(D3567,Projects!$A:$A,0),""))</f>
        <v/>
      </c>
    </row>
    <row r="3568" spans="31:32" x14ac:dyDescent="0.25">
      <c r="AE3568" s="39" t="str">
        <f>IF(D3568="","",IFERROR(VLOOKUP(D3568,Projects!$A$2:$A$20000,1,FALSE),""))</f>
        <v/>
      </c>
      <c r="AF3568" s="2" t="str">
        <f>IF(D3568="","",IFERROR(MATCH(D3568,Projects!$A:$A,0),""))</f>
        <v/>
      </c>
    </row>
    <row r="3569" spans="31:32" x14ac:dyDescent="0.25">
      <c r="AE3569" s="39" t="str">
        <f>IF(D3569="","",IFERROR(VLOOKUP(D3569,Projects!$A$2:$A$20000,1,FALSE),""))</f>
        <v/>
      </c>
      <c r="AF3569" s="2" t="str">
        <f>IF(D3569="","",IFERROR(MATCH(D3569,Projects!$A:$A,0),""))</f>
        <v/>
      </c>
    </row>
    <row r="3570" spans="31:32" x14ac:dyDescent="0.25">
      <c r="AE3570" s="39" t="str">
        <f>IF(D3570="","",IFERROR(VLOOKUP(D3570,Projects!$A$2:$A$20000,1,FALSE),""))</f>
        <v/>
      </c>
      <c r="AF3570" s="2" t="str">
        <f>IF(D3570="","",IFERROR(MATCH(D3570,Projects!$A:$A,0),""))</f>
        <v/>
      </c>
    </row>
    <row r="3571" spans="31:32" x14ac:dyDescent="0.25">
      <c r="AE3571" s="39" t="str">
        <f>IF(D3571="","",IFERROR(VLOOKUP(D3571,Projects!$A$2:$A$20000,1,FALSE),""))</f>
        <v/>
      </c>
      <c r="AF3571" s="2" t="str">
        <f>IF(D3571="","",IFERROR(MATCH(D3571,Projects!$A:$A,0),""))</f>
        <v/>
      </c>
    </row>
    <row r="3572" spans="31:32" x14ac:dyDescent="0.25">
      <c r="AE3572" s="39" t="str">
        <f>IF(D3572="","",IFERROR(VLOOKUP(D3572,Projects!$A$2:$A$20000,1,FALSE),""))</f>
        <v/>
      </c>
      <c r="AF3572" s="2" t="str">
        <f>IF(D3572="","",IFERROR(MATCH(D3572,Projects!$A:$A,0),""))</f>
        <v/>
      </c>
    </row>
    <row r="3573" spans="31:32" x14ac:dyDescent="0.25">
      <c r="AE3573" s="39" t="str">
        <f>IF(D3573="","",IFERROR(VLOOKUP(D3573,Projects!$A$2:$A$20000,1,FALSE),""))</f>
        <v/>
      </c>
      <c r="AF3573" s="2" t="str">
        <f>IF(D3573="","",IFERROR(MATCH(D3573,Projects!$A:$A,0),""))</f>
        <v/>
      </c>
    </row>
    <row r="3574" spans="31:32" x14ac:dyDescent="0.25">
      <c r="AE3574" s="39" t="str">
        <f>IF(D3574="","",IFERROR(VLOOKUP(D3574,Projects!$A$2:$A$20000,1,FALSE),""))</f>
        <v/>
      </c>
      <c r="AF3574" s="2" t="str">
        <f>IF(D3574="","",IFERROR(MATCH(D3574,Projects!$A:$A,0),""))</f>
        <v/>
      </c>
    </row>
    <row r="3575" spans="31:32" x14ac:dyDescent="0.25">
      <c r="AE3575" s="39" t="str">
        <f>IF(D3575="","",IFERROR(VLOOKUP(D3575,Projects!$A$2:$A$20000,1,FALSE),""))</f>
        <v/>
      </c>
      <c r="AF3575" s="2" t="str">
        <f>IF(D3575="","",IFERROR(MATCH(D3575,Projects!$A:$A,0),""))</f>
        <v/>
      </c>
    </row>
    <row r="3576" spans="31:32" x14ac:dyDescent="0.25">
      <c r="AE3576" s="39" t="str">
        <f>IF(D3576="","",IFERROR(VLOOKUP(D3576,Projects!$A$2:$A$20000,1,FALSE),""))</f>
        <v/>
      </c>
      <c r="AF3576" s="2" t="str">
        <f>IF(D3576="","",IFERROR(MATCH(D3576,Projects!$A:$A,0),""))</f>
        <v/>
      </c>
    </row>
    <row r="3577" spans="31:32" x14ac:dyDescent="0.25">
      <c r="AE3577" s="39" t="str">
        <f>IF(D3577="","",IFERROR(VLOOKUP(D3577,Projects!$A$2:$A$20000,1,FALSE),""))</f>
        <v/>
      </c>
      <c r="AF3577" s="2" t="str">
        <f>IF(D3577="","",IFERROR(MATCH(D3577,Projects!$A:$A,0),""))</f>
        <v/>
      </c>
    </row>
    <row r="3578" spans="31:32" x14ac:dyDescent="0.25">
      <c r="AE3578" s="39" t="str">
        <f>IF(D3578="","",IFERROR(VLOOKUP(D3578,Projects!$A$2:$A$20000,1,FALSE),""))</f>
        <v/>
      </c>
      <c r="AF3578" s="2" t="str">
        <f>IF(D3578="","",IFERROR(MATCH(D3578,Projects!$A:$A,0),""))</f>
        <v/>
      </c>
    </row>
    <row r="3579" spans="31:32" x14ac:dyDescent="0.25">
      <c r="AE3579" s="39" t="str">
        <f>IF(D3579="","",IFERROR(VLOOKUP(D3579,Projects!$A$2:$A$20000,1,FALSE),""))</f>
        <v/>
      </c>
      <c r="AF3579" s="2" t="str">
        <f>IF(D3579="","",IFERROR(MATCH(D3579,Projects!$A:$A,0),""))</f>
        <v/>
      </c>
    </row>
    <row r="3580" spans="31:32" x14ac:dyDescent="0.25">
      <c r="AE3580" s="39" t="str">
        <f>IF(D3580="","",IFERROR(VLOOKUP(D3580,Projects!$A$2:$A$20000,1,FALSE),""))</f>
        <v/>
      </c>
      <c r="AF3580" s="2" t="str">
        <f>IF(D3580="","",IFERROR(MATCH(D3580,Projects!$A:$A,0),""))</f>
        <v/>
      </c>
    </row>
    <row r="3581" spans="31:32" x14ac:dyDescent="0.25">
      <c r="AE3581" s="39" t="str">
        <f>IF(D3581="","",IFERROR(VLOOKUP(D3581,Projects!$A$2:$A$20000,1,FALSE),""))</f>
        <v/>
      </c>
      <c r="AF3581" s="2" t="str">
        <f>IF(D3581="","",IFERROR(MATCH(D3581,Projects!$A:$A,0),""))</f>
        <v/>
      </c>
    </row>
    <row r="3582" spans="31:32" x14ac:dyDescent="0.25">
      <c r="AE3582" s="39" t="str">
        <f>IF(D3582="","",IFERROR(VLOOKUP(D3582,Projects!$A$2:$A$20000,1,FALSE),""))</f>
        <v/>
      </c>
      <c r="AF3582" s="2" t="str">
        <f>IF(D3582="","",IFERROR(MATCH(D3582,Projects!$A:$A,0),""))</f>
        <v/>
      </c>
    </row>
    <row r="3583" spans="31:32" x14ac:dyDescent="0.25">
      <c r="AE3583" s="39" t="str">
        <f>IF(D3583="","",IFERROR(VLOOKUP(D3583,Projects!$A$2:$A$20000,1,FALSE),""))</f>
        <v/>
      </c>
      <c r="AF3583" s="2" t="str">
        <f>IF(D3583="","",IFERROR(MATCH(D3583,Projects!$A:$A,0),""))</f>
        <v/>
      </c>
    </row>
    <row r="3584" spans="31:32" x14ac:dyDescent="0.25">
      <c r="AE3584" s="39" t="str">
        <f>IF(D3584="","",IFERROR(VLOOKUP(D3584,Projects!$A$2:$A$20000,1,FALSE),""))</f>
        <v/>
      </c>
      <c r="AF3584" s="2" t="str">
        <f>IF(D3584="","",IFERROR(MATCH(D3584,Projects!$A:$A,0),""))</f>
        <v/>
      </c>
    </row>
    <row r="3585" spans="31:32" x14ac:dyDescent="0.25">
      <c r="AE3585" s="39" t="str">
        <f>IF(D3585="","",IFERROR(VLOOKUP(D3585,Projects!$A$2:$A$20000,1,FALSE),""))</f>
        <v/>
      </c>
      <c r="AF3585" s="2" t="str">
        <f>IF(D3585="","",IFERROR(MATCH(D3585,Projects!$A:$A,0),""))</f>
        <v/>
      </c>
    </row>
    <row r="3586" spans="31:32" x14ac:dyDescent="0.25">
      <c r="AE3586" s="39" t="str">
        <f>IF(D3586="","",IFERROR(VLOOKUP(D3586,Projects!$A$2:$A$20000,1,FALSE),""))</f>
        <v/>
      </c>
      <c r="AF3586" s="2" t="str">
        <f>IF(D3586="","",IFERROR(MATCH(D3586,Projects!$A:$A,0),""))</f>
        <v/>
      </c>
    </row>
    <row r="3587" spans="31:32" x14ac:dyDescent="0.25">
      <c r="AE3587" s="39" t="str">
        <f>IF(D3587="","",IFERROR(VLOOKUP(D3587,Projects!$A$2:$A$20000,1,FALSE),""))</f>
        <v/>
      </c>
      <c r="AF3587" s="2" t="str">
        <f>IF(D3587="","",IFERROR(MATCH(D3587,Projects!$A:$A,0),""))</f>
        <v/>
      </c>
    </row>
    <row r="3588" spans="31:32" x14ac:dyDescent="0.25">
      <c r="AE3588" s="39" t="str">
        <f>IF(D3588="","",IFERROR(VLOOKUP(D3588,Projects!$A$2:$A$20000,1,FALSE),""))</f>
        <v/>
      </c>
      <c r="AF3588" s="2" t="str">
        <f>IF(D3588="","",IFERROR(MATCH(D3588,Projects!$A:$A,0),""))</f>
        <v/>
      </c>
    </row>
    <row r="3589" spans="31:32" x14ac:dyDescent="0.25">
      <c r="AE3589" s="39" t="str">
        <f>IF(D3589="","",IFERROR(VLOOKUP(D3589,Projects!$A$2:$A$20000,1,FALSE),""))</f>
        <v/>
      </c>
      <c r="AF3589" s="2" t="str">
        <f>IF(D3589="","",IFERROR(MATCH(D3589,Projects!$A:$A,0),""))</f>
        <v/>
      </c>
    </row>
    <row r="3590" spans="31:32" x14ac:dyDescent="0.25">
      <c r="AE3590" s="39" t="str">
        <f>IF(D3590="","",IFERROR(VLOOKUP(D3590,Projects!$A$2:$A$20000,1,FALSE),""))</f>
        <v/>
      </c>
      <c r="AF3590" s="2" t="str">
        <f>IF(D3590="","",IFERROR(MATCH(D3590,Projects!$A:$A,0),""))</f>
        <v/>
      </c>
    </row>
    <row r="3591" spans="31:32" x14ac:dyDescent="0.25">
      <c r="AE3591" s="39" t="str">
        <f>IF(D3591="","",IFERROR(VLOOKUP(D3591,Projects!$A$2:$A$20000,1,FALSE),""))</f>
        <v/>
      </c>
      <c r="AF3591" s="2" t="str">
        <f>IF(D3591="","",IFERROR(MATCH(D3591,Projects!$A:$A,0),""))</f>
        <v/>
      </c>
    </row>
    <row r="3592" spans="31:32" x14ac:dyDescent="0.25">
      <c r="AE3592" s="39" t="str">
        <f>IF(D3592="","",IFERROR(VLOOKUP(D3592,Projects!$A$2:$A$20000,1,FALSE),""))</f>
        <v/>
      </c>
      <c r="AF3592" s="2" t="str">
        <f>IF(D3592="","",IFERROR(MATCH(D3592,Projects!$A:$A,0),""))</f>
        <v/>
      </c>
    </row>
    <row r="3593" spans="31:32" x14ac:dyDescent="0.25">
      <c r="AE3593" s="39" t="str">
        <f>IF(D3593="","",IFERROR(VLOOKUP(D3593,Projects!$A$2:$A$20000,1,FALSE),""))</f>
        <v/>
      </c>
      <c r="AF3593" s="2" t="str">
        <f>IF(D3593="","",IFERROR(MATCH(D3593,Projects!$A:$A,0),""))</f>
        <v/>
      </c>
    </row>
    <row r="3594" spans="31:32" x14ac:dyDescent="0.25">
      <c r="AE3594" s="39" t="str">
        <f>IF(D3594="","",IFERROR(VLOOKUP(D3594,Projects!$A$2:$A$20000,1,FALSE),""))</f>
        <v/>
      </c>
      <c r="AF3594" s="2" t="str">
        <f>IF(D3594="","",IFERROR(MATCH(D3594,Projects!$A:$A,0),""))</f>
        <v/>
      </c>
    </row>
    <row r="3595" spans="31:32" x14ac:dyDescent="0.25">
      <c r="AE3595" s="39" t="str">
        <f>IF(D3595="","",IFERROR(VLOOKUP(D3595,Projects!$A$2:$A$20000,1,FALSE),""))</f>
        <v/>
      </c>
      <c r="AF3595" s="2" t="str">
        <f>IF(D3595="","",IFERROR(MATCH(D3595,Projects!$A:$A,0),""))</f>
        <v/>
      </c>
    </row>
    <row r="3596" spans="31:32" x14ac:dyDescent="0.25">
      <c r="AE3596" s="39" t="str">
        <f>IF(D3596="","",IFERROR(VLOOKUP(D3596,Projects!$A$2:$A$20000,1,FALSE),""))</f>
        <v/>
      </c>
      <c r="AF3596" s="2" t="str">
        <f>IF(D3596="","",IFERROR(MATCH(D3596,Projects!$A:$A,0),""))</f>
        <v/>
      </c>
    </row>
    <row r="3597" spans="31:32" x14ac:dyDescent="0.25">
      <c r="AE3597" s="39" t="str">
        <f>IF(D3597="","",IFERROR(VLOOKUP(D3597,Projects!$A$2:$A$20000,1,FALSE),""))</f>
        <v/>
      </c>
      <c r="AF3597" s="2" t="str">
        <f>IF(D3597="","",IFERROR(MATCH(D3597,Projects!$A:$A,0),""))</f>
        <v/>
      </c>
    </row>
    <row r="3598" spans="31:32" x14ac:dyDescent="0.25">
      <c r="AE3598" s="39" t="str">
        <f>IF(D3598="","",IFERROR(VLOOKUP(D3598,Projects!$A$2:$A$20000,1,FALSE),""))</f>
        <v/>
      </c>
      <c r="AF3598" s="2" t="str">
        <f>IF(D3598="","",IFERROR(MATCH(D3598,Projects!$A:$A,0),""))</f>
        <v/>
      </c>
    </row>
    <row r="3599" spans="31:32" x14ac:dyDescent="0.25">
      <c r="AE3599" s="39" t="str">
        <f>IF(D3599="","",IFERROR(VLOOKUP(D3599,Projects!$A$2:$A$20000,1,FALSE),""))</f>
        <v/>
      </c>
      <c r="AF3599" s="2" t="str">
        <f>IF(D3599="","",IFERROR(MATCH(D3599,Projects!$A:$A,0),""))</f>
        <v/>
      </c>
    </row>
    <row r="3600" spans="31:32" x14ac:dyDescent="0.25">
      <c r="AE3600" s="39" t="str">
        <f>IF(D3600="","",IFERROR(VLOOKUP(D3600,Projects!$A$2:$A$20000,1,FALSE),""))</f>
        <v/>
      </c>
      <c r="AF3600" s="2" t="str">
        <f>IF(D3600="","",IFERROR(MATCH(D3600,Projects!$A:$A,0),""))</f>
        <v/>
      </c>
    </row>
    <row r="3601" spans="31:32" x14ac:dyDescent="0.25">
      <c r="AE3601" s="39" t="str">
        <f>IF(D3601="","",IFERROR(VLOOKUP(D3601,Projects!$A$2:$A$20000,1,FALSE),""))</f>
        <v/>
      </c>
      <c r="AF3601" s="2" t="str">
        <f>IF(D3601="","",IFERROR(MATCH(D3601,Projects!$A:$A,0),""))</f>
        <v/>
      </c>
    </row>
    <row r="3602" spans="31:32" x14ac:dyDescent="0.25">
      <c r="AE3602" s="39" t="str">
        <f>IF(D3602="","",IFERROR(VLOOKUP(D3602,Projects!$A$2:$A$20000,1,FALSE),""))</f>
        <v/>
      </c>
      <c r="AF3602" s="2" t="str">
        <f>IF(D3602="","",IFERROR(MATCH(D3602,Projects!$A:$A,0),""))</f>
        <v/>
      </c>
    </row>
    <row r="3603" spans="31:32" x14ac:dyDescent="0.25">
      <c r="AE3603" s="39" t="str">
        <f>IF(D3603="","",IFERROR(VLOOKUP(D3603,Projects!$A$2:$A$20000,1,FALSE),""))</f>
        <v/>
      </c>
      <c r="AF3603" s="2" t="str">
        <f>IF(D3603="","",IFERROR(MATCH(D3603,Projects!$A:$A,0),""))</f>
        <v/>
      </c>
    </row>
    <row r="3604" spans="31:32" x14ac:dyDescent="0.25">
      <c r="AE3604" s="39" t="str">
        <f>IF(D3604="","",IFERROR(VLOOKUP(D3604,Projects!$A$2:$A$20000,1,FALSE),""))</f>
        <v/>
      </c>
      <c r="AF3604" s="2" t="str">
        <f>IF(D3604="","",IFERROR(MATCH(D3604,Projects!$A:$A,0),""))</f>
        <v/>
      </c>
    </row>
    <row r="3605" spans="31:32" x14ac:dyDescent="0.25">
      <c r="AE3605" s="39" t="str">
        <f>IF(D3605="","",IFERROR(VLOOKUP(D3605,Projects!$A$2:$A$20000,1,FALSE),""))</f>
        <v/>
      </c>
      <c r="AF3605" s="2" t="str">
        <f>IF(D3605="","",IFERROR(MATCH(D3605,Projects!$A:$A,0),""))</f>
        <v/>
      </c>
    </row>
    <row r="3606" spans="31:32" x14ac:dyDescent="0.25">
      <c r="AE3606" s="39" t="str">
        <f>IF(D3606="","",IFERROR(VLOOKUP(D3606,Projects!$A$2:$A$20000,1,FALSE),""))</f>
        <v/>
      </c>
      <c r="AF3606" s="2" t="str">
        <f>IF(D3606="","",IFERROR(MATCH(D3606,Projects!$A:$A,0),""))</f>
        <v/>
      </c>
    </row>
    <row r="3607" spans="31:32" x14ac:dyDescent="0.25">
      <c r="AE3607" s="39" t="str">
        <f>IF(D3607="","",IFERROR(VLOOKUP(D3607,Projects!$A$2:$A$20000,1,FALSE),""))</f>
        <v/>
      </c>
      <c r="AF3607" s="2" t="str">
        <f>IF(D3607="","",IFERROR(MATCH(D3607,Projects!$A:$A,0),""))</f>
        <v/>
      </c>
    </row>
    <row r="3608" spans="31:32" x14ac:dyDescent="0.25">
      <c r="AE3608" s="39" t="str">
        <f>IF(D3608="","",IFERROR(VLOOKUP(D3608,Projects!$A$2:$A$20000,1,FALSE),""))</f>
        <v/>
      </c>
      <c r="AF3608" s="2" t="str">
        <f>IF(D3608="","",IFERROR(MATCH(D3608,Projects!$A:$A,0),""))</f>
        <v/>
      </c>
    </row>
    <row r="3609" spans="31:32" x14ac:dyDescent="0.25">
      <c r="AE3609" s="39" t="str">
        <f>IF(D3609="","",IFERROR(VLOOKUP(D3609,Projects!$A$2:$A$20000,1,FALSE),""))</f>
        <v/>
      </c>
      <c r="AF3609" s="2" t="str">
        <f>IF(D3609="","",IFERROR(MATCH(D3609,Projects!$A:$A,0),""))</f>
        <v/>
      </c>
    </row>
    <row r="3610" spans="31:32" x14ac:dyDescent="0.25">
      <c r="AE3610" s="39" t="str">
        <f>IF(D3610="","",IFERROR(VLOOKUP(D3610,Projects!$A$2:$A$20000,1,FALSE),""))</f>
        <v/>
      </c>
      <c r="AF3610" s="2" t="str">
        <f>IF(D3610="","",IFERROR(MATCH(D3610,Projects!$A:$A,0),""))</f>
        <v/>
      </c>
    </row>
    <row r="3611" spans="31:32" x14ac:dyDescent="0.25">
      <c r="AE3611" s="39" t="str">
        <f>IF(D3611="","",IFERROR(VLOOKUP(D3611,Projects!$A$2:$A$20000,1,FALSE),""))</f>
        <v/>
      </c>
      <c r="AF3611" s="2" t="str">
        <f>IF(D3611="","",IFERROR(MATCH(D3611,Projects!$A:$A,0),""))</f>
        <v/>
      </c>
    </row>
    <row r="3612" spans="31:32" x14ac:dyDescent="0.25">
      <c r="AE3612" s="39" t="str">
        <f>IF(D3612="","",IFERROR(VLOOKUP(D3612,Projects!$A$2:$A$20000,1,FALSE),""))</f>
        <v/>
      </c>
      <c r="AF3612" s="2" t="str">
        <f>IF(D3612="","",IFERROR(MATCH(D3612,Projects!$A:$A,0),""))</f>
        <v/>
      </c>
    </row>
    <row r="3613" spans="31:32" x14ac:dyDescent="0.25">
      <c r="AE3613" s="39" t="str">
        <f>IF(D3613="","",IFERROR(VLOOKUP(D3613,Projects!$A$2:$A$20000,1,FALSE),""))</f>
        <v/>
      </c>
      <c r="AF3613" s="2" t="str">
        <f>IF(D3613="","",IFERROR(MATCH(D3613,Projects!$A:$A,0),""))</f>
        <v/>
      </c>
    </row>
    <row r="3614" spans="31:32" x14ac:dyDescent="0.25">
      <c r="AE3614" s="39" t="str">
        <f>IF(D3614="","",IFERROR(VLOOKUP(D3614,Projects!$A$2:$A$20000,1,FALSE),""))</f>
        <v/>
      </c>
      <c r="AF3614" s="2" t="str">
        <f>IF(D3614="","",IFERROR(MATCH(D3614,Projects!$A:$A,0),""))</f>
        <v/>
      </c>
    </row>
    <row r="3615" spans="31:32" x14ac:dyDescent="0.25">
      <c r="AE3615" s="39" t="str">
        <f>IF(D3615="","",IFERROR(VLOOKUP(D3615,Projects!$A$2:$A$20000,1,FALSE),""))</f>
        <v/>
      </c>
      <c r="AF3615" s="2" t="str">
        <f>IF(D3615="","",IFERROR(MATCH(D3615,Projects!$A:$A,0),""))</f>
        <v/>
      </c>
    </row>
    <row r="3616" spans="31:32" x14ac:dyDescent="0.25">
      <c r="AE3616" s="39" t="str">
        <f>IF(D3616="","",IFERROR(VLOOKUP(D3616,Projects!$A$2:$A$20000,1,FALSE),""))</f>
        <v/>
      </c>
      <c r="AF3616" s="2" t="str">
        <f>IF(D3616="","",IFERROR(MATCH(D3616,Projects!$A:$A,0),""))</f>
        <v/>
      </c>
    </row>
    <row r="3617" spans="31:32" x14ac:dyDescent="0.25">
      <c r="AE3617" s="39" t="str">
        <f>IF(D3617="","",IFERROR(VLOOKUP(D3617,Projects!$A$2:$A$20000,1,FALSE),""))</f>
        <v/>
      </c>
      <c r="AF3617" s="2" t="str">
        <f>IF(D3617="","",IFERROR(MATCH(D3617,Projects!$A:$A,0),""))</f>
        <v/>
      </c>
    </row>
    <row r="3618" spans="31:32" x14ac:dyDescent="0.25">
      <c r="AE3618" s="39" t="str">
        <f>IF(D3618="","",IFERROR(VLOOKUP(D3618,Projects!$A$2:$A$20000,1,FALSE),""))</f>
        <v/>
      </c>
      <c r="AF3618" s="2" t="str">
        <f>IF(D3618="","",IFERROR(MATCH(D3618,Projects!$A:$A,0),""))</f>
        <v/>
      </c>
    </row>
    <row r="3619" spans="31:32" x14ac:dyDescent="0.25">
      <c r="AE3619" s="39" t="str">
        <f>IF(D3619="","",IFERROR(VLOOKUP(D3619,Projects!$A$2:$A$20000,1,FALSE),""))</f>
        <v/>
      </c>
      <c r="AF3619" s="2" t="str">
        <f>IF(D3619="","",IFERROR(MATCH(D3619,Projects!$A:$A,0),""))</f>
        <v/>
      </c>
    </row>
    <row r="3620" spans="31:32" x14ac:dyDescent="0.25">
      <c r="AE3620" s="39" t="str">
        <f>IF(D3620="","",IFERROR(VLOOKUP(D3620,Projects!$A$2:$A$20000,1,FALSE),""))</f>
        <v/>
      </c>
      <c r="AF3620" s="2" t="str">
        <f>IF(D3620="","",IFERROR(MATCH(D3620,Projects!$A:$A,0),""))</f>
        <v/>
      </c>
    </row>
    <row r="3621" spans="31:32" x14ac:dyDescent="0.25">
      <c r="AE3621" s="39" t="str">
        <f>IF(D3621="","",IFERROR(VLOOKUP(D3621,Projects!$A$2:$A$20000,1,FALSE),""))</f>
        <v/>
      </c>
      <c r="AF3621" s="2" t="str">
        <f>IF(D3621="","",IFERROR(MATCH(D3621,Projects!$A:$A,0),""))</f>
        <v/>
      </c>
    </row>
    <row r="3622" spans="31:32" x14ac:dyDescent="0.25">
      <c r="AE3622" s="39" t="str">
        <f>IF(D3622="","",IFERROR(VLOOKUP(D3622,Projects!$A$2:$A$20000,1,FALSE),""))</f>
        <v/>
      </c>
      <c r="AF3622" s="2" t="str">
        <f>IF(D3622="","",IFERROR(MATCH(D3622,Projects!$A:$A,0),""))</f>
        <v/>
      </c>
    </row>
    <row r="3623" spans="31:32" x14ac:dyDescent="0.25">
      <c r="AE3623" s="39" t="str">
        <f>IF(D3623="","",IFERROR(VLOOKUP(D3623,Projects!$A$2:$A$20000,1,FALSE),""))</f>
        <v/>
      </c>
      <c r="AF3623" s="2" t="str">
        <f>IF(D3623="","",IFERROR(MATCH(D3623,Projects!$A:$A,0),""))</f>
        <v/>
      </c>
    </row>
    <row r="3624" spans="31:32" x14ac:dyDescent="0.25">
      <c r="AE3624" s="39" t="str">
        <f>IF(D3624="","",IFERROR(VLOOKUP(D3624,Projects!$A$2:$A$20000,1,FALSE),""))</f>
        <v/>
      </c>
      <c r="AF3624" s="2" t="str">
        <f>IF(D3624="","",IFERROR(MATCH(D3624,Projects!$A:$A,0),""))</f>
        <v/>
      </c>
    </row>
    <row r="3625" spans="31:32" x14ac:dyDescent="0.25">
      <c r="AE3625" s="39" t="str">
        <f>IF(D3625="","",IFERROR(VLOOKUP(D3625,Projects!$A$2:$A$20000,1,FALSE),""))</f>
        <v/>
      </c>
      <c r="AF3625" s="2" t="str">
        <f>IF(D3625="","",IFERROR(MATCH(D3625,Projects!$A:$A,0),""))</f>
        <v/>
      </c>
    </row>
    <row r="3626" spans="31:32" x14ac:dyDescent="0.25">
      <c r="AE3626" s="39" t="str">
        <f>IF(D3626="","",IFERROR(VLOOKUP(D3626,Projects!$A$2:$A$20000,1,FALSE),""))</f>
        <v/>
      </c>
      <c r="AF3626" s="2" t="str">
        <f>IF(D3626="","",IFERROR(MATCH(D3626,Projects!$A:$A,0),""))</f>
        <v/>
      </c>
    </row>
    <row r="3627" spans="31:32" x14ac:dyDescent="0.25">
      <c r="AE3627" s="39" t="str">
        <f>IF(D3627="","",IFERROR(VLOOKUP(D3627,Projects!$A$2:$A$20000,1,FALSE),""))</f>
        <v/>
      </c>
      <c r="AF3627" s="2" t="str">
        <f>IF(D3627="","",IFERROR(MATCH(D3627,Projects!$A:$A,0),""))</f>
        <v/>
      </c>
    </row>
    <row r="3628" spans="31:32" x14ac:dyDescent="0.25">
      <c r="AE3628" s="39" t="str">
        <f>IF(D3628="","",IFERROR(VLOOKUP(D3628,Projects!$A$2:$A$20000,1,FALSE),""))</f>
        <v/>
      </c>
      <c r="AF3628" s="2" t="str">
        <f>IF(D3628="","",IFERROR(MATCH(D3628,Projects!$A:$A,0),""))</f>
        <v/>
      </c>
    </row>
    <row r="3629" spans="31:32" x14ac:dyDescent="0.25">
      <c r="AE3629" s="39" t="str">
        <f>IF(D3629="","",IFERROR(VLOOKUP(D3629,Projects!$A$2:$A$20000,1,FALSE),""))</f>
        <v/>
      </c>
      <c r="AF3629" s="2" t="str">
        <f>IF(D3629="","",IFERROR(MATCH(D3629,Projects!$A:$A,0),""))</f>
        <v/>
      </c>
    </row>
    <row r="3630" spans="31:32" x14ac:dyDescent="0.25">
      <c r="AE3630" s="39" t="str">
        <f>IF(D3630="","",IFERROR(VLOOKUP(D3630,Projects!$A$2:$A$20000,1,FALSE),""))</f>
        <v/>
      </c>
      <c r="AF3630" s="2" t="str">
        <f>IF(D3630="","",IFERROR(MATCH(D3630,Projects!$A:$A,0),""))</f>
        <v/>
      </c>
    </row>
    <row r="3631" spans="31:32" x14ac:dyDescent="0.25">
      <c r="AE3631" s="39" t="str">
        <f>IF(D3631="","",IFERROR(VLOOKUP(D3631,Projects!$A$2:$A$20000,1,FALSE),""))</f>
        <v/>
      </c>
      <c r="AF3631" s="2" t="str">
        <f>IF(D3631="","",IFERROR(MATCH(D3631,Projects!$A:$A,0),""))</f>
        <v/>
      </c>
    </row>
    <row r="3632" spans="31:32" x14ac:dyDescent="0.25">
      <c r="AE3632" s="39" t="str">
        <f>IF(D3632="","",IFERROR(VLOOKUP(D3632,Projects!$A$2:$A$20000,1,FALSE),""))</f>
        <v/>
      </c>
      <c r="AF3632" s="2" t="str">
        <f>IF(D3632="","",IFERROR(MATCH(D3632,Projects!$A:$A,0),""))</f>
        <v/>
      </c>
    </row>
    <row r="3633" spans="31:32" x14ac:dyDescent="0.25">
      <c r="AE3633" s="39" t="str">
        <f>IF(D3633="","",IFERROR(VLOOKUP(D3633,Projects!$A$2:$A$20000,1,FALSE),""))</f>
        <v/>
      </c>
      <c r="AF3633" s="2" t="str">
        <f>IF(D3633="","",IFERROR(MATCH(D3633,Projects!$A:$A,0),""))</f>
        <v/>
      </c>
    </row>
    <row r="3634" spans="31:32" x14ac:dyDescent="0.25">
      <c r="AE3634" s="39" t="str">
        <f>IF(D3634="","",IFERROR(VLOOKUP(D3634,Projects!$A$2:$A$20000,1,FALSE),""))</f>
        <v/>
      </c>
      <c r="AF3634" s="2" t="str">
        <f>IF(D3634="","",IFERROR(MATCH(D3634,Projects!$A:$A,0),""))</f>
        <v/>
      </c>
    </row>
    <row r="3635" spans="31:32" x14ac:dyDescent="0.25">
      <c r="AE3635" s="39" t="str">
        <f>IF(D3635="","",IFERROR(VLOOKUP(D3635,Projects!$A$2:$A$20000,1,FALSE),""))</f>
        <v/>
      </c>
      <c r="AF3635" s="2" t="str">
        <f>IF(D3635="","",IFERROR(MATCH(D3635,Projects!$A:$A,0),""))</f>
        <v/>
      </c>
    </row>
    <row r="3636" spans="31:32" x14ac:dyDescent="0.25">
      <c r="AE3636" s="39" t="str">
        <f>IF(D3636="","",IFERROR(VLOOKUP(D3636,Projects!$A$2:$A$20000,1,FALSE),""))</f>
        <v/>
      </c>
      <c r="AF3636" s="2" t="str">
        <f>IF(D3636="","",IFERROR(MATCH(D3636,Projects!$A:$A,0),""))</f>
        <v/>
      </c>
    </row>
    <row r="3637" spans="31:32" x14ac:dyDescent="0.25">
      <c r="AE3637" s="39" t="str">
        <f>IF(D3637="","",IFERROR(VLOOKUP(D3637,Projects!$A$2:$A$20000,1,FALSE),""))</f>
        <v/>
      </c>
      <c r="AF3637" s="2" t="str">
        <f>IF(D3637="","",IFERROR(MATCH(D3637,Projects!$A:$A,0),""))</f>
        <v/>
      </c>
    </row>
    <row r="3638" spans="31:32" x14ac:dyDescent="0.25">
      <c r="AE3638" s="39" t="str">
        <f>IF(D3638="","",IFERROR(VLOOKUP(D3638,Projects!$A$2:$A$20000,1,FALSE),""))</f>
        <v/>
      </c>
      <c r="AF3638" s="2" t="str">
        <f>IF(D3638="","",IFERROR(MATCH(D3638,Projects!$A:$A,0),""))</f>
        <v/>
      </c>
    </row>
    <row r="3639" spans="31:32" x14ac:dyDescent="0.25">
      <c r="AE3639" s="39" t="str">
        <f>IF(D3639="","",IFERROR(VLOOKUP(D3639,Projects!$A$2:$A$20000,1,FALSE),""))</f>
        <v/>
      </c>
      <c r="AF3639" s="2" t="str">
        <f>IF(D3639="","",IFERROR(MATCH(D3639,Projects!$A:$A,0),""))</f>
        <v/>
      </c>
    </row>
    <row r="3640" spans="31:32" x14ac:dyDescent="0.25">
      <c r="AE3640" s="39" t="str">
        <f>IF(D3640="","",IFERROR(VLOOKUP(D3640,Projects!$A$2:$A$20000,1,FALSE),""))</f>
        <v/>
      </c>
      <c r="AF3640" s="2" t="str">
        <f>IF(D3640="","",IFERROR(MATCH(D3640,Projects!$A:$A,0),""))</f>
        <v/>
      </c>
    </row>
    <row r="3641" spans="31:32" x14ac:dyDescent="0.25">
      <c r="AE3641" s="39" t="str">
        <f>IF(D3641="","",IFERROR(VLOOKUP(D3641,Projects!$A$2:$A$20000,1,FALSE),""))</f>
        <v/>
      </c>
      <c r="AF3641" s="2" t="str">
        <f>IF(D3641="","",IFERROR(MATCH(D3641,Projects!$A:$A,0),""))</f>
        <v/>
      </c>
    </row>
    <row r="3642" spans="31:32" x14ac:dyDescent="0.25">
      <c r="AE3642" s="39" t="str">
        <f>IF(D3642="","",IFERROR(VLOOKUP(D3642,Projects!$A$2:$A$20000,1,FALSE),""))</f>
        <v/>
      </c>
      <c r="AF3642" s="2" t="str">
        <f>IF(D3642="","",IFERROR(MATCH(D3642,Projects!$A:$A,0),""))</f>
        <v/>
      </c>
    </row>
    <row r="3643" spans="31:32" x14ac:dyDescent="0.25">
      <c r="AE3643" s="39" t="str">
        <f>IF(D3643="","",IFERROR(VLOOKUP(D3643,Projects!$A$2:$A$20000,1,FALSE),""))</f>
        <v/>
      </c>
      <c r="AF3643" s="2" t="str">
        <f>IF(D3643="","",IFERROR(MATCH(D3643,Projects!$A:$A,0),""))</f>
        <v/>
      </c>
    </row>
    <row r="3644" spans="31:32" x14ac:dyDescent="0.25">
      <c r="AE3644" s="39" t="str">
        <f>IF(D3644="","",IFERROR(VLOOKUP(D3644,Projects!$A$2:$A$20000,1,FALSE),""))</f>
        <v/>
      </c>
      <c r="AF3644" s="2" t="str">
        <f>IF(D3644="","",IFERROR(MATCH(D3644,Projects!$A:$A,0),""))</f>
        <v/>
      </c>
    </row>
    <row r="3645" spans="31:32" x14ac:dyDescent="0.25">
      <c r="AE3645" s="39" t="str">
        <f>IF(D3645="","",IFERROR(VLOOKUP(D3645,Projects!$A$2:$A$20000,1,FALSE),""))</f>
        <v/>
      </c>
      <c r="AF3645" s="2" t="str">
        <f>IF(D3645="","",IFERROR(MATCH(D3645,Projects!$A:$A,0),""))</f>
        <v/>
      </c>
    </row>
    <row r="3646" spans="31:32" x14ac:dyDescent="0.25">
      <c r="AE3646" s="39" t="str">
        <f>IF(D3646="","",IFERROR(VLOOKUP(D3646,Projects!$A$2:$A$20000,1,FALSE),""))</f>
        <v/>
      </c>
      <c r="AF3646" s="2" t="str">
        <f>IF(D3646="","",IFERROR(MATCH(D3646,Projects!$A:$A,0),""))</f>
        <v/>
      </c>
    </row>
    <row r="3647" spans="31:32" x14ac:dyDescent="0.25">
      <c r="AE3647" s="39" t="str">
        <f>IF(D3647="","",IFERROR(VLOOKUP(D3647,Projects!$A$2:$A$20000,1,FALSE),""))</f>
        <v/>
      </c>
      <c r="AF3647" s="2" t="str">
        <f>IF(D3647="","",IFERROR(MATCH(D3647,Projects!$A:$A,0),""))</f>
        <v/>
      </c>
    </row>
    <row r="3648" spans="31:32" x14ac:dyDescent="0.25">
      <c r="AE3648" s="39" t="str">
        <f>IF(D3648="","",IFERROR(VLOOKUP(D3648,Projects!$A$2:$A$20000,1,FALSE),""))</f>
        <v/>
      </c>
      <c r="AF3648" s="2" t="str">
        <f>IF(D3648="","",IFERROR(MATCH(D3648,Projects!$A:$A,0),""))</f>
        <v/>
      </c>
    </row>
    <row r="3649" spans="31:32" x14ac:dyDescent="0.25">
      <c r="AE3649" s="39" t="str">
        <f>IF(D3649="","",IFERROR(VLOOKUP(D3649,Projects!$A$2:$A$20000,1,FALSE),""))</f>
        <v/>
      </c>
      <c r="AF3649" s="2" t="str">
        <f>IF(D3649="","",IFERROR(MATCH(D3649,Projects!$A:$A,0),""))</f>
        <v/>
      </c>
    </row>
    <row r="3650" spans="31:32" x14ac:dyDescent="0.25">
      <c r="AE3650" s="39" t="str">
        <f>IF(D3650="","",IFERROR(VLOOKUP(D3650,Projects!$A$2:$A$20000,1,FALSE),""))</f>
        <v/>
      </c>
      <c r="AF3650" s="2" t="str">
        <f>IF(D3650="","",IFERROR(MATCH(D3650,Projects!$A:$A,0),""))</f>
        <v/>
      </c>
    </row>
    <row r="3651" spans="31:32" x14ac:dyDescent="0.25">
      <c r="AE3651" s="39" t="str">
        <f>IF(D3651="","",IFERROR(VLOOKUP(D3651,Projects!$A$2:$A$20000,1,FALSE),""))</f>
        <v/>
      </c>
      <c r="AF3651" s="2" t="str">
        <f>IF(D3651="","",IFERROR(MATCH(D3651,Projects!$A:$A,0),""))</f>
        <v/>
      </c>
    </row>
    <row r="3652" spans="31:32" x14ac:dyDescent="0.25">
      <c r="AE3652" s="39" t="str">
        <f>IF(D3652="","",IFERROR(VLOOKUP(D3652,Projects!$A$2:$A$20000,1,FALSE),""))</f>
        <v/>
      </c>
      <c r="AF3652" s="2" t="str">
        <f>IF(D3652="","",IFERROR(MATCH(D3652,Projects!$A:$A,0),""))</f>
        <v/>
      </c>
    </row>
    <row r="3653" spans="31:32" x14ac:dyDescent="0.25">
      <c r="AE3653" s="39" t="str">
        <f>IF(D3653="","",IFERROR(VLOOKUP(D3653,Projects!$A$2:$A$20000,1,FALSE),""))</f>
        <v/>
      </c>
      <c r="AF3653" s="2" t="str">
        <f>IF(D3653="","",IFERROR(MATCH(D3653,Projects!$A:$A,0),""))</f>
        <v/>
      </c>
    </row>
    <row r="3654" spans="31:32" x14ac:dyDescent="0.25">
      <c r="AE3654" s="39" t="str">
        <f>IF(D3654="","",IFERROR(VLOOKUP(D3654,Projects!$A$2:$A$20000,1,FALSE),""))</f>
        <v/>
      </c>
      <c r="AF3654" s="2" t="str">
        <f>IF(D3654="","",IFERROR(MATCH(D3654,Projects!$A:$A,0),""))</f>
        <v/>
      </c>
    </row>
    <row r="3655" spans="31:32" x14ac:dyDescent="0.25">
      <c r="AE3655" s="39" t="str">
        <f>IF(D3655="","",IFERROR(VLOOKUP(D3655,Projects!$A$2:$A$20000,1,FALSE),""))</f>
        <v/>
      </c>
      <c r="AF3655" s="2" t="str">
        <f>IF(D3655="","",IFERROR(MATCH(D3655,Projects!$A:$A,0),""))</f>
        <v/>
      </c>
    </row>
    <row r="3656" spans="31:32" x14ac:dyDescent="0.25">
      <c r="AE3656" s="39" t="str">
        <f>IF(D3656="","",IFERROR(VLOOKUP(D3656,Projects!$A$2:$A$20000,1,FALSE),""))</f>
        <v/>
      </c>
      <c r="AF3656" s="2" t="str">
        <f>IF(D3656="","",IFERROR(MATCH(D3656,Projects!$A:$A,0),""))</f>
        <v/>
      </c>
    </row>
    <row r="3657" spans="31:32" x14ac:dyDescent="0.25">
      <c r="AE3657" s="39" t="str">
        <f>IF(D3657="","",IFERROR(VLOOKUP(D3657,Projects!$A$2:$A$20000,1,FALSE),""))</f>
        <v/>
      </c>
      <c r="AF3657" s="2" t="str">
        <f>IF(D3657="","",IFERROR(MATCH(D3657,Projects!$A:$A,0),""))</f>
        <v/>
      </c>
    </row>
    <row r="3658" spans="31:32" x14ac:dyDescent="0.25">
      <c r="AE3658" s="39" t="str">
        <f>IF(D3658="","",IFERROR(VLOOKUP(D3658,Projects!$A$2:$A$20000,1,FALSE),""))</f>
        <v/>
      </c>
      <c r="AF3658" s="2" t="str">
        <f>IF(D3658="","",IFERROR(MATCH(D3658,Projects!$A:$A,0),""))</f>
        <v/>
      </c>
    </row>
    <row r="3659" spans="31:32" x14ac:dyDescent="0.25">
      <c r="AE3659" s="39" t="str">
        <f>IF(D3659="","",IFERROR(VLOOKUP(D3659,Projects!$A$2:$A$20000,1,FALSE),""))</f>
        <v/>
      </c>
      <c r="AF3659" s="2" t="str">
        <f>IF(D3659="","",IFERROR(MATCH(D3659,Projects!$A:$A,0),""))</f>
        <v/>
      </c>
    </row>
    <row r="3660" spans="31:32" x14ac:dyDescent="0.25">
      <c r="AE3660" s="39" t="str">
        <f>IF(D3660="","",IFERROR(VLOOKUP(D3660,Projects!$A$2:$A$20000,1,FALSE),""))</f>
        <v/>
      </c>
      <c r="AF3660" s="2" t="str">
        <f>IF(D3660="","",IFERROR(MATCH(D3660,Projects!$A:$A,0),""))</f>
        <v/>
      </c>
    </row>
    <row r="3661" spans="31:32" x14ac:dyDescent="0.25">
      <c r="AE3661" s="39" t="str">
        <f>IF(D3661="","",IFERROR(VLOOKUP(D3661,Projects!$A$2:$A$20000,1,FALSE),""))</f>
        <v/>
      </c>
      <c r="AF3661" s="2" t="str">
        <f>IF(D3661="","",IFERROR(MATCH(D3661,Projects!$A:$A,0),""))</f>
        <v/>
      </c>
    </row>
    <row r="3662" spans="31:32" x14ac:dyDescent="0.25">
      <c r="AE3662" s="39" t="str">
        <f>IF(D3662="","",IFERROR(VLOOKUP(D3662,Projects!$A$2:$A$20000,1,FALSE),""))</f>
        <v/>
      </c>
      <c r="AF3662" s="2" t="str">
        <f>IF(D3662="","",IFERROR(MATCH(D3662,Projects!$A:$A,0),""))</f>
        <v/>
      </c>
    </row>
    <row r="3663" spans="31:32" x14ac:dyDescent="0.25">
      <c r="AE3663" s="39" t="str">
        <f>IF(D3663="","",IFERROR(VLOOKUP(D3663,Projects!$A$2:$A$20000,1,FALSE),""))</f>
        <v/>
      </c>
      <c r="AF3663" s="2" t="str">
        <f>IF(D3663="","",IFERROR(MATCH(D3663,Projects!$A:$A,0),""))</f>
        <v/>
      </c>
    </row>
    <row r="3664" spans="31:32" x14ac:dyDescent="0.25">
      <c r="AE3664" s="39" t="str">
        <f>IF(D3664="","",IFERROR(VLOOKUP(D3664,Projects!$A$2:$A$20000,1,FALSE),""))</f>
        <v/>
      </c>
      <c r="AF3664" s="2" t="str">
        <f>IF(D3664="","",IFERROR(MATCH(D3664,Projects!$A:$A,0),""))</f>
        <v/>
      </c>
    </row>
    <row r="3665" spans="31:32" x14ac:dyDescent="0.25">
      <c r="AE3665" s="39" t="str">
        <f>IF(D3665="","",IFERROR(VLOOKUP(D3665,Projects!$A$2:$A$20000,1,FALSE),""))</f>
        <v/>
      </c>
      <c r="AF3665" s="2" t="str">
        <f>IF(D3665="","",IFERROR(MATCH(D3665,Projects!$A:$A,0),""))</f>
        <v/>
      </c>
    </row>
    <row r="3666" spans="31:32" x14ac:dyDescent="0.25">
      <c r="AE3666" s="39" t="str">
        <f>IF(D3666="","",IFERROR(VLOOKUP(D3666,Projects!$A$2:$A$20000,1,FALSE),""))</f>
        <v/>
      </c>
      <c r="AF3666" s="2" t="str">
        <f>IF(D3666="","",IFERROR(MATCH(D3666,Projects!$A:$A,0),""))</f>
        <v/>
      </c>
    </row>
    <row r="3667" spans="31:32" x14ac:dyDescent="0.25">
      <c r="AE3667" s="39" t="str">
        <f>IF(D3667="","",IFERROR(VLOOKUP(D3667,Projects!$A$2:$A$20000,1,FALSE),""))</f>
        <v/>
      </c>
      <c r="AF3667" s="2" t="str">
        <f>IF(D3667="","",IFERROR(MATCH(D3667,Projects!$A:$A,0),""))</f>
        <v/>
      </c>
    </row>
    <row r="3668" spans="31:32" x14ac:dyDescent="0.25">
      <c r="AE3668" s="39" t="str">
        <f>IF(D3668="","",IFERROR(VLOOKUP(D3668,Projects!$A$2:$A$20000,1,FALSE),""))</f>
        <v/>
      </c>
      <c r="AF3668" s="2" t="str">
        <f>IF(D3668="","",IFERROR(MATCH(D3668,Projects!$A:$A,0),""))</f>
        <v/>
      </c>
    </row>
    <row r="3669" spans="31:32" x14ac:dyDescent="0.25">
      <c r="AE3669" s="39" t="str">
        <f>IF(D3669="","",IFERROR(VLOOKUP(D3669,Projects!$A$2:$A$20000,1,FALSE),""))</f>
        <v/>
      </c>
      <c r="AF3669" s="2" t="str">
        <f>IF(D3669="","",IFERROR(MATCH(D3669,Projects!$A:$A,0),""))</f>
        <v/>
      </c>
    </row>
    <row r="3670" spans="31:32" x14ac:dyDescent="0.25">
      <c r="AE3670" s="39" t="str">
        <f>IF(D3670="","",IFERROR(VLOOKUP(D3670,Projects!$A$2:$A$20000,1,FALSE),""))</f>
        <v/>
      </c>
      <c r="AF3670" s="2" t="str">
        <f>IF(D3670="","",IFERROR(MATCH(D3670,Projects!$A:$A,0),""))</f>
        <v/>
      </c>
    </row>
    <row r="3671" spans="31:32" x14ac:dyDescent="0.25">
      <c r="AE3671" s="39" t="str">
        <f>IF(D3671="","",IFERROR(VLOOKUP(D3671,Projects!$A$2:$A$20000,1,FALSE),""))</f>
        <v/>
      </c>
      <c r="AF3671" s="2" t="str">
        <f>IF(D3671="","",IFERROR(MATCH(D3671,Projects!$A:$A,0),""))</f>
        <v/>
      </c>
    </row>
    <row r="3672" spans="31:32" x14ac:dyDescent="0.25">
      <c r="AE3672" s="39" t="str">
        <f>IF(D3672="","",IFERROR(VLOOKUP(D3672,Projects!$A$2:$A$20000,1,FALSE),""))</f>
        <v/>
      </c>
      <c r="AF3672" s="2" t="str">
        <f>IF(D3672="","",IFERROR(MATCH(D3672,Projects!$A:$A,0),""))</f>
        <v/>
      </c>
    </row>
    <row r="3673" spans="31:32" x14ac:dyDescent="0.25">
      <c r="AE3673" s="39" t="str">
        <f>IF(D3673="","",IFERROR(VLOOKUP(D3673,Projects!$A$2:$A$20000,1,FALSE),""))</f>
        <v/>
      </c>
      <c r="AF3673" s="2" t="str">
        <f>IF(D3673="","",IFERROR(MATCH(D3673,Projects!$A:$A,0),""))</f>
        <v/>
      </c>
    </row>
    <row r="3674" spans="31:32" x14ac:dyDescent="0.25">
      <c r="AE3674" s="39" t="str">
        <f>IF(D3674="","",IFERROR(VLOOKUP(D3674,Projects!$A$2:$A$20000,1,FALSE),""))</f>
        <v/>
      </c>
      <c r="AF3674" s="2" t="str">
        <f>IF(D3674="","",IFERROR(MATCH(D3674,Projects!$A:$A,0),""))</f>
        <v/>
      </c>
    </row>
    <row r="3675" spans="31:32" x14ac:dyDescent="0.25">
      <c r="AE3675" s="39" t="str">
        <f>IF(D3675="","",IFERROR(VLOOKUP(D3675,Projects!$A$2:$A$20000,1,FALSE),""))</f>
        <v/>
      </c>
      <c r="AF3675" s="2" t="str">
        <f>IF(D3675="","",IFERROR(MATCH(D3675,Projects!$A:$A,0),""))</f>
        <v/>
      </c>
    </row>
    <row r="3676" spans="31:32" x14ac:dyDescent="0.25">
      <c r="AE3676" s="39" t="str">
        <f>IF(D3676="","",IFERROR(VLOOKUP(D3676,Projects!$A$2:$A$20000,1,FALSE),""))</f>
        <v/>
      </c>
      <c r="AF3676" s="2" t="str">
        <f>IF(D3676="","",IFERROR(MATCH(D3676,Projects!$A:$A,0),""))</f>
        <v/>
      </c>
    </row>
    <row r="3677" spans="31:32" x14ac:dyDescent="0.25">
      <c r="AE3677" s="39" t="str">
        <f>IF(D3677="","",IFERROR(VLOOKUP(D3677,Projects!$A$2:$A$20000,1,FALSE),""))</f>
        <v/>
      </c>
      <c r="AF3677" s="2" t="str">
        <f>IF(D3677="","",IFERROR(MATCH(D3677,Projects!$A:$A,0),""))</f>
        <v/>
      </c>
    </row>
    <row r="3678" spans="31:32" x14ac:dyDescent="0.25">
      <c r="AE3678" s="39" t="str">
        <f>IF(D3678="","",IFERROR(VLOOKUP(D3678,Projects!$A$2:$A$20000,1,FALSE),""))</f>
        <v/>
      </c>
      <c r="AF3678" s="2" t="str">
        <f>IF(D3678="","",IFERROR(MATCH(D3678,Projects!$A:$A,0),""))</f>
        <v/>
      </c>
    </row>
    <row r="3679" spans="31:32" x14ac:dyDescent="0.25">
      <c r="AE3679" s="39" t="str">
        <f>IF(D3679="","",IFERROR(VLOOKUP(D3679,Projects!$A$2:$A$20000,1,FALSE),""))</f>
        <v/>
      </c>
      <c r="AF3679" s="2" t="str">
        <f>IF(D3679="","",IFERROR(MATCH(D3679,Projects!$A:$A,0),""))</f>
        <v/>
      </c>
    </row>
    <row r="3680" spans="31:32" x14ac:dyDescent="0.25">
      <c r="AE3680" s="39" t="str">
        <f>IF(D3680="","",IFERROR(VLOOKUP(D3680,Projects!$A$2:$A$20000,1,FALSE),""))</f>
        <v/>
      </c>
      <c r="AF3680" s="2" t="str">
        <f>IF(D3680="","",IFERROR(MATCH(D3680,Projects!$A:$A,0),""))</f>
        <v/>
      </c>
    </row>
    <row r="3681" spans="31:32" x14ac:dyDescent="0.25">
      <c r="AE3681" s="39" t="str">
        <f>IF(D3681="","",IFERROR(VLOOKUP(D3681,Projects!$A$2:$A$20000,1,FALSE),""))</f>
        <v/>
      </c>
      <c r="AF3681" s="2" t="str">
        <f>IF(D3681="","",IFERROR(MATCH(D3681,Projects!$A:$A,0),""))</f>
        <v/>
      </c>
    </row>
    <row r="3682" spans="31:32" x14ac:dyDescent="0.25">
      <c r="AE3682" s="39" t="str">
        <f>IF(D3682="","",IFERROR(VLOOKUP(D3682,Projects!$A$2:$A$20000,1,FALSE),""))</f>
        <v/>
      </c>
      <c r="AF3682" s="2" t="str">
        <f>IF(D3682="","",IFERROR(MATCH(D3682,Projects!$A:$A,0),""))</f>
        <v/>
      </c>
    </row>
    <row r="3683" spans="31:32" x14ac:dyDescent="0.25">
      <c r="AE3683" s="39" t="str">
        <f>IF(D3683="","",IFERROR(VLOOKUP(D3683,Projects!$A$2:$A$20000,1,FALSE),""))</f>
        <v/>
      </c>
      <c r="AF3683" s="2" t="str">
        <f>IF(D3683="","",IFERROR(MATCH(D3683,Projects!$A:$A,0),""))</f>
        <v/>
      </c>
    </row>
    <row r="3684" spans="31:32" x14ac:dyDescent="0.25">
      <c r="AE3684" s="39" t="str">
        <f>IF(D3684="","",IFERROR(VLOOKUP(D3684,Projects!$A$2:$A$20000,1,FALSE),""))</f>
        <v/>
      </c>
      <c r="AF3684" s="2" t="str">
        <f>IF(D3684="","",IFERROR(MATCH(D3684,Projects!$A:$A,0),""))</f>
        <v/>
      </c>
    </row>
    <row r="3685" spans="31:32" x14ac:dyDescent="0.25">
      <c r="AE3685" s="39" t="str">
        <f>IF(D3685="","",IFERROR(VLOOKUP(D3685,Projects!$A$2:$A$20000,1,FALSE),""))</f>
        <v/>
      </c>
      <c r="AF3685" s="2" t="str">
        <f>IF(D3685="","",IFERROR(MATCH(D3685,Projects!$A:$A,0),""))</f>
        <v/>
      </c>
    </row>
    <row r="3686" spans="31:32" x14ac:dyDescent="0.25">
      <c r="AE3686" s="39" t="str">
        <f>IF(D3686="","",IFERROR(VLOOKUP(D3686,Projects!$A$2:$A$20000,1,FALSE),""))</f>
        <v/>
      </c>
      <c r="AF3686" s="2" t="str">
        <f>IF(D3686="","",IFERROR(MATCH(D3686,Projects!$A:$A,0),""))</f>
        <v/>
      </c>
    </row>
    <row r="3687" spans="31:32" x14ac:dyDescent="0.25">
      <c r="AE3687" s="39" t="str">
        <f>IF(D3687="","",IFERROR(VLOOKUP(D3687,Projects!$A$2:$A$20000,1,FALSE),""))</f>
        <v/>
      </c>
      <c r="AF3687" s="2" t="str">
        <f>IF(D3687="","",IFERROR(MATCH(D3687,Projects!$A:$A,0),""))</f>
        <v/>
      </c>
    </row>
    <row r="3688" spans="31:32" x14ac:dyDescent="0.25">
      <c r="AE3688" s="39" t="str">
        <f>IF(D3688="","",IFERROR(VLOOKUP(D3688,Projects!$A$2:$A$20000,1,FALSE),""))</f>
        <v/>
      </c>
      <c r="AF3688" s="2" t="str">
        <f>IF(D3688="","",IFERROR(MATCH(D3688,Projects!$A:$A,0),""))</f>
        <v/>
      </c>
    </row>
    <row r="3689" spans="31:32" x14ac:dyDescent="0.25">
      <c r="AE3689" s="39" t="str">
        <f>IF(D3689="","",IFERROR(VLOOKUP(D3689,Projects!$A$2:$A$20000,1,FALSE),""))</f>
        <v/>
      </c>
      <c r="AF3689" s="2" t="str">
        <f>IF(D3689="","",IFERROR(MATCH(D3689,Projects!$A:$A,0),""))</f>
        <v/>
      </c>
    </row>
    <row r="3690" spans="31:32" x14ac:dyDescent="0.25">
      <c r="AE3690" s="39" t="str">
        <f>IF(D3690="","",IFERROR(VLOOKUP(D3690,Projects!$A$2:$A$20000,1,FALSE),""))</f>
        <v/>
      </c>
      <c r="AF3690" s="2" t="str">
        <f>IF(D3690="","",IFERROR(MATCH(D3690,Projects!$A:$A,0),""))</f>
        <v/>
      </c>
    </row>
    <row r="3691" spans="31:32" x14ac:dyDescent="0.25">
      <c r="AE3691" s="39" t="str">
        <f>IF(D3691="","",IFERROR(VLOOKUP(D3691,Projects!$A$2:$A$20000,1,FALSE),""))</f>
        <v/>
      </c>
      <c r="AF3691" s="2" t="str">
        <f>IF(D3691="","",IFERROR(MATCH(D3691,Projects!$A:$A,0),""))</f>
        <v/>
      </c>
    </row>
    <row r="3692" spans="31:32" x14ac:dyDescent="0.25">
      <c r="AE3692" s="39" t="str">
        <f>IF(D3692="","",IFERROR(VLOOKUP(D3692,Projects!$A$2:$A$20000,1,FALSE),""))</f>
        <v/>
      </c>
      <c r="AF3692" s="2" t="str">
        <f>IF(D3692="","",IFERROR(MATCH(D3692,Projects!$A:$A,0),""))</f>
        <v/>
      </c>
    </row>
    <row r="3693" spans="31:32" x14ac:dyDescent="0.25">
      <c r="AE3693" s="39" t="str">
        <f>IF(D3693="","",IFERROR(VLOOKUP(D3693,Projects!$A$2:$A$20000,1,FALSE),""))</f>
        <v/>
      </c>
      <c r="AF3693" s="2" t="str">
        <f>IF(D3693="","",IFERROR(MATCH(D3693,Projects!$A:$A,0),""))</f>
        <v/>
      </c>
    </row>
    <row r="3694" spans="31:32" x14ac:dyDescent="0.25">
      <c r="AE3694" s="39" t="str">
        <f>IF(D3694="","",IFERROR(VLOOKUP(D3694,Projects!$A$2:$A$20000,1,FALSE),""))</f>
        <v/>
      </c>
      <c r="AF3694" s="2" t="str">
        <f>IF(D3694="","",IFERROR(MATCH(D3694,Projects!$A:$A,0),""))</f>
        <v/>
      </c>
    </row>
    <row r="3695" spans="31:32" x14ac:dyDescent="0.25">
      <c r="AE3695" s="39" t="str">
        <f>IF(D3695="","",IFERROR(VLOOKUP(D3695,Projects!$A$2:$A$20000,1,FALSE),""))</f>
        <v/>
      </c>
      <c r="AF3695" s="2" t="str">
        <f>IF(D3695="","",IFERROR(MATCH(D3695,Projects!$A:$A,0),""))</f>
        <v/>
      </c>
    </row>
    <row r="3696" spans="31:32" x14ac:dyDescent="0.25">
      <c r="AE3696" s="39" t="str">
        <f>IF(D3696="","",IFERROR(VLOOKUP(D3696,Projects!$A$2:$A$20000,1,FALSE),""))</f>
        <v/>
      </c>
      <c r="AF3696" s="2" t="str">
        <f>IF(D3696="","",IFERROR(MATCH(D3696,Projects!$A:$A,0),""))</f>
        <v/>
      </c>
    </row>
    <row r="3697" spans="31:32" x14ac:dyDescent="0.25">
      <c r="AE3697" s="39" t="str">
        <f>IF(D3697="","",IFERROR(VLOOKUP(D3697,Projects!$A$2:$A$20000,1,FALSE),""))</f>
        <v/>
      </c>
      <c r="AF3697" s="2" t="str">
        <f>IF(D3697="","",IFERROR(MATCH(D3697,Projects!$A:$A,0),""))</f>
        <v/>
      </c>
    </row>
    <row r="3698" spans="31:32" x14ac:dyDescent="0.25">
      <c r="AE3698" s="39" t="str">
        <f>IF(D3698="","",IFERROR(VLOOKUP(D3698,Projects!$A$2:$A$20000,1,FALSE),""))</f>
        <v/>
      </c>
      <c r="AF3698" s="2" t="str">
        <f>IF(D3698="","",IFERROR(MATCH(D3698,Projects!$A:$A,0),""))</f>
        <v/>
      </c>
    </row>
    <row r="3699" spans="31:32" x14ac:dyDescent="0.25">
      <c r="AE3699" s="39" t="str">
        <f>IF(D3699="","",IFERROR(VLOOKUP(D3699,Projects!$A$2:$A$20000,1,FALSE),""))</f>
        <v/>
      </c>
      <c r="AF3699" s="2" t="str">
        <f>IF(D3699="","",IFERROR(MATCH(D3699,Projects!$A:$A,0),""))</f>
        <v/>
      </c>
    </row>
    <row r="3700" spans="31:32" x14ac:dyDescent="0.25">
      <c r="AE3700" s="39" t="str">
        <f>IF(D3700="","",IFERROR(VLOOKUP(D3700,Projects!$A$2:$A$20000,1,FALSE),""))</f>
        <v/>
      </c>
      <c r="AF3700" s="2" t="str">
        <f>IF(D3700="","",IFERROR(MATCH(D3700,Projects!$A:$A,0),""))</f>
        <v/>
      </c>
    </row>
    <row r="3701" spans="31:32" x14ac:dyDescent="0.25">
      <c r="AE3701" s="39" t="str">
        <f>IF(D3701="","",IFERROR(VLOOKUP(D3701,Projects!$A$2:$A$20000,1,FALSE),""))</f>
        <v/>
      </c>
      <c r="AF3701" s="2" t="str">
        <f>IF(D3701="","",IFERROR(MATCH(D3701,Projects!$A:$A,0),""))</f>
        <v/>
      </c>
    </row>
    <row r="3702" spans="31:32" x14ac:dyDescent="0.25">
      <c r="AE3702" s="39" t="str">
        <f>IF(D3702="","",IFERROR(VLOOKUP(D3702,Projects!$A$2:$A$20000,1,FALSE),""))</f>
        <v/>
      </c>
      <c r="AF3702" s="2" t="str">
        <f>IF(D3702="","",IFERROR(MATCH(D3702,Projects!$A:$A,0),""))</f>
        <v/>
      </c>
    </row>
    <row r="3703" spans="31:32" x14ac:dyDescent="0.25">
      <c r="AE3703" s="39" t="str">
        <f>IF(D3703="","",IFERROR(VLOOKUP(D3703,Projects!$A$2:$A$20000,1,FALSE),""))</f>
        <v/>
      </c>
      <c r="AF3703" s="2" t="str">
        <f>IF(D3703="","",IFERROR(MATCH(D3703,Projects!$A:$A,0),""))</f>
        <v/>
      </c>
    </row>
    <row r="3704" spans="31:32" x14ac:dyDescent="0.25">
      <c r="AE3704" s="39" t="str">
        <f>IF(D3704="","",IFERROR(VLOOKUP(D3704,Projects!$A$2:$A$20000,1,FALSE),""))</f>
        <v/>
      </c>
      <c r="AF3704" s="2" t="str">
        <f>IF(D3704="","",IFERROR(MATCH(D3704,Projects!$A:$A,0),""))</f>
        <v/>
      </c>
    </row>
    <row r="3705" spans="31:32" x14ac:dyDescent="0.25">
      <c r="AE3705" s="39" t="str">
        <f>IF(D3705="","",IFERROR(VLOOKUP(D3705,Projects!$A$2:$A$20000,1,FALSE),""))</f>
        <v/>
      </c>
      <c r="AF3705" s="2" t="str">
        <f>IF(D3705="","",IFERROR(MATCH(D3705,Projects!$A:$A,0),""))</f>
        <v/>
      </c>
    </row>
    <row r="3706" spans="31:32" x14ac:dyDescent="0.25">
      <c r="AE3706" s="39" t="str">
        <f>IF(D3706="","",IFERROR(VLOOKUP(D3706,Projects!$A$2:$A$20000,1,FALSE),""))</f>
        <v/>
      </c>
      <c r="AF3706" s="2" t="str">
        <f>IF(D3706="","",IFERROR(MATCH(D3706,Projects!$A:$A,0),""))</f>
        <v/>
      </c>
    </row>
    <row r="3707" spans="31:32" x14ac:dyDescent="0.25">
      <c r="AE3707" s="39" t="str">
        <f>IF(D3707="","",IFERROR(VLOOKUP(D3707,Projects!$A$2:$A$20000,1,FALSE),""))</f>
        <v/>
      </c>
      <c r="AF3707" s="2" t="str">
        <f>IF(D3707="","",IFERROR(MATCH(D3707,Projects!$A:$A,0),""))</f>
        <v/>
      </c>
    </row>
    <row r="3708" spans="31:32" x14ac:dyDescent="0.25">
      <c r="AE3708" s="39" t="str">
        <f>IF(D3708="","",IFERROR(VLOOKUP(D3708,Projects!$A$2:$A$20000,1,FALSE),""))</f>
        <v/>
      </c>
      <c r="AF3708" s="2" t="str">
        <f>IF(D3708="","",IFERROR(MATCH(D3708,Projects!$A:$A,0),""))</f>
        <v/>
      </c>
    </row>
    <row r="3709" spans="31:32" x14ac:dyDescent="0.25">
      <c r="AE3709" s="39" t="str">
        <f>IF(D3709="","",IFERROR(VLOOKUP(D3709,Projects!$A$2:$A$20000,1,FALSE),""))</f>
        <v/>
      </c>
      <c r="AF3709" s="2" t="str">
        <f>IF(D3709="","",IFERROR(MATCH(D3709,Projects!$A:$A,0),""))</f>
        <v/>
      </c>
    </row>
    <row r="3710" spans="31:32" x14ac:dyDescent="0.25">
      <c r="AE3710" s="39" t="str">
        <f>IF(D3710="","",IFERROR(VLOOKUP(D3710,Projects!$A$2:$A$20000,1,FALSE),""))</f>
        <v/>
      </c>
      <c r="AF3710" s="2" t="str">
        <f>IF(D3710="","",IFERROR(MATCH(D3710,Projects!$A:$A,0),""))</f>
        <v/>
      </c>
    </row>
    <row r="3711" spans="31:32" x14ac:dyDescent="0.25">
      <c r="AE3711" s="39" t="str">
        <f>IF(D3711="","",IFERROR(VLOOKUP(D3711,Projects!$A$2:$A$20000,1,FALSE),""))</f>
        <v/>
      </c>
      <c r="AF3711" s="2" t="str">
        <f>IF(D3711="","",IFERROR(MATCH(D3711,Projects!$A:$A,0),""))</f>
        <v/>
      </c>
    </row>
    <row r="3712" spans="31:32" x14ac:dyDescent="0.25">
      <c r="AE3712" s="39" t="str">
        <f>IF(D3712="","",IFERROR(VLOOKUP(D3712,Projects!$A$2:$A$20000,1,FALSE),""))</f>
        <v/>
      </c>
      <c r="AF3712" s="2" t="str">
        <f>IF(D3712="","",IFERROR(MATCH(D3712,Projects!$A:$A,0),""))</f>
        <v/>
      </c>
    </row>
    <row r="3713" spans="31:32" x14ac:dyDescent="0.25">
      <c r="AE3713" s="39" t="str">
        <f>IF(D3713="","",IFERROR(VLOOKUP(D3713,Projects!$A$2:$A$20000,1,FALSE),""))</f>
        <v/>
      </c>
      <c r="AF3713" s="2" t="str">
        <f>IF(D3713="","",IFERROR(MATCH(D3713,Projects!$A:$A,0),""))</f>
        <v/>
      </c>
    </row>
    <row r="3714" spans="31:32" x14ac:dyDescent="0.25">
      <c r="AE3714" s="39" t="str">
        <f>IF(D3714="","",IFERROR(VLOOKUP(D3714,Projects!$A$2:$A$20000,1,FALSE),""))</f>
        <v/>
      </c>
      <c r="AF3714" s="2" t="str">
        <f>IF(D3714="","",IFERROR(MATCH(D3714,Projects!$A:$A,0),""))</f>
        <v/>
      </c>
    </row>
    <row r="3715" spans="31:32" x14ac:dyDescent="0.25">
      <c r="AE3715" s="39" t="str">
        <f>IF(D3715="","",IFERROR(VLOOKUP(D3715,Projects!$A$2:$A$20000,1,FALSE),""))</f>
        <v/>
      </c>
      <c r="AF3715" s="2" t="str">
        <f>IF(D3715="","",IFERROR(MATCH(D3715,Projects!$A:$A,0),""))</f>
        <v/>
      </c>
    </row>
    <row r="3716" spans="31:32" x14ac:dyDescent="0.25">
      <c r="AE3716" s="39" t="str">
        <f>IF(D3716="","",IFERROR(VLOOKUP(D3716,Projects!$A$2:$A$20000,1,FALSE),""))</f>
        <v/>
      </c>
      <c r="AF3716" s="2" t="str">
        <f>IF(D3716="","",IFERROR(MATCH(D3716,Projects!$A:$A,0),""))</f>
        <v/>
      </c>
    </row>
    <row r="3717" spans="31:32" x14ac:dyDescent="0.25">
      <c r="AE3717" s="39" t="str">
        <f>IF(D3717="","",IFERROR(VLOOKUP(D3717,Projects!$A$2:$A$20000,1,FALSE),""))</f>
        <v/>
      </c>
      <c r="AF3717" s="2" t="str">
        <f>IF(D3717="","",IFERROR(MATCH(D3717,Projects!$A:$A,0),""))</f>
        <v/>
      </c>
    </row>
    <row r="3718" spans="31:32" x14ac:dyDescent="0.25">
      <c r="AE3718" s="39" t="str">
        <f>IF(D3718="","",IFERROR(VLOOKUP(D3718,Projects!$A$2:$A$20000,1,FALSE),""))</f>
        <v/>
      </c>
      <c r="AF3718" s="2" t="str">
        <f>IF(D3718="","",IFERROR(MATCH(D3718,Projects!$A:$A,0),""))</f>
        <v/>
      </c>
    </row>
    <row r="3719" spans="31:32" x14ac:dyDescent="0.25">
      <c r="AE3719" s="39" t="str">
        <f>IF(D3719="","",IFERROR(VLOOKUP(D3719,Projects!$A$2:$A$20000,1,FALSE),""))</f>
        <v/>
      </c>
      <c r="AF3719" s="2" t="str">
        <f>IF(D3719="","",IFERROR(MATCH(D3719,Projects!$A:$A,0),""))</f>
        <v/>
      </c>
    </row>
    <row r="3720" spans="31:32" x14ac:dyDescent="0.25">
      <c r="AE3720" s="39" t="str">
        <f>IF(D3720="","",IFERROR(VLOOKUP(D3720,Projects!$A$2:$A$20000,1,FALSE),""))</f>
        <v/>
      </c>
      <c r="AF3720" s="2" t="str">
        <f>IF(D3720="","",IFERROR(MATCH(D3720,Projects!$A:$A,0),""))</f>
        <v/>
      </c>
    </row>
    <row r="3721" spans="31:32" x14ac:dyDescent="0.25">
      <c r="AE3721" s="39" t="str">
        <f>IF(D3721="","",IFERROR(VLOOKUP(D3721,Projects!$A$2:$A$20000,1,FALSE),""))</f>
        <v/>
      </c>
      <c r="AF3721" s="2" t="str">
        <f>IF(D3721="","",IFERROR(MATCH(D3721,Projects!$A:$A,0),""))</f>
        <v/>
      </c>
    </row>
    <row r="3722" spans="31:32" x14ac:dyDescent="0.25">
      <c r="AE3722" s="39" t="str">
        <f>IF(D3722="","",IFERROR(VLOOKUP(D3722,Projects!$A$2:$A$20000,1,FALSE),""))</f>
        <v/>
      </c>
      <c r="AF3722" s="2" t="str">
        <f>IF(D3722="","",IFERROR(MATCH(D3722,Projects!$A:$A,0),""))</f>
        <v/>
      </c>
    </row>
    <row r="3723" spans="31:32" x14ac:dyDescent="0.25">
      <c r="AE3723" s="39" t="str">
        <f>IF(D3723="","",IFERROR(VLOOKUP(D3723,Projects!$A$2:$A$20000,1,FALSE),""))</f>
        <v/>
      </c>
      <c r="AF3723" s="2" t="str">
        <f>IF(D3723="","",IFERROR(MATCH(D3723,Projects!$A:$A,0),""))</f>
        <v/>
      </c>
    </row>
    <row r="3724" spans="31:32" x14ac:dyDescent="0.25">
      <c r="AE3724" s="39" t="str">
        <f>IF(D3724="","",IFERROR(VLOOKUP(D3724,Projects!$A$2:$A$20000,1,FALSE),""))</f>
        <v/>
      </c>
      <c r="AF3724" s="2" t="str">
        <f>IF(D3724="","",IFERROR(MATCH(D3724,Projects!$A:$A,0),""))</f>
        <v/>
      </c>
    </row>
    <row r="3725" spans="31:32" x14ac:dyDescent="0.25">
      <c r="AE3725" s="39" t="str">
        <f>IF(D3725="","",IFERROR(VLOOKUP(D3725,Projects!$A$2:$A$20000,1,FALSE),""))</f>
        <v/>
      </c>
      <c r="AF3725" s="2" t="str">
        <f>IF(D3725="","",IFERROR(MATCH(D3725,Projects!$A:$A,0),""))</f>
        <v/>
      </c>
    </row>
    <row r="3726" spans="31:32" x14ac:dyDescent="0.25">
      <c r="AE3726" s="39" t="str">
        <f>IF(D3726="","",IFERROR(VLOOKUP(D3726,Projects!$A$2:$A$20000,1,FALSE),""))</f>
        <v/>
      </c>
      <c r="AF3726" s="2" t="str">
        <f>IF(D3726="","",IFERROR(MATCH(D3726,Projects!$A:$A,0),""))</f>
        <v/>
      </c>
    </row>
    <row r="3727" spans="31:32" x14ac:dyDescent="0.25">
      <c r="AE3727" s="39" t="str">
        <f>IF(D3727="","",IFERROR(VLOOKUP(D3727,Projects!$A$2:$A$20000,1,FALSE),""))</f>
        <v/>
      </c>
      <c r="AF3727" s="2" t="str">
        <f>IF(D3727="","",IFERROR(MATCH(D3727,Projects!$A:$A,0),""))</f>
        <v/>
      </c>
    </row>
    <row r="3728" spans="31:32" x14ac:dyDescent="0.25">
      <c r="AE3728" s="39" t="str">
        <f>IF(D3728="","",IFERROR(VLOOKUP(D3728,Projects!$A$2:$A$20000,1,FALSE),""))</f>
        <v/>
      </c>
      <c r="AF3728" s="2" t="str">
        <f>IF(D3728="","",IFERROR(MATCH(D3728,Projects!$A:$A,0),""))</f>
        <v/>
      </c>
    </row>
    <row r="3729" spans="31:32" x14ac:dyDescent="0.25">
      <c r="AE3729" s="39" t="str">
        <f>IF(D3729="","",IFERROR(VLOOKUP(D3729,Projects!$A$2:$A$20000,1,FALSE),""))</f>
        <v/>
      </c>
      <c r="AF3729" s="2" t="str">
        <f>IF(D3729="","",IFERROR(MATCH(D3729,Projects!$A:$A,0),""))</f>
        <v/>
      </c>
    </row>
    <row r="3730" spans="31:32" x14ac:dyDescent="0.25">
      <c r="AE3730" s="39" t="str">
        <f>IF(D3730="","",IFERROR(VLOOKUP(D3730,Projects!$A$2:$A$20000,1,FALSE),""))</f>
        <v/>
      </c>
      <c r="AF3730" s="2" t="str">
        <f>IF(D3730="","",IFERROR(MATCH(D3730,Projects!$A:$A,0),""))</f>
        <v/>
      </c>
    </row>
    <row r="3731" spans="31:32" x14ac:dyDescent="0.25">
      <c r="AE3731" s="39" t="str">
        <f>IF(D3731="","",IFERROR(VLOOKUP(D3731,Projects!$A$2:$A$20000,1,FALSE),""))</f>
        <v/>
      </c>
      <c r="AF3731" s="2" t="str">
        <f>IF(D3731="","",IFERROR(MATCH(D3731,Projects!$A:$A,0),""))</f>
        <v/>
      </c>
    </row>
    <row r="3732" spans="31:32" x14ac:dyDescent="0.25">
      <c r="AE3732" s="39" t="str">
        <f>IF(D3732="","",IFERROR(VLOOKUP(D3732,Projects!$A$2:$A$20000,1,FALSE),""))</f>
        <v/>
      </c>
      <c r="AF3732" s="2" t="str">
        <f>IF(D3732="","",IFERROR(MATCH(D3732,Projects!$A:$A,0),""))</f>
        <v/>
      </c>
    </row>
    <row r="3733" spans="31:32" x14ac:dyDescent="0.25">
      <c r="AE3733" s="39" t="str">
        <f>IF(D3733="","",IFERROR(VLOOKUP(D3733,Projects!$A$2:$A$20000,1,FALSE),""))</f>
        <v/>
      </c>
      <c r="AF3733" s="2" t="str">
        <f>IF(D3733="","",IFERROR(MATCH(D3733,Projects!$A:$A,0),""))</f>
        <v/>
      </c>
    </row>
    <row r="3734" spans="31:32" x14ac:dyDescent="0.25">
      <c r="AE3734" s="39" t="str">
        <f>IF(D3734="","",IFERROR(VLOOKUP(D3734,Projects!$A$2:$A$20000,1,FALSE),""))</f>
        <v/>
      </c>
      <c r="AF3734" s="2" t="str">
        <f>IF(D3734="","",IFERROR(MATCH(D3734,Projects!$A:$A,0),""))</f>
        <v/>
      </c>
    </row>
    <row r="3735" spans="31:32" x14ac:dyDescent="0.25">
      <c r="AE3735" s="39" t="str">
        <f>IF(D3735="","",IFERROR(VLOOKUP(D3735,Projects!$A$2:$A$20000,1,FALSE),""))</f>
        <v/>
      </c>
      <c r="AF3735" s="2" t="str">
        <f>IF(D3735="","",IFERROR(MATCH(D3735,Projects!$A:$A,0),""))</f>
        <v/>
      </c>
    </row>
    <row r="3736" spans="31:32" x14ac:dyDescent="0.25">
      <c r="AE3736" s="39" t="str">
        <f>IF(D3736="","",IFERROR(VLOOKUP(D3736,Projects!$A$2:$A$20000,1,FALSE),""))</f>
        <v/>
      </c>
      <c r="AF3736" s="2" t="str">
        <f>IF(D3736="","",IFERROR(MATCH(D3736,Projects!$A:$A,0),""))</f>
        <v/>
      </c>
    </row>
    <row r="3737" spans="31:32" x14ac:dyDescent="0.25">
      <c r="AE3737" s="39" t="str">
        <f>IF(D3737="","",IFERROR(VLOOKUP(D3737,Projects!$A$2:$A$20000,1,FALSE),""))</f>
        <v/>
      </c>
      <c r="AF3737" s="2" t="str">
        <f>IF(D3737="","",IFERROR(MATCH(D3737,Projects!$A:$A,0),""))</f>
        <v/>
      </c>
    </row>
    <row r="3738" spans="31:32" x14ac:dyDescent="0.25">
      <c r="AE3738" s="39" t="str">
        <f>IF(D3738="","",IFERROR(VLOOKUP(D3738,Projects!$A$2:$A$20000,1,FALSE),""))</f>
        <v/>
      </c>
      <c r="AF3738" s="2" t="str">
        <f>IF(D3738="","",IFERROR(MATCH(D3738,Projects!$A:$A,0),""))</f>
        <v/>
      </c>
    </row>
    <row r="3739" spans="31:32" x14ac:dyDescent="0.25">
      <c r="AE3739" s="39" t="str">
        <f>IF(D3739="","",IFERROR(VLOOKUP(D3739,Projects!$A$2:$A$20000,1,FALSE),""))</f>
        <v/>
      </c>
      <c r="AF3739" s="2" t="str">
        <f>IF(D3739="","",IFERROR(MATCH(D3739,Projects!$A:$A,0),""))</f>
        <v/>
      </c>
    </row>
    <row r="3740" spans="31:32" x14ac:dyDescent="0.25">
      <c r="AE3740" s="39" t="str">
        <f>IF(D3740="","",IFERROR(VLOOKUP(D3740,Projects!$A$2:$A$20000,1,FALSE),""))</f>
        <v/>
      </c>
      <c r="AF3740" s="2" t="str">
        <f>IF(D3740="","",IFERROR(MATCH(D3740,Projects!$A:$A,0),""))</f>
        <v/>
      </c>
    </row>
    <row r="3741" spans="31:32" x14ac:dyDescent="0.25">
      <c r="AE3741" s="39" t="str">
        <f>IF(D3741="","",IFERROR(VLOOKUP(D3741,Projects!$A$2:$A$20000,1,FALSE),""))</f>
        <v/>
      </c>
      <c r="AF3741" s="2" t="str">
        <f>IF(D3741="","",IFERROR(MATCH(D3741,Projects!$A:$A,0),""))</f>
        <v/>
      </c>
    </row>
    <row r="3742" spans="31:32" x14ac:dyDescent="0.25">
      <c r="AE3742" s="39" t="str">
        <f>IF(D3742="","",IFERROR(VLOOKUP(D3742,Projects!$A$2:$A$20000,1,FALSE),""))</f>
        <v/>
      </c>
      <c r="AF3742" s="2" t="str">
        <f>IF(D3742="","",IFERROR(MATCH(D3742,Projects!$A:$A,0),""))</f>
        <v/>
      </c>
    </row>
    <row r="3743" spans="31:32" x14ac:dyDescent="0.25">
      <c r="AE3743" s="39" t="str">
        <f>IF(D3743="","",IFERROR(VLOOKUP(D3743,Projects!$A$2:$A$20000,1,FALSE),""))</f>
        <v/>
      </c>
      <c r="AF3743" s="2" t="str">
        <f>IF(D3743="","",IFERROR(MATCH(D3743,Projects!$A:$A,0),""))</f>
        <v/>
      </c>
    </row>
    <row r="3744" spans="31:32" x14ac:dyDescent="0.25">
      <c r="AE3744" s="39" t="str">
        <f>IF(D3744="","",IFERROR(VLOOKUP(D3744,Projects!$A$2:$A$20000,1,FALSE),""))</f>
        <v/>
      </c>
      <c r="AF3744" s="2" t="str">
        <f>IF(D3744="","",IFERROR(MATCH(D3744,Projects!$A:$A,0),""))</f>
        <v/>
      </c>
    </row>
    <row r="3745" spans="31:32" x14ac:dyDescent="0.25">
      <c r="AE3745" s="39" t="str">
        <f>IF(D3745="","",IFERROR(VLOOKUP(D3745,Projects!$A$2:$A$20000,1,FALSE),""))</f>
        <v/>
      </c>
      <c r="AF3745" s="2" t="str">
        <f>IF(D3745="","",IFERROR(MATCH(D3745,Projects!$A:$A,0),""))</f>
        <v/>
      </c>
    </row>
    <row r="3746" spans="31:32" x14ac:dyDescent="0.25">
      <c r="AE3746" s="39" t="str">
        <f>IF(D3746="","",IFERROR(VLOOKUP(D3746,Projects!$A$2:$A$20000,1,FALSE),""))</f>
        <v/>
      </c>
      <c r="AF3746" s="2" t="str">
        <f>IF(D3746="","",IFERROR(MATCH(D3746,Projects!$A:$A,0),""))</f>
        <v/>
      </c>
    </row>
    <row r="3747" spans="31:32" x14ac:dyDescent="0.25">
      <c r="AE3747" s="39" t="str">
        <f>IF(D3747="","",IFERROR(VLOOKUP(D3747,Projects!$A$2:$A$20000,1,FALSE),""))</f>
        <v/>
      </c>
      <c r="AF3747" s="2" t="str">
        <f>IF(D3747="","",IFERROR(MATCH(D3747,Projects!$A:$A,0),""))</f>
        <v/>
      </c>
    </row>
    <row r="3748" spans="31:32" x14ac:dyDescent="0.25">
      <c r="AE3748" s="39" t="str">
        <f>IF(D3748="","",IFERROR(VLOOKUP(D3748,Projects!$A$2:$A$20000,1,FALSE),""))</f>
        <v/>
      </c>
      <c r="AF3748" s="2" t="str">
        <f>IF(D3748="","",IFERROR(MATCH(D3748,Projects!$A:$A,0),""))</f>
        <v/>
      </c>
    </row>
    <row r="3749" spans="31:32" x14ac:dyDescent="0.25">
      <c r="AE3749" s="39" t="str">
        <f>IF(D3749="","",IFERROR(VLOOKUP(D3749,Projects!$A$2:$A$20000,1,FALSE),""))</f>
        <v/>
      </c>
      <c r="AF3749" s="2" t="str">
        <f>IF(D3749="","",IFERROR(MATCH(D3749,Projects!$A:$A,0),""))</f>
        <v/>
      </c>
    </row>
    <row r="3750" spans="31:32" x14ac:dyDescent="0.25">
      <c r="AE3750" s="39" t="str">
        <f>IF(D3750="","",IFERROR(VLOOKUP(D3750,Projects!$A$2:$A$20000,1,FALSE),""))</f>
        <v/>
      </c>
      <c r="AF3750" s="2" t="str">
        <f>IF(D3750="","",IFERROR(MATCH(D3750,Projects!$A:$A,0),""))</f>
        <v/>
      </c>
    </row>
    <row r="3751" spans="31:32" x14ac:dyDescent="0.25">
      <c r="AE3751" s="39" t="str">
        <f>IF(D3751="","",IFERROR(VLOOKUP(D3751,Projects!$A$2:$A$20000,1,FALSE),""))</f>
        <v/>
      </c>
      <c r="AF3751" s="2" t="str">
        <f>IF(D3751="","",IFERROR(MATCH(D3751,Projects!$A:$A,0),""))</f>
        <v/>
      </c>
    </row>
    <row r="3752" spans="31:32" x14ac:dyDescent="0.25">
      <c r="AE3752" s="39" t="str">
        <f>IF(D3752="","",IFERROR(VLOOKUP(D3752,Projects!$A$2:$A$20000,1,FALSE),""))</f>
        <v/>
      </c>
      <c r="AF3752" s="2" t="str">
        <f>IF(D3752="","",IFERROR(MATCH(D3752,Projects!$A:$A,0),""))</f>
        <v/>
      </c>
    </row>
    <row r="3753" spans="31:32" x14ac:dyDescent="0.25">
      <c r="AE3753" s="39" t="str">
        <f>IF(D3753="","",IFERROR(VLOOKUP(D3753,Projects!$A$2:$A$20000,1,FALSE),""))</f>
        <v/>
      </c>
      <c r="AF3753" s="2" t="str">
        <f>IF(D3753="","",IFERROR(MATCH(D3753,Projects!$A:$A,0),""))</f>
        <v/>
      </c>
    </row>
    <row r="3754" spans="31:32" x14ac:dyDescent="0.25">
      <c r="AE3754" s="39" t="str">
        <f>IF(D3754="","",IFERROR(VLOOKUP(D3754,Projects!$A$2:$A$20000,1,FALSE),""))</f>
        <v/>
      </c>
      <c r="AF3754" s="2" t="str">
        <f>IF(D3754="","",IFERROR(MATCH(D3754,Projects!$A:$A,0),""))</f>
        <v/>
      </c>
    </row>
    <row r="3755" spans="31:32" x14ac:dyDescent="0.25">
      <c r="AE3755" s="39" t="str">
        <f>IF(D3755="","",IFERROR(VLOOKUP(D3755,Projects!$A$2:$A$20000,1,FALSE),""))</f>
        <v/>
      </c>
      <c r="AF3755" s="2" t="str">
        <f>IF(D3755="","",IFERROR(MATCH(D3755,Projects!$A:$A,0),""))</f>
        <v/>
      </c>
    </row>
    <row r="3756" spans="31:32" x14ac:dyDescent="0.25">
      <c r="AE3756" s="39" t="str">
        <f>IF(D3756="","",IFERROR(VLOOKUP(D3756,Projects!$A$2:$A$20000,1,FALSE),""))</f>
        <v/>
      </c>
      <c r="AF3756" s="2" t="str">
        <f>IF(D3756="","",IFERROR(MATCH(D3756,Projects!$A:$A,0),""))</f>
        <v/>
      </c>
    </row>
    <row r="3757" spans="31:32" x14ac:dyDescent="0.25">
      <c r="AE3757" s="39" t="str">
        <f>IF(D3757="","",IFERROR(VLOOKUP(D3757,Projects!$A$2:$A$20000,1,FALSE),""))</f>
        <v/>
      </c>
      <c r="AF3757" s="2" t="str">
        <f>IF(D3757="","",IFERROR(MATCH(D3757,Projects!$A:$A,0),""))</f>
        <v/>
      </c>
    </row>
    <row r="3758" spans="31:32" x14ac:dyDescent="0.25">
      <c r="AE3758" s="39" t="str">
        <f>IF(D3758="","",IFERROR(VLOOKUP(D3758,Projects!$A$2:$A$20000,1,FALSE),""))</f>
        <v/>
      </c>
      <c r="AF3758" s="2" t="str">
        <f>IF(D3758="","",IFERROR(MATCH(D3758,Projects!$A:$A,0),""))</f>
        <v/>
      </c>
    </row>
    <row r="3759" spans="31:32" x14ac:dyDescent="0.25">
      <c r="AE3759" s="39" t="str">
        <f>IF(D3759="","",IFERROR(VLOOKUP(D3759,Projects!$A$2:$A$20000,1,FALSE),""))</f>
        <v/>
      </c>
      <c r="AF3759" s="2" t="str">
        <f>IF(D3759="","",IFERROR(MATCH(D3759,Projects!$A:$A,0),""))</f>
        <v/>
      </c>
    </row>
    <row r="3760" spans="31:32" x14ac:dyDescent="0.25">
      <c r="AE3760" s="39" t="str">
        <f>IF(D3760="","",IFERROR(VLOOKUP(D3760,Projects!$A$2:$A$20000,1,FALSE),""))</f>
        <v/>
      </c>
      <c r="AF3760" s="2" t="str">
        <f>IF(D3760="","",IFERROR(MATCH(D3760,Projects!$A:$A,0),""))</f>
        <v/>
      </c>
    </row>
    <row r="3761" spans="31:32" x14ac:dyDescent="0.25">
      <c r="AE3761" s="39" t="str">
        <f>IF(D3761="","",IFERROR(VLOOKUP(D3761,Projects!$A$2:$A$20000,1,FALSE),""))</f>
        <v/>
      </c>
      <c r="AF3761" s="2" t="str">
        <f>IF(D3761="","",IFERROR(MATCH(D3761,Projects!$A:$A,0),""))</f>
        <v/>
      </c>
    </row>
    <row r="3762" spans="31:32" x14ac:dyDescent="0.25">
      <c r="AE3762" s="39" t="str">
        <f>IF(D3762="","",IFERROR(VLOOKUP(D3762,Projects!$A$2:$A$20000,1,FALSE),""))</f>
        <v/>
      </c>
      <c r="AF3762" s="2" t="str">
        <f>IF(D3762="","",IFERROR(MATCH(D3762,Projects!$A:$A,0),""))</f>
        <v/>
      </c>
    </row>
    <row r="3763" spans="31:32" x14ac:dyDescent="0.25">
      <c r="AE3763" s="39" t="str">
        <f>IF(D3763="","",IFERROR(VLOOKUP(D3763,Projects!$A$2:$A$20000,1,FALSE),""))</f>
        <v/>
      </c>
      <c r="AF3763" s="2" t="str">
        <f>IF(D3763="","",IFERROR(MATCH(D3763,Projects!$A:$A,0),""))</f>
        <v/>
      </c>
    </row>
    <row r="3764" spans="31:32" x14ac:dyDescent="0.25">
      <c r="AE3764" s="39" t="str">
        <f>IF(D3764="","",IFERROR(VLOOKUP(D3764,Projects!$A$2:$A$20000,1,FALSE),""))</f>
        <v/>
      </c>
      <c r="AF3764" s="2" t="str">
        <f>IF(D3764="","",IFERROR(MATCH(D3764,Projects!$A:$A,0),""))</f>
        <v/>
      </c>
    </row>
    <row r="3765" spans="31:32" x14ac:dyDescent="0.25">
      <c r="AE3765" s="39" t="str">
        <f>IF(D3765="","",IFERROR(VLOOKUP(D3765,Projects!$A$2:$A$20000,1,FALSE),""))</f>
        <v/>
      </c>
      <c r="AF3765" s="2" t="str">
        <f>IF(D3765="","",IFERROR(MATCH(D3765,Projects!$A:$A,0),""))</f>
        <v/>
      </c>
    </row>
    <row r="3766" spans="31:32" x14ac:dyDescent="0.25">
      <c r="AE3766" s="39" t="str">
        <f>IF(D3766="","",IFERROR(VLOOKUP(D3766,Projects!$A$2:$A$20000,1,FALSE),""))</f>
        <v/>
      </c>
      <c r="AF3766" s="2" t="str">
        <f>IF(D3766="","",IFERROR(MATCH(D3766,Projects!$A:$A,0),""))</f>
        <v/>
      </c>
    </row>
    <row r="3767" spans="31:32" x14ac:dyDescent="0.25">
      <c r="AE3767" s="39" t="str">
        <f>IF(D3767="","",IFERROR(VLOOKUP(D3767,Projects!$A$2:$A$20000,1,FALSE),""))</f>
        <v/>
      </c>
      <c r="AF3767" s="2" t="str">
        <f>IF(D3767="","",IFERROR(MATCH(D3767,Projects!$A:$A,0),""))</f>
        <v/>
      </c>
    </row>
    <row r="3768" spans="31:32" x14ac:dyDescent="0.25">
      <c r="AE3768" s="39" t="str">
        <f>IF(D3768="","",IFERROR(VLOOKUP(D3768,Projects!$A$2:$A$20000,1,FALSE),""))</f>
        <v/>
      </c>
      <c r="AF3768" s="2" t="str">
        <f>IF(D3768="","",IFERROR(MATCH(D3768,Projects!$A:$A,0),""))</f>
        <v/>
      </c>
    </row>
    <row r="3769" spans="31:32" x14ac:dyDescent="0.25">
      <c r="AE3769" s="39" t="str">
        <f>IF(D3769="","",IFERROR(VLOOKUP(D3769,Projects!$A$2:$A$20000,1,FALSE),""))</f>
        <v/>
      </c>
      <c r="AF3769" s="2" t="str">
        <f>IF(D3769="","",IFERROR(MATCH(D3769,Projects!$A:$A,0),""))</f>
        <v/>
      </c>
    </row>
    <row r="3770" spans="31:32" x14ac:dyDescent="0.25">
      <c r="AE3770" s="39" t="str">
        <f>IF(D3770="","",IFERROR(VLOOKUP(D3770,Projects!$A$2:$A$20000,1,FALSE),""))</f>
        <v/>
      </c>
      <c r="AF3770" s="2" t="str">
        <f>IF(D3770="","",IFERROR(MATCH(D3770,Projects!$A:$A,0),""))</f>
        <v/>
      </c>
    </row>
    <row r="3771" spans="31:32" x14ac:dyDescent="0.25">
      <c r="AE3771" s="39" t="str">
        <f>IF(D3771="","",IFERROR(VLOOKUP(D3771,Projects!$A$2:$A$20000,1,FALSE),""))</f>
        <v/>
      </c>
      <c r="AF3771" s="2" t="str">
        <f>IF(D3771="","",IFERROR(MATCH(D3771,Projects!$A:$A,0),""))</f>
        <v/>
      </c>
    </row>
    <row r="3772" spans="31:32" x14ac:dyDescent="0.25">
      <c r="AE3772" s="39" t="str">
        <f>IF(D3772="","",IFERROR(VLOOKUP(D3772,Projects!$A$2:$A$20000,1,FALSE),""))</f>
        <v/>
      </c>
      <c r="AF3772" s="2" t="str">
        <f>IF(D3772="","",IFERROR(MATCH(D3772,Projects!$A:$A,0),""))</f>
        <v/>
      </c>
    </row>
    <row r="3773" spans="31:32" x14ac:dyDescent="0.25">
      <c r="AE3773" s="39" t="str">
        <f>IF(D3773="","",IFERROR(VLOOKUP(D3773,Projects!$A$2:$A$20000,1,FALSE),""))</f>
        <v/>
      </c>
      <c r="AF3773" s="2" t="str">
        <f>IF(D3773="","",IFERROR(MATCH(D3773,Projects!$A:$A,0),""))</f>
        <v/>
      </c>
    </row>
    <row r="3774" spans="31:32" x14ac:dyDescent="0.25">
      <c r="AE3774" s="39" t="str">
        <f>IF(D3774="","",IFERROR(VLOOKUP(D3774,Projects!$A$2:$A$20000,1,FALSE),""))</f>
        <v/>
      </c>
      <c r="AF3774" s="2" t="str">
        <f>IF(D3774="","",IFERROR(MATCH(D3774,Projects!$A:$A,0),""))</f>
        <v/>
      </c>
    </row>
    <row r="3775" spans="31:32" x14ac:dyDescent="0.25">
      <c r="AE3775" s="39" t="str">
        <f>IF(D3775="","",IFERROR(VLOOKUP(D3775,Projects!$A$2:$A$20000,1,FALSE),""))</f>
        <v/>
      </c>
      <c r="AF3775" s="2" t="str">
        <f>IF(D3775="","",IFERROR(MATCH(D3775,Projects!$A:$A,0),""))</f>
        <v/>
      </c>
    </row>
    <row r="3776" spans="31:32" x14ac:dyDescent="0.25">
      <c r="AE3776" s="39" t="str">
        <f>IF(D3776="","",IFERROR(VLOOKUP(D3776,Projects!$A$2:$A$20000,1,FALSE),""))</f>
        <v/>
      </c>
      <c r="AF3776" s="2" t="str">
        <f>IF(D3776="","",IFERROR(MATCH(D3776,Projects!$A:$A,0),""))</f>
        <v/>
      </c>
    </row>
    <row r="3777" spans="31:32" x14ac:dyDescent="0.25">
      <c r="AE3777" s="39" t="str">
        <f>IF(D3777="","",IFERROR(VLOOKUP(D3777,Projects!$A$2:$A$20000,1,FALSE),""))</f>
        <v/>
      </c>
      <c r="AF3777" s="2" t="str">
        <f>IF(D3777="","",IFERROR(MATCH(D3777,Projects!$A:$A,0),""))</f>
        <v/>
      </c>
    </row>
    <row r="3778" spans="31:32" x14ac:dyDescent="0.25">
      <c r="AE3778" s="39" t="str">
        <f>IF(D3778="","",IFERROR(VLOOKUP(D3778,Projects!$A$2:$A$20000,1,FALSE),""))</f>
        <v/>
      </c>
      <c r="AF3778" s="2" t="str">
        <f>IF(D3778="","",IFERROR(MATCH(D3778,Projects!$A:$A,0),""))</f>
        <v/>
      </c>
    </row>
    <row r="3779" spans="31:32" x14ac:dyDescent="0.25">
      <c r="AE3779" s="39" t="str">
        <f>IF(D3779="","",IFERROR(VLOOKUP(D3779,Projects!$A$2:$A$20000,1,FALSE),""))</f>
        <v/>
      </c>
      <c r="AF3779" s="2" t="str">
        <f>IF(D3779="","",IFERROR(MATCH(D3779,Projects!$A:$A,0),""))</f>
        <v/>
      </c>
    </row>
    <row r="3780" spans="31:32" x14ac:dyDescent="0.25">
      <c r="AE3780" s="39" t="str">
        <f>IF(D3780="","",IFERROR(VLOOKUP(D3780,Projects!$A$2:$A$20000,1,FALSE),""))</f>
        <v/>
      </c>
      <c r="AF3780" s="2" t="str">
        <f>IF(D3780="","",IFERROR(MATCH(D3780,Projects!$A:$A,0),""))</f>
        <v/>
      </c>
    </row>
    <row r="3781" spans="31:32" x14ac:dyDescent="0.25">
      <c r="AE3781" s="39" t="str">
        <f>IF(D3781="","",IFERROR(VLOOKUP(D3781,Projects!$A$2:$A$20000,1,FALSE),""))</f>
        <v/>
      </c>
      <c r="AF3781" s="2" t="str">
        <f>IF(D3781="","",IFERROR(MATCH(D3781,Projects!$A:$A,0),""))</f>
        <v/>
      </c>
    </row>
    <row r="3782" spans="31:32" x14ac:dyDescent="0.25">
      <c r="AE3782" s="39" t="str">
        <f>IF(D3782="","",IFERROR(VLOOKUP(D3782,Projects!$A$2:$A$20000,1,FALSE),""))</f>
        <v/>
      </c>
      <c r="AF3782" s="2" t="str">
        <f>IF(D3782="","",IFERROR(MATCH(D3782,Projects!$A:$A,0),""))</f>
        <v/>
      </c>
    </row>
    <row r="3783" spans="31:32" x14ac:dyDescent="0.25">
      <c r="AE3783" s="39" t="str">
        <f>IF(D3783="","",IFERROR(VLOOKUP(D3783,Projects!$A$2:$A$20000,1,FALSE),""))</f>
        <v/>
      </c>
      <c r="AF3783" s="2" t="str">
        <f>IF(D3783="","",IFERROR(MATCH(D3783,Projects!$A:$A,0),""))</f>
        <v/>
      </c>
    </row>
    <row r="3784" spans="31:32" x14ac:dyDescent="0.25">
      <c r="AE3784" s="39" t="str">
        <f>IF(D3784="","",IFERROR(VLOOKUP(D3784,Projects!$A$2:$A$20000,1,FALSE),""))</f>
        <v/>
      </c>
      <c r="AF3784" s="2" t="str">
        <f>IF(D3784="","",IFERROR(MATCH(D3784,Projects!$A:$A,0),""))</f>
        <v/>
      </c>
    </row>
    <row r="3785" spans="31:32" x14ac:dyDescent="0.25">
      <c r="AE3785" s="39" t="str">
        <f>IF(D3785="","",IFERROR(VLOOKUP(D3785,Projects!$A$2:$A$20000,1,FALSE),""))</f>
        <v/>
      </c>
      <c r="AF3785" s="2" t="str">
        <f>IF(D3785="","",IFERROR(MATCH(D3785,Projects!$A:$A,0),""))</f>
        <v/>
      </c>
    </row>
    <row r="3786" spans="31:32" x14ac:dyDescent="0.25">
      <c r="AE3786" s="39" t="str">
        <f>IF(D3786="","",IFERROR(VLOOKUP(D3786,Projects!$A$2:$A$20000,1,FALSE),""))</f>
        <v/>
      </c>
      <c r="AF3786" s="2" t="str">
        <f>IF(D3786="","",IFERROR(MATCH(D3786,Projects!$A:$A,0),""))</f>
        <v/>
      </c>
    </row>
    <row r="3787" spans="31:32" x14ac:dyDescent="0.25">
      <c r="AE3787" s="39" t="str">
        <f>IF(D3787="","",IFERROR(VLOOKUP(D3787,Projects!$A$2:$A$20000,1,FALSE),""))</f>
        <v/>
      </c>
      <c r="AF3787" s="2" t="str">
        <f>IF(D3787="","",IFERROR(MATCH(D3787,Projects!$A:$A,0),""))</f>
        <v/>
      </c>
    </row>
    <row r="3788" spans="31:32" x14ac:dyDescent="0.25">
      <c r="AE3788" s="39" t="str">
        <f>IF(D3788="","",IFERROR(VLOOKUP(D3788,Projects!$A$2:$A$20000,1,FALSE),""))</f>
        <v/>
      </c>
      <c r="AF3788" s="2" t="str">
        <f>IF(D3788="","",IFERROR(MATCH(D3788,Projects!$A:$A,0),""))</f>
        <v/>
      </c>
    </row>
    <row r="3789" spans="31:32" x14ac:dyDescent="0.25">
      <c r="AE3789" s="39" t="str">
        <f>IF(D3789="","",IFERROR(VLOOKUP(D3789,Projects!$A$2:$A$20000,1,FALSE),""))</f>
        <v/>
      </c>
      <c r="AF3789" s="2" t="str">
        <f>IF(D3789="","",IFERROR(MATCH(D3789,Projects!$A:$A,0),""))</f>
        <v/>
      </c>
    </row>
    <row r="3790" spans="31:32" x14ac:dyDescent="0.25">
      <c r="AE3790" s="39" t="str">
        <f>IF(D3790="","",IFERROR(VLOOKUP(D3790,Projects!$A$2:$A$20000,1,FALSE),""))</f>
        <v/>
      </c>
      <c r="AF3790" s="2" t="str">
        <f>IF(D3790="","",IFERROR(MATCH(D3790,Projects!$A:$A,0),""))</f>
        <v/>
      </c>
    </row>
    <row r="3791" spans="31:32" x14ac:dyDescent="0.25">
      <c r="AE3791" s="39" t="str">
        <f>IF(D3791="","",IFERROR(VLOOKUP(D3791,Projects!$A$2:$A$20000,1,FALSE),""))</f>
        <v/>
      </c>
      <c r="AF3791" s="2" t="str">
        <f>IF(D3791="","",IFERROR(MATCH(D3791,Projects!$A:$A,0),""))</f>
        <v/>
      </c>
    </row>
    <row r="3792" spans="31:32" x14ac:dyDescent="0.25">
      <c r="AE3792" s="39" t="str">
        <f>IF(D3792="","",IFERROR(VLOOKUP(D3792,Projects!$A$2:$A$20000,1,FALSE),""))</f>
        <v/>
      </c>
      <c r="AF3792" s="2" t="str">
        <f>IF(D3792="","",IFERROR(MATCH(D3792,Projects!$A:$A,0),""))</f>
        <v/>
      </c>
    </row>
    <row r="3793" spans="31:32" x14ac:dyDescent="0.25">
      <c r="AE3793" s="39" t="str">
        <f>IF(D3793="","",IFERROR(VLOOKUP(D3793,Projects!$A$2:$A$20000,1,FALSE),""))</f>
        <v/>
      </c>
      <c r="AF3793" s="2" t="str">
        <f>IF(D3793="","",IFERROR(MATCH(D3793,Projects!$A:$A,0),""))</f>
        <v/>
      </c>
    </row>
    <row r="3794" spans="31:32" x14ac:dyDescent="0.25">
      <c r="AE3794" s="39" t="str">
        <f>IF(D3794="","",IFERROR(VLOOKUP(D3794,Projects!$A$2:$A$20000,1,FALSE),""))</f>
        <v/>
      </c>
      <c r="AF3794" s="2" t="str">
        <f>IF(D3794="","",IFERROR(MATCH(D3794,Projects!$A:$A,0),""))</f>
        <v/>
      </c>
    </row>
    <row r="3795" spans="31:32" x14ac:dyDescent="0.25">
      <c r="AE3795" s="39" t="str">
        <f>IF(D3795="","",IFERROR(VLOOKUP(D3795,Projects!$A$2:$A$20000,1,FALSE),""))</f>
        <v/>
      </c>
      <c r="AF3795" s="2" t="str">
        <f>IF(D3795="","",IFERROR(MATCH(D3795,Projects!$A:$A,0),""))</f>
        <v/>
      </c>
    </row>
    <row r="3796" spans="31:32" x14ac:dyDescent="0.25">
      <c r="AE3796" s="39" t="str">
        <f>IF(D3796="","",IFERROR(VLOOKUP(D3796,Projects!$A$2:$A$20000,1,FALSE),""))</f>
        <v/>
      </c>
      <c r="AF3796" s="2" t="str">
        <f>IF(D3796="","",IFERROR(MATCH(D3796,Projects!$A:$A,0),""))</f>
        <v/>
      </c>
    </row>
    <row r="3797" spans="31:32" x14ac:dyDescent="0.25">
      <c r="AE3797" s="39" t="str">
        <f>IF(D3797="","",IFERROR(VLOOKUP(D3797,Projects!$A$2:$A$20000,1,FALSE),""))</f>
        <v/>
      </c>
      <c r="AF3797" s="2" t="str">
        <f>IF(D3797="","",IFERROR(MATCH(D3797,Projects!$A:$A,0),""))</f>
        <v/>
      </c>
    </row>
    <row r="3798" spans="31:32" x14ac:dyDescent="0.25">
      <c r="AE3798" s="39" t="str">
        <f>IF(D3798="","",IFERROR(VLOOKUP(D3798,Projects!$A$2:$A$20000,1,FALSE),""))</f>
        <v/>
      </c>
      <c r="AF3798" s="2" t="str">
        <f>IF(D3798="","",IFERROR(MATCH(D3798,Projects!$A:$A,0),""))</f>
        <v/>
      </c>
    </row>
    <row r="3799" spans="31:32" x14ac:dyDescent="0.25">
      <c r="AE3799" s="39" t="str">
        <f>IF(D3799="","",IFERROR(VLOOKUP(D3799,Projects!$A$2:$A$20000,1,FALSE),""))</f>
        <v/>
      </c>
      <c r="AF3799" s="2" t="str">
        <f>IF(D3799="","",IFERROR(MATCH(D3799,Projects!$A:$A,0),""))</f>
        <v/>
      </c>
    </row>
    <row r="3800" spans="31:32" x14ac:dyDescent="0.25">
      <c r="AE3800" s="39" t="str">
        <f>IF(D3800="","",IFERROR(VLOOKUP(D3800,Projects!$A$2:$A$20000,1,FALSE),""))</f>
        <v/>
      </c>
      <c r="AF3800" s="2" t="str">
        <f>IF(D3800="","",IFERROR(MATCH(D3800,Projects!$A:$A,0),""))</f>
        <v/>
      </c>
    </row>
    <row r="3801" spans="31:32" x14ac:dyDescent="0.25">
      <c r="AE3801" s="39" t="str">
        <f>IF(D3801="","",IFERROR(VLOOKUP(D3801,Projects!$A$2:$A$20000,1,FALSE),""))</f>
        <v/>
      </c>
      <c r="AF3801" s="2" t="str">
        <f>IF(D3801="","",IFERROR(MATCH(D3801,Projects!$A:$A,0),""))</f>
        <v/>
      </c>
    </row>
    <row r="3802" spans="31:32" x14ac:dyDescent="0.25">
      <c r="AE3802" s="39" t="str">
        <f>IF(D3802="","",IFERROR(VLOOKUP(D3802,Projects!$A$2:$A$20000,1,FALSE),""))</f>
        <v/>
      </c>
      <c r="AF3802" s="2" t="str">
        <f>IF(D3802="","",IFERROR(MATCH(D3802,Projects!$A:$A,0),""))</f>
        <v/>
      </c>
    </row>
    <row r="3803" spans="31:32" x14ac:dyDescent="0.25">
      <c r="AE3803" s="39" t="str">
        <f>IF(D3803="","",IFERROR(VLOOKUP(D3803,Projects!$A$2:$A$20000,1,FALSE),""))</f>
        <v/>
      </c>
      <c r="AF3803" s="2" t="str">
        <f>IF(D3803="","",IFERROR(MATCH(D3803,Projects!$A:$A,0),""))</f>
        <v/>
      </c>
    </row>
    <row r="3804" spans="31:32" x14ac:dyDescent="0.25">
      <c r="AE3804" s="39" t="str">
        <f>IF(D3804="","",IFERROR(VLOOKUP(D3804,Projects!$A$2:$A$20000,1,FALSE),""))</f>
        <v/>
      </c>
      <c r="AF3804" s="2" t="str">
        <f>IF(D3804="","",IFERROR(MATCH(D3804,Projects!$A:$A,0),""))</f>
        <v/>
      </c>
    </row>
    <row r="3805" spans="31:32" x14ac:dyDescent="0.25">
      <c r="AE3805" s="39" t="str">
        <f>IF(D3805="","",IFERROR(VLOOKUP(D3805,Projects!$A$2:$A$20000,1,FALSE),""))</f>
        <v/>
      </c>
      <c r="AF3805" s="2" t="str">
        <f>IF(D3805="","",IFERROR(MATCH(D3805,Projects!$A:$A,0),""))</f>
        <v/>
      </c>
    </row>
    <row r="3806" spans="31:32" x14ac:dyDescent="0.25">
      <c r="AE3806" s="39" t="str">
        <f>IF(D3806="","",IFERROR(VLOOKUP(D3806,Projects!$A$2:$A$20000,1,FALSE),""))</f>
        <v/>
      </c>
      <c r="AF3806" s="2" t="str">
        <f>IF(D3806="","",IFERROR(MATCH(D3806,Projects!$A:$A,0),""))</f>
        <v/>
      </c>
    </row>
    <row r="3807" spans="31:32" x14ac:dyDescent="0.25">
      <c r="AE3807" s="39" t="str">
        <f>IF(D3807="","",IFERROR(VLOOKUP(D3807,Projects!$A$2:$A$20000,1,FALSE),""))</f>
        <v/>
      </c>
      <c r="AF3807" s="2" t="str">
        <f>IF(D3807="","",IFERROR(MATCH(D3807,Projects!$A:$A,0),""))</f>
        <v/>
      </c>
    </row>
    <row r="3808" spans="31:32" x14ac:dyDescent="0.25">
      <c r="AE3808" s="39" t="str">
        <f>IF(D3808="","",IFERROR(VLOOKUP(D3808,Projects!$A$2:$A$20000,1,FALSE),""))</f>
        <v/>
      </c>
      <c r="AF3808" s="2" t="str">
        <f>IF(D3808="","",IFERROR(MATCH(D3808,Projects!$A:$A,0),""))</f>
        <v/>
      </c>
    </row>
    <row r="3809" spans="31:32" x14ac:dyDescent="0.25">
      <c r="AE3809" s="39" t="str">
        <f>IF(D3809="","",IFERROR(VLOOKUP(D3809,Projects!$A$2:$A$20000,1,FALSE),""))</f>
        <v/>
      </c>
      <c r="AF3809" s="2" t="str">
        <f>IF(D3809="","",IFERROR(MATCH(D3809,Projects!$A:$A,0),""))</f>
        <v/>
      </c>
    </row>
    <row r="3810" spans="31:32" x14ac:dyDescent="0.25">
      <c r="AE3810" s="39" t="str">
        <f>IF(D3810="","",IFERROR(VLOOKUP(D3810,Projects!$A$2:$A$20000,1,FALSE),""))</f>
        <v/>
      </c>
      <c r="AF3810" s="2" t="str">
        <f>IF(D3810="","",IFERROR(MATCH(D3810,Projects!$A:$A,0),""))</f>
        <v/>
      </c>
    </row>
    <row r="3811" spans="31:32" x14ac:dyDescent="0.25">
      <c r="AE3811" s="39" t="str">
        <f>IF(D3811="","",IFERROR(VLOOKUP(D3811,Projects!$A$2:$A$20000,1,FALSE),""))</f>
        <v/>
      </c>
      <c r="AF3811" s="2" t="str">
        <f>IF(D3811="","",IFERROR(MATCH(D3811,Projects!$A:$A,0),""))</f>
        <v/>
      </c>
    </row>
    <row r="3812" spans="31:32" x14ac:dyDescent="0.25">
      <c r="AE3812" s="39" t="str">
        <f>IF(D3812="","",IFERROR(VLOOKUP(D3812,Projects!$A$2:$A$20000,1,FALSE),""))</f>
        <v/>
      </c>
      <c r="AF3812" s="2" t="str">
        <f>IF(D3812="","",IFERROR(MATCH(D3812,Projects!$A:$A,0),""))</f>
        <v/>
      </c>
    </row>
    <row r="3813" spans="31:32" x14ac:dyDescent="0.25">
      <c r="AE3813" s="39" t="str">
        <f>IF(D3813="","",IFERROR(VLOOKUP(D3813,Projects!$A$2:$A$20000,1,FALSE),""))</f>
        <v/>
      </c>
      <c r="AF3813" s="2" t="str">
        <f>IF(D3813="","",IFERROR(MATCH(D3813,Projects!$A:$A,0),""))</f>
        <v/>
      </c>
    </row>
    <row r="3814" spans="31:32" x14ac:dyDescent="0.25">
      <c r="AE3814" s="39" t="str">
        <f>IF(D3814="","",IFERROR(VLOOKUP(D3814,Projects!$A$2:$A$20000,1,FALSE),""))</f>
        <v/>
      </c>
      <c r="AF3814" s="2" t="str">
        <f>IF(D3814="","",IFERROR(MATCH(D3814,Projects!$A:$A,0),""))</f>
        <v/>
      </c>
    </row>
    <row r="3815" spans="31:32" x14ac:dyDescent="0.25">
      <c r="AE3815" s="39" t="str">
        <f>IF(D3815="","",IFERROR(VLOOKUP(D3815,Projects!$A$2:$A$20000,1,FALSE),""))</f>
        <v/>
      </c>
      <c r="AF3815" s="2" t="str">
        <f>IF(D3815="","",IFERROR(MATCH(D3815,Projects!$A:$A,0),""))</f>
        <v/>
      </c>
    </row>
    <row r="3816" spans="31:32" x14ac:dyDescent="0.25">
      <c r="AE3816" s="39" t="str">
        <f>IF(D3816="","",IFERROR(VLOOKUP(D3816,Projects!$A$2:$A$20000,1,FALSE),""))</f>
        <v/>
      </c>
      <c r="AF3816" s="2" t="str">
        <f>IF(D3816="","",IFERROR(MATCH(D3816,Projects!$A:$A,0),""))</f>
        <v/>
      </c>
    </row>
    <row r="3817" spans="31:32" x14ac:dyDescent="0.25">
      <c r="AE3817" s="39" t="str">
        <f>IF(D3817="","",IFERROR(VLOOKUP(D3817,Projects!$A$2:$A$20000,1,FALSE),""))</f>
        <v/>
      </c>
      <c r="AF3817" s="2" t="str">
        <f>IF(D3817="","",IFERROR(MATCH(D3817,Projects!$A:$A,0),""))</f>
        <v/>
      </c>
    </row>
    <row r="3818" spans="31:32" x14ac:dyDescent="0.25">
      <c r="AE3818" s="39" t="str">
        <f>IF(D3818="","",IFERROR(VLOOKUP(D3818,Projects!$A$2:$A$20000,1,FALSE),""))</f>
        <v/>
      </c>
      <c r="AF3818" s="2" t="str">
        <f>IF(D3818="","",IFERROR(MATCH(D3818,Projects!$A:$A,0),""))</f>
        <v/>
      </c>
    </row>
    <row r="3819" spans="31:32" x14ac:dyDescent="0.25">
      <c r="AE3819" s="39" t="str">
        <f>IF(D3819="","",IFERROR(VLOOKUP(D3819,Projects!$A$2:$A$20000,1,FALSE),""))</f>
        <v/>
      </c>
      <c r="AF3819" s="2" t="str">
        <f>IF(D3819="","",IFERROR(MATCH(D3819,Projects!$A:$A,0),""))</f>
        <v/>
      </c>
    </row>
    <row r="3820" spans="31:32" x14ac:dyDescent="0.25">
      <c r="AE3820" s="39" t="str">
        <f>IF(D3820="","",IFERROR(VLOOKUP(D3820,Projects!$A$2:$A$20000,1,FALSE),""))</f>
        <v/>
      </c>
      <c r="AF3820" s="2" t="str">
        <f>IF(D3820="","",IFERROR(MATCH(D3820,Projects!$A:$A,0),""))</f>
        <v/>
      </c>
    </row>
    <row r="3821" spans="31:32" x14ac:dyDescent="0.25">
      <c r="AE3821" s="39" t="str">
        <f>IF(D3821="","",IFERROR(VLOOKUP(D3821,Projects!$A$2:$A$20000,1,FALSE),""))</f>
        <v/>
      </c>
      <c r="AF3821" s="2" t="str">
        <f>IF(D3821="","",IFERROR(MATCH(D3821,Projects!$A:$A,0),""))</f>
        <v/>
      </c>
    </row>
    <row r="3822" spans="31:32" x14ac:dyDescent="0.25">
      <c r="AE3822" s="39" t="str">
        <f>IF(D3822="","",IFERROR(VLOOKUP(D3822,Projects!$A$2:$A$20000,1,FALSE),""))</f>
        <v/>
      </c>
      <c r="AF3822" s="2" t="str">
        <f>IF(D3822="","",IFERROR(MATCH(D3822,Projects!$A:$A,0),""))</f>
        <v/>
      </c>
    </row>
    <row r="3823" spans="31:32" x14ac:dyDescent="0.25">
      <c r="AE3823" s="39" t="str">
        <f>IF(D3823="","",IFERROR(VLOOKUP(D3823,Projects!$A$2:$A$20000,1,FALSE),""))</f>
        <v/>
      </c>
      <c r="AF3823" s="2" t="str">
        <f>IF(D3823="","",IFERROR(MATCH(D3823,Projects!$A:$A,0),""))</f>
        <v/>
      </c>
    </row>
    <row r="3824" spans="31:32" x14ac:dyDescent="0.25">
      <c r="AE3824" s="39" t="str">
        <f>IF(D3824="","",IFERROR(VLOOKUP(D3824,Projects!$A$2:$A$20000,1,FALSE),""))</f>
        <v/>
      </c>
      <c r="AF3824" s="2" t="str">
        <f>IF(D3824="","",IFERROR(MATCH(D3824,Projects!$A:$A,0),""))</f>
        <v/>
      </c>
    </row>
    <row r="3825" spans="31:32" x14ac:dyDescent="0.25">
      <c r="AE3825" s="39" t="str">
        <f>IF(D3825="","",IFERROR(VLOOKUP(D3825,Projects!$A$2:$A$20000,1,FALSE),""))</f>
        <v/>
      </c>
      <c r="AF3825" s="2" t="str">
        <f>IF(D3825="","",IFERROR(MATCH(D3825,Projects!$A:$A,0),""))</f>
        <v/>
      </c>
    </row>
    <row r="3826" spans="31:32" x14ac:dyDescent="0.25">
      <c r="AE3826" s="39" t="str">
        <f>IF(D3826="","",IFERROR(VLOOKUP(D3826,Projects!$A$2:$A$20000,1,FALSE),""))</f>
        <v/>
      </c>
      <c r="AF3826" s="2" t="str">
        <f>IF(D3826="","",IFERROR(MATCH(D3826,Projects!$A:$A,0),""))</f>
        <v/>
      </c>
    </row>
    <row r="3827" spans="31:32" x14ac:dyDescent="0.25">
      <c r="AE3827" s="39" t="str">
        <f>IF(D3827="","",IFERROR(VLOOKUP(D3827,Projects!$A$2:$A$20000,1,FALSE),""))</f>
        <v/>
      </c>
      <c r="AF3827" s="2" t="str">
        <f>IF(D3827="","",IFERROR(MATCH(D3827,Projects!$A:$A,0),""))</f>
        <v/>
      </c>
    </row>
    <row r="3828" spans="31:32" x14ac:dyDescent="0.25">
      <c r="AE3828" s="39" t="str">
        <f>IF(D3828="","",IFERROR(VLOOKUP(D3828,Projects!$A$2:$A$20000,1,FALSE),""))</f>
        <v/>
      </c>
      <c r="AF3828" s="2" t="str">
        <f>IF(D3828="","",IFERROR(MATCH(D3828,Projects!$A:$A,0),""))</f>
        <v/>
      </c>
    </row>
    <row r="3829" spans="31:32" x14ac:dyDescent="0.25">
      <c r="AE3829" s="39" t="str">
        <f>IF(D3829="","",IFERROR(VLOOKUP(D3829,Projects!$A$2:$A$20000,1,FALSE),""))</f>
        <v/>
      </c>
      <c r="AF3829" s="2" t="str">
        <f>IF(D3829="","",IFERROR(MATCH(D3829,Projects!$A:$A,0),""))</f>
        <v/>
      </c>
    </row>
    <row r="3830" spans="31:32" x14ac:dyDescent="0.25">
      <c r="AE3830" s="39" t="str">
        <f>IF(D3830="","",IFERROR(VLOOKUP(D3830,Projects!$A$2:$A$20000,1,FALSE),""))</f>
        <v/>
      </c>
      <c r="AF3830" s="2" t="str">
        <f>IF(D3830="","",IFERROR(MATCH(D3830,Projects!$A:$A,0),""))</f>
        <v/>
      </c>
    </row>
    <row r="3831" spans="31:32" x14ac:dyDescent="0.25">
      <c r="AE3831" s="39" t="str">
        <f>IF(D3831="","",IFERROR(VLOOKUP(D3831,Projects!$A$2:$A$20000,1,FALSE),""))</f>
        <v/>
      </c>
      <c r="AF3831" s="2" t="str">
        <f>IF(D3831="","",IFERROR(MATCH(D3831,Projects!$A:$A,0),""))</f>
        <v/>
      </c>
    </row>
    <row r="3832" spans="31:32" x14ac:dyDescent="0.25">
      <c r="AE3832" s="39" t="str">
        <f>IF(D3832="","",IFERROR(VLOOKUP(D3832,Projects!$A$2:$A$20000,1,FALSE),""))</f>
        <v/>
      </c>
      <c r="AF3832" s="2" t="str">
        <f>IF(D3832="","",IFERROR(MATCH(D3832,Projects!$A:$A,0),""))</f>
        <v/>
      </c>
    </row>
    <row r="3833" spans="31:32" x14ac:dyDescent="0.25">
      <c r="AE3833" s="39" t="str">
        <f>IF(D3833="","",IFERROR(VLOOKUP(D3833,Projects!$A$2:$A$20000,1,FALSE),""))</f>
        <v/>
      </c>
      <c r="AF3833" s="2" t="str">
        <f>IF(D3833="","",IFERROR(MATCH(D3833,Projects!$A:$A,0),""))</f>
        <v/>
      </c>
    </row>
    <row r="3834" spans="31:32" x14ac:dyDescent="0.25">
      <c r="AE3834" s="39" t="str">
        <f>IF(D3834="","",IFERROR(VLOOKUP(D3834,Projects!$A$2:$A$20000,1,FALSE),""))</f>
        <v/>
      </c>
      <c r="AF3834" s="2" t="str">
        <f>IF(D3834="","",IFERROR(MATCH(D3834,Projects!$A:$A,0),""))</f>
        <v/>
      </c>
    </row>
    <row r="3835" spans="31:32" x14ac:dyDescent="0.25">
      <c r="AE3835" s="39" t="str">
        <f>IF(D3835="","",IFERROR(VLOOKUP(D3835,Projects!$A$2:$A$20000,1,FALSE),""))</f>
        <v/>
      </c>
      <c r="AF3835" s="2" t="str">
        <f>IF(D3835="","",IFERROR(MATCH(D3835,Projects!$A:$A,0),""))</f>
        <v/>
      </c>
    </row>
    <row r="3836" spans="31:32" x14ac:dyDescent="0.25">
      <c r="AE3836" s="39" t="str">
        <f>IF(D3836="","",IFERROR(VLOOKUP(D3836,Projects!$A$2:$A$20000,1,FALSE),""))</f>
        <v/>
      </c>
      <c r="AF3836" s="2" t="str">
        <f>IF(D3836="","",IFERROR(MATCH(D3836,Projects!$A:$A,0),""))</f>
        <v/>
      </c>
    </row>
    <row r="3837" spans="31:32" x14ac:dyDescent="0.25">
      <c r="AE3837" s="39" t="str">
        <f>IF(D3837="","",IFERROR(VLOOKUP(D3837,Projects!$A$2:$A$20000,1,FALSE),""))</f>
        <v/>
      </c>
      <c r="AF3837" s="2" t="str">
        <f>IF(D3837="","",IFERROR(MATCH(D3837,Projects!$A:$A,0),""))</f>
        <v/>
      </c>
    </row>
    <row r="3838" spans="31:32" x14ac:dyDescent="0.25">
      <c r="AE3838" s="39" t="str">
        <f>IF(D3838="","",IFERROR(VLOOKUP(D3838,Projects!$A$2:$A$20000,1,FALSE),""))</f>
        <v/>
      </c>
      <c r="AF3838" s="2" t="str">
        <f>IF(D3838="","",IFERROR(MATCH(D3838,Projects!$A:$A,0),""))</f>
        <v/>
      </c>
    </row>
    <row r="3839" spans="31:32" x14ac:dyDescent="0.25">
      <c r="AE3839" s="39" t="str">
        <f>IF(D3839="","",IFERROR(VLOOKUP(D3839,Projects!$A$2:$A$20000,1,FALSE),""))</f>
        <v/>
      </c>
      <c r="AF3839" s="2" t="str">
        <f>IF(D3839="","",IFERROR(MATCH(D3839,Projects!$A:$A,0),""))</f>
        <v/>
      </c>
    </row>
    <row r="3840" spans="31:32" x14ac:dyDescent="0.25">
      <c r="AE3840" s="39" t="str">
        <f>IF(D3840="","",IFERROR(VLOOKUP(D3840,Projects!$A$2:$A$20000,1,FALSE),""))</f>
        <v/>
      </c>
      <c r="AF3840" s="2" t="str">
        <f>IF(D3840="","",IFERROR(MATCH(D3840,Projects!$A:$A,0),""))</f>
        <v/>
      </c>
    </row>
    <row r="3841" spans="31:32" x14ac:dyDescent="0.25">
      <c r="AE3841" s="39" t="str">
        <f>IF(D3841="","",IFERROR(VLOOKUP(D3841,Projects!$A$2:$A$20000,1,FALSE),""))</f>
        <v/>
      </c>
      <c r="AF3841" s="2" t="str">
        <f>IF(D3841="","",IFERROR(MATCH(D3841,Projects!$A:$A,0),""))</f>
        <v/>
      </c>
    </row>
    <row r="3842" spans="31:32" x14ac:dyDescent="0.25">
      <c r="AE3842" s="39" t="str">
        <f>IF(D3842="","",IFERROR(VLOOKUP(D3842,Projects!$A$2:$A$20000,1,FALSE),""))</f>
        <v/>
      </c>
      <c r="AF3842" s="2" t="str">
        <f>IF(D3842="","",IFERROR(MATCH(D3842,Projects!$A:$A,0),""))</f>
        <v/>
      </c>
    </row>
    <row r="3843" spans="31:32" x14ac:dyDescent="0.25">
      <c r="AE3843" s="39" t="str">
        <f>IF(D3843="","",IFERROR(VLOOKUP(D3843,Projects!$A$2:$A$20000,1,FALSE),""))</f>
        <v/>
      </c>
      <c r="AF3843" s="2" t="str">
        <f>IF(D3843="","",IFERROR(MATCH(D3843,Projects!$A:$A,0),""))</f>
        <v/>
      </c>
    </row>
    <row r="3844" spans="31:32" x14ac:dyDescent="0.25">
      <c r="AE3844" s="39" t="str">
        <f>IF(D3844="","",IFERROR(VLOOKUP(D3844,Projects!$A$2:$A$20000,1,FALSE),""))</f>
        <v/>
      </c>
      <c r="AF3844" s="2" t="str">
        <f>IF(D3844="","",IFERROR(MATCH(D3844,Projects!$A:$A,0),""))</f>
        <v/>
      </c>
    </row>
    <row r="3845" spans="31:32" x14ac:dyDescent="0.25">
      <c r="AE3845" s="39" t="str">
        <f>IF(D3845="","",IFERROR(VLOOKUP(D3845,Projects!$A$2:$A$20000,1,FALSE),""))</f>
        <v/>
      </c>
      <c r="AF3845" s="2" t="str">
        <f>IF(D3845="","",IFERROR(MATCH(D3845,Projects!$A:$A,0),""))</f>
        <v/>
      </c>
    </row>
    <row r="3846" spans="31:32" x14ac:dyDescent="0.25">
      <c r="AE3846" s="39" t="str">
        <f>IF(D3846="","",IFERROR(VLOOKUP(D3846,Projects!$A$2:$A$20000,1,FALSE),""))</f>
        <v/>
      </c>
      <c r="AF3846" s="2" t="str">
        <f>IF(D3846="","",IFERROR(MATCH(D3846,Projects!$A:$A,0),""))</f>
        <v/>
      </c>
    </row>
    <row r="3847" spans="31:32" x14ac:dyDescent="0.25">
      <c r="AE3847" s="39" t="str">
        <f>IF(D3847="","",IFERROR(VLOOKUP(D3847,Projects!$A$2:$A$20000,1,FALSE),""))</f>
        <v/>
      </c>
      <c r="AF3847" s="2" t="str">
        <f>IF(D3847="","",IFERROR(MATCH(D3847,Projects!$A:$A,0),""))</f>
        <v/>
      </c>
    </row>
    <row r="3848" spans="31:32" x14ac:dyDescent="0.25">
      <c r="AE3848" s="39" t="str">
        <f>IF(D3848="","",IFERROR(VLOOKUP(D3848,Projects!$A$2:$A$20000,1,FALSE),""))</f>
        <v/>
      </c>
      <c r="AF3848" s="2" t="str">
        <f>IF(D3848="","",IFERROR(MATCH(D3848,Projects!$A:$A,0),""))</f>
        <v/>
      </c>
    </row>
    <row r="3849" spans="31:32" x14ac:dyDescent="0.25">
      <c r="AE3849" s="39" t="str">
        <f>IF(D3849="","",IFERROR(VLOOKUP(D3849,Projects!$A$2:$A$20000,1,FALSE),""))</f>
        <v/>
      </c>
      <c r="AF3849" s="2" t="str">
        <f>IF(D3849="","",IFERROR(MATCH(D3849,Projects!$A:$A,0),""))</f>
        <v/>
      </c>
    </row>
    <row r="3850" spans="31:32" x14ac:dyDescent="0.25">
      <c r="AE3850" s="39" t="str">
        <f>IF(D3850="","",IFERROR(VLOOKUP(D3850,Projects!$A$2:$A$20000,1,FALSE),""))</f>
        <v/>
      </c>
      <c r="AF3850" s="2" t="str">
        <f>IF(D3850="","",IFERROR(MATCH(D3850,Projects!$A:$A,0),""))</f>
        <v/>
      </c>
    </row>
    <row r="3851" spans="31:32" x14ac:dyDescent="0.25">
      <c r="AE3851" s="39" t="str">
        <f>IF(D3851="","",IFERROR(VLOOKUP(D3851,Projects!$A$2:$A$20000,1,FALSE),""))</f>
        <v/>
      </c>
      <c r="AF3851" s="2" t="str">
        <f>IF(D3851="","",IFERROR(MATCH(D3851,Projects!$A:$A,0),""))</f>
        <v/>
      </c>
    </row>
    <row r="3852" spans="31:32" x14ac:dyDescent="0.25">
      <c r="AE3852" s="39" t="str">
        <f>IF(D3852="","",IFERROR(VLOOKUP(D3852,Projects!$A$2:$A$20000,1,FALSE),""))</f>
        <v/>
      </c>
      <c r="AF3852" s="2" t="str">
        <f>IF(D3852="","",IFERROR(MATCH(D3852,Projects!$A:$A,0),""))</f>
        <v/>
      </c>
    </row>
    <row r="3853" spans="31:32" x14ac:dyDescent="0.25">
      <c r="AE3853" s="39" t="str">
        <f>IF(D3853="","",IFERROR(VLOOKUP(D3853,Projects!$A$2:$A$20000,1,FALSE),""))</f>
        <v/>
      </c>
      <c r="AF3853" s="2" t="str">
        <f>IF(D3853="","",IFERROR(MATCH(D3853,Projects!$A:$A,0),""))</f>
        <v/>
      </c>
    </row>
    <row r="3854" spans="31:32" x14ac:dyDescent="0.25">
      <c r="AE3854" s="39" t="str">
        <f>IF(D3854="","",IFERROR(VLOOKUP(D3854,Projects!$A$2:$A$20000,1,FALSE),""))</f>
        <v/>
      </c>
      <c r="AF3854" s="2" t="str">
        <f>IF(D3854="","",IFERROR(MATCH(D3854,Projects!$A:$A,0),""))</f>
        <v/>
      </c>
    </row>
    <row r="3855" spans="31:32" x14ac:dyDescent="0.25">
      <c r="AE3855" s="39" t="str">
        <f>IF(D3855="","",IFERROR(VLOOKUP(D3855,Projects!$A$2:$A$20000,1,FALSE),""))</f>
        <v/>
      </c>
      <c r="AF3855" s="2" t="str">
        <f>IF(D3855="","",IFERROR(MATCH(D3855,Projects!$A:$A,0),""))</f>
        <v/>
      </c>
    </row>
    <row r="3856" spans="31:32" x14ac:dyDescent="0.25">
      <c r="AE3856" s="39" t="str">
        <f>IF(D3856="","",IFERROR(VLOOKUP(D3856,Projects!$A$2:$A$20000,1,FALSE),""))</f>
        <v/>
      </c>
      <c r="AF3856" s="2" t="str">
        <f>IF(D3856="","",IFERROR(MATCH(D3856,Projects!$A:$A,0),""))</f>
        <v/>
      </c>
    </row>
    <row r="3857" spans="31:32" x14ac:dyDescent="0.25">
      <c r="AE3857" s="39" t="str">
        <f>IF(D3857="","",IFERROR(VLOOKUP(D3857,Projects!$A$2:$A$20000,1,FALSE),""))</f>
        <v/>
      </c>
      <c r="AF3857" s="2" t="str">
        <f>IF(D3857="","",IFERROR(MATCH(D3857,Projects!$A:$A,0),""))</f>
        <v/>
      </c>
    </row>
    <row r="3858" spans="31:32" x14ac:dyDescent="0.25">
      <c r="AE3858" s="39" t="str">
        <f>IF(D3858="","",IFERROR(VLOOKUP(D3858,Projects!$A$2:$A$20000,1,FALSE),""))</f>
        <v/>
      </c>
      <c r="AF3858" s="2" t="str">
        <f>IF(D3858="","",IFERROR(MATCH(D3858,Projects!$A:$A,0),""))</f>
        <v/>
      </c>
    </row>
    <row r="3859" spans="31:32" x14ac:dyDescent="0.25">
      <c r="AE3859" s="39" t="str">
        <f>IF(D3859="","",IFERROR(VLOOKUP(D3859,Projects!$A$2:$A$20000,1,FALSE),""))</f>
        <v/>
      </c>
      <c r="AF3859" s="2" t="str">
        <f>IF(D3859="","",IFERROR(MATCH(D3859,Projects!$A:$A,0),""))</f>
        <v/>
      </c>
    </row>
    <row r="3860" spans="31:32" x14ac:dyDescent="0.25">
      <c r="AE3860" s="39" t="str">
        <f>IF(D3860="","",IFERROR(VLOOKUP(D3860,Projects!$A$2:$A$20000,1,FALSE),""))</f>
        <v/>
      </c>
      <c r="AF3860" s="2" t="str">
        <f>IF(D3860="","",IFERROR(MATCH(D3860,Projects!$A:$A,0),""))</f>
        <v/>
      </c>
    </row>
    <row r="3861" spans="31:32" x14ac:dyDescent="0.25">
      <c r="AE3861" s="39" t="str">
        <f>IF(D3861="","",IFERROR(VLOOKUP(D3861,Projects!$A$2:$A$20000,1,FALSE),""))</f>
        <v/>
      </c>
      <c r="AF3861" s="2" t="str">
        <f>IF(D3861="","",IFERROR(MATCH(D3861,Projects!$A:$A,0),""))</f>
        <v/>
      </c>
    </row>
    <row r="3862" spans="31:32" x14ac:dyDescent="0.25">
      <c r="AE3862" s="39" t="str">
        <f>IF(D3862="","",IFERROR(VLOOKUP(D3862,Projects!$A$2:$A$20000,1,FALSE),""))</f>
        <v/>
      </c>
      <c r="AF3862" s="2" t="str">
        <f>IF(D3862="","",IFERROR(MATCH(D3862,Projects!$A:$A,0),""))</f>
        <v/>
      </c>
    </row>
    <row r="3863" spans="31:32" x14ac:dyDescent="0.25">
      <c r="AE3863" s="39" t="str">
        <f>IF(D3863="","",IFERROR(VLOOKUP(D3863,Projects!$A$2:$A$20000,1,FALSE),""))</f>
        <v/>
      </c>
      <c r="AF3863" s="2" t="str">
        <f>IF(D3863="","",IFERROR(MATCH(D3863,Projects!$A:$A,0),""))</f>
        <v/>
      </c>
    </row>
    <row r="3864" spans="31:32" x14ac:dyDescent="0.25">
      <c r="AE3864" s="39" t="str">
        <f>IF(D3864="","",IFERROR(VLOOKUP(D3864,Projects!$A$2:$A$20000,1,FALSE),""))</f>
        <v/>
      </c>
      <c r="AF3864" s="2" t="str">
        <f>IF(D3864="","",IFERROR(MATCH(D3864,Projects!$A:$A,0),""))</f>
        <v/>
      </c>
    </row>
    <row r="3865" spans="31:32" x14ac:dyDescent="0.25">
      <c r="AE3865" s="39" t="str">
        <f>IF(D3865="","",IFERROR(VLOOKUP(D3865,Projects!$A$2:$A$20000,1,FALSE),""))</f>
        <v/>
      </c>
      <c r="AF3865" s="2" t="str">
        <f>IF(D3865="","",IFERROR(MATCH(D3865,Projects!$A:$A,0),""))</f>
        <v/>
      </c>
    </row>
    <row r="3866" spans="31:32" x14ac:dyDescent="0.25">
      <c r="AE3866" s="39" t="str">
        <f>IF(D3866="","",IFERROR(VLOOKUP(D3866,Projects!$A$2:$A$20000,1,FALSE),""))</f>
        <v/>
      </c>
      <c r="AF3866" s="2" t="str">
        <f>IF(D3866="","",IFERROR(MATCH(D3866,Projects!$A:$A,0),""))</f>
        <v/>
      </c>
    </row>
    <row r="3867" spans="31:32" x14ac:dyDescent="0.25">
      <c r="AE3867" s="39" t="str">
        <f>IF(D3867="","",IFERROR(VLOOKUP(D3867,Projects!$A$2:$A$20000,1,FALSE),""))</f>
        <v/>
      </c>
      <c r="AF3867" s="2" t="str">
        <f>IF(D3867="","",IFERROR(MATCH(D3867,Projects!$A:$A,0),""))</f>
        <v/>
      </c>
    </row>
    <row r="3868" spans="31:32" x14ac:dyDescent="0.25">
      <c r="AE3868" s="39" t="str">
        <f>IF(D3868="","",IFERROR(VLOOKUP(D3868,Projects!$A$2:$A$20000,1,FALSE),""))</f>
        <v/>
      </c>
      <c r="AF3868" s="2" t="str">
        <f>IF(D3868="","",IFERROR(MATCH(D3868,Projects!$A:$A,0),""))</f>
        <v/>
      </c>
    </row>
    <row r="3869" spans="31:32" x14ac:dyDescent="0.25">
      <c r="AE3869" s="39" t="str">
        <f>IF(D3869="","",IFERROR(VLOOKUP(D3869,Projects!$A$2:$A$20000,1,FALSE),""))</f>
        <v/>
      </c>
      <c r="AF3869" s="2" t="str">
        <f>IF(D3869="","",IFERROR(MATCH(D3869,Projects!$A:$A,0),""))</f>
        <v/>
      </c>
    </row>
    <row r="3870" spans="31:32" x14ac:dyDescent="0.25">
      <c r="AE3870" s="39" t="str">
        <f>IF(D3870="","",IFERROR(VLOOKUP(D3870,Projects!$A$2:$A$20000,1,FALSE),""))</f>
        <v/>
      </c>
      <c r="AF3870" s="2" t="str">
        <f>IF(D3870="","",IFERROR(MATCH(D3870,Projects!$A:$A,0),""))</f>
        <v/>
      </c>
    </row>
    <row r="3871" spans="31:32" x14ac:dyDescent="0.25">
      <c r="AE3871" s="39" t="str">
        <f>IF(D3871="","",IFERROR(VLOOKUP(D3871,Projects!$A$2:$A$20000,1,FALSE),""))</f>
        <v/>
      </c>
      <c r="AF3871" s="2" t="str">
        <f>IF(D3871="","",IFERROR(MATCH(D3871,Projects!$A:$A,0),""))</f>
        <v/>
      </c>
    </row>
    <row r="3872" spans="31:32" x14ac:dyDescent="0.25">
      <c r="AE3872" s="39" t="str">
        <f>IF(D3872="","",IFERROR(VLOOKUP(D3872,Projects!$A$2:$A$20000,1,FALSE),""))</f>
        <v/>
      </c>
      <c r="AF3872" s="2" t="str">
        <f>IF(D3872="","",IFERROR(MATCH(D3872,Projects!$A:$A,0),""))</f>
        <v/>
      </c>
    </row>
    <row r="3873" spans="31:32" x14ac:dyDescent="0.25">
      <c r="AE3873" s="39" t="str">
        <f>IF(D3873="","",IFERROR(VLOOKUP(D3873,Projects!$A$2:$A$20000,1,FALSE),""))</f>
        <v/>
      </c>
      <c r="AF3873" s="2" t="str">
        <f>IF(D3873="","",IFERROR(MATCH(D3873,Projects!$A:$A,0),""))</f>
        <v/>
      </c>
    </row>
    <row r="3874" spans="31:32" x14ac:dyDescent="0.25">
      <c r="AE3874" s="39" t="str">
        <f>IF(D3874="","",IFERROR(VLOOKUP(D3874,Projects!$A$2:$A$20000,1,FALSE),""))</f>
        <v/>
      </c>
      <c r="AF3874" s="2" t="str">
        <f>IF(D3874="","",IFERROR(MATCH(D3874,Projects!$A:$A,0),""))</f>
        <v/>
      </c>
    </row>
    <row r="3875" spans="31:32" x14ac:dyDescent="0.25">
      <c r="AE3875" s="39" t="str">
        <f>IF(D3875="","",IFERROR(VLOOKUP(D3875,Projects!$A$2:$A$20000,1,FALSE),""))</f>
        <v/>
      </c>
      <c r="AF3875" s="2" t="str">
        <f>IF(D3875="","",IFERROR(MATCH(D3875,Projects!$A:$A,0),""))</f>
        <v/>
      </c>
    </row>
    <row r="3876" spans="31:32" x14ac:dyDescent="0.25">
      <c r="AE3876" s="39" t="str">
        <f>IF(D3876="","",IFERROR(VLOOKUP(D3876,Projects!$A$2:$A$20000,1,FALSE),""))</f>
        <v/>
      </c>
      <c r="AF3876" s="2" t="str">
        <f>IF(D3876="","",IFERROR(MATCH(D3876,Projects!$A:$A,0),""))</f>
        <v/>
      </c>
    </row>
    <row r="3877" spans="31:32" x14ac:dyDescent="0.25">
      <c r="AE3877" s="39" t="str">
        <f>IF(D3877="","",IFERROR(VLOOKUP(D3877,Projects!$A$2:$A$20000,1,FALSE),""))</f>
        <v/>
      </c>
      <c r="AF3877" s="2" t="str">
        <f>IF(D3877="","",IFERROR(MATCH(D3877,Projects!$A:$A,0),""))</f>
        <v/>
      </c>
    </row>
    <row r="3878" spans="31:32" x14ac:dyDescent="0.25">
      <c r="AE3878" s="39" t="str">
        <f>IF(D3878="","",IFERROR(VLOOKUP(D3878,Projects!$A$2:$A$20000,1,FALSE),""))</f>
        <v/>
      </c>
      <c r="AF3878" s="2" t="str">
        <f>IF(D3878="","",IFERROR(MATCH(D3878,Projects!$A:$A,0),""))</f>
        <v/>
      </c>
    </row>
    <row r="3879" spans="31:32" x14ac:dyDescent="0.25">
      <c r="AE3879" s="39" t="str">
        <f>IF(D3879="","",IFERROR(VLOOKUP(D3879,Projects!$A$2:$A$20000,1,FALSE),""))</f>
        <v/>
      </c>
      <c r="AF3879" s="2" t="str">
        <f>IF(D3879="","",IFERROR(MATCH(D3879,Projects!$A:$A,0),""))</f>
        <v/>
      </c>
    </row>
    <row r="3880" spans="31:32" x14ac:dyDescent="0.25">
      <c r="AE3880" s="39" t="str">
        <f>IF(D3880="","",IFERROR(VLOOKUP(D3880,Projects!$A$2:$A$20000,1,FALSE),""))</f>
        <v/>
      </c>
      <c r="AF3880" s="2" t="str">
        <f>IF(D3880="","",IFERROR(MATCH(D3880,Projects!$A:$A,0),""))</f>
        <v/>
      </c>
    </row>
    <row r="3881" spans="31:32" x14ac:dyDescent="0.25">
      <c r="AE3881" s="39" t="str">
        <f>IF(D3881="","",IFERROR(VLOOKUP(D3881,Projects!$A$2:$A$20000,1,FALSE),""))</f>
        <v/>
      </c>
      <c r="AF3881" s="2" t="str">
        <f>IF(D3881="","",IFERROR(MATCH(D3881,Projects!$A:$A,0),""))</f>
        <v/>
      </c>
    </row>
    <row r="3882" spans="31:32" x14ac:dyDescent="0.25">
      <c r="AE3882" s="39" t="str">
        <f>IF(D3882="","",IFERROR(VLOOKUP(D3882,Projects!$A$2:$A$20000,1,FALSE),""))</f>
        <v/>
      </c>
      <c r="AF3882" s="2" t="str">
        <f>IF(D3882="","",IFERROR(MATCH(D3882,Projects!$A:$A,0),""))</f>
        <v/>
      </c>
    </row>
    <row r="3883" spans="31:32" x14ac:dyDescent="0.25">
      <c r="AE3883" s="39" t="str">
        <f>IF(D3883="","",IFERROR(VLOOKUP(D3883,Projects!$A$2:$A$20000,1,FALSE),""))</f>
        <v/>
      </c>
      <c r="AF3883" s="2" t="str">
        <f>IF(D3883="","",IFERROR(MATCH(D3883,Projects!$A:$A,0),""))</f>
        <v/>
      </c>
    </row>
    <row r="3884" spans="31:32" x14ac:dyDescent="0.25">
      <c r="AE3884" s="39" t="str">
        <f>IF(D3884="","",IFERROR(VLOOKUP(D3884,Projects!$A$2:$A$20000,1,FALSE),""))</f>
        <v/>
      </c>
      <c r="AF3884" s="2" t="str">
        <f>IF(D3884="","",IFERROR(MATCH(D3884,Projects!$A:$A,0),""))</f>
        <v/>
      </c>
    </row>
    <row r="3885" spans="31:32" x14ac:dyDescent="0.25">
      <c r="AE3885" s="39" t="str">
        <f>IF(D3885="","",IFERROR(VLOOKUP(D3885,Projects!$A$2:$A$20000,1,FALSE),""))</f>
        <v/>
      </c>
      <c r="AF3885" s="2" t="str">
        <f>IF(D3885="","",IFERROR(MATCH(D3885,Projects!$A:$A,0),""))</f>
        <v/>
      </c>
    </row>
    <row r="3886" spans="31:32" x14ac:dyDescent="0.25">
      <c r="AE3886" s="39" t="str">
        <f>IF(D3886="","",IFERROR(VLOOKUP(D3886,Projects!$A$2:$A$20000,1,FALSE),""))</f>
        <v/>
      </c>
      <c r="AF3886" s="2" t="str">
        <f>IF(D3886="","",IFERROR(MATCH(D3886,Projects!$A:$A,0),""))</f>
        <v/>
      </c>
    </row>
    <row r="3887" spans="31:32" x14ac:dyDescent="0.25">
      <c r="AE3887" s="39" t="str">
        <f>IF(D3887="","",IFERROR(VLOOKUP(D3887,Projects!$A$2:$A$20000,1,FALSE),""))</f>
        <v/>
      </c>
      <c r="AF3887" s="2" t="str">
        <f>IF(D3887="","",IFERROR(MATCH(D3887,Projects!$A:$A,0),""))</f>
        <v/>
      </c>
    </row>
    <row r="3888" spans="31:32" x14ac:dyDescent="0.25">
      <c r="AE3888" s="39" t="str">
        <f>IF(D3888="","",IFERROR(VLOOKUP(D3888,Projects!$A$2:$A$20000,1,FALSE),""))</f>
        <v/>
      </c>
      <c r="AF3888" s="2" t="str">
        <f>IF(D3888="","",IFERROR(MATCH(D3888,Projects!$A:$A,0),""))</f>
        <v/>
      </c>
    </row>
    <row r="3889" spans="31:32" x14ac:dyDescent="0.25">
      <c r="AE3889" s="39" t="str">
        <f>IF(D3889="","",IFERROR(VLOOKUP(D3889,Projects!$A$2:$A$20000,1,FALSE),""))</f>
        <v/>
      </c>
      <c r="AF3889" s="2" t="str">
        <f>IF(D3889="","",IFERROR(MATCH(D3889,Projects!$A:$A,0),""))</f>
        <v/>
      </c>
    </row>
    <row r="3890" spans="31:32" x14ac:dyDescent="0.25">
      <c r="AE3890" s="39" t="str">
        <f>IF(D3890="","",IFERROR(VLOOKUP(D3890,Projects!$A$2:$A$20000,1,FALSE),""))</f>
        <v/>
      </c>
      <c r="AF3890" s="2" t="str">
        <f>IF(D3890="","",IFERROR(MATCH(D3890,Projects!$A:$A,0),""))</f>
        <v/>
      </c>
    </row>
    <row r="3891" spans="31:32" x14ac:dyDescent="0.25">
      <c r="AE3891" s="39" t="str">
        <f>IF(D3891="","",IFERROR(VLOOKUP(D3891,Projects!$A$2:$A$20000,1,FALSE),""))</f>
        <v/>
      </c>
      <c r="AF3891" s="2" t="str">
        <f>IF(D3891="","",IFERROR(MATCH(D3891,Projects!$A:$A,0),""))</f>
        <v/>
      </c>
    </row>
    <row r="3892" spans="31:32" x14ac:dyDescent="0.25">
      <c r="AE3892" s="39" t="str">
        <f>IF(D3892="","",IFERROR(VLOOKUP(D3892,Projects!$A$2:$A$20000,1,FALSE),""))</f>
        <v/>
      </c>
      <c r="AF3892" s="2" t="str">
        <f>IF(D3892="","",IFERROR(MATCH(D3892,Projects!$A:$A,0),""))</f>
        <v/>
      </c>
    </row>
    <row r="3893" spans="31:32" x14ac:dyDescent="0.25">
      <c r="AE3893" s="39" t="str">
        <f>IF(D3893="","",IFERROR(VLOOKUP(D3893,Projects!$A$2:$A$20000,1,FALSE),""))</f>
        <v/>
      </c>
      <c r="AF3893" s="2" t="str">
        <f>IF(D3893="","",IFERROR(MATCH(D3893,Projects!$A:$A,0),""))</f>
        <v/>
      </c>
    </row>
    <row r="3894" spans="31:32" x14ac:dyDescent="0.25">
      <c r="AE3894" s="39" t="str">
        <f>IF(D3894="","",IFERROR(VLOOKUP(D3894,Projects!$A$2:$A$20000,1,FALSE),""))</f>
        <v/>
      </c>
      <c r="AF3894" s="2" t="str">
        <f>IF(D3894="","",IFERROR(MATCH(D3894,Projects!$A:$A,0),""))</f>
        <v/>
      </c>
    </row>
    <row r="3895" spans="31:32" x14ac:dyDescent="0.25">
      <c r="AE3895" s="39" t="str">
        <f>IF(D3895="","",IFERROR(VLOOKUP(D3895,Projects!$A$2:$A$20000,1,FALSE),""))</f>
        <v/>
      </c>
      <c r="AF3895" s="2" t="str">
        <f>IF(D3895="","",IFERROR(MATCH(D3895,Projects!$A:$A,0),""))</f>
        <v/>
      </c>
    </row>
    <row r="3896" spans="31:32" x14ac:dyDescent="0.25">
      <c r="AE3896" s="39" t="str">
        <f>IF(D3896="","",IFERROR(VLOOKUP(D3896,Projects!$A$2:$A$20000,1,FALSE),""))</f>
        <v/>
      </c>
      <c r="AF3896" s="2" t="str">
        <f>IF(D3896="","",IFERROR(MATCH(D3896,Projects!$A:$A,0),""))</f>
        <v/>
      </c>
    </row>
    <row r="3897" spans="31:32" x14ac:dyDescent="0.25">
      <c r="AE3897" s="39" t="str">
        <f>IF(D3897="","",IFERROR(VLOOKUP(D3897,Projects!$A$2:$A$20000,1,FALSE),""))</f>
        <v/>
      </c>
      <c r="AF3897" s="2" t="str">
        <f>IF(D3897="","",IFERROR(MATCH(D3897,Projects!$A:$A,0),""))</f>
        <v/>
      </c>
    </row>
    <row r="3898" spans="31:32" x14ac:dyDescent="0.25">
      <c r="AE3898" s="39" t="str">
        <f>IF(D3898="","",IFERROR(VLOOKUP(D3898,Projects!$A$2:$A$20000,1,FALSE),""))</f>
        <v/>
      </c>
      <c r="AF3898" s="2" t="str">
        <f>IF(D3898="","",IFERROR(MATCH(D3898,Projects!$A:$A,0),""))</f>
        <v/>
      </c>
    </row>
    <row r="3899" spans="31:32" x14ac:dyDescent="0.25">
      <c r="AE3899" s="39" t="str">
        <f>IF(D3899="","",IFERROR(VLOOKUP(D3899,Projects!$A$2:$A$20000,1,FALSE),""))</f>
        <v/>
      </c>
      <c r="AF3899" s="2" t="str">
        <f>IF(D3899="","",IFERROR(MATCH(D3899,Projects!$A:$A,0),""))</f>
        <v/>
      </c>
    </row>
    <row r="3900" spans="31:32" x14ac:dyDescent="0.25">
      <c r="AE3900" s="39" t="str">
        <f>IF(D3900="","",IFERROR(VLOOKUP(D3900,Projects!$A$2:$A$20000,1,FALSE),""))</f>
        <v/>
      </c>
      <c r="AF3900" s="2" t="str">
        <f>IF(D3900="","",IFERROR(MATCH(D3900,Projects!$A:$A,0),""))</f>
        <v/>
      </c>
    </row>
    <row r="3901" spans="31:32" x14ac:dyDescent="0.25">
      <c r="AE3901" s="39" t="str">
        <f>IF(D3901="","",IFERROR(VLOOKUP(D3901,Projects!$A$2:$A$20000,1,FALSE),""))</f>
        <v/>
      </c>
      <c r="AF3901" s="2" t="str">
        <f>IF(D3901="","",IFERROR(MATCH(D3901,Projects!$A:$A,0),""))</f>
        <v/>
      </c>
    </row>
    <row r="3902" spans="31:32" x14ac:dyDescent="0.25">
      <c r="AE3902" s="39" t="str">
        <f>IF(D3902="","",IFERROR(VLOOKUP(D3902,Projects!$A$2:$A$20000,1,FALSE),""))</f>
        <v/>
      </c>
      <c r="AF3902" s="2" t="str">
        <f>IF(D3902="","",IFERROR(MATCH(D3902,Projects!$A:$A,0),""))</f>
        <v/>
      </c>
    </row>
    <row r="3903" spans="31:32" x14ac:dyDescent="0.25">
      <c r="AE3903" s="39" t="str">
        <f>IF(D3903="","",IFERROR(VLOOKUP(D3903,Projects!$A$2:$A$20000,1,FALSE),""))</f>
        <v/>
      </c>
      <c r="AF3903" s="2" t="str">
        <f>IF(D3903="","",IFERROR(MATCH(D3903,Projects!$A:$A,0),""))</f>
        <v/>
      </c>
    </row>
    <row r="3904" spans="31:32" x14ac:dyDescent="0.25">
      <c r="AE3904" s="39" t="str">
        <f>IF(D3904="","",IFERROR(VLOOKUP(D3904,Projects!$A$2:$A$20000,1,FALSE),""))</f>
        <v/>
      </c>
      <c r="AF3904" s="2" t="str">
        <f>IF(D3904="","",IFERROR(MATCH(D3904,Projects!$A:$A,0),""))</f>
        <v/>
      </c>
    </row>
    <row r="3905" spans="31:32" x14ac:dyDescent="0.25">
      <c r="AE3905" s="39" t="str">
        <f>IF(D3905="","",IFERROR(VLOOKUP(D3905,Projects!$A$2:$A$20000,1,FALSE),""))</f>
        <v/>
      </c>
      <c r="AF3905" s="2" t="str">
        <f>IF(D3905="","",IFERROR(MATCH(D3905,Projects!$A:$A,0),""))</f>
        <v/>
      </c>
    </row>
    <row r="3906" spans="31:32" x14ac:dyDescent="0.25">
      <c r="AE3906" s="39" t="str">
        <f>IF(D3906="","",IFERROR(VLOOKUP(D3906,Projects!$A$2:$A$20000,1,FALSE),""))</f>
        <v/>
      </c>
      <c r="AF3906" s="2" t="str">
        <f>IF(D3906="","",IFERROR(MATCH(D3906,Projects!$A:$A,0),""))</f>
        <v/>
      </c>
    </row>
    <row r="3907" spans="31:32" x14ac:dyDescent="0.25">
      <c r="AE3907" s="39" t="str">
        <f>IF(D3907="","",IFERROR(VLOOKUP(D3907,Projects!$A$2:$A$20000,1,FALSE),""))</f>
        <v/>
      </c>
      <c r="AF3907" s="2" t="str">
        <f>IF(D3907="","",IFERROR(MATCH(D3907,Projects!$A:$A,0),""))</f>
        <v/>
      </c>
    </row>
    <row r="3908" spans="31:32" x14ac:dyDescent="0.25">
      <c r="AE3908" s="39" t="str">
        <f>IF(D3908="","",IFERROR(VLOOKUP(D3908,Projects!$A$2:$A$20000,1,FALSE),""))</f>
        <v/>
      </c>
      <c r="AF3908" s="2" t="str">
        <f>IF(D3908="","",IFERROR(MATCH(D3908,Projects!$A:$A,0),""))</f>
        <v/>
      </c>
    </row>
    <row r="3909" spans="31:32" x14ac:dyDescent="0.25">
      <c r="AE3909" s="39" t="str">
        <f>IF(D3909="","",IFERROR(VLOOKUP(D3909,Projects!$A$2:$A$20000,1,FALSE),""))</f>
        <v/>
      </c>
      <c r="AF3909" s="2" t="str">
        <f>IF(D3909="","",IFERROR(MATCH(D3909,Projects!$A:$A,0),""))</f>
        <v/>
      </c>
    </row>
    <row r="3910" spans="31:32" x14ac:dyDescent="0.25">
      <c r="AE3910" s="39" t="str">
        <f>IF(D3910="","",IFERROR(VLOOKUP(D3910,Projects!$A$2:$A$20000,1,FALSE),""))</f>
        <v/>
      </c>
      <c r="AF3910" s="2" t="str">
        <f>IF(D3910="","",IFERROR(MATCH(D3910,Projects!$A:$A,0),""))</f>
        <v/>
      </c>
    </row>
    <row r="3911" spans="31:32" x14ac:dyDescent="0.25">
      <c r="AE3911" s="39" t="str">
        <f>IF(D3911="","",IFERROR(VLOOKUP(D3911,Projects!$A$2:$A$20000,1,FALSE),""))</f>
        <v/>
      </c>
      <c r="AF3911" s="2" t="str">
        <f>IF(D3911="","",IFERROR(MATCH(D3911,Projects!$A:$A,0),""))</f>
        <v/>
      </c>
    </row>
    <row r="3912" spans="31:32" x14ac:dyDescent="0.25">
      <c r="AE3912" s="39" t="str">
        <f>IF(D3912="","",IFERROR(VLOOKUP(D3912,Projects!$A$2:$A$20000,1,FALSE),""))</f>
        <v/>
      </c>
      <c r="AF3912" s="2" t="str">
        <f>IF(D3912="","",IFERROR(MATCH(D3912,Projects!$A:$A,0),""))</f>
        <v/>
      </c>
    </row>
    <row r="3913" spans="31:32" x14ac:dyDescent="0.25">
      <c r="AE3913" s="39" t="str">
        <f>IF(D3913="","",IFERROR(VLOOKUP(D3913,Projects!$A$2:$A$20000,1,FALSE),""))</f>
        <v/>
      </c>
      <c r="AF3913" s="2" t="str">
        <f>IF(D3913="","",IFERROR(MATCH(D3913,Projects!$A:$A,0),""))</f>
        <v/>
      </c>
    </row>
    <row r="3914" spans="31:32" x14ac:dyDescent="0.25">
      <c r="AE3914" s="39" t="str">
        <f>IF(D3914="","",IFERROR(VLOOKUP(D3914,Projects!$A$2:$A$20000,1,FALSE),""))</f>
        <v/>
      </c>
      <c r="AF3914" s="2" t="str">
        <f>IF(D3914="","",IFERROR(MATCH(D3914,Projects!$A:$A,0),""))</f>
        <v/>
      </c>
    </row>
    <row r="3915" spans="31:32" x14ac:dyDescent="0.25">
      <c r="AE3915" s="39" t="str">
        <f>IF(D3915="","",IFERROR(VLOOKUP(D3915,Projects!$A$2:$A$20000,1,FALSE),""))</f>
        <v/>
      </c>
      <c r="AF3915" s="2" t="str">
        <f>IF(D3915="","",IFERROR(MATCH(D3915,Projects!$A:$A,0),""))</f>
        <v/>
      </c>
    </row>
    <row r="3916" spans="31:32" x14ac:dyDescent="0.25">
      <c r="AE3916" s="39" t="str">
        <f>IF(D3916="","",IFERROR(VLOOKUP(D3916,Projects!$A$2:$A$20000,1,FALSE),""))</f>
        <v/>
      </c>
      <c r="AF3916" s="2" t="str">
        <f>IF(D3916="","",IFERROR(MATCH(D3916,Projects!$A:$A,0),""))</f>
        <v/>
      </c>
    </row>
    <row r="3917" spans="31:32" x14ac:dyDescent="0.25">
      <c r="AE3917" s="39" t="str">
        <f>IF(D3917="","",IFERROR(VLOOKUP(D3917,Projects!$A$2:$A$20000,1,FALSE),""))</f>
        <v/>
      </c>
      <c r="AF3917" s="2" t="str">
        <f>IF(D3917="","",IFERROR(MATCH(D3917,Projects!$A:$A,0),""))</f>
        <v/>
      </c>
    </row>
    <row r="3918" spans="31:32" x14ac:dyDescent="0.25">
      <c r="AE3918" s="39" t="str">
        <f>IF(D3918="","",IFERROR(VLOOKUP(D3918,Projects!$A$2:$A$20000,1,FALSE),""))</f>
        <v/>
      </c>
      <c r="AF3918" s="2" t="str">
        <f>IF(D3918="","",IFERROR(MATCH(D3918,Projects!$A:$A,0),""))</f>
        <v/>
      </c>
    </row>
    <row r="3919" spans="31:32" x14ac:dyDescent="0.25">
      <c r="AE3919" s="39" t="str">
        <f>IF(D3919="","",IFERROR(VLOOKUP(D3919,Projects!$A$2:$A$20000,1,FALSE),""))</f>
        <v/>
      </c>
      <c r="AF3919" s="2" t="str">
        <f>IF(D3919="","",IFERROR(MATCH(D3919,Projects!$A:$A,0),""))</f>
        <v/>
      </c>
    </row>
    <row r="3920" spans="31:32" x14ac:dyDescent="0.25">
      <c r="AE3920" s="39" t="str">
        <f>IF(D3920="","",IFERROR(VLOOKUP(D3920,Projects!$A$2:$A$20000,1,FALSE),""))</f>
        <v/>
      </c>
      <c r="AF3920" s="2" t="str">
        <f>IF(D3920="","",IFERROR(MATCH(D3920,Projects!$A:$A,0),""))</f>
        <v/>
      </c>
    </row>
    <row r="3921" spans="31:32" x14ac:dyDescent="0.25">
      <c r="AE3921" s="39" t="str">
        <f>IF(D3921="","",IFERROR(VLOOKUP(D3921,Projects!$A$2:$A$20000,1,FALSE),""))</f>
        <v/>
      </c>
      <c r="AF3921" s="2" t="str">
        <f>IF(D3921="","",IFERROR(MATCH(D3921,Projects!$A:$A,0),""))</f>
        <v/>
      </c>
    </row>
    <row r="3922" spans="31:32" x14ac:dyDescent="0.25">
      <c r="AE3922" s="39" t="str">
        <f>IF(D3922="","",IFERROR(VLOOKUP(D3922,Projects!$A$2:$A$20000,1,FALSE),""))</f>
        <v/>
      </c>
      <c r="AF3922" s="2" t="str">
        <f>IF(D3922="","",IFERROR(MATCH(D3922,Projects!$A:$A,0),""))</f>
        <v/>
      </c>
    </row>
    <row r="3923" spans="31:32" x14ac:dyDescent="0.25">
      <c r="AE3923" s="39" t="str">
        <f>IF(D3923="","",IFERROR(VLOOKUP(D3923,Projects!$A$2:$A$20000,1,FALSE),""))</f>
        <v/>
      </c>
      <c r="AF3923" s="2" t="str">
        <f>IF(D3923="","",IFERROR(MATCH(D3923,Projects!$A:$A,0),""))</f>
        <v/>
      </c>
    </row>
    <row r="3924" spans="31:32" x14ac:dyDescent="0.25">
      <c r="AE3924" s="39" t="str">
        <f>IF(D3924="","",IFERROR(VLOOKUP(D3924,Projects!$A$2:$A$20000,1,FALSE),""))</f>
        <v/>
      </c>
      <c r="AF3924" s="2" t="str">
        <f>IF(D3924="","",IFERROR(MATCH(D3924,Projects!$A:$A,0),""))</f>
        <v/>
      </c>
    </row>
    <row r="3925" spans="31:32" x14ac:dyDescent="0.25">
      <c r="AE3925" s="39" t="str">
        <f>IF(D3925="","",IFERROR(VLOOKUP(D3925,Projects!$A$2:$A$20000,1,FALSE),""))</f>
        <v/>
      </c>
      <c r="AF3925" s="2" t="str">
        <f>IF(D3925="","",IFERROR(MATCH(D3925,Projects!$A:$A,0),""))</f>
        <v/>
      </c>
    </row>
    <row r="3926" spans="31:32" x14ac:dyDescent="0.25">
      <c r="AE3926" s="39" t="str">
        <f>IF(D3926="","",IFERROR(VLOOKUP(D3926,Projects!$A$2:$A$20000,1,FALSE),""))</f>
        <v/>
      </c>
      <c r="AF3926" s="2" t="str">
        <f>IF(D3926="","",IFERROR(MATCH(D3926,Projects!$A:$A,0),""))</f>
        <v/>
      </c>
    </row>
    <row r="3927" spans="31:32" x14ac:dyDescent="0.25">
      <c r="AE3927" s="39" t="str">
        <f>IF(D3927="","",IFERROR(VLOOKUP(D3927,Projects!$A$2:$A$20000,1,FALSE),""))</f>
        <v/>
      </c>
      <c r="AF3927" s="2" t="str">
        <f>IF(D3927="","",IFERROR(MATCH(D3927,Projects!$A:$A,0),""))</f>
        <v/>
      </c>
    </row>
    <row r="3928" spans="31:32" x14ac:dyDescent="0.25">
      <c r="AE3928" s="39" t="str">
        <f>IF(D3928="","",IFERROR(VLOOKUP(D3928,Projects!$A$2:$A$20000,1,FALSE),""))</f>
        <v/>
      </c>
      <c r="AF3928" s="2" t="str">
        <f>IF(D3928="","",IFERROR(MATCH(D3928,Projects!$A:$A,0),""))</f>
        <v/>
      </c>
    </row>
    <row r="3929" spans="31:32" x14ac:dyDescent="0.25">
      <c r="AE3929" s="39" t="str">
        <f>IF(D3929="","",IFERROR(VLOOKUP(D3929,Projects!$A$2:$A$20000,1,FALSE),""))</f>
        <v/>
      </c>
      <c r="AF3929" s="2" t="str">
        <f>IF(D3929="","",IFERROR(MATCH(D3929,Projects!$A:$A,0),""))</f>
        <v/>
      </c>
    </row>
    <row r="3930" spans="31:32" x14ac:dyDescent="0.25">
      <c r="AE3930" s="39" t="str">
        <f>IF(D3930="","",IFERROR(VLOOKUP(D3930,Projects!$A$2:$A$20000,1,FALSE),""))</f>
        <v/>
      </c>
      <c r="AF3930" s="2" t="str">
        <f>IF(D3930="","",IFERROR(MATCH(D3930,Projects!$A:$A,0),""))</f>
        <v/>
      </c>
    </row>
    <row r="3931" spans="31:32" x14ac:dyDescent="0.25">
      <c r="AE3931" s="39" t="str">
        <f>IF(D3931="","",IFERROR(VLOOKUP(D3931,Projects!$A$2:$A$20000,1,FALSE),""))</f>
        <v/>
      </c>
      <c r="AF3931" s="2" t="str">
        <f>IF(D3931="","",IFERROR(MATCH(D3931,Projects!$A:$A,0),""))</f>
        <v/>
      </c>
    </row>
    <row r="3932" spans="31:32" x14ac:dyDescent="0.25">
      <c r="AE3932" s="39" t="str">
        <f>IF(D3932="","",IFERROR(VLOOKUP(D3932,Projects!$A$2:$A$20000,1,FALSE),""))</f>
        <v/>
      </c>
      <c r="AF3932" s="2" t="str">
        <f>IF(D3932="","",IFERROR(MATCH(D3932,Projects!$A:$A,0),""))</f>
        <v/>
      </c>
    </row>
    <row r="3933" spans="31:32" x14ac:dyDescent="0.25">
      <c r="AE3933" s="39" t="str">
        <f>IF(D3933="","",IFERROR(VLOOKUP(D3933,Projects!$A$2:$A$20000,1,FALSE),""))</f>
        <v/>
      </c>
      <c r="AF3933" s="2" t="str">
        <f>IF(D3933="","",IFERROR(MATCH(D3933,Projects!$A:$A,0),""))</f>
        <v/>
      </c>
    </row>
    <row r="3934" spans="31:32" x14ac:dyDescent="0.25">
      <c r="AE3934" s="39" t="str">
        <f>IF(D3934="","",IFERROR(VLOOKUP(D3934,Projects!$A$2:$A$20000,1,FALSE),""))</f>
        <v/>
      </c>
      <c r="AF3934" s="2" t="str">
        <f>IF(D3934="","",IFERROR(MATCH(D3934,Projects!$A:$A,0),""))</f>
        <v/>
      </c>
    </row>
    <row r="3935" spans="31:32" x14ac:dyDescent="0.25">
      <c r="AE3935" s="39" t="str">
        <f>IF(D3935="","",IFERROR(VLOOKUP(D3935,Projects!$A$2:$A$20000,1,FALSE),""))</f>
        <v/>
      </c>
      <c r="AF3935" s="2" t="str">
        <f>IF(D3935="","",IFERROR(MATCH(D3935,Projects!$A:$A,0),""))</f>
        <v/>
      </c>
    </row>
    <row r="3936" spans="31:32" x14ac:dyDescent="0.25">
      <c r="AE3936" s="39" t="str">
        <f>IF(D3936="","",IFERROR(VLOOKUP(D3936,Projects!$A$2:$A$20000,1,FALSE),""))</f>
        <v/>
      </c>
      <c r="AF3936" s="2" t="str">
        <f>IF(D3936="","",IFERROR(MATCH(D3936,Projects!$A:$A,0),""))</f>
        <v/>
      </c>
    </row>
    <row r="3937" spans="31:32" x14ac:dyDescent="0.25">
      <c r="AE3937" s="39" t="str">
        <f>IF(D3937="","",IFERROR(VLOOKUP(D3937,Projects!$A$2:$A$20000,1,FALSE),""))</f>
        <v/>
      </c>
      <c r="AF3937" s="2" t="str">
        <f>IF(D3937="","",IFERROR(MATCH(D3937,Projects!$A:$A,0),""))</f>
        <v/>
      </c>
    </row>
    <row r="3938" spans="31:32" x14ac:dyDescent="0.25">
      <c r="AE3938" s="39" t="str">
        <f>IF(D3938="","",IFERROR(VLOOKUP(D3938,Projects!$A$2:$A$20000,1,FALSE),""))</f>
        <v/>
      </c>
      <c r="AF3938" s="2" t="str">
        <f>IF(D3938="","",IFERROR(MATCH(D3938,Projects!$A:$A,0),""))</f>
        <v/>
      </c>
    </row>
    <row r="3939" spans="31:32" x14ac:dyDescent="0.25">
      <c r="AE3939" s="39" t="str">
        <f>IF(D3939="","",IFERROR(VLOOKUP(D3939,Projects!$A$2:$A$20000,1,FALSE),""))</f>
        <v/>
      </c>
      <c r="AF3939" s="2" t="str">
        <f>IF(D3939="","",IFERROR(MATCH(D3939,Projects!$A:$A,0),""))</f>
        <v/>
      </c>
    </row>
    <row r="3940" spans="31:32" x14ac:dyDescent="0.25">
      <c r="AE3940" s="39" t="str">
        <f>IF(D3940="","",IFERROR(VLOOKUP(D3940,Projects!$A$2:$A$20000,1,FALSE),""))</f>
        <v/>
      </c>
      <c r="AF3940" s="2" t="str">
        <f>IF(D3940="","",IFERROR(MATCH(D3940,Projects!$A:$A,0),""))</f>
        <v/>
      </c>
    </row>
    <row r="3941" spans="31:32" x14ac:dyDescent="0.25">
      <c r="AE3941" s="39" t="str">
        <f>IF(D3941="","",IFERROR(VLOOKUP(D3941,Projects!$A$2:$A$20000,1,FALSE),""))</f>
        <v/>
      </c>
      <c r="AF3941" s="2" t="str">
        <f>IF(D3941="","",IFERROR(MATCH(D3941,Projects!$A:$A,0),""))</f>
        <v/>
      </c>
    </row>
    <row r="3942" spans="31:32" x14ac:dyDescent="0.25">
      <c r="AE3942" s="39" t="str">
        <f>IF(D3942="","",IFERROR(VLOOKUP(D3942,Projects!$A$2:$A$20000,1,FALSE),""))</f>
        <v/>
      </c>
      <c r="AF3942" s="2" t="str">
        <f>IF(D3942="","",IFERROR(MATCH(D3942,Projects!$A:$A,0),""))</f>
        <v/>
      </c>
    </row>
    <row r="3943" spans="31:32" x14ac:dyDescent="0.25">
      <c r="AE3943" s="39" t="str">
        <f>IF(D3943="","",IFERROR(VLOOKUP(D3943,Projects!$A$2:$A$20000,1,FALSE),""))</f>
        <v/>
      </c>
      <c r="AF3943" s="2" t="str">
        <f>IF(D3943="","",IFERROR(MATCH(D3943,Projects!$A:$A,0),""))</f>
        <v/>
      </c>
    </row>
    <row r="3944" spans="31:32" x14ac:dyDescent="0.25">
      <c r="AE3944" s="39" t="str">
        <f>IF(D3944="","",IFERROR(VLOOKUP(D3944,Projects!$A$2:$A$20000,1,FALSE),""))</f>
        <v/>
      </c>
      <c r="AF3944" s="2" t="str">
        <f>IF(D3944="","",IFERROR(MATCH(D3944,Projects!$A:$A,0),""))</f>
        <v/>
      </c>
    </row>
    <row r="3945" spans="31:32" x14ac:dyDescent="0.25">
      <c r="AE3945" s="39" t="str">
        <f>IF(D3945="","",IFERROR(VLOOKUP(D3945,Projects!$A$2:$A$20000,1,FALSE),""))</f>
        <v/>
      </c>
      <c r="AF3945" s="2" t="str">
        <f>IF(D3945="","",IFERROR(MATCH(D3945,Projects!$A:$A,0),""))</f>
        <v/>
      </c>
    </row>
    <row r="3946" spans="31:32" x14ac:dyDescent="0.25">
      <c r="AE3946" s="39" t="str">
        <f>IF(D3946="","",IFERROR(VLOOKUP(D3946,Projects!$A$2:$A$20000,1,FALSE),""))</f>
        <v/>
      </c>
      <c r="AF3946" s="2" t="str">
        <f>IF(D3946="","",IFERROR(MATCH(D3946,Projects!$A:$A,0),""))</f>
        <v/>
      </c>
    </row>
    <row r="3947" spans="31:32" x14ac:dyDescent="0.25">
      <c r="AE3947" s="39" t="str">
        <f>IF(D3947="","",IFERROR(VLOOKUP(D3947,Projects!$A$2:$A$20000,1,FALSE),""))</f>
        <v/>
      </c>
      <c r="AF3947" s="2" t="str">
        <f>IF(D3947="","",IFERROR(MATCH(D3947,Projects!$A:$A,0),""))</f>
        <v/>
      </c>
    </row>
    <row r="3948" spans="31:32" x14ac:dyDescent="0.25">
      <c r="AE3948" s="39" t="str">
        <f>IF(D3948="","",IFERROR(VLOOKUP(D3948,Projects!$A$2:$A$20000,1,FALSE),""))</f>
        <v/>
      </c>
      <c r="AF3948" s="2" t="str">
        <f>IF(D3948="","",IFERROR(MATCH(D3948,Projects!$A:$A,0),""))</f>
        <v/>
      </c>
    </row>
    <row r="3949" spans="31:32" x14ac:dyDescent="0.25">
      <c r="AE3949" s="39" t="str">
        <f>IF(D3949="","",IFERROR(VLOOKUP(D3949,Projects!$A$2:$A$20000,1,FALSE),""))</f>
        <v/>
      </c>
      <c r="AF3949" s="2" t="str">
        <f>IF(D3949="","",IFERROR(MATCH(D3949,Projects!$A:$A,0),""))</f>
        <v/>
      </c>
    </row>
    <row r="3950" spans="31:32" x14ac:dyDescent="0.25">
      <c r="AE3950" s="39" t="str">
        <f>IF(D3950="","",IFERROR(VLOOKUP(D3950,Projects!$A$2:$A$20000,1,FALSE),""))</f>
        <v/>
      </c>
      <c r="AF3950" s="2" t="str">
        <f>IF(D3950="","",IFERROR(MATCH(D3950,Projects!$A:$A,0),""))</f>
        <v/>
      </c>
    </row>
    <row r="3951" spans="31:32" x14ac:dyDescent="0.25">
      <c r="AE3951" s="39" t="str">
        <f>IF(D3951="","",IFERROR(VLOOKUP(D3951,Projects!$A$2:$A$20000,1,FALSE),""))</f>
        <v/>
      </c>
      <c r="AF3951" s="2" t="str">
        <f>IF(D3951="","",IFERROR(MATCH(D3951,Projects!$A:$A,0),""))</f>
        <v/>
      </c>
    </row>
    <row r="3952" spans="31:32" x14ac:dyDescent="0.25">
      <c r="AE3952" s="39" t="str">
        <f>IF(D3952="","",IFERROR(VLOOKUP(D3952,Projects!$A$2:$A$20000,1,FALSE),""))</f>
        <v/>
      </c>
      <c r="AF3952" s="2" t="str">
        <f>IF(D3952="","",IFERROR(MATCH(D3952,Projects!$A:$A,0),""))</f>
        <v/>
      </c>
    </row>
    <row r="3953" spans="31:32" x14ac:dyDescent="0.25">
      <c r="AE3953" s="39" t="str">
        <f>IF(D3953="","",IFERROR(VLOOKUP(D3953,Projects!$A$2:$A$20000,1,FALSE),""))</f>
        <v/>
      </c>
      <c r="AF3953" s="2" t="str">
        <f>IF(D3953="","",IFERROR(MATCH(D3953,Projects!$A:$A,0),""))</f>
        <v/>
      </c>
    </row>
    <row r="3954" spans="31:32" x14ac:dyDescent="0.25">
      <c r="AE3954" s="39" t="str">
        <f>IF(D3954="","",IFERROR(VLOOKUP(D3954,Projects!$A$2:$A$20000,1,FALSE),""))</f>
        <v/>
      </c>
      <c r="AF3954" s="2" t="str">
        <f>IF(D3954="","",IFERROR(MATCH(D3954,Projects!$A:$A,0),""))</f>
        <v/>
      </c>
    </row>
    <row r="3955" spans="31:32" x14ac:dyDescent="0.25">
      <c r="AE3955" s="39" t="str">
        <f>IF(D3955="","",IFERROR(VLOOKUP(D3955,Projects!$A$2:$A$20000,1,FALSE),""))</f>
        <v/>
      </c>
      <c r="AF3955" s="2" t="str">
        <f>IF(D3955="","",IFERROR(MATCH(D3955,Projects!$A:$A,0),""))</f>
        <v/>
      </c>
    </row>
    <row r="3956" spans="31:32" x14ac:dyDescent="0.25">
      <c r="AE3956" s="39" t="str">
        <f>IF(D3956="","",IFERROR(VLOOKUP(D3956,Projects!$A$2:$A$20000,1,FALSE),""))</f>
        <v/>
      </c>
      <c r="AF3956" s="2" t="str">
        <f>IF(D3956="","",IFERROR(MATCH(D3956,Projects!$A:$A,0),""))</f>
        <v/>
      </c>
    </row>
    <row r="3957" spans="31:32" x14ac:dyDescent="0.25">
      <c r="AE3957" s="39" t="str">
        <f>IF(D3957="","",IFERROR(VLOOKUP(D3957,Projects!$A$2:$A$20000,1,FALSE),""))</f>
        <v/>
      </c>
      <c r="AF3957" s="2" t="str">
        <f>IF(D3957="","",IFERROR(MATCH(D3957,Projects!$A:$A,0),""))</f>
        <v/>
      </c>
    </row>
    <row r="3958" spans="31:32" x14ac:dyDescent="0.25">
      <c r="AE3958" s="39" t="str">
        <f>IF(D3958="","",IFERROR(VLOOKUP(D3958,Projects!$A$2:$A$20000,1,FALSE),""))</f>
        <v/>
      </c>
      <c r="AF3958" s="2" t="str">
        <f>IF(D3958="","",IFERROR(MATCH(D3958,Projects!$A:$A,0),""))</f>
        <v/>
      </c>
    </row>
    <row r="3959" spans="31:32" x14ac:dyDescent="0.25">
      <c r="AE3959" s="39" t="str">
        <f>IF(D3959="","",IFERROR(VLOOKUP(D3959,Projects!$A$2:$A$20000,1,FALSE),""))</f>
        <v/>
      </c>
      <c r="AF3959" s="2" t="str">
        <f>IF(D3959="","",IFERROR(MATCH(D3959,Projects!$A:$A,0),""))</f>
        <v/>
      </c>
    </row>
    <row r="3960" spans="31:32" x14ac:dyDescent="0.25">
      <c r="AE3960" s="39" t="str">
        <f>IF(D3960="","",IFERROR(VLOOKUP(D3960,Projects!$A$2:$A$20000,1,FALSE),""))</f>
        <v/>
      </c>
      <c r="AF3960" s="2" t="str">
        <f>IF(D3960="","",IFERROR(MATCH(D3960,Projects!$A:$A,0),""))</f>
        <v/>
      </c>
    </row>
    <row r="3961" spans="31:32" x14ac:dyDescent="0.25">
      <c r="AE3961" s="39" t="str">
        <f>IF(D3961="","",IFERROR(VLOOKUP(D3961,Projects!$A$2:$A$20000,1,FALSE),""))</f>
        <v/>
      </c>
      <c r="AF3961" s="2" t="str">
        <f>IF(D3961="","",IFERROR(MATCH(D3961,Projects!$A:$A,0),""))</f>
        <v/>
      </c>
    </row>
    <row r="3962" spans="31:32" x14ac:dyDescent="0.25">
      <c r="AE3962" s="39" t="str">
        <f>IF(D3962="","",IFERROR(VLOOKUP(D3962,Projects!$A$2:$A$20000,1,FALSE),""))</f>
        <v/>
      </c>
      <c r="AF3962" s="2" t="str">
        <f>IF(D3962="","",IFERROR(MATCH(D3962,Projects!$A:$A,0),""))</f>
        <v/>
      </c>
    </row>
    <row r="3963" spans="31:32" x14ac:dyDescent="0.25">
      <c r="AE3963" s="39" t="str">
        <f>IF(D3963="","",IFERROR(VLOOKUP(D3963,Projects!$A$2:$A$20000,1,FALSE),""))</f>
        <v/>
      </c>
      <c r="AF3963" s="2" t="str">
        <f>IF(D3963="","",IFERROR(MATCH(D3963,Projects!$A:$A,0),""))</f>
        <v/>
      </c>
    </row>
    <row r="3964" spans="31:32" x14ac:dyDescent="0.25">
      <c r="AE3964" s="39" t="str">
        <f>IF(D3964="","",IFERROR(VLOOKUP(D3964,Projects!$A$2:$A$20000,1,FALSE),""))</f>
        <v/>
      </c>
      <c r="AF3964" s="2" t="str">
        <f>IF(D3964="","",IFERROR(MATCH(D3964,Projects!$A:$A,0),""))</f>
        <v/>
      </c>
    </row>
    <row r="3965" spans="31:32" x14ac:dyDescent="0.25">
      <c r="AE3965" s="39" t="str">
        <f>IF(D3965="","",IFERROR(VLOOKUP(D3965,Projects!$A$2:$A$20000,1,FALSE),""))</f>
        <v/>
      </c>
      <c r="AF3965" s="2" t="str">
        <f>IF(D3965="","",IFERROR(MATCH(D3965,Projects!$A:$A,0),""))</f>
        <v/>
      </c>
    </row>
    <row r="3966" spans="31:32" x14ac:dyDescent="0.25">
      <c r="AE3966" s="39" t="str">
        <f>IF(D3966="","",IFERROR(VLOOKUP(D3966,Projects!$A$2:$A$20000,1,FALSE),""))</f>
        <v/>
      </c>
      <c r="AF3966" s="2" t="str">
        <f>IF(D3966="","",IFERROR(MATCH(D3966,Projects!$A:$A,0),""))</f>
        <v/>
      </c>
    </row>
    <row r="3967" spans="31:32" x14ac:dyDescent="0.25">
      <c r="AE3967" s="39" t="str">
        <f>IF(D3967="","",IFERROR(VLOOKUP(D3967,Projects!$A$2:$A$20000,1,FALSE),""))</f>
        <v/>
      </c>
      <c r="AF3967" s="2" t="str">
        <f>IF(D3967="","",IFERROR(MATCH(D3967,Projects!$A:$A,0),""))</f>
        <v/>
      </c>
    </row>
    <row r="3968" spans="31:32" x14ac:dyDescent="0.25">
      <c r="AE3968" s="39" t="str">
        <f>IF(D3968="","",IFERROR(VLOOKUP(D3968,Projects!$A$2:$A$20000,1,FALSE),""))</f>
        <v/>
      </c>
      <c r="AF3968" s="2" t="str">
        <f>IF(D3968="","",IFERROR(MATCH(D3968,Projects!$A:$A,0),""))</f>
        <v/>
      </c>
    </row>
    <row r="3969" spans="31:32" x14ac:dyDescent="0.25">
      <c r="AE3969" s="39" t="str">
        <f>IF(D3969="","",IFERROR(VLOOKUP(D3969,Projects!$A$2:$A$20000,1,FALSE),""))</f>
        <v/>
      </c>
      <c r="AF3969" s="2" t="str">
        <f>IF(D3969="","",IFERROR(MATCH(D3969,Projects!$A:$A,0),""))</f>
        <v/>
      </c>
    </row>
    <row r="3970" spans="31:32" x14ac:dyDescent="0.25">
      <c r="AE3970" s="39" t="str">
        <f>IF(D3970="","",IFERROR(VLOOKUP(D3970,Projects!$A$2:$A$20000,1,FALSE),""))</f>
        <v/>
      </c>
      <c r="AF3970" s="2" t="str">
        <f>IF(D3970="","",IFERROR(MATCH(D3970,Projects!$A:$A,0),""))</f>
        <v/>
      </c>
    </row>
    <row r="3971" spans="31:32" x14ac:dyDescent="0.25">
      <c r="AE3971" s="39" t="str">
        <f>IF(D3971="","",IFERROR(VLOOKUP(D3971,Projects!$A$2:$A$20000,1,FALSE),""))</f>
        <v/>
      </c>
      <c r="AF3971" s="2" t="str">
        <f>IF(D3971="","",IFERROR(MATCH(D3971,Projects!$A:$A,0),""))</f>
        <v/>
      </c>
    </row>
    <row r="3972" spans="31:32" x14ac:dyDescent="0.25">
      <c r="AE3972" s="39" t="str">
        <f>IF(D3972="","",IFERROR(VLOOKUP(D3972,Projects!$A$2:$A$20000,1,FALSE),""))</f>
        <v/>
      </c>
      <c r="AF3972" s="2" t="str">
        <f>IF(D3972="","",IFERROR(MATCH(D3972,Projects!$A:$A,0),""))</f>
        <v/>
      </c>
    </row>
    <row r="3973" spans="31:32" x14ac:dyDescent="0.25">
      <c r="AE3973" s="39" t="str">
        <f>IF(D3973="","",IFERROR(VLOOKUP(D3973,Projects!$A$2:$A$20000,1,FALSE),""))</f>
        <v/>
      </c>
      <c r="AF3973" s="2" t="str">
        <f>IF(D3973="","",IFERROR(MATCH(D3973,Projects!$A:$A,0),""))</f>
        <v/>
      </c>
    </row>
    <row r="3974" spans="31:32" x14ac:dyDescent="0.25">
      <c r="AE3974" s="39" t="str">
        <f>IF(D3974="","",IFERROR(VLOOKUP(D3974,Projects!$A$2:$A$20000,1,FALSE),""))</f>
        <v/>
      </c>
      <c r="AF3974" s="2" t="str">
        <f>IF(D3974="","",IFERROR(MATCH(D3974,Projects!$A:$A,0),""))</f>
        <v/>
      </c>
    </row>
    <row r="3975" spans="31:32" x14ac:dyDescent="0.25">
      <c r="AE3975" s="39" t="str">
        <f>IF(D3975="","",IFERROR(VLOOKUP(D3975,Projects!$A$2:$A$20000,1,FALSE),""))</f>
        <v/>
      </c>
      <c r="AF3975" s="2" t="str">
        <f>IF(D3975="","",IFERROR(MATCH(D3975,Projects!$A:$A,0),""))</f>
        <v/>
      </c>
    </row>
    <row r="3976" spans="31:32" x14ac:dyDescent="0.25">
      <c r="AE3976" s="39" t="str">
        <f>IF(D3976="","",IFERROR(VLOOKUP(D3976,Projects!$A$2:$A$20000,1,FALSE),""))</f>
        <v/>
      </c>
      <c r="AF3976" s="2" t="str">
        <f>IF(D3976="","",IFERROR(MATCH(D3976,Projects!$A:$A,0),""))</f>
        <v/>
      </c>
    </row>
    <row r="3977" spans="31:32" x14ac:dyDescent="0.25">
      <c r="AE3977" s="39" t="str">
        <f>IF(D3977="","",IFERROR(VLOOKUP(D3977,Projects!$A$2:$A$20000,1,FALSE),""))</f>
        <v/>
      </c>
      <c r="AF3977" s="2" t="str">
        <f>IF(D3977="","",IFERROR(MATCH(D3977,Projects!$A:$A,0),""))</f>
        <v/>
      </c>
    </row>
    <row r="3978" spans="31:32" x14ac:dyDescent="0.25">
      <c r="AE3978" s="39" t="str">
        <f>IF(D3978="","",IFERROR(VLOOKUP(D3978,Projects!$A$2:$A$20000,1,FALSE),""))</f>
        <v/>
      </c>
      <c r="AF3978" s="2" t="str">
        <f>IF(D3978="","",IFERROR(MATCH(D3978,Projects!$A:$A,0),""))</f>
        <v/>
      </c>
    </row>
    <row r="3979" spans="31:32" x14ac:dyDescent="0.25">
      <c r="AE3979" s="39" t="str">
        <f>IF(D3979="","",IFERROR(VLOOKUP(D3979,Projects!$A$2:$A$20000,1,FALSE),""))</f>
        <v/>
      </c>
      <c r="AF3979" s="2" t="str">
        <f>IF(D3979="","",IFERROR(MATCH(D3979,Projects!$A:$A,0),""))</f>
        <v/>
      </c>
    </row>
    <row r="3980" spans="31:32" x14ac:dyDescent="0.25">
      <c r="AE3980" s="39" t="str">
        <f>IF(D3980="","",IFERROR(VLOOKUP(D3980,Projects!$A$2:$A$20000,1,FALSE),""))</f>
        <v/>
      </c>
      <c r="AF3980" s="2" t="str">
        <f>IF(D3980="","",IFERROR(MATCH(D3980,Projects!$A:$A,0),""))</f>
        <v/>
      </c>
    </row>
    <row r="3981" spans="31:32" x14ac:dyDescent="0.25">
      <c r="AE3981" s="39" t="str">
        <f>IF(D3981="","",IFERROR(VLOOKUP(D3981,Projects!$A$2:$A$20000,1,FALSE),""))</f>
        <v/>
      </c>
      <c r="AF3981" s="2" t="str">
        <f>IF(D3981="","",IFERROR(MATCH(D3981,Projects!$A:$A,0),""))</f>
        <v/>
      </c>
    </row>
    <row r="3982" spans="31:32" x14ac:dyDescent="0.25">
      <c r="AE3982" s="39" t="str">
        <f>IF(D3982="","",IFERROR(VLOOKUP(D3982,Projects!$A$2:$A$20000,1,FALSE),""))</f>
        <v/>
      </c>
      <c r="AF3982" s="2" t="str">
        <f>IF(D3982="","",IFERROR(MATCH(D3982,Projects!$A:$A,0),""))</f>
        <v/>
      </c>
    </row>
    <row r="3983" spans="31:32" x14ac:dyDescent="0.25">
      <c r="AE3983" s="39" t="str">
        <f>IF(D3983="","",IFERROR(VLOOKUP(D3983,Projects!$A$2:$A$20000,1,FALSE),""))</f>
        <v/>
      </c>
      <c r="AF3983" s="2" t="str">
        <f>IF(D3983="","",IFERROR(MATCH(D3983,Projects!$A:$A,0),""))</f>
        <v/>
      </c>
    </row>
    <row r="3984" spans="31:32" x14ac:dyDescent="0.25">
      <c r="AE3984" s="39" t="str">
        <f>IF(D3984="","",IFERROR(VLOOKUP(D3984,Projects!$A$2:$A$20000,1,FALSE),""))</f>
        <v/>
      </c>
      <c r="AF3984" s="2" t="str">
        <f>IF(D3984="","",IFERROR(MATCH(D3984,Projects!$A:$A,0),""))</f>
        <v/>
      </c>
    </row>
    <row r="3985" spans="31:32" x14ac:dyDescent="0.25">
      <c r="AE3985" s="39" t="str">
        <f>IF(D3985="","",IFERROR(VLOOKUP(D3985,Projects!$A$2:$A$20000,1,FALSE),""))</f>
        <v/>
      </c>
      <c r="AF3985" s="2" t="str">
        <f>IF(D3985="","",IFERROR(MATCH(D3985,Projects!$A:$A,0),""))</f>
        <v/>
      </c>
    </row>
    <row r="3986" spans="31:32" x14ac:dyDescent="0.25">
      <c r="AE3986" s="39" t="str">
        <f>IF(D3986="","",IFERROR(VLOOKUP(D3986,Projects!$A$2:$A$20000,1,FALSE),""))</f>
        <v/>
      </c>
      <c r="AF3986" s="2" t="str">
        <f>IF(D3986="","",IFERROR(MATCH(D3986,Projects!$A:$A,0),""))</f>
        <v/>
      </c>
    </row>
    <row r="3987" spans="31:32" x14ac:dyDescent="0.25">
      <c r="AE3987" s="39" t="str">
        <f>IF(D3987="","",IFERROR(VLOOKUP(D3987,Projects!$A$2:$A$20000,1,FALSE),""))</f>
        <v/>
      </c>
      <c r="AF3987" s="2" t="str">
        <f>IF(D3987="","",IFERROR(MATCH(D3987,Projects!$A:$A,0),""))</f>
        <v/>
      </c>
    </row>
    <row r="3988" spans="31:32" x14ac:dyDescent="0.25">
      <c r="AE3988" s="39" t="str">
        <f>IF(D3988="","",IFERROR(VLOOKUP(D3988,Projects!$A$2:$A$20000,1,FALSE),""))</f>
        <v/>
      </c>
      <c r="AF3988" s="2" t="str">
        <f>IF(D3988="","",IFERROR(MATCH(D3988,Projects!$A:$A,0),""))</f>
        <v/>
      </c>
    </row>
    <row r="3989" spans="31:32" x14ac:dyDescent="0.25">
      <c r="AE3989" s="39" t="str">
        <f>IF(D3989="","",IFERROR(VLOOKUP(D3989,Projects!$A$2:$A$20000,1,FALSE),""))</f>
        <v/>
      </c>
      <c r="AF3989" s="2" t="str">
        <f>IF(D3989="","",IFERROR(MATCH(D3989,Projects!$A:$A,0),""))</f>
        <v/>
      </c>
    </row>
    <row r="3990" spans="31:32" x14ac:dyDescent="0.25">
      <c r="AE3990" s="39" t="str">
        <f>IF(D3990="","",IFERROR(VLOOKUP(D3990,Projects!$A$2:$A$20000,1,FALSE),""))</f>
        <v/>
      </c>
      <c r="AF3990" s="2" t="str">
        <f>IF(D3990="","",IFERROR(MATCH(D3990,Projects!$A:$A,0),""))</f>
        <v/>
      </c>
    </row>
    <row r="3991" spans="31:32" x14ac:dyDescent="0.25">
      <c r="AE3991" s="39" t="str">
        <f>IF(D3991="","",IFERROR(VLOOKUP(D3991,Projects!$A$2:$A$20000,1,FALSE),""))</f>
        <v/>
      </c>
      <c r="AF3991" s="2" t="str">
        <f>IF(D3991="","",IFERROR(MATCH(D3991,Projects!$A:$A,0),""))</f>
        <v/>
      </c>
    </row>
    <row r="3992" spans="31:32" x14ac:dyDescent="0.25">
      <c r="AE3992" s="39" t="str">
        <f>IF(D3992="","",IFERROR(VLOOKUP(D3992,Projects!$A$2:$A$20000,1,FALSE),""))</f>
        <v/>
      </c>
      <c r="AF3992" s="2" t="str">
        <f>IF(D3992="","",IFERROR(MATCH(D3992,Projects!$A:$A,0),""))</f>
        <v/>
      </c>
    </row>
    <row r="3993" spans="31:32" x14ac:dyDescent="0.25">
      <c r="AE3993" s="39" t="str">
        <f>IF(D3993="","",IFERROR(VLOOKUP(D3993,Projects!$A$2:$A$20000,1,FALSE),""))</f>
        <v/>
      </c>
      <c r="AF3993" s="2" t="str">
        <f>IF(D3993="","",IFERROR(MATCH(D3993,Projects!$A:$A,0),""))</f>
        <v/>
      </c>
    </row>
    <row r="3994" spans="31:32" x14ac:dyDescent="0.25">
      <c r="AE3994" s="39" t="str">
        <f>IF(D3994="","",IFERROR(VLOOKUP(D3994,Projects!$A$2:$A$20000,1,FALSE),""))</f>
        <v/>
      </c>
      <c r="AF3994" s="2" t="str">
        <f>IF(D3994="","",IFERROR(MATCH(D3994,Projects!$A:$A,0),""))</f>
        <v/>
      </c>
    </row>
    <row r="3995" spans="31:32" x14ac:dyDescent="0.25">
      <c r="AE3995" s="39" t="str">
        <f>IF(D3995="","",IFERROR(VLOOKUP(D3995,Projects!$A$2:$A$20000,1,FALSE),""))</f>
        <v/>
      </c>
      <c r="AF3995" s="2" t="str">
        <f>IF(D3995="","",IFERROR(MATCH(D3995,Projects!$A:$A,0),""))</f>
        <v/>
      </c>
    </row>
    <row r="3996" spans="31:32" x14ac:dyDescent="0.25">
      <c r="AE3996" s="39" t="str">
        <f>IF(D3996="","",IFERROR(VLOOKUP(D3996,Projects!$A$2:$A$20000,1,FALSE),""))</f>
        <v/>
      </c>
      <c r="AF3996" s="2" t="str">
        <f>IF(D3996="","",IFERROR(MATCH(D3996,Projects!$A:$A,0),""))</f>
        <v/>
      </c>
    </row>
    <row r="3997" spans="31:32" x14ac:dyDescent="0.25">
      <c r="AE3997" s="39" t="str">
        <f>IF(D3997="","",IFERROR(VLOOKUP(D3997,Projects!$A$2:$A$20000,1,FALSE),""))</f>
        <v/>
      </c>
      <c r="AF3997" s="2" t="str">
        <f>IF(D3997="","",IFERROR(MATCH(D3997,Projects!$A:$A,0),""))</f>
        <v/>
      </c>
    </row>
    <row r="3998" spans="31:32" x14ac:dyDescent="0.25">
      <c r="AE3998" s="39" t="str">
        <f>IF(D3998="","",IFERROR(VLOOKUP(D3998,Projects!$A$2:$A$20000,1,FALSE),""))</f>
        <v/>
      </c>
      <c r="AF3998" s="2" t="str">
        <f>IF(D3998="","",IFERROR(MATCH(D3998,Projects!$A:$A,0),""))</f>
        <v/>
      </c>
    </row>
    <row r="3999" spans="31:32" x14ac:dyDescent="0.25">
      <c r="AE3999" s="39" t="str">
        <f>IF(D3999="","",IFERROR(VLOOKUP(D3999,Projects!$A$2:$A$20000,1,FALSE),""))</f>
        <v/>
      </c>
      <c r="AF3999" s="2" t="str">
        <f>IF(D3999="","",IFERROR(MATCH(D3999,Projects!$A:$A,0),""))</f>
        <v/>
      </c>
    </row>
    <row r="4000" spans="31:32" x14ac:dyDescent="0.25">
      <c r="AE4000" s="39" t="str">
        <f>IF(D4000="","",IFERROR(VLOOKUP(D4000,Projects!$A$2:$A$20000,1,FALSE),""))</f>
        <v/>
      </c>
      <c r="AF4000" s="2" t="str">
        <f>IF(D4000="","",IFERROR(MATCH(D4000,Projects!$A:$A,0),""))</f>
        <v/>
      </c>
    </row>
    <row r="4001" spans="31:32" x14ac:dyDescent="0.25">
      <c r="AE4001" s="39" t="str">
        <f>IF(D4001="","",IFERROR(VLOOKUP(D4001,Projects!$A$2:$A$20000,1,FALSE),""))</f>
        <v/>
      </c>
      <c r="AF4001" s="2" t="str">
        <f>IF(D4001="","",IFERROR(MATCH(D4001,Projects!$A:$A,0),""))</f>
        <v/>
      </c>
    </row>
    <row r="4002" spans="31:32" x14ac:dyDescent="0.25">
      <c r="AE4002" s="39" t="str">
        <f>IF(D4002="","",IFERROR(VLOOKUP(D4002,Projects!$A$2:$A$20000,1,FALSE),""))</f>
        <v/>
      </c>
      <c r="AF4002" s="2" t="str">
        <f>IF(D4002="","",IFERROR(MATCH(D4002,Projects!$A:$A,0),""))</f>
        <v/>
      </c>
    </row>
    <row r="4003" spans="31:32" x14ac:dyDescent="0.25">
      <c r="AE4003" s="39" t="str">
        <f>IF(D4003="","",IFERROR(VLOOKUP(D4003,Projects!$A$2:$A$20000,1,FALSE),""))</f>
        <v/>
      </c>
      <c r="AF4003" s="2" t="str">
        <f>IF(D4003="","",IFERROR(MATCH(D4003,Projects!$A:$A,0),""))</f>
        <v/>
      </c>
    </row>
    <row r="4004" spans="31:32" x14ac:dyDescent="0.25">
      <c r="AE4004" s="39" t="str">
        <f>IF(D4004="","",IFERROR(VLOOKUP(D4004,Projects!$A$2:$A$20000,1,FALSE),""))</f>
        <v/>
      </c>
      <c r="AF4004" s="2" t="str">
        <f>IF(D4004="","",IFERROR(MATCH(D4004,Projects!$A:$A,0),""))</f>
        <v/>
      </c>
    </row>
    <row r="4005" spans="31:32" x14ac:dyDescent="0.25">
      <c r="AE4005" s="39" t="str">
        <f>IF(D4005="","",IFERROR(VLOOKUP(D4005,Projects!$A$2:$A$20000,1,FALSE),""))</f>
        <v/>
      </c>
      <c r="AF4005" s="2" t="str">
        <f>IF(D4005="","",IFERROR(MATCH(D4005,Projects!$A:$A,0),""))</f>
        <v/>
      </c>
    </row>
    <row r="4006" spans="31:32" x14ac:dyDescent="0.25">
      <c r="AE4006" s="39" t="str">
        <f>IF(D4006="","",IFERROR(VLOOKUP(D4006,Projects!$A$2:$A$20000,1,FALSE),""))</f>
        <v/>
      </c>
      <c r="AF4006" s="2" t="str">
        <f>IF(D4006="","",IFERROR(MATCH(D4006,Projects!$A:$A,0),""))</f>
        <v/>
      </c>
    </row>
    <row r="4007" spans="31:32" x14ac:dyDescent="0.25">
      <c r="AE4007" s="39" t="str">
        <f>IF(D4007="","",IFERROR(VLOOKUP(D4007,Projects!$A$2:$A$20000,1,FALSE),""))</f>
        <v/>
      </c>
      <c r="AF4007" s="2" t="str">
        <f>IF(D4007="","",IFERROR(MATCH(D4007,Projects!$A:$A,0),""))</f>
        <v/>
      </c>
    </row>
    <row r="4008" spans="31:32" x14ac:dyDescent="0.25">
      <c r="AE4008" s="39" t="str">
        <f>IF(D4008="","",IFERROR(VLOOKUP(D4008,Projects!$A$2:$A$20000,1,FALSE),""))</f>
        <v/>
      </c>
      <c r="AF4008" s="2" t="str">
        <f>IF(D4008="","",IFERROR(MATCH(D4008,Projects!$A:$A,0),""))</f>
        <v/>
      </c>
    </row>
    <row r="4009" spans="31:32" x14ac:dyDescent="0.25">
      <c r="AE4009" s="39" t="str">
        <f>IF(D4009="","",IFERROR(VLOOKUP(D4009,Projects!$A$2:$A$20000,1,FALSE),""))</f>
        <v/>
      </c>
      <c r="AF4009" s="2" t="str">
        <f>IF(D4009="","",IFERROR(MATCH(D4009,Projects!$A:$A,0),""))</f>
        <v/>
      </c>
    </row>
    <row r="4010" spans="31:32" x14ac:dyDescent="0.25">
      <c r="AE4010" s="39" t="str">
        <f>IF(D4010="","",IFERROR(VLOOKUP(D4010,Projects!$A$2:$A$20000,1,FALSE),""))</f>
        <v/>
      </c>
      <c r="AF4010" s="2" t="str">
        <f>IF(D4010="","",IFERROR(MATCH(D4010,Projects!$A:$A,0),""))</f>
        <v/>
      </c>
    </row>
    <row r="4011" spans="31:32" x14ac:dyDescent="0.25">
      <c r="AE4011" s="39" t="str">
        <f>IF(D4011="","",IFERROR(VLOOKUP(D4011,Projects!$A$2:$A$20000,1,FALSE),""))</f>
        <v/>
      </c>
      <c r="AF4011" s="2" t="str">
        <f>IF(D4011="","",IFERROR(MATCH(D4011,Projects!$A:$A,0),""))</f>
        <v/>
      </c>
    </row>
    <row r="4012" spans="31:32" x14ac:dyDescent="0.25">
      <c r="AE4012" s="39" t="str">
        <f>IF(D4012="","",IFERROR(VLOOKUP(D4012,Projects!$A$2:$A$20000,1,FALSE),""))</f>
        <v/>
      </c>
      <c r="AF4012" s="2" t="str">
        <f>IF(D4012="","",IFERROR(MATCH(D4012,Projects!$A:$A,0),""))</f>
        <v/>
      </c>
    </row>
    <row r="4013" spans="31:32" x14ac:dyDescent="0.25">
      <c r="AE4013" s="39" t="str">
        <f>IF(D4013="","",IFERROR(VLOOKUP(D4013,Projects!$A$2:$A$20000,1,FALSE),""))</f>
        <v/>
      </c>
      <c r="AF4013" s="2" t="str">
        <f>IF(D4013="","",IFERROR(MATCH(D4013,Projects!$A:$A,0),""))</f>
        <v/>
      </c>
    </row>
    <row r="4014" spans="31:32" x14ac:dyDescent="0.25">
      <c r="AE4014" s="39" t="str">
        <f>IF(D4014="","",IFERROR(VLOOKUP(D4014,Projects!$A$2:$A$20000,1,FALSE),""))</f>
        <v/>
      </c>
      <c r="AF4014" s="2" t="str">
        <f>IF(D4014="","",IFERROR(MATCH(D4014,Projects!$A:$A,0),""))</f>
        <v/>
      </c>
    </row>
    <row r="4015" spans="31:32" x14ac:dyDescent="0.25">
      <c r="AE4015" s="39" t="str">
        <f>IF(D4015="","",IFERROR(VLOOKUP(D4015,Projects!$A$2:$A$20000,1,FALSE),""))</f>
        <v/>
      </c>
      <c r="AF4015" s="2" t="str">
        <f>IF(D4015="","",IFERROR(MATCH(D4015,Projects!$A:$A,0),""))</f>
        <v/>
      </c>
    </row>
    <row r="4016" spans="31:32" x14ac:dyDescent="0.25">
      <c r="AE4016" s="39" t="str">
        <f>IF(D4016="","",IFERROR(VLOOKUP(D4016,Projects!$A$2:$A$20000,1,FALSE),""))</f>
        <v/>
      </c>
      <c r="AF4016" s="2" t="str">
        <f>IF(D4016="","",IFERROR(MATCH(D4016,Projects!$A:$A,0),""))</f>
        <v/>
      </c>
    </row>
    <row r="4017" spans="31:32" x14ac:dyDescent="0.25">
      <c r="AE4017" s="39" t="str">
        <f>IF(D4017="","",IFERROR(VLOOKUP(D4017,Projects!$A$2:$A$20000,1,FALSE),""))</f>
        <v/>
      </c>
      <c r="AF4017" s="2" t="str">
        <f>IF(D4017="","",IFERROR(MATCH(D4017,Projects!$A:$A,0),""))</f>
        <v/>
      </c>
    </row>
    <row r="4018" spans="31:32" x14ac:dyDescent="0.25">
      <c r="AE4018" s="39" t="str">
        <f>IF(D4018="","",IFERROR(VLOOKUP(D4018,Projects!$A$2:$A$20000,1,FALSE),""))</f>
        <v/>
      </c>
      <c r="AF4018" s="2" t="str">
        <f>IF(D4018="","",IFERROR(MATCH(D4018,Projects!$A:$A,0),""))</f>
        <v/>
      </c>
    </row>
    <row r="4019" spans="31:32" x14ac:dyDescent="0.25">
      <c r="AE4019" s="39" t="str">
        <f>IF(D4019="","",IFERROR(VLOOKUP(D4019,Projects!$A$2:$A$20000,1,FALSE),""))</f>
        <v/>
      </c>
      <c r="AF4019" s="2" t="str">
        <f>IF(D4019="","",IFERROR(MATCH(D4019,Projects!$A:$A,0),""))</f>
        <v/>
      </c>
    </row>
    <row r="4020" spans="31:32" x14ac:dyDescent="0.25">
      <c r="AE4020" s="39" t="str">
        <f>IF(D4020="","",IFERROR(VLOOKUP(D4020,Projects!$A$2:$A$20000,1,FALSE),""))</f>
        <v/>
      </c>
      <c r="AF4020" s="2" t="str">
        <f>IF(D4020="","",IFERROR(MATCH(D4020,Projects!$A:$A,0),""))</f>
        <v/>
      </c>
    </row>
    <row r="4021" spans="31:32" x14ac:dyDescent="0.25">
      <c r="AE4021" s="39" t="str">
        <f>IF(D4021="","",IFERROR(VLOOKUP(D4021,Projects!$A$2:$A$20000,1,FALSE),""))</f>
        <v/>
      </c>
      <c r="AF4021" s="2" t="str">
        <f>IF(D4021="","",IFERROR(MATCH(D4021,Projects!$A:$A,0),""))</f>
        <v/>
      </c>
    </row>
    <row r="4022" spans="31:32" x14ac:dyDescent="0.25">
      <c r="AE4022" s="39" t="str">
        <f>IF(D4022="","",IFERROR(VLOOKUP(D4022,Projects!$A$2:$A$20000,1,FALSE),""))</f>
        <v/>
      </c>
      <c r="AF4022" s="2" t="str">
        <f>IF(D4022="","",IFERROR(MATCH(D4022,Projects!$A:$A,0),""))</f>
        <v/>
      </c>
    </row>
    <row r="4023" spans="31:32" x14ac:dyDescent="0.25">
      <c r="AE4023" s="39" t="str">
        <f>IF(D4023="","",IFERROR(VLOOKUP(D4023,Projects!$A$2:$A$20000,1,FALSE),""))</f>
        <v/>
      </c>
      <c r="AF4023" s="2" t="str">
        <f>IF(D4023="","",IFERROR(MATCH(D4023,Projects!$A:$A,0),""))</f>
        <v/>
      </c>
    </row>
    <row r="4024" spans="31:32" x14ac:dyDescent="0.25">
      <c r="AE4024" s="39" t="str">
        <f>IF(D4024="","",IFERROR(VLOOKUP(D4024,Projects!$A$2:$A$20000,1,FALSE),""))</f>
        <v/>
      </c>
      <c r="AF4024" s="2" t="str">
        <f>IF(D4024="","",IFERROR(MATCH(D4024,Projects!$A:$A,0),""))</f>
        <v/>
      </c>
    </row>
    <row r="4025" spans="31:32" x14ac:dyDescent="0.25">
      <c r="AE4025" s="39" t="str">
        <f>IF(D4025="","",IFERROR(VLOOKUP(D4025,Projects!$A$2:$A$20000,1,FALSE),""))</f>
        <v/>
      </c>
      <c r="AF4025" s="2" t="str">
        <f>IF(D4025="","",IFERROR(MATCH(D4025,Projects!$A:$A,0),""))</f>
        <v/>
      </c>
    </row>
    <row r="4026" spans="31:32" x14ac:dyDescent="0.25">
      <c r="AE4026" s="39" t="str">
        <f>IF(D4026="","",IFERROR(VLOOKUP(D4026,Projects!$A$2:$A$20000,1,FALSE),""))</f>
        <v/>
      </c>
      <c r="AF4026" s="2" t="str">
        <f>IF(D4026="","",IFERROR(MATCH(D4026,Projects!$A:$A,0),""))</f>
        <v/>
      </c>
    </row>
    <row r="4027" spans="31:32" x14ac:dyDescent="0.25">
      <c r="AE4027" s="39" t="str">
        <f>IF(D4027="","",IFERROR(VLOOKUP(D4027,Projects!$A$2:$A$20000,1,FALSE),""))</f>
        <v/>
      </c>
      <c r="AF4027" s="2" t="str">
        <f>IF(D4027="","",IFERROR(MATCH(D4027,Projects!$A:$A,0),""))</f>
        <v/>
      </c>
    </row>
    <row r="4028" spans="31:32" x14ac:dyDescent="0.25">
      <c r="AE4028" s="39" t="str">
        <f>IF(D4028="","",IFERROR(VLOOKUP(D4028,Projects!$A$2:$A$20000,1,FALSE),""))</f>
        <v/>
      </c>
      <c r="AF4028" s="2" t="str">
        <f>IF(D4028="","",IFERROR(MATCH(D4028,Projects!$A:$A,0),""))</f>
        <v/>
      </c>
    </row>
    <row r="4029" spans="31:32" x14ac:dyDescent="0.25">
      <c r="AE4029" s="39" t="str">
        <f>IF(D4029="","",IFERROR(VLOOKUP(D4029,Projects!$A$2:$A$20000,1,FALSE),""))</f>
        <v/>
      </c>
      <c r="AF4029" s="2" t="str">
        <f>IF(D4029="","",IFERROR(MATCH(D4029,Projects!$A:$A,0),""))</f>
        <v/>
      </c>
    </row>
    <row r="4030" spans="31:32" x14ac:dyDescent="0.25">
      <c r="AE4030" s="39" t="str">
        <f>IF(D4030="","",IFERROR(VLOOKUP(D4030,Projects!$A$2:$A$20000,1,FALSE),""))</f>
        <v/>
      </c>
      <c r="AF4030" s="2" t="str">
        <f>IF(D4030="","",IFERROR(MATCH(D4030,Projects!$A:$A,0),""))</f>
        <v/>
      </c>
    </row>
    <row r="4031" spans="31:32" x14ac:dyDescent="0.25">
      <c r="AE4031" s="39" t="str">
        <f>IF(D4031="","",IFERROR(VLOOKUP(D4031,Projects!$A$2:$A$20000,1,FALSE),""))</f>
        <v/>
      </c>
      <c r="AF4031" s="2" t="str">
        <f>IF(D4031="","",IFERROR(MATCH(D4031,Projects!$A:$A,0),""))</f>
        <v/>
      </c>
    </row>
    <row r="4032" spans="31:32" x14ac:dyDescent="0.25">
      <c r="AE4032" s="39" t="str">
        <f>IF(D4032="","",IFERROR(VLOOKUP(D4032,Projects!$A$2:$A$20000,1,FALSE),""))</f>
        <v/>
      </c>
      <c r="AF4032" s="2" t="str">
        <f>IF(D4032="","",IFERROR(MATCH(D4032,Projects!$A:$A,0),""))</f>
        <v/>
      </c>
    </row>
    <row r="4033" spans="31:32" x14ac:dyDescent="0.25">
      <c r="AE4033" s="39" t="str">
        <f>IF(D4033="","",IFERROR(VLOOKUP(D4033,Projects!$A$2:$A$20000,1,FALSE),""))</f>
        <v/>
      </c>
      <c r="AF4033" s="2" t="str">
        <f>IF(D4033="","",IFERROR(MATCH(D4033,Projects!$A:$A,0),""))</f>
        <v/>
      </c>
    </row>
    <row r="4034" spans="31:32" x14ac:dyDescent="0.25">
      <c r="AE4034" s="39" t="str">
        <f>IF(D4034="","",IFERROR(VLOOKUP(D4034,Projects!$A$2:$A$20000,1,FALSE),""))</f>
        <v/>
      </c>
      <c r="AF4034" s="2" t="str">
        <f>IF(D4034="","",IFERROR(MATCH(D4034,Projects!$A:$A,0),""))</f>
        <v/>
      </c>
    </row>
    <row r="4035" spans="31:32" x14ac:dyDescent="0.25">
      <c r="AE4035" s="39" t="str">
        <f>IF(D4035="","",IFERROR(VLOOKUP(D4035,Projects!$A$2:$A$20000,1,FALSE),""))</f>
        <v/>
      </c>
      <c r="AF4035" s="2" t="str">
        <f>IF(D4035="","",IFERROR(MATCH(D4035,Projects!$A:$A,0),""))</f>
        <v/>
      </c>
    </row>
    <row r="4036" spans="31:32" x14ac:dyDescent="0.25">
      <c r="AE4036" s="39" t="str">
        <f>IF(D4036="","",IFERROR(VLOOKUP(D4036,Projects!$A$2:$A$20000,1,FALSE),""))</f>
        <v/>
      </c>
      <c r="AF4036" s="2" t="str">
        <f>IF(D4036="","",IFERROR(MATCH(D4036,Projects!$A:$A,0),""))</f>
        <v/>
      </c>
    </row>
    <row r="4037" spans="31:32" x14ac:dyDescent="0.25">
      <c r="AE4037" s="39" t="str">
        <f>IF(D4037="","",IFERROR(VLOOKUP(D4037,Projects!$A$2:$A$20000,1,FALSE),""))</f>
        <v/>
      </c>
      <c r="AF4037" s="2" t="str">
        <f>IF(D4037="","",IFERROR(MATCH(D4037,Projects!$A:$A,0),""))</f>
        <v/>
      </c>
    </row>
    <row r="4038" spans="31:32" x14ac:dyDescent="0.25">
      <c r="AE4038" s="39" t="str">
        <f>IF(D4038="","",IFERROR(VLOOKUP(D4038,Projects!$A$2:$A$20000,1,FALSE),""))</f>
        <v/>
      </c>
      <c r="AF4038" s="2" t="str">
        <f>IF(D4038="","",IFERROR(MATCH(D4038,Projects!$A:$A,0),""))</f>
        <v/>
      </c>
    </row>
    <row r="4039" spans="31:32" x14ac:dyDescent="0.25">
      <c r="AE4039" s="39" t="str">
        <f>IF(D4039="","",IFERROR(VLOOKUP(D4039,Projects!$A$2:$A$20000,1,FALSE),""))</f>
        <v/>
      </c>
      <c r="AF4039" s="2" t="str">
        <f>IF(D4039="","",IFERROR(MATCH(D4039,Projects!$A:$A,0),""))</f>
        <v/>
      </c>
    </row>
    <row r="4040" spans="31:32" x14ac:dyDescent="0.25">
      <c r="AE4040" s="39" t="str">
        <f>IF(D4040="","",IFERROR(VLOOKUP(D4040,Projects!$A$2:$A$20000,1,FALSE),""))</f>
        <v/>
      </c>
      <c r="AF4040" s="2" t="str">
        <f>IF(D4040="","",IFERROR(MATCH(D4040,Projects!$A:$A,0),""))</f>
        <v/>
      </c>
    </row>
    <row r="4041" spans="31:32" x14ac:dyDescent="0.25">
      <c r="AE4041" s="39" t="str">
        <f>IF(D4041="","",IFERROR(VLOOKUP(D4041,Projects!$A$2:$A$20000,1,FALSE),""))</f>
        <v/>
      </c>
      <c r="AF4041" s="2" t="str">
        <f>IF(D4041="","",IFERROR(MATCH(D4041,Projects!$A:$A,0),""))</f>
        <v/>
      </c>
    </row>
    <row r="4042" spans="31:32" x14ac:dyDescent="0.25">
      <c r="AE4042" s="39" t="str">
        <f>IF(D4042="","",IFERROR(VLOOKUP(D4042,Projects!$A$2:$A$20000,1,FALSE),""))</f>
        <v/>
      </c>
      <c r="AF4042" s="2" t="str">
        <f>IF(D4042="","",IFERROR(MATCH(D4042,Projects!$A:$A,0),""))</f>
        <v/>
      </c>
    </row>
    <row r="4043" spans="31:32" x14ac:dyDescent="0.25">
      <c r="AE4043" s="39" t="str">
        <f>IF(D4043="","",IFERROR(VLOOKUP(D4043,Projects!$A$2:$A$20000,1,FALSE),""))</f>
        <v/>
      </c>
      <c r="AF4043" s="2" t="str">
        <f>IF(D4043="","",IFERROR(MATCH(D4043,Projects!$A:$A,0),""))</f>
        <v/>
      </c>
    </row>
    <row r="4044" spans="31:32" x14ac:dyDescent="0.25">
      <c r="AE4044" s="39" t="str">
        <f>IF(D4044="","",IFERROR(VLOOKUP(D4044,Projects!$A$2:$A$20000,1,FALSE),""))</f>
        <v/>
      </c>
      <c r="AF4044" s="2" t="str">
        <f>IF(D4044="","",IFERROR(MATCH(D4044,Projects!$A:$A,0),""))</f>
        <v/>
      </c>
    </row>
    <row r="4045" spans="31:32" x14ac:dyDescent="0.25">
      <c r="AE4045" s="39" t="str">
        <f>IF(D4045="","",IFERROR(VLOOKUP(D4045,Projects!$A$2:$A$20000,1,FALSE),""))</f>
        <v/>
      </c>
      <c r="AF4045" s="2" t="str">
        <f>IF(D4045="","",IFERROR(MATCH(D4045,Projects!$A:$A,0),""))</f>
        <v/>
      </c>
    </row>
    <row r="4046" spans="31:32" x14ac:dyDescent="0.25">
      <c r="AE4046" s="39" t="str">
        <f>IF(D4046="","",IFERROR(VLOOKUP(D4046,Projects!$A$2:$A$20000,1,FALSE),""))</f>
        <v/>
      </c>
      <c r="AF4046" s="2" t="str">
        <f>IF(D4046="","",IFERROR(MATCH(D4046,Projects!$A:$A,0),""))</f>
        <v/>
      </c>
    </row>
    <row r="4047" spans="31:32" x14ac:dyDescent="0.25">
      <c r="AE4047" s="39" t="str">
        <f>IF(D4047="","",IFERROR(VLOOKUP(D4047,Projects!$A$2:$A$20000,1,FALSE),""))</f>
        <v/>
      </c>
      <c r="AF4047" s="2" t="str">
        <f>IF(D4047="","",IFERROR(MATCH(D4047,Projects!$A:$A,0),""))</f>
        <v/>
      </c>
    </row>
    <row r="4048" spans="31:32" x14ac:dyDescent="0.25">
      <c r="AE4048" s="39" t="str">
        <f>IF(D4048="","",IFERROR(VLOOKUP(D4048,Projects!$A$2:$A$20000,1,FALSE),""))</f>
        <v/>
      </c>
      <c r="AF4048" s="2" t="str">
        <f>IF(D4048="","",IFERROR(MATCH(D4048,Projects!$A:$A,0),""))</f>
        <v/>
      </c>
    </row>
    <row r="4049" spans="31:32" x14ac:dyDescent="0.25">
      <c r="AE4049" s="39" t="str">
        <f>IF(D4049="","",IFERROR(VLOOKUP(D4049,Projects!$A$2:$A$20000,1,FALSE),""))</f>
        <v/>
      </c>
      <c r="AF4049" s="2" t="str">
        <f>IF(D4049="","",IFERROR(MATCH(D4049,Projects!$A:$A,0),""))</f>
        <v/>
      </c>
    </row>
    <row r="4050" spans="31:32" x14ac:dyDescent="0.25">
      <c r="AE4050" s="39" t="str">
        <f>IF(D4050="","",IFERROR(VLOOKUP(D4050,Projects!$A$2:$A$20000,1,FALSE),""))</f>
        <v/>
      </c>
      <c r="AF4050" s="2" t="str">
        <f>IF(D4050="","",IFERROR(MATCH(D4050,Projects!$A:$A,0),""))</f>
        <v/>
      </c>
    </row>
    <row r="4051" spans="31:32" x14ac:dyDescent="0.25">
      <c r="AE4051" s="39" t="str">
        <f>IF(D4051="","",IFERROR(VLOOKUP(D4051,Projects!$A$2:$A$20000,1,FALSE),""))</f>
        <v/>
      </c>
      <c r="AF4051" s="2" t="str">
        <f>IF(D4051="","",IFERROR(MATCH(D4051,Projects!$A:$A,0),""))</f>
        <v/>
      </c>
    </row>
    <row r="4052" spans="31:32" x14ac:dyDescent="0.25">
      <c r="AE4052" s="39" t="str">
        <f>IF(D4052="","",IFERROR(VLOOKUP(D4052,Projects!$A$2:$A$20000,1,FALSE),""))</f>
        <v/>
      </c>
      <c r="AF4052" s="2" t="str">
        <f>IF(D4052="","",IFERROR(MATCH(D4052,Projects!$A:$A,0),""))</f>
        <v/>
      </c>
    </row>
    <row r="4053" spans="31:32" x14ac:dyDescent="0.25">
      <c r="AE4053" s="39" t="str">
        <f>IF(D4053="","",IFERROR(VLOOKUP(D4053,Projects!$A$2:$A$20000,1,FALSE),""))</f>
        <v/>
      </c>
      <c r="AF4053" s="2" t="str">
        <f>IF(D4053="","",IFERROR(MATCH(D4053,Projects!$A:$A,0),""))</f>
        <v/>
      </c>
    </row>
    <row r="4054" spans="31:32" x14ac:dyDescent="0.25">
      <c r="AE4054" s="39" t="str">
        <f>IF(D4054="","",IFERROR(VLOOKUP(D4054,Projects!$A$2:$A$20000,1,FALSE),""))</f>
        <v/>
      </c>
      <c r="AF4054" s="2" t="str">
        <f>IF(D4054="","",IFERROR(MATCH(D4054,Projects!$A:$A,0),""))</f>
        <v/>
      </c>
    </row>
    <row r="4055" spans="31:32" x14ac:dyDescent="0.25">
      <c r="AE4055" s="39" t="str">
        <f>IF(D4055="","",IFERROR(VLOOKUP(D4055,Projects!$A$2:$A$20000,1,FALSE),""))</f>
        <v/>
      </c>
      <c r="AF4055" s="2" t="str">
        <f>IF(D4055="","",IFERROR(MATCH(D4055,Projects!$A:$A,0),""))</f>
        <v/>
      </c>
    </row>
    <row r="4056" spans="31:32" x14ac:dyDescent="0.25">
      <c r="AE4056" s="39" t="str">
        <f>IF(D4056="","",IFERROR(VLOOKUP(D4056,Projects!$A$2:$A$20000,1,FALSE),""))</f>
        <v/>
      </c>
      <c r="AF4056" s="2" t="str">
        <f>IF(D4056="","",IFERROR(MATCH(D4056,Projects!$A:$A,0),""))</f>
        <v/>
      </c>
    </row>
    <row r="4057" spans="31:32" x14ac:dyDescent="0.25">
      <c r="AE4057" s="39" t="str">
        <f>IF(D4057="","",IFERROR(VLOOKUP(D4057,Projects!$A$2:$A$20000,1,FALSE),""))</f>
        <v/>
      </c>
      <c r="AF4057" s="2" t="str">
        <f>IF(D4057="","",IFERROR(MATCH(D4057,Projects!$A:$A,0),""))</f>
        <v/>
      </c>
    </row>
    <row r="4058" spans="31:32" x14ac:dyDescent="0.25">
      <c r="AE4058" s="39" t="str">
        <f>IF(D4058="","",IFERROR(VLOOKUP(D4058,Projects!$A$2:$A$20000,1,FALSE),""))</f>
        <v/>
      </c>
      <c r="AF4058" s="2" t="str">
        <f>IF(D4058="","",IFERROR(MATCH(D4058,Projects!$A:$A,0),""))</f>
        <v/>
      </c>
    </row>
    <row r="4059" spans="31:32" x14ac:dyDescent="0.25">
      <c r="AE4059" s="39" t="str">
        <f>IF(D4059="","",IFERROR(VLOOKUP(D4059,Projects!$A$2:$A$20000,1,FALSE),""))</f>
        <v/>
      </c>
      <c r="AF4059" s="2" t="str">
        <f>IF(D4059="","",IFERROR(MATCH(D4059,Projects!$A:$A,0),""))</f>
        <v/>
      </c>
    </row>
    <row r="4060" spans="31:32" x14ac:dyDescent="0.25">
      <c r="AE4060" s="39" t="str">
        <f>IF(D4060="","",IFERROR(VLOOKUP(D4060,Projects!$A$2:$A$20000,1,FALSE),""))</f>
        <v/>
      </c>
      <c r="AF4060" s="2" t="str">
        <f>IF(D4060="","",IFERROR(MATCH(D4060,Projects!$A:$A,0),""))</f>
        <v/>
      </c>
    </row>
    <row r="4061" spans="31:32" x14ac:dyDescent="0.25">
      <c r="AE4061" s="39" t="str">
        <f>IF(D4061="","",IFERROR(VLOOKUP(D4061,Projects!$A$2:$A$20000,1,FALSE),""))</f>
        <v/>
      </c>
      <c r="AF4061" s="2" t="str">
        <f>IF(D4061="","",IFERROR(MATCH(D4061,Projects!$A:$A,0),""))</f>
        <v/>
      </c>
    </row>
    <row r="4062" spans="31:32" x14ac:dyDescent="0.25">
      <c r="AE4062" s="39" t="str">
        <f>IF(D4062="","",IFERROR(VLOOKUP(D4062,Projects!$A$2:$A$20000,1,FALSE),""))</f>
        <v/>
      </c>
      <c r="AF4062" s="2" t="str">
        <f>IF(D4062="","",IFERROR(MATCH(D4062,Projects!$A:$A,0),""))</f>
        <v/>
      </c>
    </row>
    <row r="4063" spans="31:32" x14ac:dyDescent="0.25">
      <c r="AE4063" s="39" t="str">
        <f>IF(D4063="","",IFERROR(VLOOKUP(D4063,Projects!$A$2:$A$20000,1,FALSE),""))</f>
        <v/>
      </c>
      <c r="AF4063" s="2" t="str">
        <f>IF(D4063="","",IFERROR(MATCH(D4063,Projects!$A:$A,0),""))</f>
        <v/>
      </c>
    </row>
    <row r="4064" spans="31:32" x14ac:dyDescent="0.25">
      <c r="AE4064" s="39" t="str">
        <f>IF(D4064="","",IFERROR(VLOOKUP(D4064,Projects!$A$2:$A$20000,1,FALSE),""))</f>
        <v/>
      </c>
      <c r="AF4064" s="2" t="str">
        <f>IF(D4064="","",IFERROR(MATCH(D4064,Projects!$A:$A,0),""))</f>
        <v/>
      </c>
    </row>
    <row r="4065" spans="31:32" x14ac:dyDescent="0.25">
      <c r="AE4065" s="39" t="str">
        <f>IF(D4065="","",IFERROR(VLOOKUP(D4065,Projects!$A$2:$A$20000,1,FALSE),""))</f>
        <v/>
      </c>
      <c r="AF4065" s="2" t="str">
        <f>IF(D4065="","",IFERROR(MATCH(D4065,Projects!$A:$A,0),""))</f>
        <v/>
      </c>
    </row>
    <row r="4066" spans="31:32" x14ac:dyDescent="0.25">
      <c r="AE4066" s="39" t="str">
        <f>IF(D4066="","",IFERROR(VLOOKUP(D4066,Projects!$A$2:$A$20000,1,FALSE),""))</f>
        <v/>
      </c>
      <c r="AF4066" s="2" t="str">
        <f>IF(D4066="","",IFERROR(MATCH(D4066,Projects!$A:$A,0),""))</f>
        <v/>
      </c>
    </row>
    <row r="4067" spans="31:32" x14ac:dyDescent="0.25">
      <c r="AE4067" s="39" t="str">
        <f>IF(D4067="","",IFERROR(VLOOKUP(D4067,Projects!$A$2:$A$20000,1,FALSE),""))</f>
        <v/>
      </c>
      <c r="AF4067" s="2" t="str">
        <f>IF(D4067="","",IFERROR(MATCH(D4067,Projects!$A:$A,0),""))</f>
        <v/>
      </c>
    </row>
    <row r="4068" spans="31:32" x14ac:dyDescent="0.25">
      <c r="AE4068" s="39" t="str">
        <f>IF(D4068="","",IFERROR(VLOOKUP(D4068,Projects!$A$2:$A$20000,1,FALSE),""))</f>
        <v/>
      </c>
      <c r="AF4068" s="2" t="str">
        <f>IF(D4068="","",IFERROR(MATCH(D4068,Projects!$A:$A,0),""))</f>
        <v/>
      </c>
    </row>
    <row r="4069" spans="31:32" x14ac:dyDescent="0.25">
      <c r="AE4069" s="39" t="str">
        <f>IF(D4069="","",IFERROR(VLOOKUP(D4069,Projects!$A$2:$A$20000,1,FALSE),""))</f>
        <v/>
      </c>
      <c r="AF4069" s="2" t="str">
        <f>IF(D4069="","",IFERROR(MATCH(D4069,Projects!$A:$A,0),""))</f>
        <v/>
      </c>
    </row>
    <row r="4070" spans="31:32" x14ac:dyDescent="0.25">
      <c r="AE4070" s="39" t="str">
        <f>IF(D4070="","",IFERROR(VLOOKUP(D4070,Projects!$A$2:$A$20000,1,FALSE),""))</f>
        <v/>
      </c>
      <c r="AF4070" s="2" t="str">
        <f>IF(D4070="","",IFERROR(MATCH(D4070,Projects!$A:$A,0),""))</f>
        <v/>
      </c>
    </row>
    <row r="4071" spans="31:32" x14ac:dyDescent="0.25">
      <c r="AE4071" s="39" t="str">
        <f>IF(D4071="","",IFERROR(VLOOKUP(D4071,Projects!$A$2:$A$20000,1,FALSE),""))</f>
        <v/>
      </c>
      <c r="AF4071" s="2" t="str">
        <f>IF(D4071="","",IFERROR(MATCH(D4071,Projects!$A:$A,0),""))</f>
        <v/>
      </c>
    </row>
    <row r="4072" spans="31:32" x14ac:dyDescent="0.25">
      <c r="AE4072" s="39" t="str">
        <f>IF(D4072="","",IFERROR(VLOOKUP(D4072,Projects!$A$2:$A$20000,1,FALSE),""))</f>
        <v/>
      </c>
      <c r="AF4072" s="2" t="str">
        <f>IF(D4072="","",IFERROR(MATCH(D4072,Projects!$A:$A,0),""))</f>
        <v/>
      </c>
    </row>
    <row r="4073" spans="31:32" x14ac:dyDescent="0.25">
      <c r="AE4073" s="39" t="str">
        <f>IF(D4073="","",IFERROR(VLOOKUP(D4073,Projects!$A$2:$A$20000,1,FALSE),""))</f>
        <v/>
      </c>
      <c r="AF4073" s="2" t="str">
        <f>IF(D4073="","",IFERROR(MATCH(D4073,Projects!$A:$A,0),""))</f>
        <v/>
      </c>
    </row>
    <row r="4074" spans="31:32" x14ac:dyDescent="0.25">
      <c r="AE4074" s="39" t="str">
        <f>IF(D4074="","",IFERROR(VLOOKUP(D4074,Projects!$A$2:$A$20000,1,FALSE),""))</f>
        <v/>
      </c>
      <c r="AF4074" s="2" t="str">
        <f>IF(D4074="","",IFERROR(MATCH(D4074,Projects!$A:$A,0),""))</f>
        <v/>
      </c>
    </row>
    <row r="4075" spans="31:32" x14ac:dyDescent="0.25">
      <c r="AE4075" s="39" t="str">
        <f>IF(D4075="","",IFERROR(VLOOKUP(D4075,Projects!$A$2:$A$20000,1,FALSE),""))</f>
        <v/>
      </c>
      <c r="AF4075" s="2" t="str">
        <f>IF(D4075="","",IFERROR(MATCH(D4075,Projects!$A:$A,0),""))</f>
        <v/>
      </c>
    </row>
    <row r="4076" spans="31:32" x14ac:dyDescent="0.25">
      <c r="AE4076" s="39" t="str">
        <f>IF(D4076="","",IFERROR(VLOOKUP(D4076,Projects!$A$2:$A$20000,1,FALSE),""))</f>
        <v/>
      </c>
      <c r="AF4076" s="2" t="str">
        <f>IF(D4076="","",IFERROR(MATCH(D4076,Projects!$A:$A,0),""))</f>
        <v/>
      </c>
    </row>
    <row r="4077" spans="31:32" x14ac:dyDescent="0.25">
      <c r="AE4077" s="39" t="str">
        <f>IF(D4077="","",IFERROR(VLOOKUP(D4077,Projects!$A$2:$A$20000,1,FALSE),""))</f>
        <v/>
      </c>
      <c r="AF4077" s="2" t="str">
        <f>IF(D4077="","",IFERROR(MATCH(D4077,Projects!$A:$A,0),""))</f>
        <v/>
      </c>
    </row>
    <row r="4078" spans="31:32" x14ac:dyDescent="0.25">
      <c r="AE4078" s="39" t="str">
        <f>IF(D4078="","",IFERROR(VLOOKUP(D4078,Projects!$A$2:$A$20000,1,FALSE),""))</f>
        <v/>
      </c>
      <c r="AF4078" s="2" t="str">
        <f>IF(D4078="","",IFERROR(MATCH(D4078,Projects!$A:$A,0),""))</f>
        <v/>
      </c>
    </row>
    <row r="4079" spans="31:32" x14ac:dyDescent="0.25">
      <c r="AE4079" s="39" t="str">
        <f>IF(D4079="","",IFERROR(VLOOKUP(D4079,Projects!$A$2:$A$20000,1,FALSE),""))</f>
        <v/>
      </c>
      <c r="AF4079" s="2" t="str">
        <f>IF(D4079="","",IFERROR(MATCH(D4079,Projects!$A:$A,0),""))</f>
        <v/>
      </c>
    </row>
    <row r="4080" spans="31:32" x14ac:dyDescent="0.25">
      <c r="AE4080" s="39" t="str">
        <f>IF(D4080="","",IFERROR(VLOOKUP(D4080,Projects!$A$2:$A$20000,1,FALSE),""))</f>
        <v/>
      </c>
      <c r="AF4080" s="2" t="str">
        <f>IF(D4080="","",IFERROR(MATCH(D4080,Projects!$A:$A,0),""))</f>
        <v/>
      </c>
    </row>
    <row r="4081" spans="31:32" x14ac:dyDescent="0.25">
      <c r="AE4081" s="39" t="str">
        <f>IF(D4081="","",IFERROR(VLOOKUP(D4081,Projects!$A$2:$A$20000,1,FALSE),""))</f>
        <v/>
      </c>
      <c r="AF4081" s="2" t="str">
        <f>IF(D4081="","",IFERROR(MATCH(D4081,Projects!$A:$A,0),""))</f>
        <v/>
      </c>
    </row>
    <row r="4082" spans="31:32" x14ac:dyDescent="0.25">
      <c r="AE4082" s="39" t="str">
        <f>IF(D4082="","",IFERROR(VLOOKUP(D4082,Projects!$A$2:$A$20000,1,FALSE),""))</f>
        <v/>
      </c>
      <c r="AF4082" s="2" t="str">
        <f>IF(D4082="","",IFERROR(MATCH(D4082,Projects!$A:$A,0),""))</f>
        <v/>
      </c>
    </row>
    <row r="4083" spans="31:32" x14ac:dyDescent="0.25">
      <c r="AE4083" s="39" t="str">
        <f>IF(D4083="","",IFERROR(VLOOKUP(D4083,Projects!$A$2:$A$20000,1,FALSE),""))</f>
        <v/>
      </c>
      <c r="AF4083" s="2" t="str">
        <f>IF(D4083="","",IFERROR(MATCH(D4083,Projects!$A:$A,0),""))</f>
        <v/>
      </c>
    </row>
    <row r="4084" spans="31:32" x14ac:dyDescent="0.25">
      <c r="AE4084" s="39" t="str">
        <f>IF(D4084="","",IFERROR(VLOOKUP(D4084,Projects!$A$2:$A$20000,1,FALSE),""))</f>
        <v/>
      </c>
      <c r="AF4084" s="2" t="str">
        <f>IF(D4084="","",IFERROR(MATCH(D4084,Projects!$A:$A,0),""))</f>
        <v/>
      </c>
    </row>
    <row r="4085" spans="31:32" x14ac:dyDescent="0.25">
      <c r="AE4085" s="39" t="str">
        <f>IF(D4085="","",IFERROR(VLOOKUP(D4085,Projects!$A$2:$A$20000,1,FALSE),""))</f>
        <v/>
      </c>
      <c r="AF4085" s="2" t="str">
        <f>IF(D4085="","",IFERROR(MATCH(D4085,Projects!$A:$A,0),""))</f>
        <v/>
      </c>
    </row>
    <row r="4086" spans="31:32" x14ac:dyDescent="0.25">
      <c r="AE4086" s="39" t="str">
        <f>IF(D4086="","",IFERROR(VLOOKUP(D4086,Projects!$A$2:$A$20000,1,FALSE),""))</f>
        <v/>
      </c>
      <c r="AF4086" s="2" t="str">
        <f>IF(D4086="","",IFERROR(MATCH(D4086,Projects!$A:$A,0),""))</f>
        <v/>
      </c>
    </row>
    <row r="4087" spans="31:32" x14ac:dyDescent="0.25">
      <c r="AE4087" s="39" t="str">
        <f>IF(D4087="","",IFERROR(VLOOKUP(D4087,Projects!$A$2:$A$20000,1,FALSE),""))</f>
        <v/>
      </c>
      <c r="AF4087" s="2" t="str">
        <f>IF(D4087="","",IFERROR(MATCH(D4087,Projects!$A:$A,0),""))</f>
        <v/>
      </c>
    </row>
    <row r="4088" spans="31:32" x14ac:dyDescent="0.25">
      <c r="AE4088" s="39" t="str">
        <f>IF(D4088="","",IFERROR(VLOOKUP(D4088,Projects!$A$2:$A$20000,1,FALSE),""))</f>
        <v/>
      </c>
      <c r="AF4088" s="2" t="str">
        <f>IF(D4088="","",IFERROR(MATCH(D4088,Projects!$A:$A,0),""))</f>
        <v/>
      </c>
    </row>
    <row r="4089" spans="31:32" x14ac:dyDescent="0.25">
      <c r="AE4089" s="39" t="str">
        <f>IF(D4089="","",IFERROR(VLOOKUP(D4089,Projects!$A$2:$A$20000,1,FALSE),""))</f>
        <v/>
      </c>
      <c r="AF4089" s="2" t="str">
        <f>IF(D4089="","",IFERROR(MATCH(D4089,Projects!$A:$A,0),""))</f>
        <v/>
      </c>
    </row>
    <row r="4090" spans="31:32" x14ac:dyDescent="0.25">
      <c r="AE4090" s="39" t="str">
        <f>IF(D4090="","",IFERROR(VLOOKUP(D4090,Projects!$A$2:$A$20000,1,FALSE),""))</f>
        <v/>
      </c>
      <c r="AF4090" s="2" t="str">
        <f>IF(D4090="","",IFERROR(MATCH(D4090,Projects!$A:$A,0),""))</f>
        <v/>
      </c>
    </row>
    <row r="4091" spans="31:32" x14ac:dyDescent="0.25">
      <c r="AE4091" s="39" t="str">
        <f>IF(D4091="","",IFERROR(VLOOKUP(D4091,Projects!$A$2:$A$20000,1,FALSE),""))</f>
        <v/>
      </c>
      <c r="AF4091" s="2" t="str">
        <f>IF(D4091="","",IFERROR(MATCH(D4091,Projects!$A:$A,0),""))</f>
        <v/>
      </c>
    </row>
    <row r="4092" spans="31:32" x14ac:dyDescent="0.25">
      <c r="AE4092" s="39" t="str">
        <f>IF(D4092="","",IFERROR(VLOOKUP(D4092,Projects!$A$2:$A$20000,1,FALSE),""))</f>
        <v/>
      </c>
      <c r="AF4092" s="2" t="str">
        <f>IF(D4092="","",IFERROR(MATCH(D4092,Projects!$A:$A,0),""))</f>
        <v/>
      </c>
    </row>
    <row r="4093" spans="31:32" x14ac:dyDescent="0.25">
      <c r="AE4093" s="39" t="str">
        <f>IF(D4093="","",IFERROR(VLOOKUP(D4093,Projects!$A$2:$A$20000,1,FALSE),""))</f>
        <v/>
      </c>
      <c r="AF4093" s="2" t="str">
        <f>IF(D4093="","",IFERROR(MATCH(D4093,Projects!$A:$A,0),""))</f>
        <v/>
      </c>
    </row>
    <row r="4094" spans="31:32" x14ac:dyDescent="0.25">
      <c r="AE4094" s="39" t="str">
        <f>IF(D4094="","",IFERROR(VLOOKUP(D4094,Projects!$A$2:$A$20000,1,FALSE),""))</f>
        <v/>
      </c>
      <c r="AF4094" s="2" t="str">
        <f>IF(D4094="","",IFERROR(MATCH(D4094,Projects!$A:$A,0),""))</f>
        <v/>
      </c>
    </row>
    <row r="4095" spans="31:32" x14ac:dyDescent="0.25">
      <c r="AE4095" s="39" t="str">
        <f>IF(D4095="","",IFERROR(VLOOKUP(D4095,Projects!$A$2:$A$20000,1,FALSE),""))</f>
        <v/>
      </c>
      <c r="AF4095" s="2" t="str">
        <f>IF(D4095="","",IFERROR(MATCH(D4095,Projects!$A:$A,0),""))</f>
        <v/>
      </c>
    </row>
    <row r="4096" spans="31:32" x14ac:dyDescent="0.25">
      <c r="AE4096" s="39" t="str">
        <f>IF(D4096="","",IFERROR(VLOOKUP(D4096,Projects!$A$2:$A$20000,1,FALSE),""))</f>
        <v/>
      </c>
      <c r="AF4096" s="2" t="str">
        <f>IF(D4096="","",IFERROR(MATCH(D4096,Projects!$A:$A,0),""))</f>
        <v/>
      </c>
    </row>
    <row r="4097" spans="31:32" x14ac:dyDescent="0.25">
      <c r="AE4097" s="39" t="str">
        <f>IF(D4097="","",IFERROR(VLOOKUP(D4097,Projects!$A$2:$A$20000,1,FALSE),""))</f>
        <v/>
      </c>
      <c r="AF4097" s="2" t="str">
        <f>IF(D4097="","",IFERROR(MATCH(D4097,Projects!$A:$A,0),""))</f>
        <v/>
      </c>
    </row>
    <row r="4098" spans="31:32" x14ac:dyDescent="0.25">
      <c r="AE4098" s="39" t="str">
        <f>IF(D4098="","",IFERROR(VLOOKUP(D4098,Projects!$A$2:$A$20000,1,FALSE),""))</f>
        <v/>
      </c>
      <c r="AF4098" s="2" t="str">
        <f>IF(D4098="","",IFERROR(MATCH(D4098,Projects!$A:$A,0),""))</f>
        <v/>
      </c>
    </row>
    <row r="4099" spans="31:32" x14ac:dyDescent="0.25">
      <c r="AE4099" s="39" t="str">
        <f>IF(D4099="","",IFERROR(VLOOKUP(D4099,Projects!$A$2:$A$20000,1,FALSE),""))</f>
        <v/>
      </c>
      <c r="AF4099" s="2" t="str">
        <f>IF(D4099="","",IFERROR(MATCH(D4099,Projects!$A:$A,0),""))</f>
        <v/>
      </c>
    </row>
    <row r="4100" spans="31:32" x14ac:dyDescent="0.25">
      <c r="AE4100" s="39" t="str">
        <f>IF(D4100="","",IFERROR(VLOOKUP(D4100,Projects!$A$2:$A$20000,1,FALSE),""))</f>
        <v/>
      </c>
      <c r="AF4100" s="2" t="str">
        <f>IF(D4100="","",IFERROR(MATCH(D4100,Projects!$A:$A,0),""))</f>
        <v/>
      </c>
    </row>
    <row r="4101" spans="31:32" x14ac:dyDescent="0.25">
      <c r="AE4101" s="39" t="str">
        <f>IF(D4101="","",IFERROR(VLOOKUP(D4101,Projects!$A$2:$A$20000,1,FALSE),""))</f>
        <v/>
      </c>
      <c r="AF4101" s="2" t="str">
        <f>IF(D4101="","",IFERROR(MATCH(D4101,Projects!$A:$A,0),""))</f>
        <v/>
      </c>
    </row>
    <row r="4102" spans="31:32" x14ac:dyDescent="0.25">
      <c r="AE4102" s="39" t="str">
        <f>IF(D4102="","",IFERROR(VLOOKUP(D4102,Projects!$A$2:$A$20000,1,FALSE),""))</f>
        <v/>
      </c>
      <c r="AF4102" s="2" t="str">
        <f>IF(D4102="","",IFERROR(MATCH(D4102,Projects!$A:$A,0),""))</f>
        <v/>
      </c>
    </row>
    <row r="4103" spans="31:32" x14ac:dyDescent="0.25">
      <c r="AE4103" s="39" t="str">
        <f>IF(D4103="","",IFERROR(VLOOKUP(D4103,Projects!$A$2:$A$20000,1,FALSE),""))</f>
        <v/>
      </c>
      <c r="AF4103" s="2" t="str">
        <f>IF(D4103="","",IFERROR(MATCH(D4103,Projects!$A:$A,0),""))</f>
        <v/>
      </c>
    </row>
    <row r="4104" spans="31:32" x14ac:dyDescent="0.25">
      <c r="AE4104" s="39" t="str">
        <f>IF(D4104="","",IFERROR(VLOOKUP(D4104,Projects!$A$2:$A$20000,1,FALSE),""))</f>
        <v/>
      </c>
      <c r="AF4104" s="2" t="str">
        <f>IF(D4104="","",IFERROR(MATCH(D4104,Projects!$A:$A,0),""))</f>
        <v/>
      </c>
    </row>
    <row r="4105" spans="31:32" x14ac:dyDescent="0.25">
      <c r="AE4105" s="39" t="str">
        <f>IF(D4105="","",IFERROR(VLOOKUP(D4105,Projects!$A$2:$A$20000,1,FALSE),""))</f>
        <v/>
      </c>
      <c r="AF4105" s="2" t="str">
        <f>IF(D4105="","",IFERROR(MATCH(D4105,Projects!$A:$A,0),""))</f>
        <v/>
      </c>
    </row>
    <row r="4106" spans="31:32" x14ac:dyDescent="0.25">
      <c r="AE4106" s="39" t="str">
        <f>IF(D4106="","",IFERROR(VLOOKUP(D4106,Projects!$A$2:$A$20000,1,FALSE),""))</f>
        <v/>
      </c>
      <c r="AF4106" s="2" t="str">
        <f>IF(D4106="","",IFERROR(MATCH(D4106,Projects!$A:$A,0),""))</f>
        <v/>
      </c>
    </row>
    <row r="4107" spans="31:32" x14ac:dyDescent="0.25">
      <c r="AE4107" s="39" t="str">
        <f>IF(D4107="","",IFERROR(VLOOKUP(D4107,Projects!$A$2:$A$20000,1,FALSE),""))</f>
        <v/>
      </c>
      <c r="AF4107" s="2" t="str">
        <f>IF(D4107="","",IFERROR(MATCH(D4107,Projects!$A:$A,0),""))</f>
        <v/>
      </c>
    </row>
    <row r="4108" spans="31:32" x14ac:dyDescent="0.25">
      <c r="AE4108" s="39" t="str">
        <f>IF(D4108="","",IFERROR(VLOOKUP(D4108,Projects!$A$2:$A$20000,1,FALSE),""))</f>
        <v/>
      </c>
      <c r="AF4108" s="2" t="str">
        <f>IF(D4108="","",IFERROR(MATCH(D4108,Projects!$A:$A,0),""))</f>
        <v/>
      </c>
    </row>
    <row r="4109" spans="31:32" x14ac:dyDescent="0.25">
      <c r="AE4109" s="39" t="str">
        <f>IF(D4109="","",IFERROR(VLOOKUP(D4109,Projects!$A$2:$A$20000,1,FALSE),""))</f>
        <v/>
      </c>
      <c r="AF4109" s="2" t="str">
        <f>IF(D4109="","",IFERROR(MATCH(D4109,Projects!$A:$A,0),""))</f>
        <v/>
      </c>
    </row>
    <row r="4110" spans="31:32" x14ac:dyDescent="0.25">
      <c r="AE4110" s="39" t="str">
        <f>IF(D4110="","",IFERROR(VLOOKUP(D4110,Projects!$A$2:$A$20000,1,FALSE),""))</f>
        <v/>
      </c>
      <c r="AF4110" s="2" t="str">
        <f>IF(D4110="","",IFERROR(MATCH(D4110,Projects!$A:$A,0),""))</f>
        <v/>
      </c>
    </row>
    <row r="4111" spans="31:32" x14ac:dyDescent="0.25">
      <c r="AE4111" s="39" t="str">
        <f>IF(D4111="","",IFERROR(VLOOKUP(D4111,Projects!$A$2:$A$20000,1,FALSE),""))</f>
        <v/>
      </c>
      <c r="AF4111" s="2" t="str">
        <f>IF(D4111="","",IFERROR(MATCH(D4111,Projects!$A:$A,0),""))</f>
        <v/>
      </c>
    </row>
    <row r="4112" spans="31:32" x14ac:dyDescent="0.25">
      <c r="AE4112" s="39" t="str">
        <f>IF(D4112="","",IFERROR(VLOOKUP(D4112,Projects!$A$2:$A$20000,1,FALSE),""))</f>
        <v/>
      </c>
      <c r="AF4112" s="2" t="str">
        <f>IF(D4112="","",IFERROR(MATCH(D4112,Projects!$A:$A,0),""))</f>
        <v/>
      </c>
    </row>
    <row r="4113" spans="31:32" x14ac:dyDescent="0.25">
      <c r="AE4113" s="39" t="str">
        <f>IF(D4113="","",IFERROR(VLOOKUP(D4113,Projects!$A$2:$A$20000,1,FALSE),""))</f>
        <v/>
      </c>
      <c r="AF4113" s="2" t="str">
        <f>IF(D4113="","",IFERROR(MATCH(D4113,Projects!$A:$A,0),""))</f>
        <v/>
      </c>
    </row>
    <row r="4114" spans="31:32" x14ac:dyDescent="0.25">
      <c r="AE4114" s="39" t="str">
        <f>IF(D4114="","",IFERROR(VLOOKUP(D4114,Projects!$A$2:$A$20000,1,FALSE),""))</f>
        <v/>
      </c>
      <c r="AF4114" s="2" t="str">
        <f>IF(D4114="","",IFERROR(MATCH(D4114,Projects!$A:$A,0),""))</f>
        <v/>
      </c>
    </row>
    <row r="4115" spans="31:32" x14ac:dyDescent="0.25">
      <c r="AE4115" s="39" t="str">
        <f>IF(D4115="","",IFERROR(VLOOKUP(D4115,Projects!$A$2:$A$20000,1,FALSE),""))</f>
        <v/>
      </c>
      <c r="AF4115" s="2" t="str">
        <f>IF(D4115="","",IFERROR(MATCH(D4115,Projects!$A:$A,0),""))</f>
        <v/>
      </c>
    </row>
    <row r="4116" spans="31:32" x14ac:dyDescent="0.25">
      <c r="AE4116" s="39" t="str">
        <f>IF(D4116="","",IFERROR(VLOOKUP(D4116,Projects!$A$2:$A$20000,1,FALSE),""))</f>
        <v/>
      </c>
      <c r="AF4116" s="2" t="str">
        <f>IF(D4116="","",IFERROR(MATCH(D4116,Projects!$A:$A,0),""))</f>
        <v/>
      </c>
    </row>
    <row r="4117" spans="31:32" x14ac:dyDescent="0.25">
      <c r="AE4117" s="39" t="str">
        <f>IF(D4117="","",IFERROR(VLOOKUP(D4117,Projects!$A$2:$A$20000,1,FALSE),""))</f>
        <v/>
      </c>
      <c r="AF4117" s="2" t="str">
        <f>IF(D4117="","",IFERROR(MATCH(D4117,Projects!$A:$A,0),""))</f>
        <v/>
      </c>
    </row>
    <row r="4118" spans="31:32" x14ac:dyDescent="0.25">
      <c r="AE4118" s="39" t="str">
        <f>IF(D4118="","",IFERROR(VLOOKUP(D4118,Projects!$A$2:$A$20000,1,FALSE),""))</f>
        <v/>
      </c>
      <c r="AF4118" s="2" t="str">
        <f>IF(D4118="","",IFERROR(MATCH(D4118,Projects!$A:$A,0),""))</f>
        <v/>
      </c>
    </row>
    <row r="4119" spans="31:32" x14ac:dyDescent="0.25">
      <c r="AE4119" s="39" t="str">
        <f>IF(D4119="","",IFERROR(VLOOKUP(D4119,Projects!$A$2:$A$20000,1,FALSE),""))</f>
        <v/>
      </c>
      <c r="AF4119" s="2" t="str">
        <f>IF(D4119="","",IFERROR(MATCH(D4119,Projects!$A:$A,0),""))</f>
        <v/>
      </c>
    </row>
    <row r="4120" spans="31:32" x14ac:dyDescent="0.25">
      <c r="AE4120" s="39" t="str">
        <f>IF(D4120="","",IFERROR(VLOOKUP(D4120,Projects!$A$2:$A$20000,1,FALSE),""))</f>
        <v/>
      </c>
      <c r="AF4120" s="2" t="str">
        <f>IF(D4120="","",IFERROR(MATCH(D4120,Projects!$A:$A,0),""))</f>
        <v/>
      </c>
    </row>
    <row r="4121" spans="31:32" x14ac:dyDescent="0.25">
      <c r="AE4121" s="39" t="str">
        <f>IF(D4121="","",IFERROR(VLOOKUP(D4121,Projects!$A$2:$A$20000,1,FALSE),""))</f>
        <v/>
      </c>
      <c r="AF4121" s="2" t="str">
        <f>IF(D4121="","",IFERROR(MATCH(D4121,Projects!$A:$A,0),""))</f>
        <v/>
      </c>
    </row>
    <row r="4122" spans="31:32" x14ac:dyDescent="0.25">
      <c r="AE4122" s="39" t="str">
        <f>IF(D4122="","",IFERROR(VLOOKUP(D4122,Projects!$A$2:$A$20000,1,FALSE),""))</f>
        <v/>
      </c>
      <c r="AF4122" s="2" t="str">
        <f>IF(D4122="","",IFERROR(MATCH(D4122,Projects!$A:$A,0),""))</f>
        <v/>
      </c>
    </row>
    <row r="4123" spans="31:32" x14ac:dyDescent="0.25">
      <c r="AE4123" s="39" t="str">
        <f>IF(D4123="","",IFERROR(VLOOKUP(D4123,Projects!$A$2:$A$20000,1,FALSE),""))</f>
        <v/>
      </c>
      <c r="AF4123" s="2" t="str">
        <f>IF(D4123="","",IFERROR(MATCH(D4123,Projects!$A:$A,0),""))</f>
        <v/>
      </c>
    </row>
    <row r="4124" spans="31:32" x14ac:dyDescent="0.25">
      <c r="AE4124" s="39" t="str">
        <f>IF(D4124="","",IFERROR(VLOOKUP(D4124,Projects!$A$2:$A$20000,1,FALSE),""))</f>
        <v/>
      </c>
      <c r="AF4124" s="2" t="str">
        <f>IF(D4124="","",IFERROR(MATCH(D4124,Projects!$A:$A,0),""))</f>
        <v/>
      </c>
    </row>
    <row r="4125" spans="31:32" x14ac:dyDescent="0.25">
      <c r="AE4125" s="39" t="str">
        <f>IF(D4125="","",IFERROR(VLOOKUP(D4125,Projects!$A$2:$A$20000,1,FALSE),""))</f>
        <v/>
      </c>
      <c r="AF4125" s="2" t="str">
        <f>IF(D4125="","",IFERROR(MATCH(D4125,Projects!$A:$A,0),""))</f>
        <v/>
      </c>
    </row>
    <row r="4126" spans="31:32" x14ac:dyDescent="0.25">
      <c r="AE4126" s="39" t="str">
        <f>IF(D4126="","",IFERROR(VLOOKUP(D4126,Projects!$A$2:$A$20000,1,FALSE),""))</f>
        <v/>
      </c>
      <c r="AF4126" s="2" t="str">
        <f>IF(D4126="","",IFERROR(MATCH(D4126,Projects!$A:$A,0),""))</f>
        <v/>
      </c>
    </row>
    <row r="4127" spans="31:32" x14ac:dyDescent="0.25">
      <c r="AE4127" s="39" t="str">
        <f>IF(D4127="","",IFERROR(VLOOKUP(D4127,Projects!$A$2:$A$20000,1,FALSE),""))</f>
        <v/>
      </c>
      <c r="AF4127" s="2" t="str">
        <f>IF(D4127="","",IFERROR(MATCH(D4127,Projects!$A:$A,0),""))</f>
        <v/>
      </c>
    </row>
    <row r="4128" spans="31:32" x14ac:dyDescent="0.25">
      <c r="AE4128" s="39" t="str">
        <f>IF(D4128="","",IFERROR(VLOOKUP(D4128,Projects!$A$2:$A$20000,1,FALSE),""))</f>
        <v/>
      </c>
      <c r="AF4128" s="2" t="str">
        <f>IF(D4128="","",IFERROR(MATCH(D4128,Projects!$A:$A,0),""))</f>
        <v/>
      </c>
    </row>
    <row r="4129" spans="31:32" x14ac:dyDescent="0.25">
      <c r="AE4129" s="39" t="str">
        <f>IF(D4129="","",IFERROR(VLOOKUP(D4129,Projects!$A$2:$A$20000,1,FALSE),""))</f>
        <v/>
      </c>
      <c r="AF4129" s="2" t="str">
        <f>IF(D4129="","",IFERROR(MATCH(D4129,Projects!$A:$A,0),""))</f>
        <v/>
      </c>
    </row>
    <row r="4130" spans="31:32" x14ac:dyDescent="0.25">
      <c r="AE4130" s="39" t="str">
        <f>IF(D4130="","",IFERROR(VLOOKUP(D4130,Projects!$A$2:$A$20000,1,FALSE),""))</f>
        <v/>
      </c>
      <c r="AF4130" s="2" t="str">
        <f>IF(D4130="","",IFERROR(MATCH(D4130,Projects!$A:$A,0),""))</f>
        <v/>
      </c>
    </row>
    <row r="4131" spans="31:32" x14ac:dyDescent="0.25">
      <c r="AE4131" s="39" t="str">
        <f>IF(D4131="","",IFERROR(VLOOKUP(D4131,Projects!$A$2:$A$20000,1,FALSE),""))</f>
        <v/>
      </c>
      <c r="AF4131" s="2" t="str">
        <f>IF(D4131="","",IFERROR(MATCH(D4131,Projects!$A:$A,0),""))</f>
        <v/>
      </c>
    </row>
    <row r="4132" spans="31:32" x14ac:dyDescent="0.25">
      <c r="AE4132" s="39" t="str">
        <f>IF(D4132="","",IFERROR(VLOOKUP(D4132,Projects!$A$2:$A$20000,1,FALSE),""))</f>
        <v/>
      </c>
      <c r="AF4132" s="2" t="str">
        <f>IF(D4132="","",IFERROR(MATCH(D4132,Projects!$A:$A,0),""))</f>
        <v/>
      </c>
    </row>
    <row r="4133" spans="31:32" x14ac:dyDescent="0.25">
      <c r="AE4133" s="39" t="str">
        <f>IF(D4133="","",IFERROR(VLOOKUP(D4133,Projects!$A$2:$A$20000,1,FALSE),""))</f>
        <v/>
      </c>
      <c r="AF4133" s="2" t="str">
        <f>IF(D4133="","",IFERROR(MATCH(D4133,Projects!$A:$A,0),""))</f>
        <v/>
      </c>
    </row>
    <row r="4134" spans="31:32" x14ac:dyDescent="0.25">
      <c r="AE4134" s="39" t="str">
        <f>IF(D4134="","",IFERROR(VLOOKUP(D4134,Projects!$A$2:$A$20000,1,FALSE),""))</f>
        <v/>
      </c>
      <c r="AF4134" s="2" t="str">
        <f>IF(D4134="","",IFERROR(MATCH(D4134,Projects!$A:$A,0),""))</f>
        <v/>
      </c>
    </row>
    <row r="4135" spans="31:32" x14ac:dyDescent="0.25">
      <c r="AE4135" s="39" t="str">
        <f>IF(D4135="","",IFERROR(VLOOKUP(D4135,Projects!$A$2:$A$20000,1,FALSE),""))</f>
        <v/>
      </c>
      <c r="AF4135" s="2" t="str">
        <f>IF(D4135="","",IFERROR(MATCH(D4135,Projects!$A:$A,0),""))</f>
        <v/>
      </c>
    </row>
    <row r="4136" spans="31:32" x14ac:dyDescent="0.25">
      <c r="AE4136" s="39" t="str">
        <f>IF(D4136="","",IFERROR(VLOOKUP(D4136,Projects!$A$2:$A$20000,1,FALSE),""))</f>
        <v/>
      </c>
      <c r="AF4136" s="2" t="str">
        <f>IF(D4136="","",IFERROR(MATCH(D4136,Projects!$A:$A,0),""))</f>
        <v/>
      </c>
    </row>
    <row r="4137" spans="31:32" x14ac:dyDescent="0.25">
      <c r="AE4137" s="39" t="str">
        <f>IF(D4137="","",IFERROR(VLOOKUP(D4137,Projects!$A$2:$A$20000,1,FALSE),""))</f>
        <v/>
      </c>
      <c r="AF4137" s="2" t="str">
        <f>IF(D4137="","",IFERROR(MATCH(D4137,Projects!$A:$A,0),""))</f>
        <v/>
      </c>
    </row>
    <row r="4138" spans="31:32" x14ac:dyDescent="0.25">
      <c r="AE4138" s="39" t="str">
        <f>IF(D4138="","",IFERROR(VLOOKUP(D4138,Projects!$A$2:$A$20000,1,FALSE),""))</f>
        <v/>
      </c>
      <c r="AF4138" s="2" t="str">
        <f>IF(D4138="","",IFERROR(MATCH(D4138,Projects!$A:$A,0),""))</f>
        <v/>
      </c>
    </row>
    <row r="4139" spans="31:32" x14ac:dyDescent="0.25">
      <c r="AE4139" s="39" t="str">
        <f>IF(D4139="","",IFERROR(VLOOKUP(D4139,Projects!$A$2:$A$20000,1,FALSE),""))</f>
        <v/>
      </c>
      <c r="AF4139" s="2" t="str">
        <f>IF(D4139="","",IFERROR(MATCH(D4139,Projects!$A:$A,0),""))</f>
        <v/>
      </c>
    </row>
    <row r="4140" spans="31:32" x14ac:dyDescent="0.25">
      <c r="AE4140" s="39" t="str">
        <f>IF(D4140="","",IFERROR(VLOOKUP(D4140,Projects!$A$2:$A$20000,1,FALSE),""))</f>
        <v/>
      </c>
      <c r="AF4140" s="2" t="str">
        <f>IF(D4140="","",IFERROR(MATCH(D4140,Projects!$A:$A,0),""))</f>
        <v/>
      </c>
    </row>
    <row r="4141" spans="31:32" x14ac:dyDescent="0.25">
      <c r="AE4141" s="39" t="str">
        <f>IF(D4141="","",IFERROR(VLOOKUP(D4141,Projects!$A$2:$A$20000,1,FALSE),""))</f>
        <v/>
      </c>
      <c r="AF4141" s="2" t="str">
        <f>IF(D4141="","",IFERROR(MATCH(D4141,Projects!$A:$A,0),""))</f>
        <v/>
      </c>
    </row>
    <row r="4142" spans="31:32" x14ac:dyDescent="0.25">
      <c r="AE4142" s="39" t="str">
        <f>IF(D4142="","",IFERROR(VLOOKUP(D4142,Projects!$A$2:$A$20000,1,FALSE),""))</f>
        <v/>
      </c>
      <c r="AF4142" s="2" t="str">
        <f>IF(D4142="","",IFERROR(MATCH(D4142,Projects!$A:$A,0),""))</f>
        <v/>
      </c>
    </row>
    <row r="4143" spans="31:32" x14ac:dyDescent="0.25">
      <c r="AE4143" s="39" t="str">
        <f>IF(D4143="","",IFERROR(VLOOKUP(D4143,Projects!$A$2:$A$20000,1,FALSE),""))</f>
        <v/>
      </c>
      <c r="AF4143" s="2" t="str">
        <f>IF(D4143="","",IFERROR(MATCH(D4143,Projects!$A:$A,0),""))</f>
        <v/>
      </c>
    </row>
    <row r="4144" spans="31:32" x14ac:dyDescent="0.25">
      <c r="AE4144" s="39" t="str">
        <f>IF(D4144="","",IFERROR(VLOOKUP(D4144,Projects!$A$2:$A$20000,1,FALSE),""))</f>
        <v/>
      </c>
      <c r="AF4144" s="2" t="str">
        <f>IF(D4144="","",IFERROR(MATCH(D4144,Projects!$A:$A,0),""))</f>
        <v/>
      </c>
    </row>
    <row r="4145" spans="31:32" x14ac:dyDescent="0.25">
      <c r="AE4145" s="39" t="str">
        <f>IF(D4145="","",IFERROR(VLOOKUP(D4145,Projects!$A$2:$A$20000,1,FALSE),""))</f>
        <v/>
      </c>
      <c r="AF4145" s="2" t="str">
        <f>IF(D4145="","",IFERROR(MATCH(D4145,Projects!$A:$A,0),""))</f>
        <v/>
      </c>
    </row>
    <row r="4146" spans="31:32" x14ac:dyDescent="0.25">
      <c r="AE4146" s="39" t="str">
        <f>IF(D4146="","",IFERROR(VLOOKUP(D4146,Projects!$A$2:$A$20000,1,FALSE),""))</f>
        <v/>
      </c>
      <c r="AF4146" s="2" t="str">
        <f>IF(D4146="","",IFERROR(MATCH(D4146,Projects!$A:$A,0),""))</f>
        <v/>
      </c>
    </row>
    <row r="4147" spans="31:32" x14ac:dyDescent="0.25">
      <c r="AE4147" s="39" t="str">
        <f>IF(D4147="","",IFERROR(VLOOKUP(D4147,Projects!$A$2:$A$20000,1,FALSE),""))</f>
        <v/>
      </c>
      <c r="AF4147" s="2" t="str">
        <f>IF(D4147="","",IFERROR(MATCH(D4147,Projects!$A:$A,0),""))</f>
        <v/>
      </c>
    </row>
    <row r="4148" spans="31:32" x14ac:dyDescent="0.25">
      <c r="AE4148" s="39" t="str">
        <f>IF(D4148="","",IFERROR(VLOOKUP(D4148,Projects!$A$2:$A$20000,1,FALSE),""))</f>
        <v/>
      </c>
      <c r="AF4148" s="2" t="str">
        <f>IF(D4148="","",IFERROR(MATCH(D4148,Projects!$A:$A,0),""))</f>
        <v/>
      </c>
    </row>
    <row r="4149" spans="31:32" x14ac:dyDescent="0.25">
      <c r="AE4149" s="39" t="str">
        <f>IF(D4149="","",IFERROR(VLOOKUP(D4149,Projects!$A$2:$A$20000,1,FALSE),""))</f>
        <v/>
      </c>
      <c r="AF4149" s="2" t="str">
        <f>IF(D4149="","",IFERROR(MATCH(D4149,Projects!$A:$A,0),""))</f>
        <v/>
      </c>
    </row>
    <row r="4150" spans="31:32" x14ac:dyDescent="0.25">
      <c r="AE4150" s="39" t="str">
        <f>IF(D4150="","",IFERROR(VLOOKUP(D4150,Projects!$A$2:$A$20000,1,FALSE),""))</f>
        <v/>
      </c>
      <c r="AF4150" s="2" t="str">
        <f>IF(D4150="","",IFERROR(MATCH(D4150,Projects!$A:$A,0),""))</f>
        <v/>
      </c>
    </row>
    <row r="4151" spans="31:32" x14ac:dyDescent="0.25">
      <c r="AE4151" s="39" t="str">
        <f>IF(D4151="","",IFERROR(VLOOKUP(D4151,Projects!$A$2:$A$20000,1,FALSE),""))</f>
        <v/>
      </c>
      <c r="AF4151" s="2" t="str">
        <f>IF(D4151="","",IFERROR(MATCH(D4151,Projects!$A:$A,0),""))</f>
        <v/>
      </c>
    </row>
    <row r="4152" spans="31:32" x14ac:dyDescent="0.25">
      <c r="AE4152" s="39" t="str">
        <f>IF(D4152="","",IFERROR(VLOOKUP(D4152,Projects!$A$2:$A$20000,1,FALSE),""))</f>
        <v/>
      </c>
      <c r="AF4152" s="2" t="str">
        <f>IF(D4152="","",IFERROR(MATCH(D4152,Projects!$A:$A,0),""))</f>
        <v/>
      </c>
    </row>
    <row r="4153" spans="31:32" x14ac:dyDescent="0.25">
      <c r="AE4153" s="39" t="str">
        <f>IF(D4153="","",IFERROR(VLOOKUP(D4153,Projects!$A$2:$A$20000,1,FALSE),""))</f>
        <v/>
      </c>
      <c r="AF4153" s="2" t="str">
        <f>IF(D4153="","",IFERROR(MATCH(D4153,Projects!$A:$A,0),""))</f>
        <v/>
      </c>
    </row>
    <row r="4154" spans="31:32" x14ac:dyDescent="0.25">
      <c r="AE4154" s="39" t="str">
        <f>IF(D4154="","",IFERROR(VLOOKUP(D4154,Projects!$A$2:$A$20000,1,FALSE),""))</f>
        <v/>
      </c>
      <c r="AF4154" s="2" t="str">
        <f>IF(D4154="","",IFERROR(MATCH(D4154,Projects!$A:$A,0),""))</f>
        <v/>
      </c>
    </row>
    <row r="4155" spans="31:32" x14ac:dyDescent="0.25">
      <c r="AE4155" s="39" t="str">
        <f>IF(D4155="","",IFERROR(VLOOKUP(D4155,Projects!$A$2:$A$20000,1,FALSE),""))</f>
        <v/>
      </c>
      <c r="AF4155" s="2" t="str">
        <f>IF(D4155="","",IFERROR(MATCH(D4155,Projects!$A:$A,0),""))</f>
        <v/>
      </c>
    </row>
    <row r="4156" spans="31:32" x14ac:dyDescent="0.25">
      <c r="AE4156" s="39" t="str">
        <f>IF(D4156="","",IFERROR(VLOOKUP(D4156,Projects!$A$2:$A$20000,1,FALSE),""))</f>
        <v/>
      </c>
      <c r="AF4156" s="2" t="str">
        <f>IF(D4156="","",IFERROR(MATCH(D4156,Projects!$A:$A,0),""))</f>
        <v/>
      </c>
    </row>
    <row r="4157" spans="31:32" x14ac:dyDescent="0.25">
      <c r="AE4157" s="39" t="str">
        <f>IF(D4157="","",IFERROR(VLOOKUP(D4157,Projects!$A$2:$A$20000,1,FALSE),""))</f>
        <v/>
      </c>
      <c r="AF4157" s="2" t="str">
        <f>IF(D4157="","",IFERROR(MATCH(D4157,Projects!$A:$A,0),""))</f>
        <v/>
      </c>
    </row>
    <row r="4158" spans="31:32" x14ac:dyDescent="0.25">
      <c r="AE4158" s="39" t="str">
        <f>IF(D4158="","",IFERROR(VLOOKUP(D4158,Projects!$A$2:$A$20000,1,FALSE),""))</f>
        <v/>
      </c>
      <c r="AF4158" s="2" t="str">
        <f>IF(D4158="","",IFERROR(MATCH(D4158,Projects!$A:$A,0),""))</f>
        <v/>
      </c>
    </row>
    <row r="4159" spans="31:32" x14ac:dyDescent="0.25">
      <c r="AE4159" s="39" t="str">
        <f>IF(D4159="","",IFERROR(VLOOKUP(D4159,Projects!$A$2:$A$20000,1,FALSE),""))</f>
        <v/>
      </c>
      <c r="AF4159" s="2" t="str">
        <f>IF(D4159="","",IFERROR(MATCH(D4159,Projects!$A:$A,0),""))</f>
        <v/>
      </c>
    </row>
    <row r="4160" spans="31:32" x14ac:dyDescent="0.25">
      <c r="AE4160" s="39" t="str">
        <f>IF(D4160="","",IFERROR(VLOOKUP(D4160,Projects!$A$2:$A$20000,1,FALSE),""))</f>
        <v/>
      </c>
      <c r="AF4160" s="2" t="str">
        <f>IF(D4160="","",IFERROR(MATCH(D4160,Projects!$A:$A,0),""))</f>
        <v/>
      </c>
    </row>
    <row r="4161" spans="31:32" x14ac:dyDescent="0.25">
      <c r="AE4161" s="39" t="str">
        <f>IF(D4161="","",IFERROR(VLOOKUP(D4161,Projects!$A$2:$A$20000,1,FALSE),""))</f>
        <v/>
      </c>
      <c r="AF4161" s="2" t="str">
        <f>IF(D4161="","",IFERROR(MATCH(D4161,Projects!$A:$A,0),""))</f>
        <v/>
      </c>
    </row>
    <row r="4162" spans="31:32" x14ac:dyDescent="0.25">
      <c r="AE4162" s="39" t="str">
        <f>IF(D4162="","",IFERROR(VLOOKUP(D4162,Projects!$A$2:$A$20000,1,FALSE),""))</f>
        <v/>
      </c>
      <c r="AF4162" s="2" t="str">
        <f>IF(D4162="","",IFERROR(MATCH(D4162,Projects!$A:$A,0),""))</f>
        <v/>
      </c>
    </row>
    <row r="4163" spans="31:32" x14ac:dyDescent="0.25">
      <c r="AE4163" s="39" t="str">
        <f>IF(D4163="","",IFERROR(VLOOKUP(D4163,Projects!$A$2:$A$20000,1,FALSE),""))</f>
        <v/>
      </c>
      <c r="AF4163" s="2" t="str">
        <f>IF(D4163="","",IFERROR(MATCH(D4163,Projects!$A:$A,0),""))</f>
        <v/>
      </c>
    </row>
    <row r="4164" spans="31:32" x14ac:dyDescent="0.25">
      <c r="AE4164" s="39" t="str">
        <f>IF(D4164="","",IFERROR(VLOOKUP(D4164,Projects!$A$2:$A$20000,1,FALSE),""))</f>
        <v/>
      </c>
      <c r="AF4164" s="2" t="str">
        <f>IF(D4164="","",IFERROR(MATCH(D4164,Projects!$A:$A,0),""))</f>
        <v/>
      </c>
    </row>
    <row r="4165" spans="31:32" x14ac:dyDescent="0.25">
      <c r="AE4165" s="39" t="str">
        <f>IF(D4165="","",IFERROR(VLOOKUP(D4165,Projects!$A$2:$A$20000,1,FALSE),""))</f>
        <v/>
      </c>
      <c r="AF4165" s="2" t="str">
        <f>IF(D4165="","",IFERROR(MATCH(D4165,Projects!$A:$A,0),""))</f>
        <v/>
      </c>
    </row>
    <row r="4166" spans="31:32" x14ac:dyDescent="0.25">
      <c r="AE4166" s="39" t="str">
        <f>IF(D4166="","",IFERROR(VLOOKUP(D4166,Projects!$A$2:$A$20000,1,FALSE),""))</f>
        <v/>
      </c>
      <c r="AF4166" s="2" t="str">
        <f>IF(D4166="","",IFERROR(MATCH(D4166,Projects!$A:$A,0),""))</f>
        <v/>
      </c>
    </row>
    <row r="4167" spans="31:32" x14ac:dyDescent="0.25">
      <c r="AE4167" s="39" t="str">
        <f>IF(D4167="","",IFERROR(VLOOKUP(D4167,Projects!$A$2:$A$20000,1,FALSE),""))</f>
        <v/>
      </c>
      <c r="AF4167" s="2" t="str">
        <f>IF(D4167="","",IFERROR(MATCH(D4167,Projects!$A:$A,0),""))</f>
        <v/>
      </c>
    </row>
    <row r="4168" spans="31:32" x14ac:dyDescent="0.25">
      <c r="AE4168" s="39" t="str">
        <f>IF(D4168="","",IFERROR(VLOOKUP(D4168,Projects!$A$2:$A$20000,1,FALSE),""))</f>
        <v/>
      </c>
      <c r="AF4168" s="2" t="str">
        <f>IF(D4168="","",IFERROR(MATCH(D4168,Projects!$A:$A,0),""))</f>
        <v/>
      </c>
    </row>
    <row r="4169" spans="31:32" x14ac:dyDescent="0.25">
      <c r="AE4169" s="39" t="str">
        <f>IF(D4169="","",IFERROR(VLOOKUP(D4169,Projects!$A$2:$A$20000,1,FALSE),""))</f>
        <v/>
      </c>
      <c r="AF4169" s="2" t="str">
        <f>IF(D4169="","",IFERROR(MATCH(D4169,Projects!$A:$A,0),""))</f>
        <v/>
      </c>
    </row>
    <row r="4170" spans="31:32" x14ac:dyDescent="0.25">
      <c r="AE4170" s="39" t="str">
        <f>IF(D4170="","",IFERROR(VLOOKUP(D4170,Projects!$A$2:$A$20000,1,FALSE),""))</f>
        <v/>
      </c>
      <c r="AF4170" s="2" t="str">
        <f>IF(D4170="","",IFERROR(MATCH(D4170,Projects!$A:$A,0),""))</f>
        <v/>
      </c>
    </row>
    <row r="4171" spans="31:32" x14ac:dyDescent="0.25">
      <c r="AE4171" s="39" t="str">
        <f>IF(D4171="","",IFERROR(VLOOKUP(D4171,Projects!$A$2:$A$20000,1,FALSE),""))</f>
        <v/>
      </c>
      <c r="AF4171" s="2" t="str">
        <f>IF(D4171="","",IFERROR(MATCH(D4171,Projects!$A:$A,0),""))</f>
        <v/>
      </c>
    </row>
    <row r="4172" spans="31:32" x14ac:dyDescent="0.25">
      <c r="AE4172" s="39" t="str">
        <f>IF(D4172="","",IFERROR(VLOOKUP(D4172,Projects!$A$2:$A$20000,1,FALSE),""))</f>
        <v/>
      </c>
      <c r="AF4172" s="2" t="str">
        <f>IF(D4172="","",IFERROR(MATCH(D4172,Projects!$A:$A,0),""))</f>
        <v/>
      </c>
    </row>
    <row r="4173" spans="31:32" x14ac:dyDescent="0.25">
      <c r="AE4173" s="39" t="str">
        <f>IF(D4173="","",IFERROR(VLOOKUP(D4173,Projects!$A$2:$A$20000,1,FALSE),""))</f>
        <v/>
      </c>
      <c r="AF4173" s="2" t="str">
        <f>IF(D4173="","",IFERROR(MATCH(D4173,Projects!$A:$A,0),""))</f>
        <v/>
      </c>
    </row>
    <row r="4174" spans="31:32" x14ac:dyDescent="0.25">
      <c r="AE4174" s="39" t="str">
        <f>IF(D4174="","",IFERROR(VLOOKUP(D4174,Projects!$A$2:$A$20000,1,FALSE),""))</f>
        <v/>
      </c>
      <c r="AF4174" s="2" t="str">
        <f>IF(D4174="","",IFERROR(MATCH(D4174,Projects!$A:$A,0),""))</f>
        <v/>
      </c>
    </row>
    <row r="4175" spans="31:32" x14ac:dyDescent="0.25">
      <c r="AE4175" s="39" t="str">
        <f>IF(D4175="","",IFERROR(VLOOKUP(D4175,Projects!$A$2:$A$20000,1,FALSE),""))</f>
        <v/>
      </c>
      <c r="AF4175" s="2" t="str">
        <f>IF(D4175="","",IFERROR(MATCH(D4175,Projects!$A:$A,0),""))</f>
        <v/>
      </c>
    </row>
    <row r="4176" spans="31:32" x14ac:dyDescent="0.25">
      <c r="AE4176" s="39" t="str">
        <f>IF(D4176="","",IFERROR(VLOOKUP(D4176,Projects!$A$2:$A$20000,1,FALSE),""))</f>
        <v/>
      </c>
      <c r="AF4176" s="2" t="str">
        <f>IF(D4176="","",IFERROR(MATCH(D4176,Projects!$A:$A,0),""))</f>
        <v/>
      </c>
    </row>
    <row r="4177" spans="31:32" x14ac:dyDescent="0.25">
      <c r="AE4177" s="39" t="str">
        <f>IF(D4177="","",IFERROR(VLOOKUP(D4177,Projects!$A$2:$A$20000,1,FALSE),""))</f>
        <v/>
      </c>
      <c r="AF4177" s="2" t="str">
        <f>IF(D4177="","",IFERROR(MATCH(D4177,Projects!$A:$A,0),""))</f>
        <v/>
      </c>
    </row>
    <row r="4178" spans="31:32" x14ac:dyDescent="0.25">
      <c r="AE4178" s="39" t="str">
        <f>IF(D4178="","",IFERROR(VLOOKUP(D4178,Projects!$A$2:$A$20000,1,FALSE),""))</f>
        <v/>
      </c>
      <c r="AF4178" s="2" t="str">
        <f>IF(D4178="","",IFERROR(MATCH(D4178,Projects!$A:$A,0),""))</f>
        <v/>
      </c>
    </row>
    <row r="4179" spans="31:32" x14ac:dyDescent="0.25">
      <c r="AE4179" s="39" t="str">
        <f>IF(D4179="","",IFERROR(VLOOKUP(D4179,Projects!$A$2:$A$20000,1,FALSE),""))</f>
        <v/>
      </c>
      <c r="AF4179" s="2" t="str">
        <f>IF(D4179="","",IFERROR(MATCH(D4179,Projects!$A:$A,0),""))</f>
        <v/>
      </c>
    </row>
    <row r="4180" spans="31:32" x14ac:dyDescent="0.25">
      <c r="AE4180" s="39" t="str">
        <f>IF(D4180="","",IFERROR(VLOOKUP(D4180,Projects!$A$2:$A$20000,1,FALSE),""))</f>
        <v/>
      </c>
      <c r="AF4180" s="2" t="str">
        <f>IF(D4180="","",IFERROR(MATCH(D4180,Projects!$A:$A,0),""))</f>
        <v/>
      </c>
    </row>
    <row r="4181" spans="31:32" x14ac:dyDescent="0.25">
      <c r="AE4181" s="39" t="str">
        <f>IF(D4181="","",IFERROR(VLOOKUP(D4181,Projects!$A$2:$A$20000,1,FALSE),""))</f>
        <v/>
      </c>
      <c r="AF4181" s="2" t="str">
        <f>IF(D4181="","",IFERROR(MATCH(D4181,Projects!$A:$A,0),""))</f>
        <v/>
      </c>
    </row>
    <row r="4182" spans="31:32" x14ac:dyDescent="0.25">
      <c r="AE4182" s="39" t="str">
        <f>IF(D4182="","",IFERROR(VLOOKUP(D4182,Projects!$A$2:$A$20000,1,FALSE),""))</f>
        <v/>
      </c>
      <c r="AF4182" s="2" t="str">
        <f>IF(D4182="","",IFERROR(MATCH(D4182,Projects!$A:$A,0),""))</f>
        <v/>
      </c>
    </row>
    <row r="4183" spans="31:32" x14ac:dyDescent="0.25">
      <c r="AE4183" s="39" t="str">
        <f>IF(D4183="","",IFERROR(VLOOKUP(D4183,Projects!$A$2:$A$20000,1,FALSE),""))</f>
        <v/>
      </c>
      <c r="AF4183" s="2" t="str">
        <f>IF(D4183="","",IFERROR(MATCH(D4183,Projects!$A:$A,0),""))</f>
        <v/>
      </c>
    </row>
    <row r="4184" spans="31:32" x14ac:dyDescent="0.25">
      <c r="AE4184" s="39" t="str">
        <f>IF(D4184="","",IFERROR(VLOOKUP(D4184,Projects!$A$2:$A$20000,1,FALSE),""))</f>
        <v/>
      </c>
      <c r="AF4184" s="2" t="str">
        <f>IF(D4184="","",IFERROR(MATCH(D4184,Projects!$A:$A,0),""))</f>
        <v/>
      </c>
    </row>
    <row r="4185" spans="31:32" x14ac:dyDescent="0.25">
      <c r="AE4185" s="39" t="str">
        <f>IF(D4185="","",IFERROR(VLOOKUP(D4185,Projects!$A$2:$A$20000,1,FALSE),""))</f>
        <v/>
      </c>
      <c r="AF4185" s="2" t="str">
        <f>IF(D4185="","",IFERROR(MATCH(D4185,Projects!$A:$A,0),""))</f>
        <v/>
      </c>
    </row>
    <row r="4186" spans="31:32" x14ac:dyDescent="0.25">
      <c r="AE4186" s="39" t="str">
        <f>IF(D4186="","",IFERROR(VLOOKUP(D4186,Projects!$A$2:$A$20000,1,FALSE),""))</f>
        <v/>
      </c>
      <c r="AF4186" s="2" t="str">
        <f>IF(D4186="","",IFERROR(MATCH(D4186,Projects!$A:$A,0),""))</f>
        <v/>
      </c>
    </row>
    <row r="4187" spans="31:32" x14ac:dyDescent="0.25">
      <c r="AE4187" s="39" t="str">
        <f>IF(D4187="","",IFERROR(VLOOKUP(D4187,Projects!$A$2:$A$20000,1,FALSE),""))</f>
        <v/>
      </c>
      <c r="AF4187" s="2" t="str">
        <f>IF(D4187="","",IFERROR(MATCH(D4187,Projects!$A:$A,0),""))</f>
        <v/>
      </c>
    </row>
    <row r="4188" spans="31:32" x14ac:dyDescent="0.25">
      <c r="AE4188" s="39" t="str">
        <f>IF(D4188="","",IFERROR(VLOOKUP(D4188,Projects!$A$2:$A$20000,1,FALSE),""))</f>
        <v/>
      </c>
      <c r="AF4188" s="2" t="str">
        <f>IF(D4188="","",IFERROR(MATCH(D4188,Projects!$A:$A,0),""))</f>
        <v/>
      </c>
    </row>
    <row r="4189" spans="31:32" x14ac:dyDescent="0.25">
      <c r="AE4189" s="39" t="str">
        <f>IF(D4189="","",IFERROR(VLOOKUP(D4189,Projects!$A$2:$A$20000,1,FALSE),""))</f>
        <v/>
      </c>
      <c r="AF4189" s="2" t="str">
        <f>IF(D4189="","",IFERROR(MATCH(D4189,Projects!$A:$A,0),""))</f>
        <v/>
      </c>
    </row>
    <row r="4190" spans="31:32" x14ac:dyDescent="0.25">
      <c r="AE4190" s="39" t="str">
        <f>IF(D4190="","",IFERROR(VLOOKUP(D4190,Projects!$A$2:$A$20000,1,FALSE),""))</f>
        <v/>
      </c>
      <c r="AF4190" s="2" t="str">
        <f>IF(D4190="","",IFERROR(MATCH(D4190,Projects!$A:$A,0),""))</f>
        <v/>
      </c>
    </row>
    <row r="4191" spans="31:32" x14ac:dyDescent="0.25">
      <c r="AE4191" s="39" t="str">
        <f>IF(D4191="","",IFERROR(VLOOKUP(D4191,Projects!$A$2:$A$20000,1,FALSE),""))</f>
        <v/>
      </c>
      <c r="AF4191" s="2" t="str">
        <f>IF(D4191="","",IFERROR(MATCH(D4191,Projects!$A:$A,0),""))</f>
        <v/>
      </c>
    </row>
    <row r="4192" spans="31:32" x14ac:dyDescent="0.25">
      <c r="AE4192" s="39" t="str">
        <f>IF(D4192="","",IFERROR(VLOOKUP(D4192,Projects!$A$2:$A$20000,1,FALSE),""))</f>
        <v/>
      </c>
      <c r="AF4192" s="2" t="str">
        <f>IF(D4192="","",IFERROR(MATCH(D4192,Projects!$A:$A,0),""))</f>
        <v/>
      </c>
    </row>
    <row r="4193" spans="31:32" x14ac:dyDescent="0.25">
      <c r="AE4193" s="39" t="str">
        <f>IF(D4193="","",IFERROR(VLOOKUP(D4193,Projects!$A$2:$A$20000,1,FALSE),""))</f>
        <v/>
      </c>
      <c r="AF4193" s="2" t="str">
        <f>IF(D4193="","",IFERROR(MATCH(D4193,Projects!$A:$A,0),""))</f>
        <v/>
      </c>
    </row>
    <row r="4194" spans="31:32" x14ac:dyDescent="0.25">
      <c r="AE4194" s="39" t="str">
        <f>IF(D4194="","",IFERROR(VLOOKUP(D4194,Projects!$A$2:$A$20000,1,FALSE),""))</f>
        <v/>
      </c>
      <c r="AF4194" s="2" t="str">
        <f>IF(D4194="","",IFERROR(MATCH(D4194,Projects!$A:$A,0),""))</f>
        <v/>
      </c>
    </row>
    <row r="4195" spans="31:32" x14ac:dyDescent="0.25">
      <c r="AE4195" s="39" t="str">
        <f>IF(D4195="","",IFERROR(VLOOKUP(D4195,Projects!$A$2:$A$20000,1,FALSE),""))</f>
        <v/>
      </c>
      <c r="AF4195" s="2" t="str">
        <f>IF(D4195="","",IFERROR(MATCH(D4195,Projects!$A:$A,0),""))</f>
        <v/>
      </c>
    </row>
    <row r="4196" spans="31:32" x14ac:dyDescent="0.25">
      <c r="AE4196" s="39" t="str">
        <f>IF(D4196="","",IFERROR(VLOOKUP(D4196,Projects!$A$2:$A$20000,1,FALSE),""))</f>
        <v/>
      </c>
      <c r="AF4196" s="2" t="str">
        <f>IF(D4196="","",IFERROR(MATCH(D4196,Projects!$A:$A,0),""))</f>
        <v/>
      </c>
    </row>
    <row r="4197" spans="31:32" x14ac:dyDescent="0.25">
      <c r="AE4197" s="39" t="str">
        <f>IF(D4197="","",IFERROR(VLOOKUP(D4197,Projects!$A$2:$A$20000,1,FALSE),""))</f>
        <v/>
      </c>
      <c r="AF4197" s="2" t="str">
        <f>IF(D4197="","",IFERROR(MATCH(D4197,Projects!$A:$A,0),""))</f>
        <v/>
      </c>
    </row>
    <row r="4198" spans="31:32" x14ac:dyDescent="0.25">
      <c r="AE4198" s="39" t="str">
        <f>IF(D4198="","",IFERROR(VLOOKUP(D4198,Projects!$A$2:$A$20000,1,FALSE),""))</f>
        <v/>
      </c>
      <c r="AF4198" s="2" t="str">
        <f>IF(D4198="","",IFERROR(MATCH(D4198,Projects!$A:$A,0),""))</f>
        <v/>
      </c>
    </row>
    <row r="4199" spans="31:32" x14ac:dyDescent="0.25">
      <c r="AE4199" s="39" t="str">
        <f>IF(D4199="","",IFERROR(VLOOKUP(D4199,Projects!$A$2:$A$20000,1,FALSE),""))</f>
        <v/>
      </c>
      <c r="AF4199" s="2" t="str">
        <f>IF(D4199="","",IFERROR(MATCH(D4199,Projects!$A:$A,0),""))</f>
        <v/>
      </c>
    </row>
    <row r="4200" spans="31:32" x14ac:dyDescent="0.25">
      <c r="AE4200" s="39" t="str">
        <f>IF(D4200="","",IFERROR(VLOOKUP(D4200,Projects!$A$2:$A$20000,1,FALSE),""))</f>
        <v/>
      </c>
      <c r="AF4200" s="2" t="str">
        <f>IF(D4200="","",IFERROR(MATCH(D4200,Projects!$A:$A,0),""))</f>
        <v/>
      </c>
    </row>
    <row r="4201" spans="31:32" x14ac:dyDescent="0.25">
      <c r="AE4201" s="39" t="str">
        <f>IF(D4201="","",IFERROR(VLOOKUP(D4201,Projects!$A$2:$A$20000,1,FALSE),""))</f>
        <v/>
      </c>
      <c r="AF4201" s="2" t="str">
        <f>IF(D4201="","",IFERROR(MATCH(D4201,Projects!$A:$A,0),""))</f>
        <v/>
      </c>
    </row>
    <row r="4202" spans="31:32" x14ac:dyDescent="0.25">
      <c r="AE4202" s="39" t="str">
        <f>IF(D4202="","",IFERROR(VLOOKUP(D4202,Projects!$A$2:$A$20000,1,FALSE),""))</f>
        <v/>
      </c>
      <c r="AF4202" s="2" t="str">
        <f>IF(D4202="","",IFERROR(MATCH(D4202,Projects!$A:$A,0),""))</f>
        <v/>
      </c>
    </row>
    <row r="4203" spans="31:32" x14ac:dyDescent="0.25">
      <c r="AE4203" s="39" t="str">
        <f>IF(D4203="","",IFERROR(VLOOKUP(D4203,Projects!$A$2:$A$20000,1,FALSE),""))</f>
        <v/>
      </c>
      <c r="AF4203" s="2" t="str">
        <f>IF(D4203="","",IFERROR(MATCH(D4203,Projects!$A:$A,0),""))</f>
        <v/>
      </c>
    </row>
    <row r="4204" spans="31:32" x14ac:dyDescent="0.25">
      <c r="AE4204" s="39" t="str">
        <f>IF(D4204="","",IFERROR(VLOOKUP(D4204,Projects!$A$2:$A$20000,1,FALSE),""))</f>
        <v/>
      </c>
      <c r="AF4204" s="2" t="str">
        <f>IF(D4204="","",IFERROR(MATCH(D4204,Projects!$A:$A,0),""))</f>
        <v/>
      </c>
    </row>
    <row r="4205" spans="31:32" x14ac:dyDescent="0.25">
      <c r="AE4205" s="39" t="str">
        <f>IF(D4205="","",IFERROR(VLOOKUP(D4205,Projects!$A$2:$A$20000,1,FALSE),""))</f>
        <v/>
      </c>
      <c r="AF4205" s="2" t="str">
        <f>IF(D4205="","",IFERROR(MATCH(D4205,Projects!$A:$A,0),""))</f>
        <v/>
      </c>
    </row>
    <row r="4206" spans="31:32" x14ac:dyDescent="0.25">
      <c r="AE4206" s="39" t="str">
        <f>IF(D4206="","",IFERROR(VLOOKUP(D4206,Projects!$A$2:$A$20000,1,FALSE),""))</f>
        <v/>
      </c>
      <c r="AF4206" s="2" t="str">
        <f>IF(D4206="","",IFERROR(MATCH(D4206,Projects!$A:$A,0),""))</f>
        <v/>
      </c>
    </row>
    <row r="4207" spans="31:32" x14ac:dyDescent="0.25">
      <c r="AE4207" s="39" t="str">
        <f>IF(D4207="","",IFERROR(VLOOKUP(D4207,Projects!$A$2:$A$20000,1,FALSE),""))</f>
        <v/>
      </c>
      <c r="AF4207" s="2" t="str">
        <f>IF(D4207="","",IFERROR(MATCH(D4207,Projects!$A:$A,0),""))</f>
        <v/>
      </c>
    </row>
    <row r="4208" spans="31:32" x14ac:dyDescent="0.25">
      <c r="AE4208" s="39" t="str">
        <f>IF(D4208="","",IFERROR(VLOOKUP(D4208,Projects!$A$2:$A$20000,1,FALSE),""))</f>
        <v/>
      </c>
      <c r="AF4208" s="2" t="str">
        <f>IF(D4208="","",IFERROR(MATCH(D4208,Projects!$A:$A,0),""))</f>
        <v/>
      </c>
    </row>
    <row r="4209" spans="31:32" x14ac:dyDescent="0.25">
      <c r="AE4209" s="39" t="str">
        <f>IF(D4209="","",IFERROR(VLOOKUP(D4209,Projects!$A$2:$A$20000,1,FALSE),""))</f>
        <v/>
      </c>
      <c r="AF4209" s="2" t="str">
        <f>IF(D4209="","",IFERROR(MATCH(D4209,Projects!$A:$A,0),""))</f>
        <v/>
      </c>
    </row>
    <row r="4210" spans="31:32" x14ac:dyDescent="0.25">
      <c r="AE4210" s="39" t="str">
        <f>IF(D4210="","",IFERROR(VLOOKUP(D4210,Projects!$A$2:$A$20000,1,FALSE),""))</f>
        <v/>
      </c>
      <c r="AF4210" s="2" t="str">
        <f>IF(D4210="","",IFERROR(MATCH(D4210,Projects!$A:$A,0),""))</f>
        <v/>
      </c>
    </row>
    <row r="4211" spans="31:32" x14ac:dyDescent="0.25">
      <c r="AE4211" s="39" t="str">
        <f>IF(D4211="","",IFERROR(VLOOKUP(D4211,Projects!$A$2:$A$20000,1,FALSE),""))</f>
        <v/>
      </c>
      <c r="AF4211" s="2" t="str">
        <f>IF(D4211="","",IFERROR(MATCH(D4211,Projects!$A:$A,0),""))</f>
        <v/>
      </c>
    </row>
    <row r="4212" spans="31:32" x14ac:dyDescent="0.25">
      <c r="AE4212" s="39" t="str">
        <f>IF(D4212="","",IFERROR(VLOOKUP(D4212,Projects!$A$2:$A$20000,1,FALSE),""))</f>
        <v/>
      </c>
      <c r="AF4212" s="2" t="str">
        <f>IF(D4212="","",IFERROR(MATCH(D4212,Projects!$A:$A,0),""))</f>
        <v/>
      </c>
    </row>
    <row r="4213" spans="31:32" x14ac:dyDescent="0.25">
      <c r="AE4213" s="39" t="str">
        <f>IF(D4213="","",IFERROR(VLOOKUP(D4213,Projects!$A$2:$A$20000,1,FALSE),""))</f>
        <v/>
      </c>
      <c r="AF4213" s="2" t="str">
        <f>IF(D4213="","",IFERROR(MATCH(D4213,Projects!$A:$A,0),""))</f>
        <v/>
      </c>
    </row>
    <row r="4214" spans="31:32" x14ac:dyDescent="0.25">
      <c r="AE4214" s="39" t="str">
        <f>IF(D4214="","",IFERROR(VLOOKUP(D4214,Projects!$A$2:$A$20000,1,FALSE),""))</f>
        <v/>
      </c>
      <c r="AF4214" s="2" t="str">
        <f>IF(D4214="","",IFERROR(MATCH(D4214,Projects!$A:$A,0),""))</f>
        <v/>
      </c>
    </row>
    <row r="4215" spans="31:32" x14ac:dyDescent="0.25">
      <c r="AE4215" s="39" t="str">
        <f>IF(D4215="","",IFERROR(VLOOKUP(D4215,Projects!$A$2:$A$20000,1,FALSE),""))</f>
        <v/>
      </c>
      <c r="AF4215" s="2" t="str">
        <f>IF(D4215="","",IFERROR(MATCH(D4215,Projects!$A:$A,0),""))</f>
        <v/>
      </c>
    </row>
    <row r="4216" spans="31:32" x14ac:dyDescent="0.25">
      <c r="AE4216" s="39" t="str">
        <f>IF(D4216="","",IFERROR(VLOOKUP(D4216,Projects!$A$2:$A$20000,1,FALSE),""))</f>
        <v/>
      </c>
      <c r="AF4216" s="2" t="str">
        <f>IF(D4216="","",IFERROR(MATCH(D4216,Projects!$A:$A,0),""))</f>
        <v/>
      </c>
    </row>
    <row r="4217" spans="31:32" x14ac:dyDescent="0.25">
      <c r="AE4217" s="39" t="str">
        <f>IF(D4217="","",IFERROR(VLOOKUP(D4217,Projects!$A$2:$A$20000,1,FALSE),""))</f>
        <v/>
      </c>
      <c r="AF4217" s="2" t="str">
        <f>IF(D4217="","",IFERROR(MATCH(D4217,Projects!$A:$A,0),""))</f>
        <v/>
      </c>
    </row>
    <row r="4218" spans="31:32" x14ac:dyDescent="0.25">
      <c r="AE4218" s="39" t="str">
        <f>IF(D4218="","",IFERROR(VLOOKUP(D4218,Projects!$A$2:$A$20000,1,FALSE),""))</f>
        <v/>
      </c>
      <c r="AF4218" s="2" t="str">
        <f>IF(D4218="","",IFERROR(MATCH(D4218,Projects!$A:$A,0),""))</f>
        <v/>
      </c>
    </row>
    <row r="4219" spans="31:32" x14ac:dyDescent="0.25">
      <c r="AE4219" s="39" t="str">
        <f>IF(D4219="","",IFERROR(VLOOKUP(D4219,Projects!$A$2:$A$20000,1,FALSE),""))</f>
        <v/>
      </c>
      <c r="AF4219" s="2" t="str">
        <f>IF(D4219="","",IFERROR(MATCH(D4219,Projects!$A:$A,0),""))</f>
        <v/>
      </c>
    </row>
    <row r="4220" spans="31:32" x14ac:dyDescent="0.25">
      <c r="AE4220" s="39" t="str">
        <f>IF(D4220="","",IFERROR(VLOOKUP(D4220,Projects!$A$2:$A$20000,1,FALSE),""))</f>
        <v/>
      </c>
      <c r="AF4220" s="2" t="str">
        <f>IF(D4220="","",IFERROR(MATCH(D4220,Projects!$A:$A,0),""))</f>
        <v/>
      </c>
    </row>
    <row r="4221" spans="31:32" x14ac:dyDescent="0.25">
      <c r="AE4221" s="39" t="str">
        <f>IF(D4221="","",IFERROR(VLOOKUP(D4221,Projects!$A$2:$A$20000,1,FALSE),""))</f>
        <v/>
      </c>
      <c r="AF4221" s="2" t="str">
        <f>IF(D4221="","",IFERROR(MATCH(D4221,Projects!$A:$A,0),""))</f>
        <v/>
      </c>
    </row>
    <row r="4222" spans="31:32" x14ac:dyDescent="0.25">
      <c r="AE4222" s="39" t="str">
        <f>IF(D4222="","",IFERROR(VLOOKUP(D4222,Projects!$A$2:$A$20000,1,FALSE),""))</f>
        <v/>
      </c>
      <c r="AF4222" s="2" t="str">
        <f>IF(D4222="","",IFERROR(MATCH(D4222,Projects!$A:$A,0),""))</f>
        <v/>
      </c>
    </row>
    <row r="4223" spans="31:32" x14ac:dyDescent="0.25">
      <c r="AE4223" s="39" t="str">
        <f>IF(D4223="","",IFERROR(VLOOKUP(D4223,Projects!$A$2:$A$20000,1,FALSE),""))</f>
        <v/>
      </c>
      <c r="AF4223" s="2" t="str">
        <f>IF(D4223="","",IFERROR(MATCH(D4223,Projects!$A:$A,0),""))</f>
        <v/>
      </c>
    </row>
    <row r="4224" spans="31:32" x14ac:dyDescent="0.25">
      <c r="AE4224" s="39" t="str">
        <f>IF(D4224="","",IFERROR(VLOOKUP(D4224,Projects!$A$2:$A$20000,1,FALSE),""))</f>
        <v/>
      </c>
      <c r="AF4224" s="2" t="str">
        <f>IF(D4224="","",IFERROR(MATCH(D4224,Projects!$A:$A,0),""))</f>
        <v/>
      </c>
    </row>
    <row r="4225" spans="31:32" x14ac:dyDescent="0.25">
      <c r="AE4225" s="39" t="str">
        <f>IF(D4225="","",IFERROR(VLOOKUP(D4225,Projects!$A$2:$A$20000,1,FALSE),""))</f>
        <v/>
      </c>
      <c r="AF4225" s="2" t="str">
        <f>IF(D4225="","",IFERROR(MATCH(D4225,Projects!$A:$A,0),""))</f>
        <v/>
      </c>
    </row>
    <row r="4226" spans="31:32" x14ac:dyDescent="0.25">
      <c r="AE4226" s="39" t="str">
        <f>IF(D4226="","",IFERROR(VLOOKUP(D4226,Projects!$A$2:$A$20000,1,FALSE),""))</f>
        <v/>
      </c>
      <c r="AF4226" s="2" t="str">
        <f>IF(D4226="","",IFERROR(MATCH(D4226,Projects!$A:$A,0),""))</f>
        <v/>
      </c>
    </row>
    <row r="4227" spans="31:32" x14ac:dyDescent="0.25">
      <c r="AE4227" s="39" t="str">
        <f>IF(D4227="","",IFERROR(VLOOKUP(D4227,Projects!$A$2:$A$20000,1,FALSE),""))</f>
        <v/>
      </c>
      <c r="AF4227" s="2" t="str">
        <f>IF(D4227="","",IFERROR(MATCH(D4227,Projects!$A:$A,0),""))</f>
        <v/>
      </c>
    </row>
    <row r="4228" spans="31:32" x14ac:dyDescent="0.25">
      <c r="AE4228" s="39" t="str">
        <f>IF(D4228="","",IFERROR(VLOOKUP(D4228,Projects!$A$2:$A$20000,1,FALSE),""))</f>
        <v/>
      </c>
      <c r="AF4228" s="2" t="str">
        <f>IF(D4228="","",IFERROR(MATCH(D4228,Projects!$A:$A,0),""))</f>
        <v/>
      </c>
    </row>
    <row r="4229" spans="31:32" x14ac:dyDescent="0.25">
      <c r="AE4229" s="39" t="str">
        <f>IF(D4229="","",IFERROR(VLOOKUP(D4229,Projects!$A$2:$A$20000,1,FALSE),""))</f>
        <v/>
      </c>
      <c r="AF4229" s="2" t="str">
        <f>IF(D4229="","",IFERROR(MATCH(D4229,Projects!$A:$A,0),""))</f>
        <v/>
      </c>
    </row>
    <row r="4230" spans="31:32" x14ac:dyDescent="0.25">
      <c r="AE4230" s="39" t="str">
        <f>IF(D4230="","",IFERROR(VLOOKUP(D4230,Projects!$A$2:$A$20000,1,FALSE),""))</f>
        <v/>
      </c>
      <c r="AF4230" s="2" t="str">
        <f>IF(D4230="","",IFERROR(MATCH(D4230,Projects!$A:$A,0),""))</f>
        <v/>
      </c>
    </row>
    <row r="4231" spans="31:32" x14ac:dyDescent="0.25">
      <c r="AE4231" s="39" t="str">
        <f>IF(D4231="","",IFERROR(VLOOKUP(D4231,Projects!$A$2:$A$20000,1,FALSE),""))</f>
        <v/>
      </c>
      <c r="AF4231" s="2" t="str">
        <f>IF(D4231="","",IFERROR(MATCH(D4231,Projects!$A:$A,0),""))</f>
        <v/>
      </c>
    </row>
    <row r="4232" spans="31:32" x14ac:dyDescent="0.25">
      <c r="AE4232" s="39" t="str">
        <f>IF(D4232="","",IFERROR(VLOOKUP(D4232,Projects!$A$2:$A$20000,1,FALSE),""))</f>
        <v/>
      </c>
      <c r="AF4232" s="2" t="str">
        <f>IF(D4232="","",IFERROR(MATCH(D4232,Projects!$A:$A,0),""))</f>
        <v/>
      </c>
    </row>
    <row r="4233" spans="31:32" x14ac:dyDescent="0.25">
      <c r="AE4233" s="39" t="str">
        <f>IF(D4233="","",IFERROR(VLOOKUP(D4233,Projects!$A$2:$A$20000,1,FALSE),""))</f>
        <v/>
      </c>
      <c r="AF4233" s="2" t="str">
        <f>IF(D4233="","",IFERROR(MATCH(D4233,Projects!$A:$A,0),""))</f>
        <v/>
      </c>
    </row>
    <row r="4234" spans="31:32" x14ac:dyDescent="0.25">
      <c r="AE4234" s="39" t="str">
        <f>IF(D4234="","",IFERROR(VLOOKUP(D4234,Projects!$A$2:$A$20000,1,FALSE),""))</f>
        <v/>
      </c>
      <c r="AF4234" s="2" t="str">
        <f>IF(D4234="","",IFERROR(MATCH(D4234,Projects!$A:$A,0),""))</f>
        <v/>
      </c>
    </row>
    <row r="4235" spans="31:32" x14ac:dyDescent="0.25">
      <c r="AE4235" s="39" t="str">
        <f>IF(D4235="","",IFERROR(VLOOKUP(D4235,Projects!$A$2:$A$20000,1,FALSE),""))</f>
        <v/>
      </c>
      <c r="AF4235" s="2" t="str">
        <f>IF(D4235="","",IFERROR(MATCH(D4235,Projects!$A:$A,0),""))</f>
        <v/>
      </c>
    </row>
    <row r="4236" spans="31:32" x14ac:dyDescent="0.25">
      <c r="AE4236" s="39" t="str">
        <f>IF(D4236="","",IFERROR(VLOOKUP(D4236,Projects!$A$2:$A$20000,1,FALSE),""))</f>
        <v/>
      </c>
      <c r="AF4236" s="2" t="str">
        <f>IF(D4236="","",IFERROR(MATCH(D4236,Projects!$A:$A,0),""))</f>
        <v/>
      </c>
    </row>
    <row r="4237" spans="31:32" x14ac:dyDescent="0.25">
      <c r="AE4237" s="39" t="str">
        <f>IF(D4237="","",IFERROR(VLOOKUP(D4237,Projects!$A$2:$A$20000,1,FALSE),""))</f>
        <v/>
      </c>
      <c r="AF4237" s="2" t="str">
        <f>IF(D4237="","",IFERROR(MATCH(D4237,Projects!$A:$A,0),""))</f>
        <v/>
      </c>
    </row>
    <row r="4238" spans="31:32" x14ac:dyDescent="0.25">
      <c r="AE4238" s="39" t="str">
        <f>IF(D4238="","",IFERROR(VLOOKUP(D4238,Projects!$A$2:$A$20000,1,FALSE),""))</f>
        <v/>
      </c>
      <c r="AF4238" s="2" t="str">
        <f>IF(D4238="","",IFERROR(MATCH(D4238,Projects!$A:$A,0),""))</f>
        <v/>
      </c>
    </row>
    <row r="4239" spans="31:32" x14ac:dyDescent="0.25">
      <c r="AE4239" s="39" t="str">
        <f>IF(D4239="","",IFERROR(VLOOKUP(D4239,Projects!$A$2:$A$20000,1,FALSE),""))</f>
        <v/>
      </c>
      <c r="AF4239" s="2" t="str">
        <f>IF(D4239="","",IFERROR(MATCH(D4239,Projects!$A:$A,0),""))</f>
        <v/>
      </c>
    </row>
    <row r="4240" spans="31:32" x14ac:dyDescent="0.25">
      <c r="AE4240" s="39" t="str">
        <f>IF(D4240="","",IFERROR(VLOOKUP(D4240,Projects!$A$2:$A$20000,1,FALSE),""))</f>
        <v/>
      </c>
      <c r="AF4240" s="2" t="str">
        <f>IF(D4240="","",IFERROR(MATCH(D4240,Projects!$A:$A,0),""))</f>
        <v/>
      </c>
    </row>
    <row r="4241" spans="31:32" x14ac:dyDescent="0.25">
      <c r="AE4241" s="39" t="str">
        <f>IF(D4241="","",IFERROR(VLOOKUP(D4241,Projects!$A$2:$A$20000,1,FALSE),""))</f>
        <v/>
      </c>
      <c r="AF4241" s="2" t="str">
        <f>IF(D4241="","",IFERROR(MATCH(D4241,Projects!$A:$A,0),""))</f>
        <v/>
      </c>
    </row>
    <row r="4242" spans="31:32" x14ac:dyDescent="0.25">
      <c r="AE4242" s="39" t="str">
        <f>IF(D4242="","",IFERROR(VLOOKUP(D4242,Projects!$A$2:$A$20000,1,FALSE),""))</f>
        <v/>
      </c>
      <c r="AF4242" s="2" t="str">
        <f>IF(D4242="","",IFERROR(MATCH(D4242,Projects!$A:$A,0),""))</f>
        <v/>
      </c>
    </row>
    <row r="4243" spans="31:32" x14ac:dyDescent="0.25">
      <c r="AE4243" s="39" t="str">
        <f>IF(D4243="","",IFERROR(VLOOKUP(D4243,Projects!$A$2:$A$20000,1,FALSE),""))</f>
        <v/>
      </c>
      <c r="AF4243" s="2" t="str">
        <f>IF(D4243="","",IFERROR(MATCH(D4243,Projects!$A:$A,0),""))</f>
        <v/>
      </c>
    </row>
    <row r="4244" spans="31:32" x14ac:dyDescent="0.25">
      <c r="AE4244" s="39" t="str">
        <f>IF(D4244="","",IFERROR(VLOOKUP(D4244,Projects!$A$2:$A$20000,1,FALSE),""))</f>
        <v/>
      </c>
      <c r="AF4244" s="2" t="str">
        <f>IF(D4244="","",IFERROR(MATCH(D4244,Projects!$A:$A,0),""))</f>
        <v/>
      </c>
    </row>
    <row r="4245" spans="31:32" x14ac:dyDescent="0.25">
      <c r="AE4245" s="39" t="str">
        <f>IF(D4245="","",IFERROR(VLOOKUP(D4245,Projects!$A$2:$A$20000,1,FALSE),""))</f>
        <v/>
      </c>
      <c r="AF4245" s="2" t="str">
        <f>IF(D4245="","",IFERROR(MATCH(D4245,Projects!$A:$A,0),""))</f>
        <v/>
      </c>
    </row>
    <row r="4246" spans="31:32" x14ac:dyDescent="0.25">
      <c r="AE4246" s="39" t="str">
        <f>IF(D4246="","",IFERROR(VLOOKUP(D4246,Projects!$A$2:$A$20000,1,FALSE),""))</f>
        <v/>
      </c>
      <c r="AF4246" s="2" t="str">
        <f>IF(D4246="","",IFERROR(MATCH(D4246,Projects!$A:$A,0),""))</f>
        <v/>
      </c>
    </row>
    <row r="4247" spans="31:32" x14ac:dyDescent="0.25">
      <c r="AE4247" s="39" t="str">
        <f>IF(D4247="","",IFERROR(VLOOKUP(D4247,Projects!$A$2:$A$20000,1,FALSE),""))</f>
        <v/>
      </c>
      <c r="AF4247" s="2" t="str">
        <f>IF(D4247="","",IFERROR(MATCH(D4247,Projects!$A:$A,0),""))</f>
        <v/>
      </c>
    </row>
    <row r="4248" spans="31:32" x14ac:dyDescent="0.25">
      <c r="AE4248" s="39" t="str">
        <f>IF(D4248="","",IFERROR(VLOOKUP(D4248,Projects!$A$2:$A$20000,1,FALSE),""))</f>
        <v/>
      </c>
      <c r="AF4248" s="2" t="str">
        <f>IF(D4248="","",IFERROR(MATCH(D4248,Projects!$A:$A,0),""))</f>
        <v/>
      </c>
    </row>
    <row r="4249" spans="31:32" x14ac:dyDescent="0.25">
      <c r="AE4249" s="39" t="str">
        <f>IF(D4249="","",IFERROR(VLOOKUP(D4249,Projects!$A$2:$A$20000,1,FALSE),""))</f>
        <v/>
      </c>
      <c r="AF4249" s="2" t="str">
        <f>IF(D4249="","",IFERROR(MATCH(D4249,Projects!$A:$A,0),""))</f>
        <v/>
      </c>
    </row>
    <row r="4250" spans="31:32" x14ac:dyDescent="0.25">
      <c r="AE4250" s="39" t="str">
        <f>IF(D4250="","",IFERROR(VLOOKUP(D4250,Projects!$A$2:$A$20000,1,FALSE),""))</f>
        <v/>
      </c>
      <c r="AF4250" s="2" t="str">
        <f>IF(D4250="","",IFERROR(MATCH(D4250,Projects!$A:$A,0),""))</f>
        <v/>
      </c>
    </row>
    <row r="4251" spans="31:32" x14ac:dyDescent="0.25">
      <c r="AE4251" s="39" t="str">
        <f>IF(D4251="","",IFERROR(VLOOKUP(D4251,Projects!$A$2:$A$20000,1,FALSE),""))</f>
        <v/>
      </c>
      <c r="AF4251" s="2" t="str">
        <f>IF(D4251="","",IFERROR(MATCH(D4251,Projects!$A:$A,0),""))</f>
        <v/>
      </c>
    </row>
    <row r="4252" spans="31:32" x14ac:dyDescent="0.25">
      <c r="AE4252" s="39" t="str">
        <f>IF(D4252="","",IFERROR(VLOOKUP(D4252,Projects!$A$2:$A$20000,1,FALSE),""))</f>
        <v/>
      </c>
      <c r="AF4252" s="2" t="str">
        <f>IF(D4252="","",IFERROR(MATCH(D4252,Projects!$A:$A,0),""))</f>
        <v/>
      </c>
    </row>
    <row r="4253" spans="31:32" x14ac:dyDescent="0.25">
      <c r="AE4253" s="39" t="str">
        <f>IF(D4253="","",IFERROR(VLOOKUP(D4253,Projects!$A$2:$A$20000,1,FALSE),""))</f>
        <v/>
      </c>
      <c r="AF4253" s="2" t="str">
        <f>IF(D4253="","",IFERROR(MATCH(D4253,Projects!$A:$A,0),""))</f>
        <v/>
      </c>
    </row>
    <row r="4254" spans="31:32" x14ac:dyDescent="0.25">
      <c r="AE4254" s="39" t="str">
        <f>IF(D4254="","",IFERROR(VLOOKUP(D4254,Projects!$A$2:$A$20000,1,FALSE),""))</f>
        <v/>
      </c>
      <c r="AF4254" s="2" t="str">
        <f>IF(D4254="","",IFERROR(MATCH(D4254,Projects!$A:$A,0),""))</f>
        <v/>
      </c>
    </row>
    <row r="4255" spans="31:32" x14ac:dyDescent="0.25">
      <c r="AE4255" s="39" t="str">
        <f>IF(D4255="","",IFERROR(VLOOKUP(D4255,Projects!$A$2:$A$20000,1,FALSE),""))</f>
        <v/>
      </c>
      <c r="AF4255" s="2" t="str">
        <f>IF(D4255="","",IFERROR(MATCH(D4255,Projects!$A:$A,0),""))</f>
        <v/>
      </c>
    </row>
    <row r="4256" spans="31:32" x14ac:dyDescent="0.25">
      <c r="AE4256" s="39" t="str">
        <f>IF(D4256="","",IFERROR(VLOOKUP(D4256,Projects!$A$2:$A$20000,1,FALSE),""))</f>
        <v/>
      </c>
      <c r="AF4256" s="2" t="str">
        <f>IF(D4256="","",IFERROR(MATCH(D4256,Projects!$A:$A,0),""))</f>
        <v/>
      </c>
    </row>
    <row r="4257" spans="31:32" x14ac:dyDescent="0.25">
      <c r="AE4257" s="39" t="str">
        <f>IF(D4257="","",IFERROR(VLOOKUP(D4257,Projects!$A$2:$A$20000,1,FALSE),""))</f>
        <v/>
      </c>
      <c r="AF4257" s="2" t="str">
        <f>IF(D4257="","",IFERROR(MATCH(D4257,Projects!$A:$A,0),""))</f>
        <v/>
      </c>
    </row>
    <row r="4258" spans="31:32" x14ac:dyDescent="0.25">
      <c r="AE4258" s="39" t="str">
        <f>IF(D4258="","",IFERROR(VLOOKUP(D4258,Projects!$A$2:$A$20000,1,FALSE),""))</f>
        <v/>
      </c>
      <c r="AF4258" s="2" t="str">
        <f>IF(D4258="","",IFERROR(MATCH(D4258,Projects!$A:$A,0),""))</f>
        <v/>
      </c>
    </row>
    <row r="4259" spans="31:32" x14ac:dyDescent="0.25">
      <c r="AE4259" s="39" t="str">
        <f>IF(D4259="","",IFERROR(VLOOKUP(D4259,Projects!$A$2:$A$20000,1,FALSE),""))</f>
        <v/>
      </c>
      <c r="AF4259" s="2" t="str">
        <f>IF(D4259="","",IFERROR(MATCH(D4259,Projects!$A:$A,0),""))</f>
        <v/>
      </c>
    </row>
    <row r="4260" spans="31:32" x14ac:dyDescent="0.25">
      <c r="AE4260" s="39" t="str">
        <f>IF(D4260="","",IFERROR(VLOOKUP(D4260,Projects!$A$2:$A$20000,1,FALSE),""))</f>
        <v/>
      </c>
      <c r="AF4260" s="2" t="str">
        <f>IF(D4260="","",IFERROR(MATCH(D4260,Projects!$A:$A,0),""))</f>
        <v/>
      </c>
    </row>
    <row r="4261" spans="31:32" x14ac:dyDescent="0.25">
      <c r="AE4261" s="39" t="str">
        <f>IF(D4261="","",IFERROR(VLOOKUP(D4261,Projects!$A$2:$A$20000,1,FALSE),""))</f>
        <v/>
      </c>
      <c r="AF4261" s="2" t="str">
        <f>IF(D4261="","",IFERROR(MATCH(D4261,Projects!$A:$A,0),""))</f>
        <v/>
      </c>
    </row>
    <row r="4262" spans="31:32" x14ac:dyDescent="0.25">
      <c r="AE4262" s="39" t="str">
        <f>IF(D4262="","",IFERROR(VLOOKUP(D4262,Projects!$A$2:$A$20000,1,FALSE),""))</f>
        <v/>
      </c>
      <c r="AF4262" s="2" t="str">
        <f>IF(D4262="","",IFERROR(MATCH(D4262,Projects!$A:$A,0),""))</f>
        <v/>
      </c>
    </row>
    <row r="4263" spans="31:32" x14ac:dyDescent="0.25">
      <c r="AE4263" s="39" t="str">
        <f>IF(D4263="","",IFERROR(VLOOKUP(D4263,Projects!$A$2:$A$20000,1,FALSE),""))</f>
        <v/>
      </c>
      <c r="AF4263" s="2" t="str">
        <f>IF(D4263="","",IFERROR(MATCH(D4263,Projects!$A:$A,0),""))</f>
        <v/>
      </c>
    </row>
    <row r="4264" spans="31:32" x14ac:dyDescent="0.25">
      <c r="AE4264" s="39" t="str">
        <f>IF(D4264="","",IFERROR(VLOOKUP(D4264,Projects!$A$2:$A$20000,1,FALSE),""))</f>
        <v/>
      </c>
      <c r="AF4264" s="2" t="str">
        <f>IF(D4264="","",IFERROR(MATCH(D4264,Projects!$A:$A,0),""))</f>
        <v/>
      </c>
    </row>
    <row r="4265" spans="31:32" x14ac:dyDescent="0.25">
      <c r="AE4265" s="39" t="str">
        <f>IF(D4265="","",IFERROR(VLOOKUP(D4265,Projects!$A$2:$A$20000,1,FALSE),""))</f>
        <v/>
      </c>
      <c r="AF4265" s="2" t="str">
        <f>IF(D4265="","",IFERROR(MATCH(D4265,Projects!$A:$A,0),""))</f>
        <v/>
      </c>
    </row>
    <row r="4266" spans="31:32" x14ac:dyDescent="0.25">
      <c r="AE4266" s="39" t="str">
        <f>IF(D4266="","",IFERROR(VLOOKUP(D4266,Projects!$A$2:$A$20000,1,FALSE),""))</f>
        <v/>
      </c>
      <c r="AF4266" s="2" t="str">
        <f>IF(D4266="","",IFERROR(MATCH(D4266,Projects!$A:$A,0),""))</f>
        <v/>
      </c>
    </row>
    <row r="4267" spans="31:32" x14ac:dyDescent="0.25">
      <c r="AE4267" s="39" t="str">
        <f>IF(D4267="","",IFERROR(VLOOKUP(D4267,Projects!$A$2:$A$20000,1,FALSE),""))</f>
        <v/>
      </c>
      <c r="AF4267" s="2" t="str">
        <f>IF(D4267="","",IFERROR(MATCH(D4267,Projects!$A:$A,0),""))</f>
        <v/>
      </c>
    </row>
    <row r="4268" spans="31:32" x14ac:dyDescent="0.25">
      <c r="AE4268" s="39" t="str">
        <f>IF(D4268="","",IFERROR(VLOOKUP(D4268,Projects!$A$2:$A$20000,1,FALSE),""))</f>
        <v/>
      </c>
      <c r="AF4268" s="2" t="str">
        <f>IF(D4268="","",IFERROR(MATCH(D4268,Projects!$A:$A,0),""))</f>
        <v/>
      </c>
    </row>
    <row r="4269" spans="31:32" x14ac:dyDescent="0.25">
      <c r="AE4269" s="39" t="str">
        <f>IF(D4269="","",IFERROR(VLOOKUP(D4269,Projects!$A$2:$A$20000,1,FALSE),""))</f>
        <v/>
      </c>
      <c r="AF4269" s="2" t="str">
        <f>IF(D4269="","",IFERROR(MATCH(D4269,Projects!$A:$A,0),""))</f>
        <v/>
      </c>
    </row>
    <row r="4270" spans="31:32" x14ac:dyDescent="0.25">
      <c r="AE4270" s="39" t="str">
        <f>IF(D4270="","",IFERROR(VLOOKUP(D4270,Projects!$A$2:$A$20000,1,FALSE),""))</f>
        <v/>
      </c>
      <c r="AF4270" s="2" t="str">
        <f>IF(D4270="","",IFERROR(MATCH(D4270,Projects!$A:$A,0),""))</f>
        <v/>
      </c>
    </row>
    <row r="4271" spans="31:32" x14ac:dyDescent="0.25">
      <c r="AE4271" s="39" t="str">
        <f>IF(D4271="","",IFERROR(VLOOKUP(D4271,Projects!$A$2:$A$20000,1,FALSE),""))</f>
        <v/>
      </c>
      <c r="AF4271" s="2" t="str">
        <f>IF(D4271="","",IFERROR(MATCH(D4271,Projects!$A:$A,0),""))</f>
        <v/>
      </c>
    </row>
    <row r="4272" spans="31:32" x14ac:dyDescent="0.25">
      <c r="AE4272" s="39" t="str">
        <f>IF(D4272="","",IFERROR(VLOOKUP(D4272,Projects!$A$2:$A$20000,1,FALSE),""))</f>
        <v/>
      </c>
      <c r="AF4272" s="2" t="str">
        <f>IF(D4272="","",IFERROR(MATCH(D4272,Projects!$A:$A,0),""))</f>
        <v/>
      </c>
    </row>
    <row r="4273" spans="31:32" x14ac:dyDescent="0.25">
      <c r="AE4273" s="39" t="str">
        <f>IF(D4273="","",IFERROR(VLOOKUP(D4273,Projects!$A$2:$A$20000,1,FALSE),""))</f>
        <v/>
      </c>
      <c r="AF4273" s="2" t="str">
        <f>IF(D4273="","",IFERROR(MATCH(D4273,Projects!$A:$A,0),""))</f>
        <v/>
      </c>
    </row>
    <row r="4274" spans="31:32" x14ac:dyDescent="0.25">
      <c r="AE4274" s="39" t="str">
        <f>IF(D4274="","",IFERROR(VLOOKUP(D4274,Projects!$A$2:$A$20000,1,FALSE),""))</f>
        <v/>
      </c>
      <c r="AF4274" s="2" t="str">
        <f>IF(D4274="","",IFERROR(MATCH(D4274,Projects!$A:$A,0),""))</f>
        <v/>
      </c>
    </row>
    <row r="4275" spans="31:32" x14ac:dyDescent="0.25">
      <c r="AE4275" s="39" t="str">
        <f>IF(D4275="","",IFERROR(VLOOKUP(D4275,Projects!$A$2:$A$20000,1,FALSE),""))</f>
        <v/>
      </c>
      <c r="AF4275" s="2" t="str">
        <f>IF(D4275="","",IFERROR(MATCH(D4275,Projects!$A:$A,0),""))</f>
        <v/>
      </c>
    </row>
    <row r="4276" spans="31:32" x14ac:dyDescent="0.25">
      <c r="AE4276" s="39" t="str">
        <f>IF(D4276="","",IFERROR(VLOOKUP(D4276,Projects!$A$2:$A$20000,1,FALSE),""))</f>
        <v/>
      </c>
      <c r="AF4276" s="2" t="str">
        <f>IF(D4276="","",IFERROR(MATCH(D4276,Projects!$A:$A,0),""))</f>
        <v/>
      </c>
    </row>
    <row r="4277" spans="31:32" x14ac:dyDescent="0.25">
      <c r="AE4277" s="39" t="str">
        <f>IF(D4277="","",IFERROR(VLOOKUP(D4277,Projects!$A$2:$A$20000,1,FALSE),""))</f>
        <v/>
      </c>
      <c r="AF4277" s="2" t="str">
        <f>IF(D4277="","",IFERROR(MATCH(D4277,Projects!$A:$A,0),""))</f>
        <v/>
      </c>
    </row>
    <row r="4278" spans="31:32" x14ac:dyDescent="0.25">
      <c r="AE4278" s="39" t="str">
        <f>IF(D4278="","",IFERROR(VLOOKUP(D4278,Projects!$A$2:$A$20000,1,FALSE),""))</f>
        <v/>
      </c>
      <c r="AF4278" s="2" t="str">
        <f>IF(D4278="","",IFERROR(MATCH(D4278,Projects!$A:$A,0),""))</f>
        <v/>
      </c>
    </row>
    <row r="4279" spans="31:32" x14ac:dyDescent="0.25">
      <c r="AE4279" s="39" t="str">
        <f>IF(D4279="","",IFERROR(VLOOKUP(D4279,Projects!$A$2:$A$20000,1,FALSE),""))</f>
        <v/>
      </c>
      <c r="AF4279" s="2" t="str">
        <f>IF(D4279="","",IFERROR(MATCH(D4279,Projects!$A:$A,0),""))</f>
        <v/>
      </c>
    </row>
    <row r="4280" spans="31:32" x14ac:dyDescent="0.25">
      <c r="AE4280" s="39" t="str">
        <f>IF(D4280="","",IFERROR(VLOOKUP(D4280,Projects!$A$2:$A$20000,1,FALSE),""))</f>
        <v/>
      </c>
      <c r="AF4280" s="2" t="str">
        <f>IF(D4280="","",IFERROR(MATCH(D4280,Projects!$A:$A,0),""))</f>
        <v/>
      </c>
    </row>
    <row r="4281" spans="31:32" x14ac:dyDescent="0.25">
      <c r="AE4281" s="39" t="str">
        <f>IF(D4281="","",IFERROR(VLOOKUP(D4281,Projects!$A$2:$A$20000,1,FALSE),""))</f>
        <v/>
      </c>
      <c r="AF4281" s="2" t="str">
        <f>IF(D4281="","",IFERROR(MATCH(D4281,Projects!$A:$A,0),""))</f>
        <v/>
      </c>
    </row>
    <row r="4282" spans="31:32" x14ac:dyDescent="0.25">
      <c r="AE4282" s="39" t="str">
        <f>IF(D4282="","",IFERROR(VLOOKUP(D4282,Projects!$A$2:$A$20000,1,FALSE),""))</f>
        <v/>
      </c>
      <c r="AF4282" s="2" t="str">
        <f>IF(D4282="","",IFERROR(MATCH(D4282,Projects!$A:$A,0),""))</f>
        <v/>
      </c>
    </row>
    <row r="4283" spans="31:32" x14ac:dyDescent="0.25">
      <c r="AE4283" s="39" t="str">
        <f>IF(D4283="","",IFERROR(VLOOKUP(D4283,Projects!$A$2:$A$20000,1,FALSE),""))</f>
        <v/>
      </c>
      <c r="AF4283" s="2" t="str">
        <f>IF(D4283="","",IFERROR(MATCH(D4283,Projects!$A:$A,0),""))</f>
        <v/>
      </c>
    </row>
    <row r="4284" spans="31:32" x14ac:dyDescent="0.25">
      <c r="AE4284" s="39" t="str">
        <f>IF(D4284="","",IFERROR(VLOOKUP(D4284,Projects!$A$2:$A$20000,1,FALSE),""))</f>
        <v/>
      </c>
      <c r="AF4284" s="2" t="str">
        <f>IF(D4284="","",IFERROR(MATCH(D4284,Projects!$A:$A,0),""))</f>
        <v/>
      </c>
    </row>
    <row r="4285" spans="31:32" x14ac:dyDescent="0.25">
      <c r="AE4285" s="39" t="str">
        <f>IF(D4285="","",IFERROR(VLOOKUP(D4285,Projects!$A$2:$A$20000,1,FALSE),""))</f>
        <v/>
      </c>
      <c r="AF4285" s="2" t="str">
        <f>IF(D4285="","",IFERROR(MATCH(D4285,Projects!$A:$A,0),""))</f>
        <v/>
      </c>
    </row>
    <row r="4286" spans="31:32" x14ac:dyDescent="0.25">
      <c r="AE4286" s="39" t="str">
        <f>IF(D4286="","",IFERROR(VLOOKUP(D4286,Projects!$A$2:$A$20000,1,FALSE),""))</f>
        <v/>
      </c>
      <c r="AF4286" s="2" t="str">
        <f>IF(D4286="","",IFERROR(MATCH(D4286,Projects!$A:$A,0),""))</f>
        <v/>
      </c>
    </row>
    <row r="4287" spans="31:32" x14ac:dyDescent="0.25">
      <c r="AE4287" s="39" t="str">
        <f>IF(D4287="","",IFERROR(VLOOKUP(D4287,Projects!$A$2:$A$20000,1,FALSE),""))</f>
        <v/>
      </c>
      <c r="AF4287" s="2" t="str">
        <f>IF(D4287="","",IFERROR(MATCH(D4287,Projects!$A:$A,0),""))</f>
        <v/>
      </c>
    </row>
    <row r="4288" spans="31:32" x14ac:dyDescent="0.25">
      <c r="AE4288" s="39" t="str">
        <f>IF(D4288="","",IFERROR(VLOOKUP(D4288,Projects!$A$2:$A$20000,1,FALSE),""))</f>
        <v/>
      </c>
      <c r="AF4288" s="2" t="str">
        <f>IF(D4288="","",IFERROR(MATCH(D4288,Projects!$A:$A,0),""))</f>
        <v/>
      </c>
    </row>
    <row r="4289" spans="31:32" x14ac:dyDescent="0.25">
      <c r="AE4289" s="39" t="str">
        <f>IF(D4289="","",IFERROR(VLOOKUP(D4289,Projects!$A$2:$A$20000,1,FALSE),""))</f>
        <v/>
      </c>
      <c r="AF4289" s="2" t="str">
        <f>IF(D4289="","",IFERROR(MATCH(D4289,Projects!$A:$A,0),""))</f>
        <v/>
      </c>
    </row>
    <row r="4290" spans="31:32" x14ac:dyDescent="0.25">
      <c r="AE4290" s="39" t="str">
        <f>IF(D4290="","",IFERROR(VLOOKUP(D4290,Projects!$A$2:$A$20000,1,FALSE),""))</f>
        <v/>
      </c>
      <c r="AF4290" s="2" t="str">
        <f>IF(D4290="","",IFERROR(MATCH(D4290,Projects!$A:$A,0),""))</f>
        <v/>
      </c>
    </row>
    <row r="4291" spans="31:32" x14ac:dyDescent="0.25">
      <c r="AE4291" s="39" t="str">
        <f>IF(D4291="","",IFERROR(VLOOKUP(D4291,Projects!$A$2:$A$20000,1,FALSE),""))</f>
        <v/>
      </c>
      <c r="AF4291" s="2" t="str">
        <f>IF(D4291="","",IFERROR(MATCH(D4291,Projects!$A:$A,0),""))</f>
        <v/>
      </c>
    </row>
    <row r="4292" spans="31:32" x14ac:dyDescent="0.25">
      <c r="AE4292" s="39" t="str">
        <f>IF(D4292="","",IFERROR(VLOOKUP(D4292,Projects!$A$2:$A$20000,1,FALSE),""))</f>
        <v/>
      </c>
      <c r="AF4292" s="2" t="str">
        <f>IF(D4292="","",IFERROR(MATCH(D4292,Projects!$A:$A,0),""))</f>
        <v/>
      </c>
    </row>
    <row r="4293" spans="31:32" x14ac:dyDescent="0.25">
      <c r="AE4293" s="39" t="str">
        <f>IF(D4293="","",IFERROR(VLOOKUP(D4293,Projects!$A$2:$A$20000,1,FALSE),""))</f>
        <v/>
      </c>
      <c r="AF4293" s="2" t="str">
        <f>IF(D4293="","",IFERROR(MATCH(D4293,Projects!$A:$A,0),""))</f>
        <v/>
      </c>
    </row>
    <row r="4294" spans="31:32" x14ac:dyDescent="0.25">
      <c r="AE4294" s="39" t="str">
        <f>IF(D4294="","",IFERROR(VLOOKUP(D4294,Projects!$A$2:$A$20000,1,FALSE),""))</f>
        <v/>
      </c>
      <c r="AF4294" s="2" t="str">
        <f>IF(D4294="","",IFERROR(MATCH(D4294,Projects!$A:$A,0),""))</f>
        <v/>
      </c>
    </row>
    <row r="4295" spans="31:32" x14ac:dyDescent="0.25">
      <c r="AE4295" s="39" t="str">
        <f>IF(D4295="","",IFERROR(VLOOKUP(D4295,Projects!$A$2:$A$20000,1,FALSE),""))</f>
        <v/>
      </c>
      <c r="AF4295" s="2" t="str">
        <f>IF(D4295="","",IFERROR(MATCH(D4295,Projects!$A:$A,0),""))</f>
        <v/>
      </c>
    </row>
    <row r="4296" spans="31:32" x14ac:dyDescent="0.25">
      <c r="AE4296" s="39" t="str">
        <f>IF(D4296="","",IFERROR(VLOOKUP(D4296,Projects!$A$2:$A$20000,1,FALSE),""))</f>
        <v/>
      </c>
      <c r="AF4296" s="2" t="str">
        <f>IF(D4296="","",IFERROR(MATCH(D4296,Projects!$A:$A,0),""))</f>
        <v/>
      </c>
    </row>
    <row r="4297" spans="31:32" x14ac:dyDescent="0.25">
      <c r="AE4297" s="39" t="str">
        <f>IF(D4297="","",IFERROR(VLOOKUP(D4297,Projects!$A$2:$A$20000,1,FALSE),""))</f>
        <v/>
      </c>
      <c r="AF4297" s="2" t="str">
        <f>IF(D4297="","",IFERROR(MATCH(D4297,Projects!$A:$A,0),""))</f>
        <v/>
      </c>
    </row>
    <row r="4298" spans="31:32" x14ac:dyDescent="0.25">
      <c r="AE4298" s="39" t="str">
        <f>IF(D4298="","",IFERROR(VLOOKUP(D4298,Projects!$A$2:$A$20000,1,FALSE),""))</f>
        <v/>
      </c>
      <c r="AF4298" s="2" t="str">
        <f>IF(D4298="","",IFERROR(MATCH(D4298,Projects!$A:$A,0),""))</f>
        <v/>
      </c>
    </row>
    <row r="4299" spans="31:32" x14ac:dyDescent="0.25">
      <c r="AE4299" s="39" t="str">
        <f>IF(D4299="","",IFERROR(VLOOKUP(D4299,Projects!$A$2:$A$20000,1,FALSE),""))</f>
        <v/>
      </c>
      <c r="AF4299" s="2" t="str">
        <f>IF(D4299="","",IFERROR(MATCH(D4299,Projects!$A:$A,0),""))</f>
        <v/>
      </c>
    </row>
    <row r="4300" spans="31:32" x14ac:dyDescent="0.25">
      <c r="AE4300" s="39" t="str">
        <f>IF(D4300="","",IFERROR(VLOOKUP(D4300,Projects!$A$2:$A$20000,1,FALSE),""))</f>
        <v/>
      </c>
      <c r="AF4300" s="2" t="str">
        <f>IF(D4300="","",IFERROR(MATCH(D4300,Projects!$A:$A,0),""))</f>
        <v/>
      </c>
    </row>
    <row r="4301" spans="31:32" x14ac:dyDescent="0.25">
      <c r="AE4301" s="39" t="str">
        <f>IF(D4301="","",IFERROR(VLOOKUP(D4301,Projects!$A$2:$A$20000,1,FALSE),""))</f>
        <v/>
      </c>
      <c r="AF4301" s="2" t="str">
        <f>IF(D4301="","",IFERROR(MATCH(D4301,Projects!$A:$A,0),""))</f>
        <v/>
      </c>
    </row>
    <row r="4302" spans="31:32" x14ac:dyDescent="0.25">
      <c r="AE4302" s="39" t="str">
        <f>IF(D4302="","",IFERROR(VLOOKUP(D4302,Projects!$A$2:$A$20000,1,FALSE),""))</f>
        <v/>
      </c>
      <c r="AF4302" s="2" t="str">
        <f>IF(D4302="","",IFERROR(MATCH(D4302,Projects!$A:$A,0),""))</f>
        <v/>
      </c>
    </row>
    <row r="4303" spans="31:32" x14ac:dyDescent="0.25">
      <c r="AE4303" s="39" t="str">
        <f>IF(D4303="","",IFERROR(VLOOKUP(D4303,Projects!$A$2:$A$20000,1,FALSE),""))</f>
        <v/>
      </c>
      <c r="AF4303" s="2" t="str">
        <f>IF(D4303="","",IFERROR(MATCH(D4303,Projects!$A:$A,0),""))</f>
        <v/>
      </c>
    </row>
    <row r="4304" spans="31:32" x14ac:dyDescent="0.25">
      <c r="AE4304" s="39" t="str">
        <f>IF(D4304="","",IFERROR(VLOOKUP(D4304,Projects!$A$2:$A$20000,1,FALSE),""))</f>
        <v/>
      </c>
      <c r="AF4304" s="2" t="str">
        <f>IF(D4304="","",IFERROR(MATCH(D4304,Projects!$A:$A,0),""))</f>
        <v/>
      </c>
    </row>
    <row r="4305" spans="31:32" x14ac:dyDescent="0.25">
      <c r="AE4305" s="39" t="str">
        <f>IF(D4305="","",IFERROR(VLOOKUP(D4305,Projects!$A$2:$A$20000,1,FALSE),""))</f>
        <v/>
      </c>
      <c r="AF4305" s="2" t="str">
        <f>IF(D4305="","",IFERROR(MATCH(D4305,Projects!$A:$A,0),""))</f>
        <v/>
      </c>
    </row>
    <row r="4306" spans="31:32" x14ac:dyDescent="0.25">
      <c r="AE4306" s="39" t="str">
        <f>IF(D4306="","",IFERROR(VLOOKUP(D4306,Projects!$A$2:$A$20000,1,FALSE),""))</f>
        <v/>
      </c>
      <c r="AF4306" s="2" t="str">
        <f>IF(D4306="","",IFERROR(MATCH(D4306,Projects!$A:$A,0),""))</f>
        <v/>
      </c>
    </row>
    <row r="4307" spans="31:32" x14ac:dyDescent="0.25">
      <c r="AE4307" s="39" t="str">
        <f>IF(D4307="","",IFERROR(VLOOKUP(D4307,Projects!$A$2:$A$20000,1,FALSE),""))</f>
        <v/>
      </c>
      <c r="AF4307" s="2" t="str">
        <f>IF(D4307="","",IFERROR(MATCH(D4307,Projects!$A:$A,0),""))</f>
        <v/>
      </c>
    </row>
    <row r="4308" spans="31:32" x14ac:dyDescent="0.25">
      <c r="AE4308" s="39" t="str">
        <f>IF(D4308="","",IFERROR(VLOOKUP(D4308,Projects!$A$2:$A$20000,1,FALSE),""))</f>
        <v/>
      </c>
      <c r="AF4308" s="2" t="str">
        <f>IF(D4308="","",IFERROR(MATCH(D4308,Projects!$A:$A,0),""))</f>
        <v/>
      </c>
    </row>
    <row r="4309" spans="31:32" x14ac:dyDescent="0.25">
      <c r="AE4309" s="39" t="str">
        <f>IF(D4309="","",IFERROR(VLOOKUP(D4309,Projects!$A$2:$A$20000,1,FALSE),""))</f>
        <v/>
      </c>
      <c r="AF4309" s="2" t="str">
        <f>IF(D4309="","",IFERROR(MATCH(D4309,Projects!$A:$A,0),""))</f>
        <v/>
      </c>
    </row>
    <row r="4310" spans="31:32" x14ac:dyDescent="0.25">
      <c r="AE4310" s="39" t="str">
        <f>IF(D4310="","",IFERROR(VLOOKUP(D4310,Projects!$A$2:$A$20000,1,FALSE),""))</f>
        <v/>
      </c>
      <c r="AF4310" s="2" t="str">
        <f>IF(D4310="","",IFERROR(MATCH(D4310,Projects!$A:$A,0),""))</f>
        <v/>
      </c>
    </row>
    <row r="4311" spans="31:32" x14ac:dyDescent="0.25">
      <c r="AE4311" s="39" t="str">
        <f>IF(D4311="","",IFERROR(VLOOKUP(D4311,Projects!$A$2:$A$20000,1,FALSE),""))</f>
        <v/>
      </c>
      <c r="AF4311" s="2" t="str">
        <f>IF(D4311="","",IFERROR(MATCH(D4311,Projects!$A:$A,0),""))</f>
        <v/>
      </c>
    </row>
    <row r="4312" spans="31:32" x14ac:dyDescent="0.25">
      <c r="AE4312" s="39" t="str">
        <f>IF(D4312="","",IFERROR(VLOOKUP(D4312,Projects!$A$2:$A$20000,1,FALSE),""))</f>
        <v/>
      </c>
      <c r="AF4312" s="2" t="str">
        <f>IF(D4312="","",IFERROR(MATCH(D4312,Projects!$A:$A,0),""))</f>
        <v/>
      </c>
    </row>
    <row r="4313" spans="31:32" x14ac:dyDescent="0.25">
      <c r="AE4313" s="39" t="str">
        <f>IF(D4313="","",IFERROR(VLOOKUP(D4313,Projects!$A$2:$A$20000,1,FALSE),""))</f>
        <v/>
      </c>
      <c r="AF4313" s="2" t="str">
        <f>IF(D4313="","",IFERROR(MATCH(D4313,Projects!$A:$A,0),""))</f>
        <v/>
      </c>
    </row>
    <row r="4314" spans="31:32" x14ac:dyDescent="0.25">
      <c r="AE4314" s="39" t="str">
        <f>IF(D4314="","",IFERROR(VLOOKUP(D4314,Projects!$A$2:$A$20000,1,FALSE),""))</f>
        <v/>
      </c>
      <c r="AF4314" s="2" t="str">
        <f>IF(D4314="","",IFERROR(MATCH(D4314,Projects!$A:$A,0),""))</f>
        <v/>
      </c>
    </row>
    <row r="4315" spans="31:32" x14ac:dyDescent="0.25">
      <c r="AE4315" s="39" t="str">
        <f>IF(D4315="","",IFERROR(VLOOKUP(D4315,Projects!$A$2:$A$20000,1,FALSE),""))</f>
        <v/>
      </c>
      <c r="AF4315" s="2" t="str">
        <f>IF(D4315="","",IFERROR(MATCH(D4315,Projects!$A:$A,0),""))</f>
        <v/>
      </c>
    </row>
    <row r="4316" spans="31:32" x14ac:dyDescent="0.25">
      <c r="AE4316" s="39" t="str">
        <f>IF(D4316="","",IFERROR(VLOOKUP(D4316,Projects!$A$2:$A$20000,1,FALSE),""))</f>
        <v/>
      </c>
      <c r="AF4316" s="2" t="str">
        <f>IF(D4316="","",IFERROR(MATCH(D4316,Projects!$A:$A,0),""))</f>
        <v/>
      </c>
    </row>
    <row r="4317" spans="31:32" x14ac:dyDescent="0.25">
      <c r="AE4317" s="39" t="str">
        <f>IF(D4317="","",IFERROR(VLOOKUP(D4317,Projects!$A$2:$A$20000,1,FALSE),""))</f>
        <v/>
      </c>
      <c r="AF4317" s="2" t="str">
        <f>IF(D4317="","",IFERROR(MATCH(D4317,Projects!$A:$A,0),""))</f>
        <v/>
      </c>
    </row>
    <row r="4318" spans="31:32" x14ac:dyDescent="0.25">
      <c r="AE4318" s="39" t="str">
        <f>IF(D4318="","",IFERROR(VLOOKUP(D4318,Projects!$A$2:$A$20000,1,FALSE),""))</f>
        <v/>
      </c>
      <c r="AF4318" s="2" t="str">
        <f>IF(D4318="","",IFERROR(MATCH(D4318,Projects!$A:$A,0),""))</f>
        <v/>
      </c>
    </row>
    <row r="4319" spans="31:32" x14ac:dyDescent="0.25">
      <c r="AE4319" s="39" t="str">
        <f>IF(D4319="","",IFERROR(VLOOKUP(D4319,Projects!$A$2:$A$20000,1,FALSE),""))</f>
        <v/>
      </c>
      <c r="AF4319" s="2" t="str">
        <f>IF(D4319="","",IFERROR(MATCH(D4319,Projects!$A:$A,0),""))</f>
        <v/>
      </c>
    </row>
    <row r="4320" spans="31:32" x14ac:dyDescent="0.25">
      <c r="AE4320" s="39" t="str">
        <f>IF(D4320="","",IFERROR(VLOOKUP(D4320,Projects!$A$2:$A$20000,1,FALSE),""))</f>
        <v/>
      </c>
      <c r="AF4320" s="2" t="str">
        <f>IF(D4320="","",IFERROR(MATCH(D4320,Projects!$A:$A,0),""))</f>
        <v/>
      </c>
    </row>
    <row r="4321" spans="31:32" x14ac:dyDescent="0.25">
      <c r="AE4321" s="39" t="str">
        <f>IF(D4321="","",IFERROR(VLOOKUP(D4321,Projects!$A$2:$A$20000,1,FALSE),""))</f>
        <v/>
      </c>
      <c r="AF4321" s="2" t="str">
        <f>IF(D4321="","",IFERROR(MATCH(D4321,Projects!$A:$A,0),""))</f>
        <v/>
      </c>
    </row>
    <row r="4322" spans="31:32" x14ac:dyDescent="0.25">
      <c r="AE4322" s="39" t="str">
        <f>IF(D4322="","",IFERROR(VLOOKUP(D4322,Projects!$A$2:$A$20000,1,FALSE),""))</f>
        <v/>
      </c>
      <c r="AF4322" s="2" t="str">
        <f>IF(D4322="","",IFERROR(MATCH(D4322,Projects!$A:$A,0),""))</f>
        <v/>
      </c>
    </row>
    <row r="4323" spans="31:32" x14ac:dyDescent="0.25">
      <c r="AE4323" s="39" t="str">
        <f>IF(D4323="","",IFERROR(VLOOKUP(D4323,Projects!$A$2:$A$20000,1,FALSE),""))</f>
        <v/>
      </c>
      <c r="AF4323" s="2" t="str">
        <f>IF(D4323="","",IFERROR(MATCH(D4323,Projects!$A:$A,0),""))</f>
        <v/>
      </c>
    </row>
    <row r="4324" spans="31:32" x14ac:dyDescent="0.25">
      <c r="AE4324" s="39" t="str">
        <f>IF(D4324="","",IFERROR(VLOOKUP(D4324,Projects!$A$2:$A$20000,1,FALSE),""))</f>
        <v/>
      </c>
      <c r="AF4324" s="2" t="str">
        <f>IF(D4324="","",IFERROR(MATCH(D4324,Projects!$A:$A,0),""))</f>
        <v/>
      </c>
    </row>
    <row r="4325" spans="31:32" x14ac:dyDescent="0.25">
      <c r="AE4325" s="39" t="str">
        <f>IF(D4325="","",IFERROR(VLOOKUP(D4325,Projects!$A$2:$A$20000,1,FALSE),""))</f>
        <v/>
      </c>
      <c r="AF4325" s="2" t="str">
        <f>IF(D4325="","",IFERROR(MATCH(D4325,Projects!$A:$A,0),""))</f>
        <v/>
      </c>
    </row>
    <row r="4326" spans="31:32" x14ac:dyDescent="0.25">
      <c r="AE4326" s="39" t="str">
        <f>IF(D4326="","",IFERROR(VLOOKUP(D4326,Projects!$A$2:$A$20000,1,FALSE),""))</f>
        <v/>
      </c>
      <c r="AF4326" s="2" t="str">
        <f>IF(D4326="","",IFERROR(MATCH(D4326,Projects!$A:$A,0),""))</f>
        <v/>
      </c>
    </row>
    <row r="4327" spans="31:32" x14ac:dyDescent="0.25">
      <c r="AE4327" s="39" t="str">
        <f>IF(D4327="","",IFERROR(VLOOKUP(D4327,Projects!$A$2:$A$20000,1,FALSE),""))</f>
        <v/>
      </c>
      <c r="AF4327" s="2" t="str">
        <f>IF(D4327="","",IFERROR(MATCH(D4327,Projects!$A:$A,0),""))</f>
        <v/>
      </c>
    </row>
    <row r="4328" spans="31:32" x14ac:dyDescent="0.25">
      <c r="AE4328" s="39" t="str">
        <f>IF(D4328="","",IFERROR(VLOOKUP(D4328,Projects!$A$2:$A$20000,1,FALSE),""))</f>
        <v/>
      </c>
      <c r="AF4328" s="2" t="str">
        <f>IF(D4328="","",IFERROR(MATCH(D4328,Projects!$A:$A,0),""))</f>
        <v/>
      </c>
    </row>
    <row r="4329" spans="31:32" x14ac:dyDescent="0.25">
      <c r="AE4329" s="39" t="str">
        <f>IF(D4329="","",IFERROR(VLOOKUP(D4329,Projects!$A$2:$A$20000,1,FALSE),""))</f>
        <v/>
      </c>
      <c r="AF4329" s="2" t="str">
        <f>IF(D4329="","",IFERROR(MATCH(D4329,Projects!$A:$A,0),""))</f>
        <v/>
      </c>
    </row>
    <row r="4330" spans="31:32" x14ac:dyDescent="0.25">
      <c r="AE4330" s="39" t="str">
        <f>IF(D4330="","",IFERROR(VLOOKUP(D4330,Projects!$A$2:$A$20000,1,FALSE),""))</f>
        <v/>
      </c>
      <c r="AF4330" s="2" t="str">
        <f>IF(D4330="","",IFERROR(MATCH(D4330,Projects!$A:$A,0),""))</f>
        <v/>
      </c>
    </row>
    <row r="4331" spans="31:32" x14ac:dyDescent="0.25">
      <c r="AE4331" s="39" t="str">
        <f>IF(D4331="","",IFERROR(VLOOKUP(D4331,Projects!$A$2:$A$20000,1,FALSE),""))</f>
        <v/>
      </c>
      <c r="AF4331" s="2" t="str">
        <f>IF(D4331="","",IFERROR(MATCH(D4331,Projects!$A:$A,0),""))</f>
        <v/>
      </c>
    </row>
    <row r="4332" spans="31:32" x14ac:dyDescent="0.25">
      <c r="AE4332" s="39" t="str">
        <f>IF(D4332="","",IFERROR(VLOOKUP(D4332,Projects!$A$2:$A$20000,1,FALSE),""))</f>
        <v/>
      </c>
      <c r="AF4332" s="2" t="str">
        <f>IF(D4332="","",IFERROR(MATCH(D4332,Projects!$A:$A,0),""))</f>
        <v/>
      </c>
    </row>
    <row r="4333" spans="31:32" x14ac:dyDescent="0.25">
      <c r="AE4333" s="39" t="str">
        <f>IF(D4333="","",IFERROR(VLOOKUP(D4333,Projects!$A$2:$A$20000,1,FALSE),""))</f>
        <v/>
      </c>
      <c r="AF4333" s="2" t="str">
        <f>IF(D4333="","",IFERROR(MATCH(D4333,Projects!$A:$A,0),""))</f>
        <v/>
      </c>
    </row>
    <row r="4334" spans="31:32" x14ac:dyDescent="0.25">
      <c r="AE4334" s="39" t="str">
        <f>IF(D4334="","",IFERROR(VLOOKUP(D4334,Projects!$A$2:$A$20000,1,FALSE),""))</f>
        <v/>
      </c>
      <c r="AF4334" s="2" t="str">
        <f>IF(D4334="","",IFERROR(MATCH(D4334,Projects!$A:$A,0),""))</f>
        <v/>
      </c>
    </row>
    <row r="4335" spans="31:32" x14ac:dyDescent="0.25">
      <c r="AE4335" s="39" t="str">
        <f>IF(D4335="","",IFERROR(VLOOKUP(D4335,Projects!$A$2:$A$20000,1,FALSE),""))</f>
        <v/>
      </c>
      <c r="AF4335" s="2" t="str">
        <f>IF(D4335="","",IFERROR(MATCH(D4335,Projects!$A:$A,0),""))</f>
        <v/>
      </c>
    </row>
    <row r="4336" spans="31:32" x14ac:dyDescent="0.25">
      <c r="AE4336" s="39" t="str">
        <f>IF(D4336="","",IFERROR(VLOOKUP(D4336,Projects!$A$2:$A$20000,1,FALSE),""))</f>
        <v/>
      </c>
      <c r="AF4336" s="2" t="str">
        <f>IF(D4336="","",IFERROR(MATCH(D4336,Projects!$A:$A,0),""))</f>
        <v/>
      </c>
    </row>
    <row r="4337" spans="31:32" x14ac:dyDescent="0.25">
      <c r="AE4337" s="39" t="str">
        <f>IF(D4337="","",IFERROR(VLOOKUP(D4337,Projects!$A$2:$A$20000,1,FALSE),""))</f>
        <v/>
      </c>
      <c r="AF4337" s="2" t="str">
        <f>IF(D4337="","",IFERROR(MATCH(D4337,Projects!$A:$A,0),""))</f>
        <v/>
      </c>
    </row>
    <row r="4338" spans="31:32" x14ac:dyDescent="0.25">
      <c r="AE4338" s="39" t="str">
        <f>IF(D4338="","",IFERROR(VLOOKUP(D4338,Projects!$A$2:$A$20000,1,FALSE),""))</f>
        <v/>
      </c>
      <c r="AF4338" s="2" t="str">
        <f>IF(D4338="","",IFERROR(MATCH(D4338,Projects!$A:$A,0),""))</f>
        <v/>
      </c>
    </row>
    <row r="4339" spans="31:32" x14ac:dyDescent="0.25">
      <c r="AE4339" s="39" t="str">
        <f>IF(D4339="","",IFERROR(VLOOKUP(D4339,Projects!$A$2:$A$20000,1,FALSE),""))</f>
        <v/>
      </c>
      <c r="AF4339" s="2" t="str">
        <f>IF(D4339="","",IFERROR(MATCH(D4339,Projects!$A:$A,0),""))</f>
        <v/>
      </c>
    </row>
    <row r="4340" spans="31:32" x14ac:dyDescent="0.25">
      <c r="AE4340" s="39" t="str">
        <f>IF(D4340="","",IFERROR(VLOOKUP(D4340,Projects!$A$2:$A$20000,1,FALSE),""))</f>
        <v/>
      </c>
      <c r="AF4340" s="2" t="str">
        <f>IF(D4340="","",IFERROR(MATCH(D4340,Projects!$A:$A,0),""))</f>
        <v/>
      </c>
    </row>
    <row r="4341" spans="31:32" x14ac:dyDescent="0.25">
      <c r="AE4341" s="39" t="str">
        <f>IF(D4341="","",IFERROR(VLOOKUP(D4341,Projects!$A$2:$A$20000,1,FALSE),""))</f>
        <v/>
      </c>
      <c r="AF4341" s="2" t="str">
        <f>IF(D4341="","",IFERROR(MATCH(D4341,Projects!$A:$A,0),""))</f>
        <v/>
      </c>
    </row>
    <row r="4342" spans="31:32" x14ac:dyDescent="0.25">
      <c r="AE4342" s="39" t="str">
        <f>IF(D4342="","",IFERROR(VLOOKUP(D4342,Projects!$A$2:$A$20000,1,FALSE),""))</f>
        <v/>
      </c>
      <c r="AF4342" s="2" t="str">
        <f>IF(D4342="","",IFERROR(MATCH(D4342,Projects!$A:$A,0),""))</f>
        <v/>
      </c>
    </row>
    <row r="4343" spans="31:32" x14ac:dyDescent="0.25">
      <c r="AE4343" s="39" t="str">
        <f>IF(D4343="","",IFERROR(VLOOKUP(D4343,Projects!$A$2:$A$20000,1,FALSE),""))</f>
        <v/>
      </c>
      <c r="AF4343" s="2" t="str">
        <f>IF(D4343="","",IFERROR(MATCH(D4343,Projects!$A:$A,0),""))</f>
        <v/>
      </c>
    </row>
    <row r="4344" spans="31:32" x14ac:dyDescent="0.25">
      <c r="AE4344" s="39" t="str">
        <f>IF(D4344="","",IFERROR(VLOOKUP(D4344,Projects!$A$2:$A$20000,1,FALSE),""))</f>
        <v/>
      </c>
      <c r="AF4344" s="2" t="str">
        <f>IF(D4344="","",IFERROR(MATCH(D4344,Projects!$A:$A,0),""))</f>
        <v/>
      </c>
    </row>
    <row r="4345" spans="31:32" x14ac:dyDescent="0.25">
      <c r="AE4345" s="39" t="str">
        <f>IF(D4345="","",IFERROR(VLOOKUP(D4345,Projects!$A$2:$A$20000,1,FALSE),""))</f>
        <v/>
      </c>
      <c r="AF4345" s="2" t="str">
        <f>IF(D4345="","",IFERROR(MATCH(D4345,Projects!$A:$A,0),""))</f>
        <v/>
      </c>
    </row>
    <row r="4346" spans="31:32" x14ac:dyDescent="0.25">
      <c r="AE4346" s="39" t="str">
        <f>IF(D4346="","",IFERROR(VLOOKUP(D4346,Projects!$A$2:$A$20000,1,FALSE),""))</f>
        <v/>
      </c>
      <c r="AF4346" s="2" t="str">
        <f>IF(D4346="","",IFERROR(MATCH(D4346,Projects!$A:$A,0),""))</f>
        <v/>
      </c>
    </row>
    <row r="4347" spans="31:32" x14ac:dyDescent="0.25">
      <c r="AE4347" s="39" t="str">
        <f>IF(D4347="","",IFERROR(VLOOKUP(D4347,Projects!$A$2:$A$20000,1,FALSE),""))</f>
        <v/>
      </c>
      <c r="AF4347" s="2" t="str">
        <f>IF(D4347="","",IFERROR(MATCH(D4347,Projects!$A:$A,0),""))</f>
        <v/>
      </c>
    </row>
    <row r="4348" spans="31:32" x14ac:dyDescent="0.25">
      <c r="AE4348" s="39" t="str">
        <f>IF(D4348="","",IFERROR(VLOOKUP(D4348,Projects!$A$2:$A$20000,1,FALSE),""))</f>
        <v/>
      </c>
      <c r="AF4348" s="2" t="str">
        <f>IF(D4348="","",IFERROR(MATCH(D4348,Projects!$A:$A,0),""))</f>
        <v/>
      </c>
    </row>
    <row r="4349" spans="31:32" x14ac:dyDescent="0.25">
      <c r="AE4349" s="39" t="str">
        <f>IF(D4349="","",IFERROR(VLOOKUP(D4349,Projects!$A$2:$A$20000,1,FALSE),""))</f>
        <v/>
      </c>
      <c r="AF4349" s="2" t="str">
        <f>IF(D4349="","",IFERROR(MATCH(D4349,Projects!$A:$A,0),""))</f>
        <v/>
      </c>
    </row>
    <row r="4350" spans="31:32" x14ac:dyDescent="0.25">
      <c r="AE4350" s="39" t="str">
        <f>IF(D4350="","",IFERROR(VLOOKUP(D4350,Projects!$A$2:$A$20000,1,FALSE),""))</f>
        <v/>
      </c>
      <c r="AF4350" s="2" t="str">
        <f>IF(D4350="","",IFERROR(MATCH(D4350,Projects!$A:$A,0),""))</f>
        <v/>
      </c>
    </row>
    <row r="4351" spans="31:32" x14ac:dyDescent="0.25">
      <c r="AE4351" s="39" t="str">
        <f>IF(D4351="","",IFERROR(VLOOKUP(D4351,Projects!$A$2:$A$20000,1,FALSE),""))</f>
        <v/>
      </c>
      <c r="AF4351" s="2" t="str">
        <f>IF(D4351="","",IFERROR(MATCH(D4351,Projects!$A:$A,0),""))</f>
        <v/>
      </c>
    </row>
    <row r="4352" spans="31:32" x14ac:dyDescent="0.25">
      <c r="AE4352" s="39" t="str">
        <f>IF(D4352="","",IFERROR(VLOOKUP(D4352,Projects!$A$2:$A$20000,1,FALSE),""))</f>
        <v/>
      </c>
      <c r="AF4352" s="2" t="str">
        <f>IF(D4352="","",IFERROR(MATCH(D4352,Projects!$A:$A,0),""))</f>
        <v/>
      </c>
    </row>
    <row r="4353" spans="31:32" x14ac:dyDescent="0.25">
      <c r="AE4353" s="39" t="str">
        <f>IF(D4353="","",IFERROR(VLOOKUP(D4353,Projects!$A$2:$A$20000,1,FALSE),""))</f>
        <v/>
      </c>
      <c r="AF4353" s="2" t="str">
        <f>IF(D4353="","",IFERROR(MATCH(D4353,Projects!$A:$A,0),""))</f>
        <v/>
      </c>
    </row>
    <row r="4354" spans="31:32" x14ac:dyDescent="0.25">
      <c r="AE4354" s="39" t="str">
        <f>IF(D4354="","",IFERROR(VLOOKUP(D4354,Projects!$A$2:$A$20000,1,FALSE),""))</f>
        <v/>
      </c>
      <c r="AF4354" s="2" t="str">
        <f>IF(D4354="","",IFERROR(MATCH(D4354,Projects!$A:$A,0),""))</f>
        <v/>
      </c>
    </row>
    <row r="4355" spans="31:32" x14ac:dyDescent="0.25">
      <c r="AE4355" s="39" t="str">
        <f>IF(D4355="","",IFERROR(VLOOKUP(D4355,Projects!$A$2:$A$20000,1,FALSE),""))</f>
        <v/>
      </c>
      <c r="AF4355" s="2" t="str">
        <f>IF(D4355="","",IFERROR(MATCH(D4355,Projects!$A:$A,0),""))</f>
        <v/>
      </c>
    </row>
    <row r="4356" spans="31:32" x14ac:dyDescent="0.25">
      <c r="AE4356" s="39" t="str">
        <f>IF(D4356="","",IFERROR(VLOOKUP(D4356,Projects!$A$2:$A$20000,1,FALSE),""))</f>
        <v/>
      </c>
      <c r="AF4356" s="2" t="str">
        <f>IF(D4356="","",IFERROR(MATCH(D4356,Projects!$A:$A,0),""))</f>
        <v/>
      </c>
    </row>
    <row r="4357" spans="31:32" x14ac:dyDescent="0.25">
      <c r="AE4357" s="39" t="str">
        <f>IF(D4357="","",IFERROR(VLOOKUP(D4357,Projects!$A$2:$A$20000,1,FALSE),""))</f>
        <v/>
      </c>
      <c r="AF4357" s="2" t="str">
        <f>IF(D4357="","",IFERROR(MATCH(D4357,Projects!$A:$A,0),""))</f>
        <v/>
      </c>
    </row>
    <row r="4358" spans="31:32" x14ac:dyDescent="0.25">
      <c r="AE4358" s="39" t="str">
        <f>IF(D4358="","",IFERROR(VLOOKUP(D4358,Projects!$A$2:$A$20000,1,FALSE),""))</f>
        <v/>
      </c>
      <c r="AF4358" s="2" t="str">
        <f>IF(D4358="","",IFERROR(MATCH(D4358,Projects!$A:$A,0),""))</f>
        <v/>
      </c>
    </row>
    <row r="4359" spans="31:32" x14ac:dyDescent="0.25">
      <c r="AE4359" s="39" t="str">
        <f>IF(D4359="","",IFERROR(VLOOKUP(D4359,Projects!$A$2:$A$20000,1,FALSE),""))</f>
        <v/>
      </c>
      <c r="AF4359" s="2" t="str">
        <f>IF(D4359="","",IFERROR(MATCH(D4359,Projects!$A:$A,0),""))</f>
        <v/>
      </c>
    </row>
    <row r="4360" spans="31:32" x14ac:dyDescent="0.25">
      <c r="AE4360" s="39" t="str">
        <f>IF(D4360="","",IFERROR(VLOOKUP(D4360,Projects!$A$2:$A$20000,1,FALSE),""))</f>
        <v/>
      </c>
      <c r="AF4360" s="2" t="str">
        <f>IF(D4360="","",IFERROR(MATCH(D4360,Projects!$A:$A,0),""))</f>
        <v/>
      </c>
    </row>
    <row r="4361" spans="31:32" x14ac:dyDescent="0.25">
      <c r="AE4361" s="39" t="str">
        <f>IF(D4361="","",IFERROR(VLOOKUP(D4361,Projects!$A$2:$A$20000,1,FALSE),""))</f>
        <v/>
      </c>
      <c r="AF4361" s="2" t="str">
        <f>IF(D4361="","",IFERROR(MATCH(D4361,Projects!$A:$A,0),""))</f>
        <v/>
      </c>
    </row>
    <row r="4362" spans="31:32" x14ac:dyDescent="0.25">
      <c r="AE4362" s="39" t="str">
        <f>IF(D4362="","",IFERROR(VLOOKUP(D4362,Projects!$A$2:$A$20000,1,FALSE),""))</f>
        <v/>
      </c>
      <c r="AF4362" s="2" t="str">
        <f>IF(D4362="","",IFERROR(MATCH(D4362,Projects!$A:$A,0),""))</f>
        <v/>
      </c>
    </row>
    <row r="4363" spans="31:32" x14ac:dyDescent="0.25">
      <c r="AE4363" s="39" t="str">
        <f>IF(D4363="","",IFERROR(VLOOKUP(D4363,Projects!$A$2:$A$20000,1,FALSE),""))</f>
        <v/>
      </c>
      <c r="AF4363" s="2" t="str">
        <f>IF(D4363="","",IFERROR(MATCH(D4363,Projects!$A:$A,0),""))</f>
        <v/>
      </c>
    </row>
    <row r="4364" spans="31:32" x14ac:dyDescent="0.25">
      <c r="AE4364" s="39" t="str">
        <f>IF(D4364="","",IFERROR(VLOOKUP(D4364,Projects!$A$2:$A$20000,1,FALSE),""))</f>
        <v/>
      </c>
      <c r="AF4364" s="2" t="str">
        <f>IF(D4364="","",IFERROR(MATCH(D4364,Projects!$A:$A,0),""))</f>
        <v/>
      </c>
    </row>
    <row r="4365" spans="31:32" x14ac:dyDescent="0.25">
      <c r="AE4365" s="39" t="str">
        <f>IF(D4365="","",IFERROR(VLOOKUP(D4365,Projects!$A$2:$A$20000,1,FALSE),""))</f>
        <v/>
      </c>
      <c r="AF4365" s="2" t="str">
        <f>IF(D4365="","",IFERROR(MATCH(D4365,Projects!$A:$A,0),""))</f>
        <v/>
      </c>
    </row>
    <row r="4366" spans="31:32" x14ac:dyDescent="0.25">
      <c r="AE4366" s="39" t="str">
        <f>IF(D4366="","",IFERROR(VLOOKUP(D4366,Projects!$A$2:$A$20000,1,FALSE),""))</f>
        <v/>
      </c>
      <c r="AF4366" s="2" t="str">
        <f>IF(D4366="","",IFERROR(MATCH(D4366,Projects!$A:$A,0),""))</f>
        <v/>
      </c>
    </row>
    <row r="4367" spans="31:32" x14ac:dyDescent="0.25">
      <c r="AE4367" s="39" t="str">
        <f>IF(D4367="","",IFERROR(VLOOKUP(D4367,Projects!$A$2:$A$20000,1,FALSE),""))</f>
        <v/>
      </c>
      <c r="AF4367" s="2" t="str">
        <f>IF(D4367="","",IFERROR(MATCH(D4367,Projects!$A:$A,0),""))</f>
        <v/>
      </c>
    </row>
    <row r="4368" spans="31:32" x14ac:dyDescent="0.25">
      <c r="AE4368" s="39" t="str">
        <f>IF(D4368="","",IFERROR(VLOOKUP(D4368,Projects!$A$2:$A$20000,1,FALSE),""))</f>
        <v/>
      </c>
      <c r="AF4368" s="2" t="str">
        <f>IF(D4368="","",IFERROR(MATCH(D4368,Projects!$A:$A,0),""))</f>
        <v/>
      </c>
    </row>
    <row r="4369" spans="31:32" x14ac:dyDescent="0.25">
      <c r="AE4369" s="39" t="str">
        <f>IF(D4369="","",IFERROR(VLOOKUP(D4369,Projects!$A$2:$A$20000,1,FALSE),""))</f>
        <v/>
      </c>
      <c r="AF4369" s="2" t="str">
        <f>IF(D4369="","",IFERROR(MATCH(D4369,Projects!$A:$A,0),""))</f>
        <v/>
      </c>
    </row>
    <row r="4370" spans="31:32" x14ac:dyDescent="0.25">
      <c r="AE4370" s="39" t="str">
        <f>IF(D4370="","",IFERROR(VLOOKUP(D4370,Projects!$A$2:$A$20000,1,FALSE),""))</f>
        <v/>
      </c>
      <c r="AF4370" s="2" t="str">
        <f>IF(D4370="","",IFERROR(MATCH(D4370,Projects!$A:$A,0),""))</f>
        <v/>
      </c>
    </row>
    <row r="4371" spans="31:32" x14ac:dyDescent="0.25">
      <c r="AE4371" s="39" t="str">
        <f>IF(D4371="","",IFERROR(VLOOKUP(D4371,Projects!$A$2:$A$20000,1,FALSE),""))</f>
        <v/>
      </c>
      <c r="AF4371" s="2" t="str">
        <f>IF(D4371="","",IFERROR(MATCH(D4371,Projects!$A:$A,0),""))</f>
        <v/>
      </c>
    </row>
    <row r="4372" spans="31:32" x14ac:dyDescent="0.25">
      <c r="AE4372" s="39" t="str">
        <f>IF(D4372="","",IFERROR(VLOOKUP(D4372,Projects!$A$2:$A$20000,1,FALSE),""))</f>
        <v/>
      </c>
      <c r="AF4372" s="2" t="str">
        <f>IF(D4372="","",IFERROR(MATCH(D4372,Projects!$A:$A,0),""))</f>
        <v/>
      </c>
    </row>
    <row r="4373" spans="31:32" x14ac:dyDescent="0.25">
      <c r="AE4373" s="39" t="str">
        <f>IF(D4373="","",IFERROR(VLOOKUP(D4373,Projects!$A$2:$A$20000,1,FALSE),""))</f>
        <v/>
      </c>
      <c r="AF4373" s="2" t="str">
        <f>IF(D4373="","",IFERROR(MATCH(D4373,Projects!$A:$A,0),""))</f>
        <v/>
      </c>
    </row>
    <row r="4374" spans="31:32" x14ac:dyDescent="0.25">
      <c r="AE4374" s="39" t="str">
        <f>IF(D4374="","",IFERROR(VLOOKUP(D4374,Projects!$A$2:$A$20000,1,FALSE),""))</f>
        <v/>
      </c>
      <c r="AF4374" s="2" t="str">
        <f>IF(D4374="","",IFERROR(MATCH(D4374,Projects!$A:$A,0),""))</f>
        <v/>
      </c>
    </row>
    <row r="4375" spans="31:32" x14ac:dyDescent="0.25">
      <c r="AE4375" s="39" t="str">
        <f>IF(D4375="","",IFERROR(VLOOKUP(D4375,Projects!$A$2:$A$20000,1,FALSE),""))</f>
        <v/>
      </c>
      <c r="AF4375" s="2" t="str">
        <f>IF(D4375="","",IFERROR(MATCH(D4375,Projects!$A:$A,0),""))</f>
        <v/>
      </c>
    </row>
    <row r="4376" spans="31:32" x14ac:dyDescent="0.25">
      <c r="AE4376" s="39" t="str">
        <f>IF(D4376="","",IFERROR(VLOOKUP(D4376,Projects!$A$2:$A$20000,1,FALSE),""))</f>
        <v/>
      </c>
      <c r="AF4376" s="2" t="str">
        <f>IF(D4376="","",IFERROR(MATCH(D4376,Projects!$A:$A,0),""))</f>
        <v/>
      </c>
    </row>
    <row r="4377" spans="31:32" x14ac:dyDescent="0.25">
      <c r="AE4377" s="39" t="str">
        <f>IF(D4377="","",IFERROR(VLOOKUP(D4377,Projects!$A$2:$A$20000,1,FALSE),""))</f>
        <v/>
      </c>
      <c r="AF4377" s="2" t="str">
        <f>IF(D4377="","",IFERROR(MATCH(D4377,Projects!$A:$A,0),""))</f>
        <v/>
      </c>
    </row>
    <row r="4378" spans="31:32" x14ac:dyDescent="0.25">
      <c r="AE4378" s="39" t="str">
        <f>IF(D4378="","",IFERROR(VLOOKUP(D4378,Projects!$A$2:$A$20000,1,FALSE),""))</f>
        <v/>
      </c>
      <c r="AF4378" s="2" t="str">
        <f>IF(D4378="","",IFERROR(MATCH(D4378,Projects!$A:$A,0),""))</f>
        <v/>
      </c>
    </row>
    <row r="4379" spans="31:32" x14ac:dyDescent="0.25">
      <c r="AE4379" s="39" t="str">
        <f>IF(D4379="","",IFERROR(VLOOKUP(D4379,Projects!$A$2:$A$20000,1,FALSE),""))</f>
        <v/>
      </c>
      <c r="AF4379" s="2" t="str">
        <f>IF(D4379="","",IFERROR(MATCH(D4379,Projects!$A:$A,0),""))</f>
        <v/>
      </c>
    </row>
    <row r="4380" spans="31:32" x14ac:dyDescent="0.25">
      <c r="AE4380" s="39" t="str">
        <f>IF(D4380="","",IFERROR(VLOOKUP(D4380,Projects!$A$2:$A$20000,1,FALSE),""))</f>
        <v/>
      </c>
      <c r="AF4380" s="2" t="str">
        <f>IF(D4380="","",IFERROR(MATCH(D4380,Projects!$A:$A,0),""))</f>
        <v/>
      </c>
    </row>
    <row r="4381" spans="31:32" x14ac:dyDescent="0.25">
      <c r="AE4381" s="39" t="str">
        <f>IF(D4381="","",IFERROR(VLOOKUP(D4381,Projects!$A$2:$A$20000,1,FALSE),""))</f>
        <v/>
      </c>
      <c r="AF4381" s="2" t="str">
        <f>IF(D4381="","",IFERROR(MATCH(D4381,Projects!$A:$A,0),""))</f>
        <v/>
      </c>
    </row>
    <row r="4382" spans="31:32" x14ac:dyDescent="0.25">
      <c r="AE4382" s="39" t="str">
        <f>IF(D4382="","",IFERROR(VLOOKUP(D4382,Projects!$A$2:$A$20000,1,FALSE),""))</f>
        <v/>
      </c>
      <c r="AF4382" s="2" t="str">
        <f>IF(D4382="","",IFERROR(MATCH(D4382,Projects!$A:$A,0),""))</f>
        <v/>
      </c>
    </row>
    <row r="4383" spans="31:32" x14ac:dyDescent="0.25">
      <c r="AE4383" s="39" t="str">
        <f>IF(D4383="","",IFERROR(VLOOKUP(D4383,Projects!$A$2:$A$20000,1,FALSE),""))</f>
        <v/>
      </c>
      <c r="AF4383" s="2" t="str">
        <f>IF(D4383="","",IFERROR(MATCH(D4383,Projects!$A:$A,0),""))</f>
        <v/>
      </c>
    </row>
    <row r="4384" spans="31:32" x14ac:dyDescent="0.25">
      <c r="AE4384" s="39" t="str">
        <f>IF(D4384="","",IFERROR(VLOOKUP(D4384,Projects!$A$2:$A$20000,1,FALSE),""))</f>
        <v/>
      </c>
      <c r="AF4384" s="2" t="str">
        <f>IF(D4384="","",IFERROR(MATCH(D4384,Projects!$A:$A,0),""))</f>
        <v/>
      </c>
    </row>
    <row r="4385" spans="31:32" x14ac:dyDescent="0.25">
      <c r="AE4385" s="39" t="str">
        <f>IF(D4385="","",IFERROR(VLOOKUP(D4385,Projects!$A$2:$A$20000,1,FALSE),""))</f>
        <v/>
      </c>
      <c r="AF4385" s="2" t="str">
        <f>IF(D4385="","",IFERROR(MATCH(D4385,Projects!$A:$A,0),""))</f>
        <v/>
      </c>
    </row>
    <row r="4386" spans="31:32" x14ac:dyDescent="0.25">
      <c r="AE4386" s="39" t="str">
        <f>IF(D4386="","",IFERROR(VLOOKUP(D4386,Projects!$A$2:$A$20000,1,FALSE),""))</f>
        <v/>
      </c>
      <c r="AF4386" s="2" t="str">
        <f>IF(D4386="","",IFERROR(MATCH(D4386,Projects!$A:$A,0),""))</f>
        <v/>
      </c>
    </row>
    <row r="4387" spans="31:32" x14ac:dyDescent="0.25">
      <c r="AE4387" s="39" t="str">
        <f>IF(D4387="","",IFERROR(VLOOKUP(D4387,Projects!$A$2:$A$20000,1,FALSE),""))</f>
        <v/>
      </c>
      <c r="AF4387" s="2" t="str">
        <f>IF(D4387="","",IFERROR(MATCH(D4387,Projects!$A:$A,0),""))</f>
        <v/>
      </c>
    </row>
    <row r="4388" spans="31:32" x14ac:dyDescent="0.25">
      <c r="AE4388" s="39" t="str">
        <f>IF(D4388="","",IFERROR(VLOOKUP(D4388,Projects!$A$2:$A$20000,1,FALSE),""))</f>
        <v/>
      </c>
      <c r="AF4388" s="2" t="str">
        <f>IF(D4388="","",IFERROR(MATCH(D4388,Projects!$A:$A,0),""))</f>
        <v/>
      </c>
    </row>
    <row r="4389" spans="31:32" x14ac:dyDescent="0.25">
      <c r="AE4389" s="39" t="str">
        <f>IF(D4389="","",IFERROR(VLOOKUP(D4389,Projects!$A$2:$A$20000,1,FALSE),""))</f>
        <v/>
      </c>
      <c r="AF4389" s="2" t="str">
        <f>IF(D4389="","",IFERROR(MATCH(D4389,Projects!$A:$A,0),""))</f>
        <v/>
      </c>
    </row>
    <row r="4390" spans="31:32" x14ac:dyDescent="0.25">
      <c r="AE4390" s="39" t="str">
        <f>IF(D4390="","",IFERROR(VLOOKUP(D4390,Projects!$A$2:$A$20000,1,FALSE),""))</f>
        <v/>
      </c>
      <c r="AF4390" s="2" t="str">
        <f>IF(D4390="","",IFERROR(MATCH(D4390,Projects!$A:$A,0),""))</f>
        <v/>
      </c>
    </row>
    <row r="4391" spans="31:32" x14ac:dyDescent="0.25">
      <c r="AE4391" s="39" t="str">
        <f>IF(D4391="","",IFERROR(VLOOKUP(D4391,Projects!$A$2:$A$20000,1,FALSE),""))</f>
        <v/>
      </c>
      <c r="AF4391" s="2" t="str">
        <f>IF(D4391="","",IFERROR(MATCH(D4391,Projects!$A:$A,0),""))</f>
        <v/>
      </c>
    </row>
    <row r="4392" spans="31:32" x14ac:dyDescent="0.25">
      <c r="AE4392" s="39" t="str">
        <f>IF(D4392="","",IFERROR(VLOOKUP(D4392,Projects!$A$2:$A$20000,1,FALSE),""))</f>
        <v/>
      </c>
      <c r="AF4392" s="2" t="str">
        <f>IF(D4392="","",IFERROR(MATCH(D4392,Projects!$A:$A,0),""))</f>
        <v/>
      </c>
    </row>
    <row r="4393" spans="31:32" x14ac:dyDescent="0.25">
      <c r="AE4393" s="39" t="str">
        <f>IF(D4393="","",IFERROR(VLOOKUP(D4393,Projects!$A$2:$A$20000,1,FALSE),""))</f>
        <v/>
      </c>
      <c r="AF4393" s="2" t="str">
        <f>IF(D4393="","",IFERROR(MATCH(D4393,Projects!$A:$A,0),""))</f>
        <v/>
      </c>
    </row>
    <row r="4394" spans="31:32" x14ac:dyDescent="0.25">
      <c r="AE4394" s="39" t="str">
        <f>IF(D4394="","",IFERROR(VLOOKUP(D4394,Projects!$A$2:$A$20000,1,FALSE),""))</f>
        <v/>
      </c>
      <c r="AF4394" s="2" t="str">
        <f>IF(D4394="","",IFERROR(MATCH(D4394,Projects!$A:$A,0),""))</f>
        <v/>
      </c>
    </row>
    <row r="4395" spans="31:32" x14ac:dyDescent="0.25">
      <c r="AE4395" s="39" t="str">
        <f>IF(D4395="","",IFERROR(VLOOKUP(D4395,Projects!$A$2:$A$20000,1,FALSE),""))</f>
        <v/>
      </c>
      <c r="AF4395" s="2" t="str">
        <f>IF(D4395="","",IFERROR(MATCH(D4395,Projects!$A:$A,0),""))</f>
        <v/>
      </c>
    </row>
    <row r="4396" spans="31:32" x14ac:dyDescent="0.25">
      <c r="AE4396" s="39" t="str">
        <f>IF(D4396="","",IFERROR(VLOOKUP(D4396,Projects!$A$2:$A$20000,1,FALSE),""))</f>
        <v/>
      </c>
      <c r="AF4396" s="2" t="str">
        <f>IF(D4396="","",IFERROR(MATCH(D4396,Projects!$A:$A,0),""))</f>
        <v/>
      </c>
    </row>
    <row r="4397" spans="31:32" x14ac:dyDescent="0.25">
      <c r="AE4397" s="39" t="str">
        <f>IF(D4397="","",IFERROR(VLOOKUP(D4397,Projects!$A$2:$A$20000,1,FALSE),""))</f>
        <v/>
      </c>
      <c r="AF4397" s="2" t="str">
        <f>IF(D4397="","",IFERROR(MATCH(D4397,Projects!$A:$A,0),""))</f>
        <v/>
      </c>
    </row>
    <row r="4398" spans="31:32" x14ac:dyDescent="0.25">
      <c r="AE4398" s="39" t="str">
        <f>IF(D4398="","",IFERROR(VLOOKUP(D4398,Projects!$A$2:$A$20000,1,FALSE),""))</f>
        <v/>
      </c>
      <c r="AF4398" s="2" t="str">
        <f>IF(D4398="","",IFERROR(MATCH(D4398,Projects!$A:$A,0),""))</f>
        <v/>
      </c>
    </row>
    <row r="4399" spans="31:32" x14ac:dyDescent="0.25">
      <c r="AE4399" s="39" t="str">
        <f>IF(D4399="","",IFERROR(VLOOKUP(D4399,Projects!$A$2:$A$20000,1,FALSE),""))</f>
        <v/>
      </c>
      <c r="AF4399" s="2" t="str">
        <f>IF(D4399="","",IFERROR(MATCH(D4399,Projects!$A:$A,0),""))</f>
        <v/>
      </c>
    </row>
    <row r="4400" spans="31:32" x14ac:dyDescent="0.25">
      <c r="AE4400" s="39" t="str">
        <f>IF(D4400="","",IFERROR(VLOOKUP(D4400,Projects!$A$2:$A$20000,1,FALSE),""))</f>
        <v/>
      </c>
      <c r="AF4400" s="2" t="str">
        <f>IF(D4400="","",IFERROR(MATCH(D4400,Projects!$A:$A,0),""))</f>
        <v/>
      </c>
    </row>
    <row r="4401" spans="31:32" x14ac:dyDescent="0.25">
      <c r="AE4401" s="39" t="str">
        <f>IF(D4401="","",IFERROR(VLOOKUP(D4401,Projects!$A$2:$A$20000,1,FALSE),""))</f>
        <v/>
      </c>
      <c r="AF4401" s="2" t="str">
        <f>IF(D4401="","",IFERROR(MATCH(D4401,Projects!$A:$A,0),""))</f>
        <v/>
      </c>
    </row>
    <row r="4402" spans="31:32" x14ac:dyDescent="0.25">
      <c r="AE4402" s="39" t="str">
        <f>IF(D4402="","",IFERROR(VLOOKUP(D4402,Projects!$A$2:$A$20000,1,FALSE),""))</f>
        <v/>
      </c>
      <c r="AF4402" s="2" t="str">
        <f>IF(D4402="","",IFERROR(MATCH(D4402,Projects!$A:$A,0),""))</f>
        <v/>
      </c>
    </row>
    <row r="4403" spans="31:32" x14ac:dyDescent="0.25">
      <c r="AE4403" s="39" t="str">
        <f>IF(D4403="","",IFERROR(VLOOKUP(D4403,Projects!$A$2:$A$20000,1,FALSE),""))</f>
        <v/>
      </c>
      <c r="AF4403" s="2" t="str">
        <f>IF(D4403="","",IFERROR(MATCH(D4403,Projects!$A:$A,0),""))</f>
        <v/>
      </c>
    </row>
    <row r="4404" spans="31:32" x14ac:dyDescent="0.25">
      <c r="AE4404" s="39" t="str">
        <f>IF(D4404="","",IFERROR(VLOOKUP(D4404,Projects!$A$2:$A$20000,1,FALSE),""))</f>
        <v/>
      </c>
      <c r="AF4404" s="2" t="str">
        <f>IF(D4404="","",IFERROR(MATCH(D4404,Projects!$A:$A,0),""))</f>
        <v/>
      </c>
    </row>
    <row r="4405" spans="31:32" x14ac:dyDescent="0.25">
      <c r="AE4405" s="39" t="str">
        <f>IF(D4405="","",IFERROR(VLOOKUP(D4405,Projects!$A$2:$A$20000,1,FALSE),""))</f>
        <v/>
      </c>
      <c r="AF4405" s="2" t="str">
        <f>IF(D4405="","",IFERROR(MATCH(D4405,Projects!$A:$A,0),""))</f>
        <v/>
      </c>
    </row>
    <row r="4406" spans="31:32" x14ac:dyDescent="0.25">
      <c r="AE4406" s="39" t="str">
        <f>IF(D4406="","",IFERROR(VLOOKUP(D4406,Projects!$A$2:$A$20000,1,FALSE),""))</f>
        <v/>
      </c>
      <c r="AF4406" s="2" t="str">
        <f>IF(D4406="","",IFERROR(MATCH(D4406,Projects!$A:$A,0),""))</f>
        <v/>
      </c>
    </row>
    <row r="4407" spans="31:32" x14ac:dyDescent="0.25">
      <c r="AE4407" s="39" t="str">
        <f>IF(D4407="","",IFERROR(VLOOKUP(D4407,Projects!$A$2:$A$20000,1,FALSE),""))</f>
        <v/>
      </c>
      <c r="AF4407" s="2" t="str">
        <f>IF(D4407="","",IFERROR(MATCH(D4407,Projects!$A:$A,0),""))</f>
        <v/>
      </c>
    </row>
    <row r="4408" spans="31:32" x14ac:dyDescent="0.25">
      <c r="AE4408" s="39" t="str">
        <f>IF(D4408="","",IFERROR(VLOOKUP(D4408,Projects!$A$2:$A$20000,1,FALSE),""))</f>
        <v/>
      </c>
      <c r="AF4408" s="2" t="str">
        <f>IF(D4408="","",IFERROR(MATCH(D4408,Projects!$A:$A,0),""))</f>
        <v/>
      </c>
    </row>
    <row r="4409" spans="31:32" x14ac:dyDescent="0.25">
      <c r="AE4409" s="39" t="str">
        <f>IF(D4409="","",IFERROR(VLOOKUP(D4409,Projects!$A$2:$A$20000,1,FALSE),""))</f>
        <v/>
      </c>
      <c r="AF4409" s="2" t="str">
        <f>IF(D4409="","",IFERROR(MATCH(D4409,Projects!$A:$A,0),""))</f>
        <v/>
      </c>
    </row>
    <row r="4410" spans="31:32" x14ac:dyDescent="0.25">
      <c r="AE4410" s="39" t="str">
        <f>IF(D4410="","",IFERROR(VLOOKUP(D4410,Projects!$A$2:$A$20000,1,FALSE),""))</f>
        <v/>
      </c>
      <c r="AF4410" s="2" t="str">
        <f>IF(D4410="","",IFERROR(MATCH(D4410,Projects!$A:$A,0),""))</f>
        <v/>
      </c>
    </row>
    <row r="4411" spans="31:32" x14ac:dyDescent="0.25">
      <c r="AE4411" s="39" t="str">
        <f>IF(D4411="","",IFERROR(VLOOKUP(D4411,Projects!$A$2:$A$20000,1,FALSE),""))</f>
        <v/>
      </c>
      <c r="AF4411" s="2" t="str">
        <f>IF(D4411="","",IFERROR(MATCH(D4411,Projects!$A:$A,0),""))</f>
        <v/>
      </c>
    </row>
    <row r="4412" spans="31:32" x14ac:dyDescent="0.25">
      <c r="AE4412" s="39" t="str">
        <f>IF(D4412="","",IFERROR(VLOOKUP(D4412,Projects!$A$2:$A$20000,1,FALSE),""))</f>
        <v/>
      </c>
      <c r="AF4412" s="2" t="str">
        <f>IF(D4412="","",IFERROR(MATCH(D4412,Projects!$A:$A,0),""))</f>
        <v/>
      </c>
    </row>
    <row r="4413" spans="31:32" x14ac:dyDescent="0.25">
      <c r="AE4413" s="39" t="str">
        <f>IF(D4413="","",IFERROR(VLOOKUP(D4413,Projects!$A$2:$A$20000,1,FALSE),""))</f>
        <v/>
      </c>
      <c r="AF4413" s="2" t="str">
        <f>IF(D4413="","",IFERROR(MATCH(D4413,Projects!$A:$A,0),""))</f>
        <v/>
      </c>
    </row>
    <row r="4414" spans="31:32" x14ac:dyDescent="0.25">
      <c r="AE4414" s="39" t="str">
        <f>IF(D4414="","",IFERROR(VLOOKUP(D4414,Projects!$A$2:$A$20000,1,FALSE),""))</f>
        <v/>
      </c>
      <c r="AF4414" s="2" t="str">
        <f>IF(D4414="","",IFERROR(MATCH(D4414,Projects!$A:$A,0),""))</f>
        <v/>
      </c>
    </row>
    <row r="4415" spans="31:32" x14ac:dyDescent="0.25">
      <c r="AE4415" s="39" t="str">
        <f>IF(D4415="","",IFERROR(VLOOKUP(D4415,Projects!$A$2:$A$20000,1,FALSE),""))</f>
        <v/>
      </c>
      <c r="AF4415" s="2" t="str">
        <f>IF(D4415="","",IFERROR(MATCH(D4415,Projects!$A:$A,0),""))</f>
        <v/>
      </c>
    </row>
    <row r="4416" spans="31:32" x14ac:dyDescent="0.25">
      <c r="AE4416" s="39" t="str">
        <f>IF(D4416="","",IFERROR(VLOOKUP(D4416,Projects!$A$2:$A$20000,1,FALSE),""))</f>
        <v/>
      </c>
      <c r="AF4416" s="2" t="str">
        <f>IF(D4416="","",IFERROR(MATCH(D4416,Projects!$A:$A,0),""))</f>
        <v/>
      </c>
    </row>
    <row r="4417" spans="31:32" x14ac:dyDescent="0.25">
      <c r="AE4417" s="39" t="str">
        <f>IF(D4417="","",IFERROR(VLOOKUP(D4417,Projects!$A$2:$A$20000,1,FALSE),""))</f>
        <v/>
      </c>
      <c r="AF4417" s="2" t="str">
        <f>IF(D4417="","",IFERROR(MATCH(D4417,Projects!$A:$A,0),""))</f>
        <v/>
      </c>
    </row>
    <row r="4418" spans="31:32" x14ac:dyDescent="0.25">
      <c r="AE4418" s="39" t="str">
        <f>IF(D4418="","",IFERROR(VLOOKUP(D4418,Projects!$A$2:$A$20000,1,FALSE),""))</f>
        <v/>
      </c>
      <c r="AF4418" s="2" t="str">
        <f>IF(D4418="","",IFERROR(MATCH(D4418,Projects!$A:$A,0),""))</f>
        <v/>
      </c>
    </row>
    <row r="4419" spans="31:32" x14ac:dyDescent="0.25">
      <c r="AE4419" s="39" t="str">
        <f>IF(D4419="","",IFERROR(VLOOKUP(D4419,Projects!$A$2:$A$20000,1,FALSE),""))</f>
        <v/>
      </c>
      <c r="AF4419" s="2" t="str">
        <f>IF(D4419="","",IFERROR(MATCH(D4419,Projects!$A:$A,0),""))</f>
        <v/>
      </c>
    </row>
    <row r="4420" spans="31:32" x14ac:dyDescent="0.25">
      <c r="AE4420" s="39" t="str">
        <f>IF(D4420="","",IFERROR(VLOOKUP(D4420,Projects!$A$2:$A$20000,1,FALSE),""))</f>
        <v/>
      </c>
      <c r="AF4420" s="2" t="str">
        <f>IF(D4420="","",IFERROR(MATCH(D4420,Projects!$A:$A,0),""))</f>
        <v/>
      </c>
    </row>
    <row r="4421" spans="31:32" x14ac:dyDescent="0.25">
      <c r="AE4421" s="39" t="str">
        <f>IF(D4421="","",IFERROR(VLOOKUP(D4421,Projects!$A$2:$A$20000,1,FALSE),""))</f>
        <v/>
      </c>
      <c r="AF4421" s="2" t="str">
        <f>IF(D4421="","",IFERROR(MATCH(D4421,Projects!$A:$A,0),""))</f>
        <v/>
      </c>
    </row>
    <row r="4422" spans="31:32" x14ac:dyDescent="0.25">
      <c r="AE4422" s="39" t="str">
        <f>IF(D4422="","",IFERROR(VLOOKUP(D4422,Projects!$A$2:$A$20000,1,FALSE),""))</f>
        <v/>
      </c>
      <c r="AF4422" s="2" t="str">
        <f>IF(D4422="","",IFERROR(MATCH(D4422,Projects!$A:$A,0),""))</f>
        <v/>
      </c>
    </row>
    <row r="4423" spans="31:32" x14ac:dyDescent="0.25">
      <c r="AE4423" s="39" t="str">
        <f>IF(D4423="","",IFERROR(VLOOKUP(D4423,Projects!$A$2:$A$20000,1,FALSE),""))</f>
        <v/>
      </c>
      <c r="AF4423" s="2" t="str">
        <f>IF(D4423="","",IFERROR(MATCH(D4423,Projects!$A:$A,0),""))</f>
        <v/>
      </c>
    </row>
    <row r="4424" spans="31:32" x14ac:dyDescent="0.25">
      <c r="AE4424" s="39" t="str">
        <f>IF(D4424="","",IFERROR(VLOOKUP(D4424,Projects!$A$2:$A$20000,1,FALSE),""))</f>
        <v/>
      </c>
      <c r="AF4424" s="2" t="str">
        <f>IF(D4424="","",IFERROR(MATCH(D4424,Projects!$A:$A,0),""))</f>
        <v/>
      </c>
    </row>
    <row r="4425" spans="31:32" x14ac:dyDescent="0.25">
      <c r="AE4425" s="39" t="str">
        <f>IF(D4425="","",IFERROR(VLOOKUP(D4425,Projects!$A$2:$A$20000,1,FALSE),""))</f>
        <v/>
      </c>
      <c r="AF4425" s="2" t="str">
        <f>IF(D4425="","",IFERROR(MATCH(D4425,Projects!$A:$A,0),""))</f>
        <v/>
      </c>
    </row>
    <row r="4426" spans="31:32" x14ac:dyDescent="0.25">
      <c r="AE4426" s="39" t="str">
        <f>IF(D4426="","",IFERROR(VLOOKUP(D4426,Projects!$A$2:$A$20000,1,FALSE),""))</f>
        <v/>
      </c>
      <c r="AF4426" s="2" t="str">
        <f>IF(D4426="","",IFERROR(MATCH(D4426,Projects!$A:$A,0),""))</f>
        <v/>
      </c>
    </row>
    <row r="4427" spans="31:32" x14ac:dyDescent="0.25">
      <c r="AE4427" s="39" t="str">
        <f>IF(D4427="","",IFERROR(VLOOKUP(D4427,Projects!$A$2:$A$20000,1,FALSE),""))</f>
        <v/>
      </c>
      <c r="AF4427" s="2" t="str">
        <f>IF(D4427="","",IFERROR(MATCH(D4427,Projects!$A:$A,0),""))</f>
        <v/>
      </c>
    </row>
    <row r="4428" spans="31:32" x14ac:dyDescent="0.25">
      <c r="AE4428" s="39" t="str">
        <f>IF(D4428="","",IFERROR(VLOOKUP(D4428,Projects!$A$2:$A$20000,1,FALSE),""))</f>
        <v/>
      </c>
      <c r="AF4428" s="2" t="str">
        <f>IF(D4428="","",IFERROR(MATCH(D4428,Projects!$A:$A,0),""))</f>
        <v/>
      </c>
    </row>
    <row r="4429" spans="31:32" x14ac:dyDescent="0.25">
      <c r="AE4429" s="39" t="str">
        <f>IF(D4429="","",IFERROR(VLOOKUP(D4429,Projects!$A$2:$A$20000,1,FALSE),""))</f>
        <v/>
      </c>
      <c r="AF4429" s="2" t="str">
        <f>IF(D4429="","",IFERROR(MATCH(D4429,Projects!$A:$A,0),""))</f>
        <v/>
      </c>
    </row>
    <row r="4430" spans="31:32" x14ac:dyDescent="0.25">
      <c r="AE4430" s="39" t="str">
        <f>IF(D4430="","",IFERROR(VLOOKUP(D4430,Projects!$A$2:$A$20000,1,FALSE),""))</f>
        <v/>
      </c>
      <c r="AF4430" s="2" t="str">
        <f>IF(D4430="","",IFERROR(MATCH(D4430,Projects!$A:$A,0),""))</f>
        <v/>
      </c>
    </row>
    <row r="4431" spans="31:32" x14ac:dyDescent="0.25">
      <c r="AE4431" s="39" t="str">
        <f>IF(D4431="","",IFERROR(VLOOKUP(D4431,Projects!$A$2:$A$20000,1,FALSE),""))</f>
        <v/>
      </c>
      <c r="AF4431" s="2" t="str">
        <f>IF(D4431="","",IFERROR(MATCH(D4431,Projects!$A:$A,0),""))</f>
        <v/>
      </c>
    </row>
    <row r="4432" spans="31:32" x14ac:dyDescent="0.25">
      <c r="AE4432" s="39" t="str">
        <f>IF(D4432="","",IFERROR(VLOOKUP(D4432,Projects!$A$2:$A$20000,1,FALSE),""))</f>
        <v/>
      </c>
      <c r="AF4432" s="2" t="str">
        <f>IF(D4432="","",IFERROR(MATCH(D4432,Projects!$A:$A,0),""))</f>
        <v/>
      </c>
    </row>
    <row r="4433" spans="31:32" x14ac:dyDescent="0.25">
      <c r="AE4433" s="39" t="str">
        <f>IF(D4433="","",IFERROR(VLOOKUP(D4433,Projects!$A$2:$A$20000,1,FALSE),""))</f>
        <v/>
      </c>
      <c r="AF4433" s="2" t="str">
        <f>IF(D4433="","",IFERROR(MATCH(D4433,Projects!$A:$A,0),""))</f>
        <v/>
      </c>
    </row>
    <row r="4434" spans="31:32" x14ac:dyDescent="0.25">
      <c r="AE4434" s="39" t="str">
        <f>IF(D4434="","",IFERROR(VLOOKUP(D4434,Projects!$A$2:$A$20000,1,FALSE),""))</f>
        <v/>
      </c>
      <c r="AF4434" s="2" t="str">
        <f>IF(D4434="","",IFERROR(MATCH(D4434,Projects!$A:$A,0),""))</f>
        <v/>
      </c>
    </row>
    <row r="4435" spans="31:32" x14ac:dyDescent="0.25">
      <c r="AE4435" s="39" t="str">
        <f>IF(D4435="","",IFERROR(VLOOKUP(D4435,Projects!$A$2:$A$20000,1,FALSE),""))</f>
        <v/>
      </c>
      <c r="AF4435" s="2" t="str">
        <f>IF(D4435="","",IFERROR(MATCH(D4435,Projects!$A:$A,0),""))</f>
        <v/>
      </c>
    </row>
    <row r="4436" spans="31:32" x14ac:dyDescent="0.25">
      <c r="AE4436" s="39" t="str">
        <f>IF(D4436="","",IFERROR(VLOOKUP(D4436,Projects!$A$2:$A$20000,1,FALSE),""))</f>
        <v/>
      </c>
      <c r="AF4436" s="2" t="str">
        <f>IF(D4436="","",IFERROR(MATCH(D4436,Projects!$A:$A,0),""))</f>
        <v/>
      </c>
    </row>
    <row r="4437" spans="31:32" x14ac:dyDescent="0.25">
      <c r="AE4437" s="39" t="str">
        <f>IF(D4437="","",IFERROR(VLOOKUP(D4437,Projects!$A$2:$A$20000,1,FALSE),""))</f>
        <v/>
      </c>
      <c r="AF4437" s="2" t="str">
        <f>IF(D4437="","",IFERROR(MATCH(D4437,Projects!$A:$A,0),""))</f>
        <v/>
      </c>
    </row>
    <row r="4438" spans="31:32" x14ac:dyDescent="0.25">
      <c r="AE4438" s="39" t="str">
        <f>IF(D4438="","",IFERROR(VLOOKUP(D4438,Projects!$A$2:$A$20000,1,FALSE),""))</f>
        <v/>
      </c>
      <c r="AF4438" s="2" t="str">
        <f>IF(D4438="","",IFERROR(MATCH(D4438,Projects!$A:$A,0),""))</f>
        <v/>
      </c>
    </row>
    <row r="4439" spans="31:32" x14ac:dyDescent="0.25">
      <c r="AE4439" s="39" t="str">
        <f>IF(D4439="","",IFERROR(VLOOKUP(D4439,Projects!$A$2:$A$20000,1,FALSE),""))</f>
        <v/>
      </c>
      <c r="AF4439" s="2" t="str">
        <f>IF(D4439="","",IFERROR(MATCH(D4439,Projects!$A:$A,0),""))</f>
        <v/>
      </c>
    </row>
    <row r="4440" spans="31:32" x14ac:dyDescent="0.25">
      <c r="AE4440" s="39" t="str">
        <f>IF(D4440="","",IFERROR(VLOOKUP(D4440,Projects!$A$2:$A$20000,1,FALSE),""))</f>
        <v/>
      </c>
      <c r="AF4440" s="2" t="str">
        <f>IF(D4440="","",IFERROR(MATCH(D4440,Projects!$A:$A,0),""))</f>
        <v/>
      </c>
    </row>
    <row r="4441" spans="31:32" x14ac:dyDescent="0.25">
      <c r="AE4441" s="39" t="str">
        <f>IF(D4441="","",IFERROR(VLOOKUP(D4441,Projects!$A$2:$A$20000,1,FALSE),""))</f>
        <v/>
      </c>
      <c r="AF4441" s="2" t="str">
        <f>IF(D4441="","",IFERROR(MATCH(D4441,Projects!$A:$A,0),""))</f>
        <v/>
      </c>
    </row>
    <row r="4442" spans="31:32" x14ac:dyDescent="0.25">
      <c r="AE4442" s="39" t="str">
        <f>IF(D4442="","",IFERROR(VLOOKUP(D4442,Projects!$A$2:$A$20000,1,FALSE),""))</f>
        <v/>
      </c>
      <c r="AF4442" s="2" t="str">
        <f>IF(D4442="","",IFERROR(MATCH(D4442,Projects!$A:$A,0),""))</f>
        <v/>
      </c>
    </row>
    <row r="4443" spans="31:32" x14ac:dyDescent="0.25">
      <c r="AE4443" s="39" t="str">
        <f>IF(D4443="","",IFERROR(VLOOKUP(D4443,Projects!$A$2:$A$20000,1,FALSE),""))</f>
        <v/>
      </c>
      <c r="AF4443" s="2" t="str">
        <f>IF(D4443="","",IFERROR(MATCH(D4443,Projects!$A:$A,0),""))</f>
        <v/>
      </c>
    </row>
    <row r="4444" spans="31:32" x14ac:dyDescent="0.25">
      <c r="AE4444" s="39" t="str">
        <f>IF(D4444="","",IFERROR(VLOOKUP(D4444,Projects!$A$2:$A$20000,1,FALSE),""))</f>
        <v/>
      </c>
      <c r="AF4444" s="2" t="str">
        <f>IF(D4444="","",IFERROR(MATCH(D4444,Projects!$A:$A,0),""))</f>
        <v/>
      </c>
    </row>
    <row r="4445" spans="31:32" x14ac:dyDescent="0.25">
      <c r="AE4445" s="39" t="str">
        <f>IF(D4445="","",IFERROR(VLOOKUP(D4445,Projects!$A$2:$A$20000,1,FALSE),""))</f>
        <v/>
      </c>
      <c r="AF4445" s="2" t="str">
        <f>IF(D4445="","",IFERROR(MATCH(D4445,Projects!$A:$A,0),""))</f>
        <v/>
      </c>
    </row>
    <row r="4446" spans="31:32" x14ac:dyDescent="0.25">
      <c r="AE4446" s="39" t="str">
        <f>IF(D4446="","",IFERROR(VLOOKUP(D4446,Projects!$A$2:$A$20000,1,FALSE),""))</f>
        <v/>
      </c>
      <c r="AF4446" s="2" t="str">
        <f>IF(D4446="","",IFERROR(MATCH(D4446,Projects!$A:$A,0),""))</f>
        <v/>
      </c>
    </row>
    <row r="4447" spans="31:32" x14ac:dyDescent="0.25">
      <c r="AE4447" s="39" t="str">
        <f>IF(D4447="","",IFERROR(VLOOKUP(D4447,Projects!$A$2:$A$20000,1,FALSE),""))</f>
        <v/>
      </c>
      <c r="AF4447" s="2" t="str">
        <f>IF(D4447="","",IFERROR(MATCH(D4447,Projects!$A:$A,0),""))</f>
        <v/>
      </c>
    </row>
    <row r="4448" spans="31:32" x14ac:dyDescent="0.25">
      <c r="AE4448" s="39" t="str">
        <f>IF(D4448="","",IFERROR(VLOOKUP(D4448,Projects!$A$2:$A$20000,1,FALSE),""))</f>
        <v/>
      </c>
      <c r="AF4448" s="2" t="str">
        <f>IF(D4448="","",IFERROR(MATCH(D4448,Projects!$A:$A,0),""))</f>
        <v/>
      </c>
    </row>
    <row r="4449" spans="31:32" x14ac:dyDescent="0.25">
      <c r="AE4449" s="39" t="str">
        <f>IF(D4449="","",IFERROR(VLOOKUP(D4449,Projects!$A$2:$A$20000,1,FALSE),""))</f>
        <v/>
      </c>
      <c r="AF4449" s="2" t="str">
        <f>IF(D4449="","",IFERROR(MATCH(D4449,Projects!$A:$A,0),""))</f>
        <v/>
      </c>
    </row>
    <row r="4450" spans="31:32" x14ac:dyDescent="0.25">
      <c r="AE4450" s="39" t="str">
        <f>IF(D4450="","",IFERROR(VLOOKUP(D4450,Projects!$A$2:$A$20000,1,FALSE),""))</f>
        <v/>
      </c>
      <c r="AF4450" s="2" t="str">
        <f>IF(D4450="","",IFERROR(MATCH(D4450,Projects!$A:$A,0),""))</f>
        <v/>
      </c>
    </row>
    <row r="4451" spans="31:32" x14ac:dyDescent="0.25">
      <c r="AE4451" s="39" t="str">
        <f>IF(D4451="","",IFERROR(VLOOKUP(D4451,Projects!$A$2:$A$20000,1,FALSE),""))</f>
        <v/>
      </c>
      <c r="AF4451" s="2" t="str">
        <f>IF(D4451="","",IFERROR(MATCH(D4451,Projects!$A:$A,0),""))</f>
        <v/>
      </c>
    </row>
    <row r="4452" spans="31:32" x14ac:dyDescent="0.25">
      <c r="AE4452" s="39" t="str">
        <f>IF(D4452="","",IFERROR(VLOOKUP(D4452,Projects!$A$2:$A$20000,1,FALSE),""))</f>
        <v/>
      </c>
      <c r="AF4452" s="2" t="str">
        <f>IF(D4452="","",IFERROR(MATCH(D4452,Projects!$A:$A,0),""))</f>
        <v/>
      </c>
    </row>
    <row r="4453" spans="31:32" x14ac:dyDescent="0.25">
      <c r="AE4453" s="39" t="str">
        <f>IF(D4453="","",IFERROR(VLOOKUP(D4453,Projects!$A$2:$A$20000,1,FALSE),""))</f>
        <v/>
      </c>
      <c r="AF4453" s="2" t="str">
        <f>IF(D4453="","",IFERROR(MATCH(D4453,Projects!$A:$A,0),""))</f>
        <v/>
      </c>
    </row>
    <row r="4454" spans="31:32" x14ac:dyDescent="0.25">
      <c r="AE4454" s="39" t="str">
        <f>IF(D4454="","",IFERROR(VLOOKUP(D4454,Projects!$A$2:$A$20000,1,FALSE),""))</f>
        <v/>
      </c>
      <c r="AF4454" s="2" t="str">
        <f>IF(D4454="","",IFERROR(MATCH(D4454,Projects!$A:$A,0),""))</f>
        <v/>
      </c>
    </row>
    <row r="4455" spans="31:32" x14ac:dyDescent="0.25">
      <c r="AE4455" s="39" t="str">
        <f>IF(D4455="","",IFERROR(VLOOKUP(D4455,Projects!$A$2:$A$20000,1,FALSE),""))</f>
        <v/>
      </c>
      <c r="AF4455" s="2" t="str">
        <f>IF(D4455="","",IFERROR(MATCH(D4455,Projects!$A:$A,0),""))</f>
        <v/>
      </c>
    </row>
    <row r="4456" spans="31:32" x14ac:dyDescent="0.25">
      <c r="AE4456" s="39" t="str">
        <f>IF(D4456="","",IFERROR(VLOOKUP(D4456,Projects!$A$2:$A$20000,1,FALSE),""))</f>
        <v/>
      </c>
      <c r="AF4456" s="2" t="str">
        <f>IF(D4456="","",IFERROR(MATCH(D4456,Projects!$A:$A,0),""))</f>
        <v/>
      </c>
    </row>
    <row r="4457" spans="31:32" x14ac:dyDescent="0.25">
      <c r="AE4457" s="39" t="str">
        <f>IF(D4457="","",IFERROR(VLOOKUP(D4457,Projects!$A$2:$A$20000,1,FALSE),""))</f>
        <v/>
      </c>
      <c r="AF4457" s="2" t="str">
        <f>IF(D4457="","",IFERROR(MATCH(D4457,Projects!$A:$A,0),""))</f>
        <v/>
      </c>
    </row>
    <row r="4458" spans="31:32" x14ac:dyDescent="0.25">
      <c r="AE4458" s="39" t="str">
        <f>IF(D4458="","",IFERROR(VLOOKUP(D4458,Projects!$A$2:$A$20000,1,FALSE),""))</f>
        <v/>
      </c>
      <c r="AF4458" s="2" t="str">
        <f>IF(D4458="","",IFERROR(MATCH(D4458,Projects!$A:$A,0),""))</f>
        <v/>
      </c>
    </row>
    <row r="4459" spans="31:32" x14ac:dyDescent="0.25">
      <c r="AE4459" s="39" t="str">
        <f>IF(D4459="","",IFERROR(VLOOKUP(D4459,Projects!$A$2:$A$20000,1,FALSE),""))</f>
        <v/>
      </c>
      <c r="AF4459" s="2" t="str">
        <f>IF(D4459="","",IFERROR(MATCH(D4459,Projects!$A:$A,0),""))</f>
        <v/>
      </c>
    </row>
    <row r="4460" spans="31:32" x14ac:dyDescent="0.25">
      <c r="AE4460" s="39" t="str">
        <f>IF(D4460="","",IFERROR(VLOOKUP(D4460,Projects!$A$2:$A$20000,1,FALSE),""))</f>
        <v/>
      </c>
      <c r="AF4460" s="2" t="str">
        <f>IF(D4460="","",IFERROR(MATCH(D4460,Projects!$A:$A,0),""))</f>
        <v/>
      </c>
    </row>
    <row r="4461" spans="31:32" x14ac:dyDescent="0.25">
      <c r="AE4461" s="39" t="str">
        <f>IF(D4461="","",IFERROR(VLOOKUP(D4461,Projects!$A$2:$A$20000,1,FALSE),""))</f>
        <v/>
      </c>
      <c r="AF4461" s="2" t="str">
        <f>IF(D4461="","",IFERROR(MATCH(D4461,Projects!$A:$A,0),""))</f>
        <v/>
      </c>
    </row>
    <row r="4462" spans="31:32" x14ac:dyDescent="0.25">
      <c r="AE4462" s="39" t="str">
        <f>IF(D4462="","",IFERROR(VLOOKUP(D4462,Projects!$A$2:$A$20000,1,FALSE),""))</f>
        <v/>
      </c>
      <c r="AF4462" s="2" t="str">
        <f>IF(D4462="","",IFERROR(MATCH(D4462,Projects!$A:$A,0),""))</f>
        <v/>
      </c>
    </row>
    <row r="4463" spans="31:32" x14ac:dyDescent="0.25">
      <c r="AE4463" s="39" t="str">
        <f>IF(D4463="","",IFERROR(VLOOKUP(D4463,Projects!$A$2:$A$20000,1,FALSE),""))</f>
        <v/>
      </c>
      <c r="AF4463" s="2" t="str">
        <f>IF(D4463="","",IFERROR(MATCH(D4463,Projects!$A:$A,0),""))</f>
        <v/>
      </c>
    </row>
    <row r="4464" spans="31:32" x14ac:dyDescent="0.25">
      <c r="AE4464" s="39" t="str">
        <f>IF(D4464="","",IFERROR(VLOOKUP(D4464,Projects!$A$2:$A$20000,1,FALSE),""))</f>
        <v/>
      </c>
      <c r="AF4464" s="2" t="str">
        <f>IF(D4464="","",IFERROR(MATCH(D4464,Projects!$A:$A,0),""))</f>
        <v/>
      </c>
    </row>
    <row r="4465" spans="31:32" x14ac:dyDescent="0.25">
      <c r="AE4465" s="39" t="str">
        <f>IF(D4465="","",IFERROR(VLOOKUP(D4465,Projects!$A$2:$A$20000,1,FALSE),""))</f>
        <v/>
      </c>
      <c r="AF4465" s="2" t="str">
        <f>IF(D4465="","",IFERROR(MATCH(D4465,Projects!$A:$A,0),""))</f>
        <v/>
      </c>
    </row>
    <row r="4466" spans="31:32" x14ac:dyDescent="0.25">
      <c r="AE4466" s="39" t="str">
        <f>IF(D4466="","",IFERROR(VLOOKUP(D4466,Projects!$A$2:$A$20000,1,FALSE),""))</f>
        <v/>
      </c>
      <c r="AF4466" s="2" t="str">
        <f>IF(D4466="","",IFERROR(MATCH(D4466,Projects!$A:$A,0),""))</f>
        <v/>
      </c>
    </row>
    <row r="4467" spans="31:32" x14ac:dyDescent="0.25">
      <c r="AE4467" s="39" t="str">
        <f>IF(D4467="","",IFERROR(VLOOKUP(D4467,Projects!$A$2:$A$20000,1,FALSE),""))</f>
        <v/>
      </c>
      <c r="AF4467" s="2" t="str">
        <f>IF(D4467="","",IFERROR(MATCH(D4467,Projects!$A:$A,0),""))</f>
        <v/>
      </c>
    </row>
    <row r="4468" spans="31:32" x14ac:dyDescent="0.25">
      <c r="AE4468" s="39" t="str">
        <f>IF(D4468="","",IFERROR(VLOOKUP(D4468,Projects!$A$2:$A$20000,1,FALSE),""))</f>
        <v/>
      </c>
      <c r="AF4468" s="2" t="str">
        <f>IF(D4468="","",IFERROR(MATCH(D4468,Projects!$A:$A,0),""))</f>
        <v/>
      </c>
    </row>
    <row r="4469" spans="31:32" x14ac:dyDescent="0.25">
      <c r="AE4469" s="39" t="str">
        <f>IF(D4469="","",IFERROR(VLOOKUP(D4469,Projects!$A$2:$A$20000,1,FALSE),""))</f>
        <v/>
      </c>
      <c r="AF4469" s="2" t="str">
        <f>IF(D4469="","",IFERROR(MATCH(D4469,Projects!$A:$A,0),""))</f>
        <v/>
      </c>
    </row>
    <row r="4470" spans="31:32" x14ac:dyDescent="0.25">
      <c r="AE4470" s="39" t="str">
        <f>IF(D4470="","",IFERROR(VLOOKUP(D4470,Projects!$A$2:$A$20000,1,FALSE),""))</f>
        <v/>
      </c>
      <c r="AF4470" s="2" t="str">
        <f>IF(D4470="","",IFERROR(MATCH(D4470,Projects!$A:$A,0),""))</f>
        <v/>
      </c>
    </row>
    <row r="4471" spans="31:32" x14ac:dyDescent="0.25">
      <c r="AE4471" s="39" t="str">
        <f>IF(D4471="","",IFERROR(VLOOKUP(D4471,Projects!$A$2:$A$20000,1,FALSE),""))</f>
        <v/>
      </c>
      <c r="AF4471" s="2" t="str">
        <f>IF(D4471="","",IFERROR(MATCH(D4471,Projects!$A:$A,0),""))</f>
        <v/>
      </c>
    </row>
    <row r="4472" spans="31:32" x14ac:dyDescent="0.25">
      <c r="AE4472" s="39" t="str">
        <f>IF(D4472="","",IFERROR(VLOOKUP(D4472,Projects!$A$2:$A$20000,1,FALSE),""))</f>
        <v/>
      </c>
      <c r="AF4472" s="2" t="str">
        <f>IF(D4472="","",IFERROR(MATCH(D4472,Projects!$A:$A,0),""))</f>
        <v/>
      </c>
    </row>
    <row r="4473" spans="31:32" x14ac:dyDescent="0.25">
      <c r="AE4473" s="39" t="str">
        <f>IF(D4473="","",IFERROR(VLOOKUP(D4473,Projects!$A$2:$A$20000,1,FALSE),""))</f>
        <v/>
      </c>
      <c r="AF4473" s="2" t="str">
        <f>IF(D4473="","",IFERROR(MATCH(D4473,Projects!$A:$A,0),""))</f>
        <v/>
      </c>
    </row>
    <row r="4474" spans="31:32" x14ac:dyDescent="0.25">
      <c r="AE4474" s="39" t="str">
        <f>IF(D4474="","",IFERROR(VLOOKUP(D4474,Projects!$A$2:$A$20000,1,FALSE),""))</f>
        <v/>
      </c>
      <c r="AF4474" s="2" t="str">
        <f>IF(D4474="","",IFERROR(MATCH(D4474,Projects!$A:$A,0),""))</f>
        <v/>
      </c>
    </row>
    <row r="4475" spans="31:32" x14ac:dyDescent="0.25">
      <c r="AE4475" s="39" t="str">
        <f>IF(D4475="","",IFERROR(VLOOKUP(D4475,Projects!$A$2:$A$20000,1,FALSE),""))</f>
        <v/>
      </c>
      <c r="AF4475" s="2" t="str">
        <f>IF(D4475="","",IFERROR(MATCH(D4475,Projects!$A:$A,0),""))</f>
        <v/>
      </c>
    </row>
    <row r="4476" spans="31:32" x14ac:dyDescent="0.25">
      <c r="AE4476" s="39" t="str">
        <f>IF(D4476="","",IFERROR(VLOOKUP(D4476,Projects!$A$2:$A$20000,1,FALSE),""))</f>
        <v/>
      </c>
      <c r="AF4476" s="2" t="str">
        <f>IF(D4476="","",IFERROR(MATCH(D4476,Projects!$A:$A,0),""))</f>
        <v/>
      </c>
    </row>
    <row r="4477" spans="31:32" x14ac:dyDescent="0.25">
      <c r="AE4477" s="39" t="str">
        <f>IF(D4477="","",IFERROR(VLOOKUP(D4477,Projects!$A$2:$A$20000,1,FALSE),""))</f>
        <v/>
      </c>
      <c r="AF4477" s="2" t="str">
        <f>IF(D4477="","",IFERROR(MATCH(D4477,Projects!$A:$A,0),""))</f>
        <v/>
      </c>
    </row>
    <row r="4478" spans="31:32" x14ac:dyDescent="0.25">
      <c r="AE4478" s="39" t="str">
        <f>IF(D4478="","",IFERROR(VLOOKUP(D4478,Projects!$A$2:$A$20000,1,FALSE),""))</f>
        <v/>
      </c>
      <c r="AF4478" s="2" t="str">
        <f>IF(D4478="","",IFERROR(MATCH(D4478,Projects!$A:$A,0),""))</f>
        <v/>
      </c>
    </row>
    <row r="4479" spans="31:32" x14ac:dyDescent="0.25">
      <c r="AE4479" s="39" t="str">
        <f>IF(D4479="","",IFERROR(VLOOKUP(D4479,Projects!$A$2:$A$20000,1,FALSE),""))</f>
        <v/>
      </c>
      <c r="AF4479" s="2" t="str">
        <f>IF(D4479="","",IFERROR(MATCH(D4479,Projects!$A:$A,0),""))</f>
        <v/>
      </c>
    </row>
    <row r="4480" spans="31:32" x14ac:dyDescent="0.25">
      <c r="AE4480" s="39" t="str">
        <f>IF(D4480="","",IFERROR(VLOOKUP(D4480,Projects!$A$2:$A$20000,1,FALSE),""))</f>
        <v/>
      </c>
      <c r="AF4480" s="2" t="str">
        <f>IF(D4480="","",IFERROR(MATCH(D4480,Projects!$A:$A,0),""))</f>
        <v/>
      </c>
    </row>
    <row r="4481" spans="31:32" x14ac:dyDescent="0.25">
      <c r="AE4481" s="39" t="str">
        <f>IF(D4481="","",IFERROR(VLOOKUP(D4481,Projects!$A$2:$A$20000,1,FALSE),""))</f>
        <v/>
      </c>
      <c r="AF4481" s="2" t="str">
        <f>IF(D4481="","",IFERROR(MATCH(D4481,Projects!$A:$A,0),""))</f>
        <v/>
      </c>
    </row>
    <row r="4482" spans="31:32" x14ac:dyDescent="0.25">
      <c r="AE4482" s="39" t="str">
        <f>IF(D4482="","",IFERROR(VLOOKUP(D4482,Projects!$A$2:$A$20000,1,FALSE),""))</f>
        <v/>
      </c>
      <c r="AF4482" s="2" t="str">
        <f>IF(D4482="","",IFERROR(MATCH(D4482,Projects!$A:$A,0),""))</f>
        <v/>
      </c>
    </row>
    <row r="4483" spans="31:32" x14ac:dyDescent="0.25">
      <c r="AE4483" s="39" t="str">
        <f>IF(D4483="","",IFERROR(VLOOKUP(D4483,Projects!$A$2:$A$20000,1,FALSE),""))</f>
        <v/>
      </c>
      <c r="AF4483" s="2" t="str">
        <f>IF(D4483="","",IFERROR(MATCH(D4483,Projects!$A:$A,0),""))</f>
        <v/>
      </c>
    </row>
    <row r="4484" spans="31:32" x14ac:dyDescent="0.25">
      <c r="AE4484" s="39" t="str">
        <f>IF(D4484="","",IFERROR(VLOOKUP(D4484,Projects!$A$2:$A$20000,1,FALSE),""))</f>
        <v/>
      </c>
      <c r="AF4484" s="2" t="str">
        <f>IF(D4484="","",IFERROR(MATCH(D4484,Projects!$A:$A,0),""))</f>
        <v/>
      </c>
    </row>
    <row r="4485" spans="31:32" x14ac:dyDescent="0.25">
      <c r="AE4485" s="39" t="str">
        <f>IF(D4485="","",IFERROR(VLOOKUP(D4485,Projects!$A$2:$A$20000,1,FALSE),""))</f>
        <v/>
      </c>
      <c r="AF4485" s="2" t="str">
        <f>IF(D4485="","",IFERROR(MATCH(D4485,Projects!$A:$A,0),""))</f>
        <v/>
      </c>
    </row>
    <row r="4486" spans="31:32" x14ac:dyDescent="0.25">
      <c r="AE4486" s="39" t="str">
        <f>IF(D4486="","",IFERROR(VLOOKUP(D4486,Projects!$A$2:$A$20000,1,FALSE),""))</f>
        <v/>
      </c>
      <c r="AF4486" s="2" t="str">
        <f>IF(D4486="","",IFERROR(MATCH(D4486,Projects!$A:$A,0),""))</f>
        <v/>
      </c>
    </row>
    <row r="4487" spans="31:32" x14ac:dyDescent="0.25">
      <c r="AE4487" s="39" t="str">
        <f>IF(D4487="","",IFERROR(VLOOKUP(D4487,Projects!$A$2:$A$20000,1,FALSE),""))</f>
        <v/>
      </c>
      <c r="AF4487" s="2" t="str">
        <f>IF(D4487="","",IFERROR(MATCH(D4487,Projects!$A:$A,0),""))</f>
        <v/>
      </c>
    </row>
    <row r="4488" spans="31:32" x14ac:dyDescent="0.25">
      <c r="AE4488" s="39" t="str">
        <f>IF(D4488="","",IFERROR(VLOOKUP(D4488,Projects!$A$2:$A$20000,1,FALSE),""))</f>
        <v/>
      </c>
      <c r="AF4488" s="2" t="str">
        <f>IF(D4488="","",IFERROR(MATCH(D4488,Projects!$A:$A,0),""))</f>
        <v/>
      </c>
    </row>
    <row r="4489" spans="31:32" x14ac:dyDescent="0.25">
      <c r="AE4489" s="39" t="str">
        <f>IF(D4489="","",IFERROR(VLOOKUP(D4489,Projects!$A$2:$A$20000,1,FALSE),""))</f>
        <v/>
      </c>
      <c r="AF4489" s="2" t="str">
        <f>IF(D4489="","",IFERROR(MATCH(D4489,Projects!$A:$A,0),""))</f>
        <v/>
      </c>
    </row>
    <row r="4490" spans="31:32" x14ac:dyDescent="0.25">
      <c r="AE4490" s="39" t="str">
        <f>IF(D4490="","",IFERROR(VLOOKUP(D4490,Projects!$A$2:$A$20000,1,FALSE),""))</f>
        <v/>
      </c>
      <c r="AF4490" s="2" t="str">
        <f>IF(D4490="","",IFERROR(MATCH(D4490,Projects!$A:$A,0),""))</f>
        <v/>
      </c>
    </row>
    <row r="4491" spans="31:32" x14ac:dyDescent="0.25">
      <c r="AE4491" s="39" t="str">
        <f>IF(D4491="","",IFERROR(VLOOKUP(D4491,Projects!$A$2:$A$20000,1,FALSE),""))</f>
        <v/>
      </c>
      <c r="AF4491" s="2" t="str">
        <f>IF(D4491="","",IFERROR(MATCH(D4491,Projects!$A:$A,0),""))</f>
        <v/>
      </c>
    </row>
    <row r="4492" spans="31:32" x14ac:dyDescent="0.25">
      <c r="AE4492" s="39" t="str">
        <f>IF(D4492="","",IFERROR(VLOOKUP(D4492,Projects!$A$2:$A$20000,1,FALSE),""))</f>
        <v/>
      </c>
      <c r="AF4492" s="2" t="str">
        <f>IF(D4492="","",IFERROR(MATCH(D4492,Projects!$A:$A,0),""))</f>
        <v/>
      </c>
    </row>
    <row r="4493" spans="31:32" x14ac:dyDescent="0.25">
      <c r="AE4493" s="39" t="str">
        <f>IF(D4493="","",IFERROR(VLOOKUP(D4493,Projects!$A$2:$A$20000,1,FALSE),""))</f>
        <v/>
      </c>
      <c r="AF4493" s="2" t="str">
        <f>IF(D4493="","",IFERROR(MATCH(D4493,Projects!$A:$A,0),""))</f>
        <v/>
      </c>
    </row>
    <row r="4494" spans="31:32" x14ac:dyDescent="0.25">
      <c r="AE4494" s="39" t="str">
        <f>IF(D4494="","",IFERROR(VLOOKUP(D4494,Projects!$A$2:$A$20000,1,FALSE),""))</f>
        <v/>
      </c>
      <c r="AF4494" s="2" t="str">
        <f>IF(D4494="","",IFERROR(MATCH(D4494,Projects!$A:$A,0),""))</f>
        <v/>
      </c>
    </row>
    <row r="4495" spans="31:32" x14ac:dyDescent="0.25">
      <c r="AE4495" s="39" t="str">
        <f>IF(D4495="","",IFERROR(VLOOKUP(D4495,Projects!$A$2:$A$20000,1,FALSE),""))</f>
        <v/>
      </c>
      <c r="AF4495" s="2" t="str">
        <f>IF(D4495="","",IFERROR(MATCH(D4495,Projects!$A:$A,0),""))</f>
        <v/>
      </c>
    </row>
    <row r="4496" spans="31:32" x14ac:dyDescent="0.25">
      <c r="AE4496" s="39" t="str">
        <f>IF(D4496="","",IFERROR(VLOOKUP(D4496,Projects!$A$2:$A$20000,1,FALSE),""))</f>
        <v/>
      </c>
      <c r="AF4496" s="2" t="str">
        <f>IF(D4496="","",IFERROR(MATCH(D4496,Projects!$A:$A,0),""))</f>
        <v/>
      </c>
    </row>
    <row r="4497" spans="31:32" x14ac:dyDescent="0.25">
      <c r="AE4497" s="39" t="str">
        <f>IF(D4497="","",IFERROR(VLOOKUP(D4497,Projects!$A$2:$A$20000,1,FALSE),""))</f>
        <v/>
      </c>
      <c r="AF4497" s="2" t="str">
        <f>IF(D4497="","",IFERROR(MATCH(D4497,Projects!$A:$A,0),""))</f>
        <v/>
      </c>
    </row>
    <row r="4498" spans="31:32" x14ac:dyDescent="0.25">
      <c r="AE4498" s="39" t="str">
        <f>IF(D4498="","",IFERROR(VLOOKUP(D4498,Projects!$A$2:$A$20000,1,FALSE),""))</f>
        <v/>
      </c>
      <c r="AF4498" s="2" t="str">
        <f>IF(D4498="","",IFERROR(MATCH(D4498,Projects!$A:$A,0),""))</f>
        <v/>
      </c>
    </row>
    <row r="4499" spans="31:32" x14ac:dyDescent="0.25">
      <c r="AE4499" s="39" t="str">
        <f>IF(D4499="","",IFERROR(VLOOKUP(D4499,Projects!$A$2:$A$20000,1,FALSE),""))</f>
        <v/>
      </c>
      <c r="AF4499" s="2" t="str">
        <f>IF(D4499="","",IFERROR(MATCH(D4499,Projects!$A:$A,0),""))</f>
        <v/>
      </c>
    </row>
    <row r="4500" spans="31:32" x14ac:dyDescent="0.25">
      <c r="AE4500" s="39" t="str">
        <f>IF(D4500="","",IFERROR(VLOOKUP(D4500,Projects!$A$2:$A$20000,1,FALSE),""))</f>
        <v/>
      </c>
      <c r="AF4500" s="2" t="str">
        <f>IF(D4500="","",IFERROR(MATCH(D4500,Projects!$A:$A,0),""))</f>
        <v/>
      </c>
    </row>
    <row r="4501" spans="31:32" x14ac:dyDescent="0.25">
      <c r="AE4501" s="39" t="str">
        <f>IF(D4501="","",IFERROR(VLOOKUP(D4501,Projects!$A$2:$A$20000,1,FALSE),""))</f>
        <v/>
      </c>
      <c r="AF4501" s="2" t="str">
        <f>IF(D4501="","",IFERROR(MATCH(D4501,Projects!$A:$A,0),""))</f>
        <v/>
      </c>
    </row>
    <row r="4502" spans="31:32" x14ac:dyDescent="0.25">
      <c r="AE4502" s="39" t="str">
        <f>IF(D4502="","",IFERROR(VLOOKUP(D4502,Projects!$A$2:$A$20000,1,FALSE),""))</f>
        <v/>
      </c>
      <c r="AF4502" s="2" t="str">
        <f>IF(D4502="","",IFERROR(MATCH(D4502,Projects!$A:$A,0),""))</f>
        <v/>
      </c>
    </row>
    <row r="4503" spans="31:32" x14ac:dyDescent="0.25">
      <c r="AE4503" s="39" t="str">
        <f>IF(D4503="","",IFERROR(VLOOKUP(D4503,Projects!$A$2:$A$20000,1,FALSE),""))</f>
        <v/>
      </c>
      <c r="AF4503" s="2" t="str">
        <f>IF(D4503="","",IFERROR(MATCH(D4503,Projects!$A:$A,0),""))</f>
        <v/>
      </c>
    </row>
    <row r="4504" spans="31:32" x14ac:dyDescent="0.25">
      <c r="AE4504" s="39" t="str">
        <f>IF(D4504="","",IFERROR(VLOOKUP(D4504,Projects!$A$2:$A$20000,1,FALSE),""))</f>
        <v/>
      </c>
      <c r="AF4504" s="2" t="str">
        <f>IF(D4504="","",IFERROR(MATCH(D4504,Projects!$A:$A,0),""))</f>
        <v/>
      </c>
    </row>
    <row r="4505" spans="31:32" x14ac:dyDescent="0.25">
      <c r="AE4505" s="39" t="str">
        <f>IF(D4505="","",IFERROR(VLOOKUP(D4505,Projects!$A$2:$A$20000,1,FALSE),""))</f>
        <v/>
      </c>
      <c r="AF4505" s="2" t="str">
        <f>IF(D4505="","",IFERROR(MATCH(D4505,Projects!$A:$A,0),""))</f>
        <v/>
      </c>
    </row>
    <row r="4506" spans="31:32" x14ac:dyDescent="0.25">
      <c r="AE4506" s="39" t="str">
        <f>IF(D4506="","",IFERROR(VLOOKUP(D4506,Projects!$A$2:$A$20000,1,FALSE),""))</f>
        <v/>
      </c>
      <c r="AF4506" s="2" t="str">
        <f>IF(D4506="","",IFERROR(MATCH(D4506,Projects!$A:$A,0),""))</f>
        <v/>
      </c>
    </row>
    <row r="4507" spans="31:32" x14ac:dyDescent="0.25">
      <c r="AE4507" s="39" t="str">
        <f>IF(D4507="","",IFERROR(VLOOKUP(D4507,Projects!$A$2:$A$20000,1,FALSE),""))</f>
        <v/>
      </c>
      <c r="AF4507" s="2" t="str">
        <f>IF(D4507="","",IFERROR(MATCH(D4507,Projects!$A:$A,0),""))</f>
        <v/>
      </c>
    </row>
    <row r="4508" spans="31:32" x14ac:dyDescent="0.25">
      <c r="AE4508" s="39" t="str">
        <f>IF(D4508="","",IFERROR(VLOOKUP(D4508,Projects!$A$2:$A$20000,1,FALSE),""))</f>
        <v/>
      </c>
      <c r="AF4508" s="2" t="str">
        <f>IF(D4508="","",IFERROR(MATCH(D4508,Projects!$A:$A,0),""))</f>
        <v/>
      </c>
    </row>
    <row r="4509" spans="31:32" x14ac:dyDescent="0.25">
      <c r="AE4509" s="39" t="str">
        <f>IF(D4509="","",IFERROR(VLOOKUP(D4509,Projects!$A$2:$A$20000,1,FALSE),""))</f>
        <v/>
      </c>
      <c r="AF4509" s="2" t="str">
        <f>IF(D4509="","",IFERROR(MATCH(D4509,Projects!$A:$A,0),""))</f>
        <v/>
      </c>
    </row>
    <row r="4510" spans="31:32" x14ac:dyDescent="0.25">
      <c r="AE4510" s="39" t="str">
        <f>IF(D4510="","",IFERROR(VLOOKUP(D4510,Projects!$A$2:$A$20000,1,FALSE),""))</f>
        <v/>
      </c>
      <c r="AF4510" s="2" t="str">
        <f>IF(D4510="","",IFERROR(MATCH(D4510,Projects!$A:$A,0),""))</f>
        <v/>
      </c>
    </row>
    <row r="4511" spans="31:32" x14ac:dyDescent="0.25">
      <c r="AE4511" s="39" t="str">
        <f>IF(D4511="","",IFERROR(VLOOKUP(D4511,Projects!$A$2:$A$20000,1,FALSE),""))</f>
        <v/>
      </c>
      <c r="AF4511" s="2" t="str">
        <f>IF(D4511="","",IFERROR(MATCH(D4511,Projects!$A:$A,0),""))</f>
        <v/>
      </c>
    </row>
    <row r="4512" spans="31:32" x14ac:dyDescent="0.25">
      <c r="AE4512" s="39" t="str">
        <f>IF(D4512="","",IFERROR(VLOOKUP(D4512,Projects!$A$2:$A$20000,1,FALSE),""))</f>
        <v/>
      </c>
      <c r="AF4512" s="2" t="str">
        <f>IF(D4512="","",IFERROR(MATCH(D4512,Projects!$A:$A,0),""))</f>
        <v/>
      </c>
    </row>
    <row r="4513" spans="31:32" x14ac:dyDescent="0.25">
      <c r="AE4513" s="39" t="str">
        <f>IF(D4513="","",IFERROR(VLOOKUP(D4513,Projects!$A$2:$A$20000,1,FALSE),""))</f>
        <v/>
      </c>
      <c r="AF4513" s="2" t="str">
        <f>IF(D4513="","",IFERROR(MATCH(D4513,Projects!$A:$A,0),""))</f>
        <v/>
      </c>
    </row>
    <row r="4514" spans="31:32" x14ac:dyDescent="0.25">
      <c r="AE4514" s="39" t="str">
        <f>IF(D4514="","",IFERROR(VLOOKUP(D4514,Projects!$A$2:$A$20000,1,FALSE),""))</f>
        <v/>
      </c>
      <c r="AF4514" s="2" t="str">
        <f>IF(D4514="","",IFERROR(MATCH(D4514,Projects!$A:$A,0),""))</f>
        <v/>
      </c>
    </row>
    <row r="4515" spans="31:32" x14ac:dyDescent="0.25">
      <c r="AE4515" s="39" t="str">
        <f>IF(D4515="","",IFERROR(VLOOKUP(D4515,Projects!$A$2:$A$20000,1,FALSE),""))</f>
        <v/>
      </c>
      <c r="AF4515" s="2" t="str">
        <f>IF(D4515="","",IFERROR(MATCH(D4515,Projects!$A:$A,0),""))</f>
        <v/>
      </c>
    </row>
    <row r="4516" spans="31:32" x14ac:dyDescent="0.25">
      <c r="AE4516" s="39" t="str">
        <f>IF(D4516="","",IFERROR(VLOOKUP(D4516,Projects!$A$2:$A$20000,1,FALSE),""))</f>
        <v/>
      </c>
      <c r="AF4516" s="2" t="str">
        <f>IF(D4516="","",IFERROR(MATCH(D4516,Projects!$A:$A,0),""))</f>
        <v/>
      </c>
    </row>
    <row r="4517" spans="31:32" x14ac:dyDescent="0.25">
      <c r="AE4517" s="39" t="str">
        <f>IF(D4517="","",IFERROR(VLOOKUP(D4517,Projects!$A$2:$A$20000,1,FALSE),""))</f>
        <v/>
      </c>
      <c r="AF4517" s="2" t="str">
        <f>IF(D4517="","",IFERROR(MATCH(D4517,Projects!$A:$A,0),""))</f>
        <v/>
      </c>
    </row>
    <row r="4518" spans="31:32" x14ac:dyDescent="0.25">
      <c r="AE4518" s="39" t="str">
        <f>IF(D4518="","",IFERROR(VLOOKUP(D4518,Projects!$A$2:$A$20000,1,FALSE),""))</f>
        <v/>
      </c>
      <c r="AF4518" s="2" t="str">
        <f>IF(D4518="","",IFERROR(MATCH(D4518,Projects!$A:$A,0),""))</f>
        <v/>
      </c>
    </row>
    <row r="4519" spans="31:32" x14ac:dyDescent="0.25">
      <c r="AE4519" s="39" t="str">
        <f>IF(D4519="","",IFERROR(VLOOKUP(D4519,Projects!$A$2:$A$20000,1,FALSE),""))</f>
        <v/>
      </c>
      <c r="AF4519" s="2" t="str">
        <f>IF(D4519="","",IFERROR(MATCH(D4519,Projects!$A:$A,0),""))</f>
        <v/>
      </c>
    </row>
    <row r="4520" spans="31:32" x14ac:dyDescent="0.25">
      <c r="AE4520" s="39" t="str">
        <f>IF(D4520="","",IFERROR(VLOOKUP(D4520,Projects!$A$2:$A$20000,1,FALSE),""))</f>
        <v/>
      </c>
      <c r="AF4520" s="2" t="str">
        <f>IF(D4520="","",IFERROR(MATCH(D4520,Projects!$A:$A,0),""))</f>
        <v/>
      </c>
    </row>
    <row r="4521" spans="31:32" x14ac:dyDescent="0.25">
      <c r="AE4521" s="39" t="str">
        <f>IF(D4521="","",IFERROR(VLOOKUP(D4521,Projects!$A$2:$A$20000,1,FALSE),""))</f>
        <v/>
      </c>
      <c r="AF4521" s="2" t="str">
        <f>IF(D4521="","",IFERROR(MATCH(D4521,Projects!$A:$A,0),""))</f>
        <v/>
      </c>
    </row>
    <row r="4522" spans="31:32" x14ac:dyDescent="0.25">
      <c r="AE4522" s="39" t="str">
        <f>IF(D4522="","",IFERROR(VLOOKUP(D4522,Projects!$A$2:$A$20000,1,FALSE),""))</f>
        <v/>
      </c>
      <c r="AF4522" s="2" t="str">
        <f>IF(D4522="","",IFERROR(MATCH(D4522,Projects!$A:$A,0),""))</f>
        <v/>
      </c>
    </row>
    <row r="4523" spans="31:32" x14ac:dyDescent="0.25">
      <c r="AE4523" s="39" t="str">
        <f>IF(D4523="","",IFERROR(VLOOKUP(D4523,Projects!$A$2:$A$20000,1,FALSE),""))</f>
        <v/>
      </c>
      <c r="AF4523" s="2" t="str">
        <f>IF(D4523="","",IFERROR(MATCH(D4523,Projects!$A:$A,0),""))</f>
        <v/>
      </c>
    </row>
    <row r="4524" spans="31:32" x14ac:dyDescent="0.25">
      <c r="AE4524" s="39" t="str">
        <f>IF(D4524="","",IFERROR(VLOOKUP(D4524,Projects!$A$2:$A$20000,1,FALSE),""))</f>
        <v/>
      </c>
      <c r="AF4524" s="2" t="str">
        <f>IF(D4524="","",IFERROR(MATCH(D4524,Projects!$A:$A,0),""))</f>
        <v/>
      </c>
    </row>
    <row r="4525" spans="31:32" x14ac:dyDescent="0.25">
      <c r="AE4525" s="39" t="str">
        <f>IF(D4525="","",IFERROR(VLOOKUP(D4525,Projects!$A$2:$A$20000,1,FALSE),""))</f>
        <v/>
      </c>
      <c r="AF4525" s="2" t="str">
        <f>IF(D4525="","",IFERROR(MATCH(D4525,Projects!$A:$A,0),""))</f>
        <v/>
      </c>
    </row>
    <row r="4526" spans="31:32" x14ac:dyDescent="0.25">
      <c r="AE4526" s="39" t="str">
        <f>IF(D4526="","",IFERROR(VLOOKUP(D4526,Projects!$A$2:$A$20000,1,FALSE),""))</f>
        <v/>
      </c>
      <c r="AF4526" s="2" t="str">
        <f>IF(D4526="","",IFERROR(MATCH(D4526,Projects!$A:$A,0),""))</f>
        <v/>
      </c>
    </row>
    <row r="4527" spans="31:32" x14ac:dyDescent="0.25">
      <c r="AE4527" s="39" t="str">
        <f>IF(D4527="","",IFERROR(VLOOKUP(D4527,Projects!$A$2:$A$20000,1,FALSE),""))</f>
        <v/>
      </c>
      <c r="AF4527" s="2" t="str">
        <f>IF(D4527="","",IFERROR(MATCH(D4527,Projects!$A:$A,0),""))</f>
        <v/>
      </c>
    </row>
    <row r="4528" spans="31:32" x14ac:dyDescent="0.25">
      <c r="AE4528" s="39" t="str">
        <f>IF(D4528="","",IFERROR(VLOOKUP(D4528,Projects!$A$2:$A$20000,1,FALSE),""))</f>
        <v/>
      </c>
      <c r="AF4528" s="2" t="str">
        <f>IF(D4528="","",IFERROR(MATCH(D4528,Projects!$A:$A,0),""))</f>
        <v/>
      </c>
    </row>
    <row r="4529" spans="31:32" x14ac:dyDescent="0.25">
      <c r="AE4529" s="39" t="str">
        <f>IF(D4529="","",IFERROR(VLOOKUP(D4529,Projects!$A$2:$A$20000,1,FALSE),""))</f>
        <v/>
      </c>
      <c r="AF4529" s="2" t="str">
        <f>IF(D4529="","",IFERROR(MATCH(D4529,Projects!$A:$A,0),""))</f>
        <v/>
      </c>
    </row>
    <row r="4530" spans="31:32" x14ac:dyDescent="0.25">
      <c r="AE4530" s="39" t="str">
        <f>IF(D4530="","",IFERROR(VLOOKUP(D4530,Projects!$A$2:$A$20000,1,FALSE),""))</f>
        <v/>
      </c>
      <c r="AF4530" s="2" t="str">
        <f>IF(D4530="","",IFERROR(MATCH(D4530,Projects!$A:$A,0),""))</f>
        <v/>
      </c>
    </row>
    <row r="4531" spans="31:32" x14ac:dyDescent="0.25">
      <c r="AE4531" s="39" t="str">
        <f>IF(D4531="","",IFERROR(VLOOKUP(D4531,Projects!$A$2:$A$20000,1,FALSE),""))</f>
        <v/>
      </c>
      <c r="AF4531" s="2" t="str">
        <f>IF(D4531="","",IFERROR(MATCH(D4531,Projects!$A:$A,0),""))</f>
        <v/>
      </c>
    </row>
    <row r="4532" spans="31:32" x14ac:dyDescent="0.25">
      <c r="AE4532" s="39" t="str">
        <f>IF(D4532="","",IFERROR(VLOOKUP(D4532,Projects!$A$2:$A$20000,1,FALSE),""))</f>
        <v/>
      </c>
      <c r="AF4532" s="2" t="str">
        <f>IF(D4532="","",IFERROR(MATCH(D4532,Projects!$A:$A,0),""))</f>
        <v/>
      </c>
    </row>
    <row r="4533" spans="31:32" x14ac:dyDescent="0.25">
      <c r="AE4533" s="39" t="str">
        <f>IF(D4533="","",IFERROR(VLOOKUP(D4533,Projects!$A$2:$A$20000,1,FALSE),""))</f>
        <v/>
      </c>
      <c r="AF4533" s="2" t="str">
        <f>IF(D4533="","",IFERROR(MATCH(D4533,Projects!$A:$A,0),""))</f>
        <v/>
      </c>
    </row>
    <row r="4534" spans="31:32" x14ac:dyDescent="0.25">
      <c r="AE4534" s="39" t="str">
        <f>IF(D4534="","",IFERROR(VLOOKUP(D4534,Projects!$A$2:$A$20000,1,FALSE),""))</f>
        <v/>
      </c>
      <c r="AF4534" s="2" t="str">
        <f>IF(D4534="","",IFERROR(MATCH(D4534,Projects!$A:$A,0),""))</f>
        <v/>
      </c>
    </row>
    <row r="4535" spans="31:32" x14ac:dyDescent="0.25">
      <c r="AE4535" s="39" t="str">
        <f>IF(D4535="","",IFERROR(VLOOKUP(D4535,Projects!$A$2:$A$20000,1,FALSE),""))</f>
        <v/>
      </c>
      <c r="AF4535" s="2" t="str">
        <f>IF(D4535="","",IFERROR(MATCH(D4535,Projects!$A:$A,0),""))</f>
        <v/>
      </c>
    </row>
    <row r="4536" spans="31:32" x14ac:dyDescent="0.25">
      <c r="AE4536" s="39" t="str">
        <f>IF(D4536="","",IFERROR(VLOOKUP(D4536,Projects!$A$2:$A$20000,1,FALSE),""))</f>
        <v/>
      </c>
      <c r="AF4536" s="2" t="str">
        <f>IF(D4536="","",IFERROR(MATCH(D4536,Projects!$A:$A,0),""))</f>
        <v/>
      </c>
    </row>
    <row r="4537" spans="31:32" x14ac:dyDescent="0.25">
      <c r="AE4537" s="39" t="str">
        <f>IF(D4537="","",IFERROR(VLOOKUP(D4537,Projects!$A$2:$A$20000,1,FALSE),""))</f>
        <v/>
      </c>
      <c r="AF4537" s="2" t="str">
        <f>IF(D4537="","",IFERROR(MATCH(D4537,Projects!$A:$A,0),""))</f>
        <v/>
      </c>
    </row>
    <row r="4538" spans="31:32" x14ac:dyDescent="0.25">
      <c r="AE4538" s="39" t="str">
        <f>IF(D4538="","",IFERROR(VLOOKUP(D4538,Projects!$A$2:$A$20000,1,FALSE),""))</f>
        <v/>
      </c>
      <c r="AF4538" s="2" t="str">
        <f>IF(D4538="","",IFERROR(MATCH(D4538,Projects!$A:$A,0),""))</f>
        <v/>
      </c>
    </row>
    <row r="4539" spans="31:32" x14ac:dyDescent="0.25">
      <c r="AE4539" s="39" t="str">
        <f>IF(D4539="","",IFERROR(VLOOKUP(D4539,Projects!$A$2:$A$20000,1,FALSE),""))</f>
        <v/>
      </c>
      <c r="AF4539" s="2" t="str">
        <f>IF(D4539="","",IFERROR(MATCH(D4539,Projects!$A:$A,0),""))</f>
        <v/>
      </c>
    </row>
    <row r="4540" spans="31:32" x14ac:dyDescent="0.25">
      <c r="AE4540" s="39" t="str">
        <f>IF(D4540="","",IFERROR(VLOOKUP(D4540,Projects!$A$2:$A$20000,1,FALSE),""))</f>
        <v/>
      </c>
      <c r="AF4540" s="2" t="str">
        <f>IF(D4540="","",IFERROR(MATCH(D4540,Projects!$A:$A,0),""))</f>
        <v/>
      </c>
    </row>
    <row r="4541" spans="31:32" x14ac:dyDescent="0.25">
      <c r="AE4541" s="39" t="str">
        <f>IF(D4541="","",IFERROR(VLOOKUP(D4541,Projects!$A$2:$A$20000,1,FALSE),""))</f>
        <v/>
      </c>
      <c r="AF4541" s="2" t="str">
        <f>IF(D4541="","",IFERROR(MATCH(D4541,Projects!$A:$A,0),""))</f>
        <v/>
      </c>
    </row>
    <row r="4542" spans="31:32" x14ac:dyDescent="0.25">
      <c r="AE4542" s="39" t="str">
        <f>IF(D4542="","",IFERROR(VLOOKUP(D4542,Projects!$A$2:$A$20000,1,FALSE),""))</f>
        <v/>
      </c>
      <c r="AF4542" s="2" t="str">
        <f>IF(D4542="","",IFERROR(MATCH(D4542,Projects!$A:$A,0),""))</f>
        <v/>
      </c>
    </row>
    <row r="4543" spans="31:32" x14ac:dyDescent="0.25">
      <c r="AE4543" s="39" t="str">
        <f>IF(D4543="","",IFERROR(VLOOKUP(D4543,Projects!$A$2:$A$20000,1,FALSE),""))</f>
        <v/>
      </c>
      <c r="AF4543" s="2" t="str">
        <f>IF(D4543="","",IFERROR(MATCH(D4543,Projects!$A:$A,0),""))</f>
        <v/>
      </c>
    </row>
    <row r="4544" spans="31:32" x14ac:dyDescent="0.25">
      <c r="AE4544" s="39" t="str">
        <f>IF(D4544="","",IFERROR(VLOOKUP(D4544,Projects!$A$2:$A$20000,1,FALSE),""))</f>
        <v/>
      </c>
      <c r="AF4544" s="2" t="str">
        <f>IF(D4544="","",IFERROR(MATCH(D4544,Projects!$A:$A,0),""))</f>
        <v/>
      </c>
    </row>
    <row r="4545" spans="31:32" x14ac:dyDescent="0.25">
      <c r="AE4545" s="39" t="str">
        <f>IF(D4545="","",IFERROR(VLOOKUP(D4545,Projects!$A$2:$A$20000,1,FALSE),""))</f>
        <v/>
      </c>
      <c r="AF4545" s="2" t="str">
        <f>IF(D4545="","",IFERROR(MATCH(D4545,Projects!$A:$A,0),""))</f>
        <v/>
      </c>
    </row>
    <row r="4546" spans="31:32" x14ac:dyDescent="0.25">
      <c r="AE4546" s="39" t="str">
        <f>IF(D4546="","",IFERROR(VLOOKUP(D4546,Projects!$A$2:$A$20000,1,FALSE),""))</f>
        <v/>
      </c>
      <c r="AF4546" s="2" t="str">
        <f>IF(D4546="","",IFERROR(MATCH(D4546,Projects!$A:$A,0),""))</f>
        <v/>
      </c>
    </row>
    <row r="4547" spans="31:32" x14ac:dyDescent="0.25">
      <c r="AE4547" s="39" t="str">
        <f>IF(D4547="","",IFERROR(VLOOKUP(D4547,Projects!$A$2:$A$20000,1,FALSE),""))</f>
        <v/>
      </c>
      <c r="AF4547" s="2" t="str">
        <f>IF(D4547="","",IFERROR(MATCH(D4547,Projects!$A:$A,0),""))</f>
        <v/>
      </c>
    </row>
    <row r="4548" spans="31:32" x14ac:dyDescent="0.25">
      <c r="AE4548" s="39" t="str">
        <f>IF(D4548="","",IFERROR(VLOOKUP(D4548,Projects!$A$2:$A$20000,1,FALSE),""))</f>
        <v/>
      </c>
      <c r="AF4548" s="2" t="str">
        <f>IF(D4548="","",IFERROR(MATCH(D4548,Projects!$A:$A,0),""))</f>
        <v/>
      </c>
    </row>
    <row r="4549" spans="31:32" x14ac:dyDescent="0.25">
      <c r="AE4549" s="39" t="str">
        <f>IF(D4549="","",IFERROR(VLOOKUP(D4549,Projects!$A$2:$A$20000,1,FALSE),""))</f>
        <v/>
      </c>
      <c r="AF4549" s="2" t="str">
        <f>IF(D4549="","",IFERROR(MATCH(D4549,Projects!$A:$A,0),""))</f>
        <v/>
      </c>
    </row>
    <row r="4550" spans="31:32" x14ac:dyDescent="0.25">
      <c r="AE4550" s="39" t="str">
        <f>IF(D4550="","",IFERROR(VLOOKUP(D4550,Projects!$A$2:$A$20000,1,FALSE),""))</f>
        <v/>
      </c>
      <c r="AF4550" s="2" t="str">
        <f>IF(D4550="","",IFERROR(MATCH(D4550,Projects!$A:$A,0),""))</f>
        <v/>
      </c>
    </row>
    <row r="4551" spans="31:32" x14ac:dyDescent="0.25">
      <c r="AE4551" s="39" t="str">
        <f>IF(D4551="","",IFERROR(VLOOKUP(D4551,Projects!$A$2:$A$20000,1,FALSE),""))</f>
        <v/>
      </c>
      <c r="AF4551" s="2" t="str">
        <f>IF(D4551="","",IFERROR(MATCH(D4551,Projects!$A:$A,0),""))</f>
        <v/>
      </c>
    </row>
    <row r="4552" spans="31:32" x14ac:dyDescent="0.25">
      <c r="AE4552" s="39" t="str">
        <f>IF(D4552="","",IFERROR(VLOOKUP(D4552,Projects!$A$2:$A$20000,1,FALSE),""))</f>
        <v/>
      </c>
      <c r="AF4552" s="2" t="str">
        <f>IF(D4552="","",IFERROR(MATCH(D4552,Projects!$A:$A,0),""))</f>
        <v/>
      </c>
    </row>
    <row r="4553" spans="31:32" x14ac:dyDescent="0.25">
      <c r="AE4553" s="39" t="str">
        <f>IF(D4553="","",IFERROR(VLOOKUP(D4553,Projects!$A$2:$A$20000,1,FALSE),""))</f>
        <v/>
      </c>
      <c r="AF4553" s="2" t="str">
        <f>IF(D4553="","",IFERROR(MATCH(D4553,Projects!$A:$A,0),""))</f>
        <v/>
      </c>
    </row>
    <row r="4554" spans="31:32" x14ac:dyDescent="0.25">
      <c r="AE4554" s="39" t="str">
        <f>IF(D4554="","",IFERROR(VLOOKUP(D4554,Projects!$A$2:$A$20000,1,FALSE),""))</f>
        <v/>
      </c>
      <c r="AF4554" s="2" t="str">
        <f>IF(D4554="","",IFERROR(MATCH(D4554,Projects!$A:$A,0),""))</f>
        <v/>
      </c>
    </row>
    <row r="4555" spans="31:32" x14ac:dyDescent="0.25">
      <c r="AE4555" s="39" t="str">
        <f>IF(D4555="","",IFERROR(VLOOKUP(D4555,Projects!$A$2:$A$20000,1,FALSE),""))</f>
        <v/>
      </c>
      <c r="AF4555" s="2" t="str">
        <f>IF(D4555="","",IFERROR(MATCH(D4555,Projects!$A:$A,0),""))</f>
        <v/>
      </c>
    </row>
    <row r="4556" spans="31:32" x14ac:dyDescent="0.25">
      <c r="AE4556" s="39" t="str">
        <f>IF(D4556="","",IFERROR(VLOOKUP(D4556,Projects!$A$2:$A$20000,1,FALSE),""))</f>
        <v/>
      </c>
      <c r="AF4556" s="2" t="str">
        <f>IF(D4556="","",IFERROR(MATCH(D4556,Projects!$A:$A,0),""))</f>
        <v/>
      </c>
    </row>
    <row r="4557" spans="31:32" x14ac:dyDescent="0.25">
      <c r="AE4557" s="39" t="str">
        <f>IF(D4557="","",IFERROR(VLOOKUP(D4557,Projects!$A$2:$A$20000,1,FALSE),""))</f>
        <v/>
      </c>
      <c r="AF4557" s="2" t="str">
        <f>IF(D4557="","",IFERROR(MATCH(D4557,Projects!$A:$A,0),""))</f>
        <v/>
      </c>
    </row>
    <row r="4558" spans="31:32" x14ac:dyDescent="0.25">
      <c r="AE4558" s="39" t="str">
        <f>IF(D4558="","",IFERROR(VLOOKUP(D4558,Projects!$A$2:$A$20000,1,FALSE),""))</f>
        <v/>
      </c>
      <c r="AF4558" s="2" t="str">
        <f>IF(D4558="","",IFERROR(MATCH(D4558,Projects!$A:$A,0),""))</f>
        <v/>
      </c>
    </row>
    <row r="4559" spans="31:32" x14ac:dyDescent="0.25">
      <c r="AE4559" s="39" t="str">
        <f>IF(D4559="","",IFERROR(VLOOKUP(D4559,Projects!$A$2:$A$20000,1,FALSE),""))</f>
        <v/>
      </c>
      <c r="AF4559" s="2" t="str">
        <f>IF(D4559="","",IFERROR(MATCH(D4559,Projects!$A:$A,0),""))</f>
        <v/>
      </c>
    </row>
    <row r="4560" spans="31:32" x14ac:dyDescent="0.25">
      <c r="AE4560" s="39" t="str">
        <f>IF(D4560="","",IFERROR(VLOOKUP(D4560,Projects!$A$2:$A$20000,1,FALSE),""))</f>
        <v/>
      </c>
      <c r="AF4560" s="2" t="str">
        <f>IF(D4560="","",IFERROR(MATCH(D4560,Projects!$A:$A,0),""))</f>
        <v/>
      </c>
    </row>
    <row r="4561" spans="31:32" x14ac:dyDescent="0.25">
      <c r="AE4561" s="39" t="str">
        <f>IF(D4561="","",IFERROR(VLOOKUP(D4561,Projects!$A$2:$A$20000,1,FALSE),""))</f>
        <v/>
      </c>
      <c r="AF4561" s="2" t="str">
        <f>IF(D4561="","",IFERROR(MATCH(D4561,Projects!$A:$A,0),""))</f>
        <v/>
      </c>
    </row>
    <row r="4562" spans="31:32" x14ac:dyDescent="0.25">
      <c r="AE4562" s="39" t="str">
        <f>IF(D4562="","",IFERROR(VLOOKUP(D4562,Projects!$A$2:$A$20000,1,FALSE),""))</f>
        <v/>
      </c>
      <c r="AF4562" s="2" t="str">
        <f>IF(D4562="","",IFERROR(MATCH(D4562,Projects!$A:$A,0),""))</f>
        <v/>
      </c>
    </row>
    <row r="4563" spans="31:32" x14ac:dyDescent="0.25">
      <c r="AE4563" s="39" t="str">
        <f>IF(D4563="","",IFERROR(VLOOKUP(D4563,Projects!$A$2:$A$20000,1,FALSE),""))</f>
        <v/>
      </c>
      <c r="AF4563" s="2" t="str">
        <f>IF(D4563="","",IFERROR(MATCH(D4563,Projects!$A:$A,0),""))</f>
        <v/>
      </c>
    </row>
    <row r="4564" spans="31:32" x14ac:dyDescent="0.25">
      <c r="AE4564" s="39" t="str">
        <f>IF(D4564="","",IFERROR(VLOOKUP(D4564,Projects!$A$2:$A$20000,1,FALSE),""))</f>
        <v/>
      </c>
      <c r="AF4564" s="2" t="str">
        <f>IF(D4564="","",IFERROR(MATCH(D4564,Projects!$A:$A,0),""))</f>
        <v/>
      </c>
    </row>
    <row r="4565" spans="31:32" x14ac:dyDescent="0.25">
      <c r="AE4565" s="39" t="str">
        <f>IF(D4565="","",IFERROR(VLOOKUP(D4565,Projects!$A$2:$A$20000,1,FALSE),""))</f>
        <v/>
      </c>
      <c r="AF4565" s="2" t="str">
        <f>IF(D4565="","",IFERROR(MATCH(D4565,Projects!$A:$A,0),""))</f>
        <v/>
      </c>
    </row>
    <row r="4566" spans="31:32" x14ac:dyDescent="0.25">
      <c r="AE4566" s="39" t="str">
        <f>IF(D4566="","",IFERROR(VLOOKUP(D4566,Projects!$A$2:$A$20000,1,FALSE),""))</f>
        <v/>
      </c>
      <c r="AF4566" s="2" t="str">
        <f>IF(D4566="","",IFERROR(MATCH(D4566,Projects!$A:$A,0),""))</f>
        <v/>
      </c>
    </row>
    <row r="4567" spans="31:32" x14ac:dyDescent="0.25">
      <c r="AE4567" s="39" t="str">
        <f>IF(D4567="","",IFERROR(VLOOKUP(D4567,Projects!$A$2:$A$20000,1,FALSE),""))</f>
        <v/>
      </c>
      <c r="AF4567" s="2" t="str">
        <f>IF(D4567="","",IFERROR(MATCH(D4567,Projects!$A:$A,0),""))</f>
        <v/>
      </c>
    </row>
    <row r="4568" spans="31:32" x14ac:dyDescent="0.25">
      <c r="AE4568" s="39" t="str">
        <f>IF(D4568="","",IFERROR(VLOOKUP(D4568,Projects!$A$2:$A$20000,1,FALSE),""))</f>
        <v/>
      </c>
      <c r="AF4568" s="2" t="str">
        <f>IF(D4568="","",IFERROR(MATCH(D4568,Projects!$A:$A,0),""))</f>
        <v/>
      </c>
    </row>
    <row r="4569" spans="31:32" x14ac:dyDescent="0.25">
      <c r="AE4569" s="39" t="str">
        <f>IF(D4569="","",IFERROR(VLOOKUP(D4569,Projects!$A$2:$A$20000,1,FALSE),""))</f>
        <v/>
      </c>
      <c r="AF4569" s="2" t="str">
        <f>IF(D4569="","",IFERROR(MATCH(D4569,Projects!$A:$A,0),""))</f>
        <v/>
      </c>
    </row>
    <row r="4570" spans="31:32" x14ac:dyDescent="0.25">
      <c r="AE4570" s="39" t="str">
        <f>IF(D4570="","",IFERROR(VLOOKUP(D4570,Projects!$A$2:$A$20000,1,FALSE),""))</f>
        <v/>
      </c>
      <c r="AF4570" s="2" t="str">
        <f>IF(D4570="","",IFERROR(MATCH(D4570,Projects!$A:$A,0),""))</f>
        <v/>
      </c>
    </row>
    <row r="4571" spans="31:32" x14ac:dyDescent="0.25">
      <c r="AE4571" s="39" t="str">
        <f>IF(D4571="","",IFERROR(VLOOKUP(D4571,Projects!$A$2:$A$20000,1,FALSE),""))</f>
        <v/>
      </c>
      <c r="AF4571" s="2" t="str">
        <f>IF(D4571="","",IFERROR(MATCH(D4571,Projects!$A:$A,0),""))</f>
        <v/>
      </c>
    </row>
    <row r="4572" spans="31:32" x14ac:dyDescent="0.25">
      <c r="AE4572" s="39" t="str">
        <f>IF(D4572="","",IFERROR(VLOOKUP(D4572,Projects!$A$2:$A$20000,1,FALSE),""))</f>
        <v/>
      </c>
      <c r="AF4572" s="2" t="str">
        <f>IF(D4572="","",IFERROR(MATCH(D4572,Projects!$A:$A,0),""))</f>
        <v/>
      </c>
    </row>
    <row r="4573" spans="31:32" x14ac:dyDescent="0.25">
      <c r="AE4573" s="39" t="str">
        <f>IF(D4573="","",IFERROR(VLOOKUP(D4573,Projects!$A$2:$A$20000,1,FALSE),""))</f>
        <v/>
      </c>
      <c r="AF4573" s="2" t="str">
        <f>IF(D4573="","",IFERROR(MATCH(D4573,Projects!$A:$A,0),""))</f>
        <v/>
      </c>
    </row>
    <row r="4574" spans="31:32" x14ac:dyDescent="0.25">
      <c r="AE4574" s="39" t="str">
        <f>IF(D4574="","",IFERROR(VLOOKUP(D4574,Projects!$A$2:$A$20000,1,FALSE),""))</f>
        <v/>
      </c>
      <c r="AF4574" s="2" t="str">
        <f>IF(D4574="","",IFERROR(MATCH(D4574,Projects!$A:$A,0),""))</f>
        <v/>
      </c>
    </row>
    <row r="4575" spans="31:32" x14ac:dyDescent="0.25">
      <c r="AE4575" s="39" t="str">
        <f>IF(D4575="","",IFERROR(VLOOKUP(D4575,Projects!$A$2:$A$20000,1,FALSE),""))</f>
        <v/>
      </c>
      <c r="AF4575" s="2" t="str">
        <f>IF(D4575="","",IFERROR(MATCH(D4575,Projects!$A:$A,0),""))</f>
        <v/>
      </c>
    </row>
    <row r="4576" spans="31:32" x14ac:dyDescent="0.25">
      <c r="AE4576" s="39" t="str">
        <f>IF(D4576="","",IFERROR(VLOOKUP(D4576,Projects!$A$2:$A$20000,1,FALSE),""))</f>
        <v/>
      </c>
      <c r="AF4576" s="2" t="str">
        <f>IF(D4576="","",IFERROR(MATCH(D4576,Projects!$A:$A,0),""))</f>
        <v/>
      </c>
    </row>
    <row r="4577" spans="31:32" x14ac:dyDescent="0.25">
      <c r="AE4577" s="39" t="str">
        <f>IF(D4577="","",IFERROR(VLOOKUP(D4577,Projects!$A$2:$A$20000,1,FALSE),""))</f>
        <v/>
      </c>
      <c r="AF4577" s="2" t="str">
        <f>IF(D4577="","",IFERROR(MATCH(D4577,Projects!$A:$A,0),""))</f>
        <v/>
      </c>
    </row>
    <row r="4578" spans="31:32" x14ac:dyDescent="0.25">
      <c r="AE4578" s="39" t="str">
        <f>IF(D4578="","",IFERROR(VLOOKUP(D4578,Projects!$A$2:$A$20000,1,FALSE),""))</f>
        <v/>
      </c>
      <c r="AF4578" s="2" t="str">
        <f>IF(D4578="","",IFERROR(MATCH(D4578,Projects!$A:$A,0),""))</f>
        <v/>
      </c>
    </row>
    <row r="4579" spans="31:32" x14ac:dyDescent="0.25">
      <c r="AE4579" s="39" t="str">
        <f>IF(D4579="","",IFERROR(VLOOKUP(D4579,Projects!$A$2:$A$20000,1,FALSE),""))</f>
        <v/>
      </c>
      <c r="AF4579" s="2" t="str">
        <f>IF(D4579="","",IFERROR(MATCH(D4579,Projects!$A:$A,0),""))</f>
        <v/>
      </c>
    </row>
    <row r="4580" spans="31:32" x14ac:dyDescent="0.25">
      <c r="AE4580" s="39" t="str">
        <f>IF(D4580="","",IFERROR(VLOOKUP(D4580,Projects!$A$2:$A$20000,1,FALSE),""))</f>
        <v/>
      </c>
      <c r="AF4580" s="2" t="str">
        <f>IF(D4580="","",IFERROR(MATCH(D4580,Projects!$A:$A,0),""))</f>
        <v/>
      </c>
    </row>
    <row r="4581" spans="31:32" x14ac:dyDescent="0.25">
      <c r="AE4581" s="39" t="str">
        <f>IF(D4581="","",IFERROR(VLOOKUP(D4581,Projects!$A$2:$A$20000,1,FALSE),""))</f>
        <v/>
      </c>
      <c r="AF4581" s="2" t="str">
        <f>IF(D4581="","",IFERROR(MATCH(D4581,Projects!$A:$A,0),""))</f>
        <v/>
      </c>
    </row>
    <row r="4582" spans="31:32" x14ac:dyDescent="0.25">
      <c r="AE4582" s="39" t="str">
        <f>IF(D4582="","",IFERROR(VLOOKUP(D4582,Projects!$A$2:$A$20000,1,FALSE),""))</f>
        <v/>
      </c>
      <c r="AF4582" s="2" t="str">
        <f>IF(D4582="","",IFERROR(MATCH(D4582,Projects!$A:$A,0),""))</f>
        <v/>
      </c>
    </row>
    <row r="4583" spans="31:32" x14ac:dyDescent="0.25">
      <c r="AE4583" s="39" t="str">
        <f>IF(D4583="","",IFERROR(VLOOKUP(D4583,Projects!$A$2:$A$20000,1,FALSE),""))</f>
        <v/>
      </c>
      <c r="AF4583" s="2" t="str">
        <f>IF(D4583="","",IFERROR(MATCH(D4583,Projects!$A:$A,0),""))</f>
        <v/>
      </c>
    </row>
    <row r="4584" spans="31:32" x14ac:dyDescent="0.25">
      <c r="AE4584" s="39" t="str">
        <f>IF(D4584="","",IFERROR(VLOOKUP(D4584,Projects!$A$2:$A$20000,1,FALSE),""))</f>
        <v/>
      </c>
      <c r="AF4584" s="2" t="str">
        <f>IF(D4584="","",IFERROR(MATCH(D4584,Projects!$A:$A,0),""))</f>
        <v/>
      </c>
    </row>
    <row r="4585" spans="31:32" x14ac:dyDescent="0.25">
      <c r="AE4585" s="39" t="str">
        <f>IF(D4585="","",IFERROR(VLOOKUP(D4585,Projects!$A$2:$A$20000,1,FALSE),""))</f>
        <v/>
      </c>
      <c r="AF4585" s="2" t="str">
        <f>IF(D4585="","",IFERROR(MATCH(D4585,Projects!$A:$A,0),""))</f>
        <v/>
      </c>
    </row>
    <row r="4586" spans="31:32" x14ac:dyDescent="0.25">
      <c r="AE4586" s="39" t="str">
        <f>IF(D4586="","",IFERROR(VLOOKUP(D4586,Projects!$A$2:$A$20000,1,FALSE),""))</f>
        <v/>
      </c>
      <c r="AF4586" s="2" t="str">
        <f>IF(D4586="","",IFERROR(MATCH(D4586,Projects!$A:$A,0),""))</f>
        <v/>
      </c>
    </row>
    <row r="4587" spans="31:32" x14ac:dyDescent="0.25">
      <c r="AE4587" s="39" t="str">
        <f>IF(D4587="","",IFERROR(VLOOKUP(D4587,Projects!$A$2:$A$20000,1,FALSE),""))</f>
        <v/>
      </c>
      <c r="AF4587" s="2" t="str">
        <f>IF(D4587="","",IFERROR(MATCH(D4587,Projects!$A:$A,0),""))</f>
        <v/>
      </c>
    </row>
    <row r="4588" spans="31:32" x14ac:dyDescent="0.25">
      <c r="AE4588" s="39" t="str">
        <f>IF(D4588="","",IFERROR(VLOOKUP(D4588,Projects!$A$2:$A$20000,1,FALSE),""))</f>
        <v/>
      </c>
      <c r="AF4588" s="2" t="str">
        <f>IF(D4588="","",IFERROR(MATCH(D4588,Projects!$A:$A,0),""))</f>
        <v/>
      </c>
    </row>
    <row r="4589" spans="31:32" x14ac:dyDescent="0.25">
      <c r="AE4589" s="39" t="str">
        <f>IF(D4589="","",IFERROR(VLOOKUP(D4589,Projects!$A$2:$A$20000,1,FALSE),""))</f>
        <v/>
      </c>
      <c r="AF4589" s="2" t="str">
        <f>IF(D4589="","",IFERROR(MATCH(D4589,Projects!$A:$A,0),""))</f>
        <v/>
      </c>
    </row>
    <row r="4590" spans="31:32" x14ac:dyDescent="0.25">
      <c r="AE4590" s="39" t="str">
        <f>IF(D4590="","",IFERROR(VLOOKUP(D4590,Projects!$A$2:$A$20000,1,FALSE),""))</f>
        <v/>
      </c>
      <c r="AF4590" s="2" t="str">
        <f>IF(D4590="","",IFERROR(MATCH(D4590,Projects!$A:$A,0),""))</f>
        <v/>
      </c>
    </row>
    <row r="4591" spans="31:32" x14ac:dyDescent="0.25">
      <c r="AE4591" s="39" t="str">
        <f>IF(D4591="","",IFERROR(VLOOKUP(D4591,Projects!$A$2:$A$20000,1,FALSE),""))</f>
        <v/>
      </c>
      <c r="AF4591" s="2" t="str">
        <f>IF(D4591="","",IFERROR(MATCH(D4591,Projects!$A:$A,0),""))</f>
        <v/>
      </c>
    </row>
    <row r="4592" spans="31:32" x14ac:dyDescent="0.25">
      <c r="AE4592" s="39" t="str">
        <f>IF(D4592="","",IFERROR(VLOOKUP(D4592,Projects!$A$2:$A$20000,1,FALSE),""))</f>
        <v/>
      </c>
      <c r="AF4592" s="2" t="str">
        <f>IF(D4592="","",IFERROR(MATCH(D4592,Projects!$A:$A,0),""))</f>
        <v/>
      </c>
    </row>
    <row r="4593" spans="31:32" x14ac:dyDescent="0.25">
      <c r="AE4593" s="39" t="str">
        <f>IF(D4593="","",IFERROR(VLOOKUP(D4593,Projects!$A$2:$A$20000,1,FALSE),""))</f>
        <v/>
      </c>
      <c r="AF4593" s="2" t="str">
        <f>IF(D4593="","",IFERROR(MATCH(D4593,Projects!$A:$A,0),""))</f>
        <v/>
      </c>
    </row>
    <row r="4594" spans="31:32" x14ac:dyDescent="0.25">
      <c r="AE4594" s="39" t="str">
        <f>IF(D4594="","",IFERROR(VLOOKUP(D4594,Projects!$A$2:$A$20000,1,FALSE),""))</f>
        <v/>
      </c>
      <c r="AF4594" s="2" t="str">
        <f>IF(D4594="","",IFERROR(MATCH(D4594,Projects!$A:$A,0),""))</f>
        <v/>
      </c>
    </row>
    <row r="4595" spans="31:32" x14ac:dyDescent="0.25">
      <c r="AE4595" s="39" t="str">
        <f>IF(D4595="","",IFERROR(VLOOKUP(D4595,Projects!$A$2:$A$20000,1,FALSE),""))</f>
        <v/>
      </c>
      <c r="AF4595" s="2" t="str">
        <f>IF(D4595="","",IFERROR(MATCH(D4595,Projects!$A:$A,0),""))</f>
        <v/>
      </c>
    </row>
    <row r="4596" spans="31:32" x14ac:dyDescent="0.25">
      <c r="AE4596" s="39" t="str">
        <f>IF(D4596="","",IFERROR(VLOOKUP(D4596,Projects!$A$2:$A$20000,1,FALSE),""))</f>
        <v/>
      </c>
      <c r="AF4596" s="2" t="str">
        <f>IF(D4596="","",IFERROR(MATCH(D4596,Projects!$A:$A,0),""))</f>
        <v/>
      </c>
    </row>
    <row r="4597" spans="31:32" x14ac:dyDescent="0.25">
      <c r="AE4597" s="39" t="str">
        <f>IF(D4597="","",IFERROR(VLOOKUP(D4597,Projects!$A$2:$A$20000,1,FALSE),""))</f>
        <v/>
      </c>
      <c r="AF4597" s="2" t="str">
        <f>IF(D4597="","",IFERROR(MATCH(D4597,Projects!$A:$A,0),""))</f>
        <v/>
      </c>
    </row>
    <row r="4598" spans="31:32" x14ac:dyDescent="0.25">
      <c r="AE4598" s="39" t="str">
        <f>IF(D4598="","",IFERROR(VLOOKUP(D4598,Projects!$A$2:$A$20000,1,FALSE),""))</f>
        <v/>
      </c>
      <c r="AF4598" s="2" t="str">
        <f>IF(D4598="","",IFERROR(MATCH(D4598,Projects!$A:$A,0),""))</f>
        <v/>
      </c>
    </row>
    <row r="4599" spans="31:32" x14ac:dyDescent="0.25">
      <c r="AE4599" s="39" t="str">
        <f>IF(D4599="","",IFERROR(VLOOKUP(D4599,Projects!$A$2:$A$20000,1,FALSE),""))</f>
        <v/>
      </c>
      <c r="AF4599" s="2" t="str">
        <f>IF(D4599="","",IFERROR(MATCH(D4599,Projects!$A:$A,0),""))</f>
        <v/>
      </c>
    </row>
    <row r="4600" spans="31:32" x14ac:dyDescent="0.25">
      <c r="AE4600" s="39" t="str">
        <f>IF(D4600="","",IFERROR(VLOOKUP(D4600,Projects!$A$2:$A$20000,1,FALSE),""))</f>
        <v/>
      </c>
      <c r="AF4600" s="2" t="str">
        <f>IF(D4600="","",IFERROR(MATCH(D4600,Projects!$A:$A,0),""))</f>
        <v/>
      </c>
    </row>
    <row r="4601" spans="31:32" x14ac:dyDescent="0.25">
      <c r="AE4601" s="39" t="str">
        <f>IF(D4601="","",IFERROR(VLOOKUP(D4601,Projects!$A$2:$A$20000,1,FALSE),""))</f>
        <v/>
      </c>
      <c r="AF4601" s="2" t="str">
        <f>IF(D4601="","",IFERROR(MATCH(D4601,Projects!$A:$A,0),""))</f>
        <v/>
      </c>
    </row>
    <row r="4602" spans="31:32" x14ac:dyDescent="0.25">
      <c r="AE4602" s="39" t="str">
        <f>IF(D4602="","",IFERROR(VLOOKUP(D4602,Projects!$A$2:$A$20000,1,FALSE),""))</f>
        <v/>
      </c>
      <c r="AF4602" s="2" t="str">
        <f>IF(D4602="","",IFERROR(MATCH(D4602,Projects!$A:$A,0),""))</f>
        <v/>
      </c>
    </row>
    <row r="4603" spans="31:32" x14ac:dyDescent="0.25">
      <c r="AE4603" s="39" t="str">
        <f>IF(D4603="","",IFERROR(VLOOKUP(D4603,Projects!$A$2:$A$20000,1,FALSE),""))</f>
        <v/>
      </c>
      <c r="AF4603" s="2" t="str">
        <f>IF(D4603="","",IFERROR(MATCH(D4603,Projects!$A:$A,0),""))</f>
        <v/>
      </c>
    </row>
    <row r="4604" spans="31:32" x14ac:dyDescent="0.25">
      <c r="AE4604" s="39" t="str">
        <f>IF(D4604="","",IFERROR(VLOOKUP(D4604,Projects!$A$2:$A$20000,1,FALSE),""))</f>
        <v/>
      </c>
      <c r="AF4604" s="2" t="str">
        <f>IF(D4604="","",IFERROR(MATCH(D4604,Projects!$A:$A,0),""))</f>
        <v/>
      </c>
    </row>
    <row r="4605" spans="31:32" x14ac:dyDescent="0.25">
      <c r="AE4605" s="39" t="str">
        <f>IF(D4605="","",IFERROR(VLOOKUP(D4605,Projects!$A$2:$A$20000,1,FALSE),""))</f>
        <v/>
      </c>
      <c r="AF4605" s="2" t="str">
        <f>IF(D4605="","",IFERROR(MATCH(D4605,Projects!$A:$A,0),""))</f>
        <v/>
      </c>
    </row>
    <row r="4606" spans="31:32" x14ac:dyDescent="0.25">
      <c r="AE4606" s="39" t="str">
        <f>IF(D4606="","",IFERROR(VLOOKUP(D4606,Projects!$A$2:$A$20000,1,FALSE),""))</f>
        <v/>
      </c>
      <c r="AF4606" s="2" t="str">
        <f>IF(D4606="","",IFERROR(MATCH(D4606,Projects!$A:$A,0),""))</f>
        <v/>
      </c>
    </row>
    <row r="4607" spans="31:32" x14ac:dyDescent="0.25">
      <c r="AE4607" s="39" t="str">
        <f>IF(D4607="","",IFERROR(VLOOKUP(D4607,Projects!$A$2:$A$20000,1,FALSE),""))</f>
        <v/>
      </c>
      <c r="AF4607" s="2" t="str">
        <f>IF(D4607="","",IFERROR(MATCH(D4607,Projects!$A:$A,0),""))</f>
        <v/>
      </c>
    </row>
    <row r="4608" spans="31:32" x14ac:dyDescent="0.25">
      <c r="AE4608" s="39" t="str">
        <f>IF(D4608="","",IFERROR(VLOOKUP(D4608,Projects!$A$2:$A$20000,1,FALSE),""))</f>
        <v/>
      </c>
      <c r="AF4608" s="2" t="str">
        <f>IF(D4608="","",IFERROR(MATCH(D4608,Projects!$A:$A,0),""))</f>
        <v/>
      </c>
    </row>
    <row r="4609" spans="31:32" x14ac:dyDescent="0.25">
      <c r="AE4609" s="39" t="str">
        <f>IF(D4609="","",IFERROR(VLOOKUP(D4609,Projects!$A$2:$A$20000,1,FALSE),""))</f>
        <v/>
      </c>
      <c r="AF4609" s="2" t="str">
        <f>IF(D4609="","",IFERROR(MATCH(D4609,Projects!$A:$A,0),""))</f>
        <v/>
      </c>
    </row>
    <row r="4610" spans="31:32" x14ac:dyDescent="0.25">
      <c r="AE4610" s="39" t="str">
        <f>IF(D4610="","",IFERROR(VLOOKUP(D4610,Projects!$A$2:$A$20000,1,FALSE),""))</f>
        <v/>
      </c>
      <c r="AF4610" s="2" t="str">
        <f>IF(D4610="","",IFERROR(MATCH(D4610,Projects!$A:$A,0),""))</f>
        <v/>
      </c>
    </row>
    <row r="4611" spans="31:32" x14ac:dyDescent="0.25">
      <c r="AE4611" s="39" t="str">
        <f>IF(D4611="","",IFERROR(VLOOKUP(D4611,Projects!$A$2:$A$20000,1,FALSE),""))</f>
        <v/>
      </c>
      <c r="AF4611" s="2" t="str">
        <f>IF(D4611="","",IFERROR(MATCH(D4611,Projects!$A:$A,0),""))</f>
        <v/>
      </c>
    </row>
    <row r="4612" spans="31:32" x14ac:dyDescent="0.25">
      <c r="AE4612" s="39" t="str">
        <f>IF(D4612="","",IFERROR(VLOOKUP(D4612,Projects!$A$2:$A$20000,1,FALSE),""))</f>
        <v/>
      </c>
      <c r="AF4612" s="2" t="str">
        <f>IF(D4612="","",IFERROR(MATCH(D4612,Projects!$A:$A,0),""))</f>
        <v/>
      </c>
    </row>
    <row r="4613" spans="31:32" x14ac:dyDescent="0.25">
      <c r="AE4613" s="39" t="str">
        <f>IF(D4613="","",IFERROR(VLOOKUP(D4613,Projects!$A$2:$A$20000,1,FALSE),""))</f>
        <v/>
      </c>
      <c r="AF4613" s="2" t="str">
        <f>IF(D4613="","",IFERROR(MATCH(D4613,Projects!$A:$A,0),""))</f>
        <v/>
      </c>
    </row>
    <row r="4614" spans="31:32" x14ac:dyDescent="0.25">
      <c r="AE4614" s="39" t="str">
        <f>IF(D4614="","",IFERROR(VLOOKUP(D4614,Projects!$A$2:$A$20000,1,FALSE),""))</f>
        <v/>
      </c>
      <c r="AF4614" s="2" t="str">
        <f>IF(D4614="","",IFERROR(MATCH(D4614,Projects!$A:$A,0),""))</f>
        <v/>
      </c>
    </row>
    <row r="4615" spans="31:32" x14ac:dyDescent="0.25">
      <c r="AE4615" s="39" t="str">
        <f>IF(D4615="","",IFERROR(VLOOKUP(D4615,Projects!$A$2:$A$20000,1,FALSE),""))</f>
        <v/>
      </c>
      <c r="AF4615" s="2" t="str">
        <f>IF(D4615="","",IFERROR(MATCH(D4615,Projects!$A:$A,0),""))</f>
        <v/>
      </c>
    </row>
    <row r="4616" spans="31:32" x14ac:dyDescent="0.25">
      <c r="AE4616" s="39" t="str">
        <f>IF(D4616="","",IFERROR(VLOOKUP(D4616,Projects!$A$2:$A$20000,1,FALSE),""))</f>
        <v/>
      </c>
      <c r="AF4616" s="2" t="str">
        <f>IF(D4616="","",IFERROR(MATCH(D4616,Projects!$A:$A,0),""))</f>
        <v/>
      </c>
    </row>
    <row r="4617" spans="31:32" x14ac:dyDescent="0.25">
      <c r="AE4617" s="39" t="str">
        <f>IF(D4617="","",IFERROR(VLOOKUP(D4617,Projects!$A$2:$A$20000,1,FALSE),""))</f>
        <v/>
      </c>
      <c r="AF4617" s="2" t="str">
        <f>IF(D4617="","",IFERROR(MATCH(D4617,Projects!$A:$A,0),""))</f>
        <v/>
      </c>
    </row>
    <row r="4618" spans="31:32" x14ac:dyDescent="0.25">
      <c r="AE4618" s="39" t="str">
        <f>IF(D4618="","",IFERROR(VLOOKUP(D4618,Projects!$A$2:$A$20000,1,FALSE),""))</f>
        <v/>
      </c>
      <c r="AF4618" s="2" t="str">
        <f>IF(D4618="","",IFERROR(MATCH(D4618,Projects!$A:$A,0),""))</f>
        <v/>
      </c>
    </row>
    <row r="4619" spans="31:32" x14ac:dyDescent="0.25">
      <c r="AE4619" s="39" t="str">
        <f>IF(D4619="","",IFERROR(VLOOKUP(D4619,Projects!$A$2:$A$20000,1,FALSE),""))</f>
        <v/>
      </c>
      <c r="AF4619" s="2" t="str">
        <f>IF(D4619="","",IFERROR(MATCH(D4619,Projects!$A:$A,0),""))</f>
        <v/>
      </c>
    </row>
    <row r="4620" spans="31:32" x14ac:dyDescent="0.25">
      <c r="AE4620" s="39" t="str">
        <f>IF(D4620="","",IFERROR(VLOOKUP(D4620,Projects!$A$2:$A$20000,1,FALSE),""))</f>
        <v/>
      </c>
      <c r="AF4620" s="2" t="str">
        <f>IF(D4620="","",IFERROR(MATCH(D4620,Projects!$A:$A,0),""))</f>
        <v/>
      </c>
    </row>
    <row r="4621" spans="31:32" x14ac:dyDescent="0.25">
      <c r="AE4621" s="39" t="str">
        <f>IF(D4621="","",IFERROR(VLOOKUP(D4621,Projects!$A$2:$A$20000,1,FALSE),""))</f>
        <v/>
      </c>
      <c r="AF4621" s="2" t="str">
        <f>IF(D4621="","",IFERROR(MATCH(D4621,Projects!$A:$A,0),""))</f>
        <v/>
      </c>
    </row>
    <row r="4622" spans="31:32" x14ac:dyDescent="0.25">
      <c r="AE4622" s="39" t="str">
        <f>IF(D4622="","",IFERROR(VLOOKUP(D4622,Projects!$A$2:$A$20000,1,FALSE),""))</f>
        <v/>
      </c>
      <c r="AF4622" s="2" t="str">
        <f>IF(D4622="","",IFERROR(MATCH(D4622,Projects!$A:$A,0),""))</f>
        <v/>
      </c>
    </row>
    <row r="4623" spans="31:32" x14ac:dyDescent="0.25">
      <c r="AE4623" s="39" t="str">
        <f>IF(D4623="","",IFERROR(VLOOKUP(D4623,Projects!$A$2:$A$20000,1,FALSE),""))</f>
        <v/>
      </c>
      <c r="AF4623" s="2" t="str">
        <f>IF(D4623="","",IFERROR(MATCH(D4623,Projects!$A:$A,0),""))</f>
        <v/>
      </c>
    </row>
    <row r="4624" spans="31:32" x14ac:dyDescent="0.25">
      <c r="AE4624" s="39" t="str">
        <f>IF(D4624="","",IFERROR(VLOOKUP(D4624,Projects!$A$2:$A$20000,1,FALSE),""))</f>
        <v/>
      </c>
      <c r="AF4624" s="2" t="str">
        <f>IF(D4624="","",IFERROR(MATCH(D4624,Projects!$A:$A,0),""))</f>
        <v/>
      </c>
    </row>
    <row r="4625" spans="31:32" x14ac:dyDescent="0.25">
      <c r="AE4625" s="39" t="str">
        <f>IF(D4625="","",IFERROR(VLOOKUP(D4625,Projects!$A$2:$A$20000,1,FALSE),""))</f>
        <v/>
      </c>
      <c r="AF4625" s="2" t="str">
        <f>IF(D4625="","",IFERROR(MATCH(D4625,Projects!$A:$A,0),""))</f>
        <v/>
      </c>
    </row>
    <row r="4626" spans="31:32" x14ac:dyDescent="0.25">
      <c r="AE4626" s="39" t="str">
        <f>IF(D4626="","",IFERROR(VLOOKUP(D4626,Projects!$A$2:$A$20000,1,FALSE),""))</f>
        <v/>
      </c>
      <c r="AF4626" s="2" t="str">
        <f>IF(D4626="","",IFERROR(MATCH(D4626,Projects!$A:$A,0),""))</f>
        <v/>
      </c>
    </row>
    <row r="4627" spans="31:32" x14ac:dyDescent="0.25">
      <c r="AE4627" s="39" t="str">
        <f>IF(D4627="","",IFERROR(VLOOKUP(D4627,Projects!$A$2:$A$20000,1,FALSE),""))</f>
        <v/>
      </c>
      <c r="AF4627" s="2" t="str">
        <f>IF(D4627="","",IFERROR(MATCH(D4627,Projects!$A:$A,0),""))</f>
        <v/>
      </c>
    </row>
    <row r="4628" spans="31:32" x14ac:dyDescent="0.25">
      <c r="AE4628" s="39" t="str">
        <f>IF(D4628="","",IFERROR(VLOOKUP(D4628,Projects!$A$2:$A$20000,1,FALSE),""))</f>
        <v/>
      </c>
      <c r="AF4628" s="2" t="str">
        <f>IF(D4628="","",IFERROR(MATCH(D4628,Projects!$A:$A,0),""))</f>
        <v/>
      </c>
    </row>
    <row r="4629" spans="31:32" x14ac:dyDescent="0.25">
      <c r="AE4629" s="39" t="str">
        <f>IF(D4629="","",IFERROR(VLOOKUP(D4629,Projects!$A$2:$A$20000,1,FALSE),""))</f>
        <v/>
      </c>
      <c r="AF4629" s="2" t="str">
        <f>IF(D4629="","",IFERROR(MATCH(D4629,Projects!$A:$A,0),""))</f>
        <v/>
      </c>
    </row>
    <row r="4630" spans="31:32" x14ac:dyDescent="0.25">
      <c r="AE4630" s="39" t="str">
        <f>IF(D4630="","",IFERROR(VLOOKUP(D4630,Projects!$A$2:$A$20000,1,FALSE),""))</f>
        <v/>
      </c>
      <c r="AF4630" s="2" t="str">
        <f>IF(D4630="","",IFERROR(MATCH(D4630,Projects!$A:$A,0),""))</f>
        <v/>
      </c>
    </row>
    <row r="4631" spans="31:32" x14ac:dyDescent="0.25">
      <c r="AE4631" s="39" t="str">
        <f>IF(D4631="","",IFERROR(VLOOKUP(D4631,Projects!$A$2:$A$20000,1,FALSE),""))</f>
        <v/>
      </c>
      <c r="AF4631" s="2" t="str">
        <f>IF(D4631="","",IFERROR(MATCH(D4631,Projects!$A:$A,0),""))</f>
        <v/>
      </c>
    </row>
    <row r="4632" spans="31:32" x14ac:dyDescent="0.25">
      <c r="AE4632" s="39" t="str">
        <f>IF(D4632="","",IFERROR(VLOOKUP(D4632,Projects!$A$2:$A$20000,1,FALSE),""))</f>
        <v/>
      </c>
      <c r="AF4632" s="2" t="str">
        <f>IF(D4632="","",IFERROR(MATCH(D4632,Projects!$A:$A,0),""))</f>
        <v/>
      </c>
    </row>
    <row r="4633" spans="31:32" x14ac:dyDescent="0.25">
      <c r="AE4633" s="39" t="str">
        <f>IF(D4633="","",IFERROR(VLOOKUP(D4633,Projects!$A$2:$A$20000,1,FALSE),""))</f>
        <v/>
      </c>
      <c r="AF4633" s="2" t="str">
        <f>IF(D4633="","",IFERROR(MATCH(D4633,Projects!$A:$A,0),""))</f>
        <v/>
      </c>
    </row>
    <row r="4634" spans="31:32" x14ac:dyDescent="0.25">
      <c r="AE4634" s="39" t="str">
        <f>IF(D4634="","",IFERROR(VLOOKUP(D4634,Projects!$A$2:$A$20000,1,FALSE),""))</f>
        <v/>
      </c>
      <c r="AF4634" s="2" t="str">
        <f>IF(D4634="","",IFERROR(MATCH(D4634,Projects!$A:$A,0),""))</f>
        <v/>
      </c>
    </row>
    <row r="4635" spans="31:32" x14ac:dyDescent="0.25">
      <c r="AE4635" s="39" t="str">
        <f>IF(D4635="","",IFERROR(VLOOKUP(D4635,Projects!$A$2:$A$20000,1,FALSE),""))</f>
        <v/>
      </c>
      <c r="AF4635" s="2" t="str">
        <f>IF(D4635="","",IFERROR(MATCH(D4635,Projects!$A:$A,0),""))</f>
        <v/>
      </c>
    </row>
    <row r="4636" spans="31:32" x14ac:dyDescent="0.25">
      <c r="AE4636" s="39" t="str">
        <f>IF(D4636="","",IFERROR(VLOOKUP(D4636,Projects!$A$2:$A$20000,1,FALSE),""))</f>
        <v/>
      </c>
      <c r="AF4636" s="2" t="str">
        <f>IF(D4636="","",IFERROR(MATCH(D4636,Projects!$A:$A,0),""))</f>
        <v/>
      </c>
    </row>
    <row r="4637" spans="31:32" x14ac:dyDescent="0.25">
      <c r="AE4637" s="39" t="str">
        <f>IF(D4637="","",IFERROR(VLOOKUP(D4637,Projects!$A$2:$A$20000,1,FALSE),""))</f>
        <v/>
      </c>
      <c r="AF4637" s="2" t="str">
        <f>IF(D4637="","",IFERROR(MATCH(D4637,Projects!$A:$A,0),""))</f>
        <v/>
      </c>
    </row>
    <row r="4638" spans="31:32" x14ac:dyDescent="0.25">
      <c r="AE4638" s="39" t="str">
        <f>IF(D4638="","",IFERROR(VLOOKUP(D4638,Projects!$A$2:$A$20000,1,FALSE),""))</f>
        <v/>
      </c>
      <c r="AF4638" s="2" t="str">
        <f>IF(D4638="","",IFERROR(MATCH(D4638,Projects!$A:$A,0),""))</f>
        <v/>
      </c>
    </row>
    <row r="4639" spans="31:32" x14ac:dyDescent="0.25">
      <c r="AE4639" s="39" t="str">
        <f>IF(D4639="","",IFERROR(VLOOKUP(D4639,Projects!$A$2:$A$20000,1,FALSE),""))</f>
        <v/>
      </c>
      <c r="AF4639" s="2" t="str">
        <f>IF(D4639="","",IFERROR(MATCH(D4639,Projects!$A:$A,0),""))</f>
        <v/>
      </c>
    </row>
    <row r="4640" spans="31:32" x14ac:dyDescent="0.25">
      <c r="AE4640" s="39" t="str">
        <f>IF(D4640="","",IFERROR(VLOOKUP(D4640,Projects!$A$2:$A$20000,1,FALSE),""))</f>
        <v/>
      </c>
      <c r="AF4640" s="2" t="str">
        <f>IF(D4640="","",IFERROR(MATCH(D4640,Projects!$A:$A,0),""))</f>
        <v/>
      </c>
    </row>
    <row r="4641" spans="31:32" x14ac:dyDescent="0.25">
      <c r="AE4641" s="39" t="str">
        <f>IF(D4641="","",IFERROR(VLOOKUP(D4641,Projects!$A$2:$A$20000,1,FALSE),""))</f>
        <v/>
      </c>
      <c r="AF4641" s="2" t="str">
        <f>IF(D4641="","",IFERROR(MATCH(D4641,Projects!$A:$A,0),""))</f>
        <v/>
      </c>
    </row>
    <row r="4642" spans="31:32" x14ac:dyDescent="0.25">
      <c r="AE4642" s="39" t="str">
        <f>IF(D4642="","",IFERROR(VLOOKUP(D4642,Projects!$A$2:$A$20000,1,FALSE),""))</f>
        <v/>
      </c>
      <c r="AF4642" s="2" t="str">
        <f>IF(D4642="","",IFERROR(MATCH(D4642,Projects!$A:$A,0),""))</f>
        <v/>
      </c>
    </row>
    <row r="4643" spans="31:32" x14ac:dyDescent="0.25">
      <c r="AE4643" s="39" t="str">
        <f>IF(D4643="","",IFERROR(VLOOKUP(D4643,Projects!$A$2:$A$20000,1,FALSE),""))</f>
        <v/>
      </c>
      <c r="AF4643" s="2" t="str">
        <f>IF(D4643="","",IFERROR(MATCH(D4643,Projects!$A:$A,0),""))</f>
        <v/>
      </c>
    </row>
    <row r="4644" spans="31:32" x14ac:dyDescent="0.25">
      <c r="AE4644" s="39" t="str">
        <f>IF(D4644="","",IFERROR(VLOOKUP(D4644,Projects!$A$2:$A$20000,1,FALSE),""))</f>
        <v/>
      </c>
      <c r="AF4644" s="2" t="str">
        <f>IF(D4644="","",IFERROR(MATCH(D4644,Projects!$A:$A,0),""))</f>
        <v/>
      </c>
    </row>
    <row r="4645" spans="31:32" x14ac:dyDescent="0.25">
      <c r="AE4645" s="39" t="str">
        <f>IF(D4645="","",IFERROR(VLOOKUP(D4645,Projects!$A$2:$A$20000,1,FALSE),""))</f>
        <v/>
      </c>
      <c r="AF4645" s="2" t="str">
        <f>IF(D4645="","",IFERROR(MATCH(D4645,Projects!$A:$A,0),""))</f>
        <v/>
      </c>
    </row>
    <row r="4646" spans="31:32" x14ac:dyDescent="0.25">
      <c r="AE4646" s="39" t="str">
        <f>IF(D4646="","",IFERROR(VLOOKUP(D4646,Projects!$A$2:$A$20000,1,FALSE),""))</f>
        <v/>
      </c>
      <c r="AF4646" s="2" t="str">
        <f>IF(D4646="","",IFERROR(MATCH(D4646,Projects!$A:$A,0),""))</f>
        <v/>
      </c>
    </row>
    <row r="4647" spans="31:32" x14ac:dyDescent="0.25">
      <c r="AE4647" s="39" t="str">
        <f>IF(D4647="","",IFERROR(VLOOKUP(D4647,Projects!$A$2:$A$20000,1,FALSE),""))</f>
        <v/>
      </c>
      <c r="AF4647" s="2" t="str">
        <f>IF(D4647="","",IFERROR(MATCH(D4647,Projects!$A:$A,0),""))</f>
        <v/>
      </c>
    </row>
    <row r="4648" spans="31:32" x14ac:dyDescent="0.25">
      <c r="AE4648" s="39" t="str">
        <f>IF(D4648="","",IFERROR(VLOOKUP(D4648,Projects!$A$2:$A$20000,1,FALSE),""))</f>
        <v/>
      </c>
      <c r="AF4648" s="2" t="str">
        <f>IF(D4648="","",IFERROR(MATCH(D4648,Projects!$A:$A,0),""))</f>
        <v/>
      </c>
    </row>
    <row r="4649" spans="31:32" x14ac:dyDescent="0.25">
      <c r="AE4649" s="39" t="str">
        <f>IF(D4649="","",IFERROR(VLOOKUP(D4649,Projects!$A$2:$A$20000,1,FALSE),""))</f>
        <v/>
      </c>
      <c r="AF4649" s="2" t="str">
        <f>IF(D4649="","",IFERROR(MATCH(D4649,Projects!$A:$A,0),""))</f>
        <v/>
      </c>
    </row>
    <row r="4650" spans="31:32" x14ac:dyDescent="0.25">
      <c r="AE4650" s="39" t="str">
        <f>IF(D4650="","",IFERROR(VLOOKUP(D4650,Projects!$A$2:$A$20000,1,FALSE),""))</f>
        <v/>
      </c>
      <c r="AF4650" s="2" t="str">
        <f>IF(D4650="","",IFERROR(MATCH(D4650,Projects!$A:$A,0),""))</f>
        <v/>
      </c>
    </row>
    <row r="4651" spans="31:32" x14ac:dyDescent="0.25">
      <c r="AE4651" s="39" t="str">
        <f>IF(D4651="","",IFERROR(VLOOKUP(D4651,Projects!$A$2:$A$20000,1,FALSE),""))</f>
        <v/>
      </c>
      <c r="AF4651" s="2" t="str">
        <f>IF(D4651="","",IFERROR(MATCH(D4651,Projects!$A:$A,0),""))</f>
        <v/>
      </c>
    </row>
    <row r="4652" spans="31:32" x14ac:dyDescent="0.25">
      <c r="AE4652" s="39" t="str">
        <f>IF(D4652="","",IFERROR(VLOOKUP(D4652,Projects!$A$2:$A$20000,1,FALSE),""))</f>
        <v/>
      </c>
      <c r="AF4652" s="2" t="str">
        <f>IF(D4652="","",IFERROR(MATCH(D4652,Projects!$A:$A,0),""))</f>
        <v/>
      </c>
    </row>
    <row r="4653" spans="31:32" x14ac:dyDescent="0.25">
      <c r="AE4653" s="39" t="str">
        <f>IF(D4653="","",IFERROR(VLOOKUP(D4653,Projects!$A$2:$A$20000,1,FALSE),""))</f>
        <v/>
      </c>
      <c r="AF4653" s="2" t="str">
        <f>IF(D4653="","",IFERROR(MATCH(D4653,Projects!$A:$A,0),""))</f>
        <v/>
      </c>
    </row>
    <row r="4654" spans="31:32" x14ac:dyDescent="0.25">
      <c r="AE4654" s="39" t="str">
        <f>IF(D4654="","",IFERROR(VLOOKUP(D4654,Projects!$A$2:$A$20000,1,FALSE),""))</f>
        <v/>
      </c>
      <c r="AF4654" s="2" t="str">
        <f>IF(D4654="","",IFERROR(MATCH(D4654,Projects!$A:$A,0),""))</f>
        <v/>
      </c>
    </row>
    <row r="4655" spans="31:32" x14ac:dyDescent="0.25">
      <c r="AE4655" s="39" t="str">
        <f>IF(D4655="","",IFERROR(VLOOKUP(D4655,Projects!$A$2:$A$20000,1,FALSE),""))</f>
        <v/>
      </c>
      <c r="AF4655" s="2" t="str">
        <f>IF(D4655="","",IFERROR(MATCH(D4655,Projects!$A:$A,0),""))</f>
        <v/>
      </c>
    </row>
    <row r="4656" spans="31:32" x14ac:dyDescent="0.25">
      <c r="AE4656" s="39" t="str">
        <f>IF(D4656="","",IFERROR(VLOOKUP(D4656,Projects!$A$2:$A$20000,1,FALSE),""))</f>
        <v/>
      </c>
      <c r="AF4656" s="2" t="str">
        <f>IF(D4656="","",IFERROR(MATCH(D4656,Projects!$A:$A,0),""))</f>
        <v/>
      </c>
    </row>
    <row r="4657" spans="31:32" x14ac:dyDescent="0.25">
      <c r="AE4657" s="39" t="str">
        <f>IF(D4657="","",IFERROR(VLOOKUP(D4657,Projects!$A$2:$A$20000,1,FALSE),""))</f>
        <v/>
      </c>
      <c r="AF4657" s="2" t="str">
        <f>IF(D4657="","",IFERROR(MATCH(D4657,Projects!$A:$A,0),""))</f>
        <v/>
      </c>
    </row>
    <row r="4658" spans="31:32" x14ac:dyDescent="0.25">
      <c r="AE4658" s="39" t="str">
        <f>IF(D4658="","",IFERROR(VLOOKUP(D4658,Projects!$A$2:$A$20000,1,FALSE),""))</f>
        <v/>
      </c>
      <c r="AF4658" s="2" t="str">
        <f>IF(D4658="","",IFERROR(MATCH(D4658,Projects!$A:$A,0),""))</f>
        <v/>
      </c>
    </row>
    <row r="4659" spans="31:32" x14ac:dyDescent="0.25">
      <c r="AE4659" s="39" t="str">
        <f>IF(D4659="","",IFERROR(VLOOKUP(D4659,Projects!$A$2:$A$20000,1,FALSE),""))</f>
        <v/>
      </c>
      <c r="AF4659" s="2" t="str">
        <f>IF(D4659="","",IFERROR(MATCH(D4659,Projects!$A:$A,0),""))</f>
        <v/>
      </c>
    </row>
    <row r="4660" spans="31:32" x14ac:dyDescent="0.25">
      <c r="AE4660" s="39" t="str">
        <f>IF(D4660="","",IFERROR(VLOOKUP(D4660,Projects!$A$2:$A$20000,1,FALSE),""))</f>
        <v/>
      </c>
      <c r="AF4660" s="2" t="str">
        <f>IF(D4660="","",IFERROR(MATCH(D4660,Projects!$A:$A,0),""))</f>
        <v/>
      </c>
    </row>
    <row r="4661" spans="31:32" x14ac:dyDescent="0.25">
      <c r="AE4661" s="39" t="str">
        <f>IF(D4661="","",IFERROR(VLOOKUP(D4661,Projects!$A$2:$A$20000,1,FALSE),""))</f>
        <v/>
      </c>
      <c r="AF4661" s="2" t="str">
        <f>IF(D4661="","",IFERROR(MATCH(D4661,Projects!$A:$A,0),""))</f>
        <v/>
      </c>
    </row>
    <row r="4662" spans="31:32" x14ac:dyDescent="0.25">
      <c r="AE4662" s="39" t="str">
        <f>IF(D4662="","",IFERROR(VLOOKUP(D4662,Projects!$A$2:$A$20000,1,FALSE),""))</f>
        <v/>
      </c>
      <c r="AF4662" s="2" t="str">
        <f>IF(D4662="","",IFERROR(MATCH(D4662,Projects!$A:$A,0),""))</f>
        <v/>
      </c>
    </row>
    <row r="4663" spans="31:32" x14ac:dyDescent="0.25">
      <c r="AE4663" s="39" t="str">
        <f>IF(D4663="","",IFERROR(VLOOKUP(D4663,Projects!$A$2:$A$20000,1,FALSE),""))</f>
        <v/>
      </c>
      <c r="AF4663" s="2" t="str">
        <f>IF(D4663="","",IFERROR(MATCH(D4663,Projects!$A:$A,0),""))</f>
        <v/>
      </c>
    </row>
    <row r="4664" spans="31:32" x14ac:dyDescent="0.25">
      <c r="AE4664" s="39" t="str">
        <f>IF(D4664="","",IFERROR(VLOOKUP(D4664,Projects!$A$2:$A$20000,1,FALSE),""))</f>
        <v/>
      </c>
      <c r="AF4664" s="2" t="str">
        <f>IF(D4664="","",IFERROR(MATCH(D4664,Projects!$A:$A,0),""))</f>
        <v/>
      </c>
    </row>
    <row r="4665" spans="31:32" x14ac:dyDescent="0.25">
      <c r="AE4665" s="39" t="str">
        <f>IF(D4665="","",IFERROR(VLOOKUP(D4665,Projects!$A$2:$A$20000,1,FALSE),""))</f>
        <v/>
      </c>
      <c r="AF4665" s="2" t="str">
        <f>IF(D4665="","",IFERROR(MATCH(D4665,Projects!$A:$A,0),""))</f>
        <v/>
      </c>
    </row>
    <row r="4666" spans="31:32" x14ac:dyDescent="0.25">
      <c r="AE4666" s="39" t="str">
        <f>IF(D4666="","",IFERROR(VLOOKUP(D4666,Projects!$A$2:$A$20000,1,FALSE),""))</f>
        <v/>
      </c>
      <c r="AF4666" s="2" t="str">
        <f>IF(D4666="","",IFERROR(MATCH(D4666,Projects!$A:$A,0),""))</f>
        <v/>
      </c>
    </row>
    <row r="4667" spans="31:32" x14ac:dyDescent="0.25">
      <c r="AE4667" s="39" t="str">
        <f>IF(D4667="","",IFERROR(VLOOKUP(D4667,Projects!$A$2:$A$20000,1,FALSE),""))</f>
        <v/>
      </c>
      <c r="AF4667" s="2" t="str">
        <f>IF(D4667="","",IFERROR(MATCH(D4667,Projects!$A:$A,0),""))</f>
        <v/>
      </c>
    </row>
    <row r="4668" spans="31:32" x14ac:dyDescent="0.25">
      <c r="AE4668" s="39" t="str">
        <f>IF(D4668="","",IFERROR(VLOOKUP(D4668,Projects!$A$2:$A$20000,1,FALSE),""))</f>
        <v/>
      </c>
      <c r="AF4668" s="2" t="str">
        <f>IF(D4668="","",IFERROR(MATCH(D4668,Projects!$A:$A,0),""))</f>
        <v/>
      </c>
    </row>
    <row r="4669" spans="31:32" x14ac:dyDescent="0.25">
      <c r="AE4669" s="39" t="str">
        <f>IF(D4669="","",IFERROR(VLOOKUP(D4669,Projects!$A$2:$A$20000,1,FALSE),""))</f>
        <v/>
      </c>
      <c r="AF4669" s="2" t="str">
        <f>IF(D4669="","",IFERROR(MATCH(D4669,Projects!$A:$A,0),""))</f>
        <v/>
      </c>
    </row>
    <row r="4670" spans="31:32" x14ac:dyDescent="0.25">
      <c r="AE4670" s="39" t="str">
        <f>IF(D4670="","",IFERROR(VLOOKUP(D4670,Projects!$A$2:$A$20000,1,FALSE),""))</f>
        <v/>
      </c>
      <c r="AF4670" s="2" t="str">
        <f>IF(D4670="","",IFERROR(MATCH(D4670,Projects!$A:$A,0),""))</f>
        <v/>
      </c>
    </row>
    <row r="4671" spans="31:32" x14ac:dyDescent="0.25">
      <c r="AE4671" s="39" t="str">
        <f>IF(D4671="","",IFERROR(VLOOKUP(D4671,Projects!$A$2:$A$20000,1,FALSE),""))</f>
        <v/>
      </c>
      <c r="AF4671" s="2" t="str">
        <f>IF(D4671="","",IFERROR(MATCH(D4671,Projects!$A:$A,0),""))</f>
        <v/>
      </c>
    </row>
    <row r="4672" spans="31:32" x14ac:dyDescent="0.25">
      <c r="AE4672" s="39" t="str">
        <f>IF(D4672="","",IFERROR(VLOOKUP(D4672,Projects!$A$2:$A$20000,1,FALSE),""))</f>
        <v/>
      </c>
      <c r="AF4672" s="2" t="str">
        <f>IF(D4672="","",IFERROR(MATCH(D4672,Projects!$A:$A,0),""))</f>
        <v/>
      </c>
    </row>
    <row r="4673" spans="31:32" x14ac:dyDescent="0.25">
      <c r="AE4673" s="39" t="str">
        <f>IF(D4673="","",IFERROR(VLOOKUP(D4673,Projects!$A$2:$A$20000,1,FALSE),""))</f>
        <v/>
      </c>
      <c r="AF4673" s="2" t="str">
        <f>IF(D4673="","",IFERROR(MATCH(D4673,Projects!$A:$A,0),""))</f>
        <v/>
      </c>
    </row>
    <row r="4674" spans="31:32" x14ac:dyDescent="0.25">
      <c r="AE4674" s="39" t="str">
        <f>IF(D4674="","",IFERROR(VLOOKUP(D4674,Projects!$A$2:$A$20000,1,FALSE),""))</f>
        <v/>
      </c>
      <c r="AF4674" s="2" t="str">
        <f>IF(D4674="","",IFERROR(MATCH(D4674,Projects!$A:$A,0),""))</f>
        <v/>
      </c>
    </row>
    <row r="4675" spans="31:32" x14ac:dyDescent="0.25">
      <c r="AE4675" s="39" t="str">
        <f>IF(D4675="","",IFERROR(VLOOKUP(D4675,Projects!$A$2:$A$20000,1,FALSE),""))</f>
        <v/>
      </c>
      <c r="AF4675" s="2" t="str">
        <f>IF(D4675="","",IFERROR(MATCH(D4675,Projects!$A:$A,0),""))</f>
        <v/>
      </c>
    </row>
    <row r="4676" spans="31:32" x14ac:dyDescent="0.25">
      <c r="AE4676" s="39" t="str">
        <f>IF(D4676="","",IFERROR(VLOOKUP(D4676,Projects!$A$2:$A$20000,1,FALSE),""))</f>
        <v/>
      </c>
      <c r="AF4676" s="2" t="str">
        <f>IF(D4676="","",IFERROR(MATCH(D4676,Projects!$A:$A,0),""))</f>
        <v/>
      </c>
    </row>
    <row r="4677" spans="31:32" x14ac:dyDescent="0.25">
      <c r="AE4677" s="39" t="str">
        <f>IF(D4677="","",IFERROR(VLOOKUP(D4677,Projects!$A$2:$A$20000,1,FALSE),""))</f>
        <v/>
      </c>
      <c r="AF4677" s="2" t="str">
        <f>IF(D4677="","",IFERROR(MATCH(D4677,Projects!$A:$A,0),""))</f>
        <v/>
      </c>
    </row>
    <row r="4678" spans="31:32" x14ac:dyDescent="0.25">
      <c r="AE4678" s="39" t="str">
        <f>IF(D4678="","",IFERROR(VLOOKUP(D4678,Projects!$A$2:$A$20000,1,FALSE),""))</f>
        <v/>
      </c>
      <c r="AF4678" s="2" t="str">
        <f>IF(D4678="","",IFERROR(MATCH(D4678,Projects!$A:$A,0),""))</f>
        <v/>
      </c>
    </row>
    <row r="4679" spans="31:32" x14ac:dyDescent="0.25">
      <c r="AE4679" s="39" t="str">
        <f>IF(D4679="","",IFERROR(VLOOKUP(D4679,Projects!$A$2:$A$20000,1,FALSE),""))</f>
        <v/>
      </c>
      <c r="AF4679" s="2" t="str">
        <f>IF(D4679="","",IFERROR(MATCH(D4679,Projects!$A:$A,0),""))</f>
        <v/>
      </c>
    </row>
    <row r="4680" spans="31:32" x14ac:dyDescent="0.25">
      <c r="AE4680" s="39" t="str">
        <f>IF(D4680="","",IFERROR(VLOOKUP(D4680,Projects!$A$2:$A$20000,1,FALSE),""))</f>
        <v/>
      </c>
      <c r="AF4680" s="2" t="str">
        <f>IF(D4680="","",IFERROR(MATCH(D4680,Projects!$A:$A,0),""))</f>
        <v/>
      </c>
    </row>
    <row r="4681" spans="31:32" x14ac:dyDescent="0.25">
      <c r="AE4681" s="39" t="str">
        <f>IF(D4681="","",IFERROR(VLOOKUP(D4681,Projects!$A$2:$A$20000,1,FALSE),""))</f>
        <v/>
      </c>
      <c r="AF4681" s="2" t="str">
        <f>IF(D4681="","",IFERROR(MATCH(D4681,Projects!$A:$A,0),""))</f>
        <v/>
      </c>
    </row>
    <row r="4682" spans="31:32" x14ac:dyDescent="0.25">
      <c r="AE4682" s="39" t="str">
        <f>IF(D4682="","",IFERROR(VLOOKUP(D4682,Projects!$A$2:$A$20000,1,FALSE),""))</f>
        <v/>
      </c>
      <c r="AF4682" s="2" t="str">
        <f>IF(D4682="","",IFERROR(MATCH(D4682,Projects!$A:$A,0),""))</f>
        <v/>
      </c>
    </row>
    <row r="4683" spans="31:32" x14ac:dyDescent="0.25">
      <c r="AE4683" s="39" t="str">
        <f>IF(D4683="","",IFERROR(VLOOKUP(D4683,Projects!$A$2:$A$20000,1,FALSE),""))</f>
        <v/>
      </c>
      <c r="AF4683" s="2" t="str">
        <f>IF(D4683="","",IFERROR(MATCH(D4683,Projects!$A:$A,0),""))</f>
        <v/>
      </c>
    </row>
    <row r="4684" spans="31:32" x14ac:dyDescent="0.25">
      <c r="AE4684" s="39" t="str">
        <f>IF(D4684="","",IFERROR(VLOOKUP(D4684,Projects!$A$2:$A$20000,1,FALSE),""))</f>
        <v/>
      </c>
      <c r="AF4684" s="2" t="str">
        <f>IF(D4684="","",IFERROR(MATCH(D4684,Projects!$A:$A,0),""))</f>
        <v/>
      </c>
    </row>
    <row r="4685" spans="31:32" x14ac:dyDescent="0.25">
      <c r="AE4685" s="39" t="str">
        <f>IF(D4685="","",IFERROR(VLOOKUP(D4685,Projects!$A$2:$A$20000,1,FALSE),""))</f>
        <v/>
      </c>
      <c r="AF4685" s="2" t="str">
        <f>IF(D4685="","",IFERROR(MATCH(D4685,Projects!$A:$A,0),""))</f>
        <v/>
      </c>
    </row>
    <row r="4686" spans="31:32" x14ac:dyDescent="0.25">
      <c r="AE4686" s="39" t="str">
        <f>IF(D4686="","",IFERROR(VLOOKUP(D4686,Projects!$A$2:$A$20000,1,FALSE),""))</f>
        <v/>
      </c>
      <c r="AF4686" s="2" t="str">
        <f>IF(D4686="","",IFERROR(MATCH(D4686,Projects!$A:$A,0),""))</f>
        <v/>
      </c>
    </row>
    <row r="4687" spans="31:32" x14ac:dyDescent="0.25">
      <c r="AE4687" s="39" t="str">
        <f>IF(D4687="","",IFERROR(VLOOKUP(D4687,Projects!$A$2:$A$20000,1,FALSE),""))</f>
        <v/>
      </c>
      <c r="AF4687" s="2" t="str">
        <f>IF(D4687="","",IFERROR(MATCH(D4687,Projects!$A:$A,0),""))</f>
        <v/>
      </c>
    </row>
    <row r="4688" spans="31:32" x14ac:dyDescent="0.25">
      <c r="AE4688" s="39" t="str">
        <f>IF(D4688="","",IFERROR(VLOOKUP(D4688,Projects!$A$2:$A$20000,1,FALSE),""))</f>
        <v/>
      </c>
      <c r="AF4688" s="2" t="str">
        <f>IF(D4688="","",IFERROR(MATCH(D4688,Projects!$A:$A,0),""))</f>
        <v/>
      </c>
    </row>
    <row r="4689" spans="31:32" x14ac:dyDescent="0.25">
      <c r="AE4689" s="39" t="str">
        <f>IF(D4689="","",IFERROR(VLOOKUP(D4689,Projects!$A$2:$A$20000,1,FALSE),""))</f>
        <v/>
      </c>
      <c r="AF4689" s="2" t="str">
        <f>IF(D4689="","",IFERROR(MATCH(D4689,Projects!$A:$A,0),""))</f>
        <v/>
      </c>
    </row>
    <row r="4690" spans="31:32" x14ac:dyDescent="0.25">
      <c r="AE4690" s="39" t="str">
        <f>IF(D4690="","",IFERROR(VLOOKUP(D4690,Projects!$A$2:$A$20000,1,FALSE),""))</f>
        <v/>
      </c>
      <c r="AF4690" s="2" t="str">
        <f>IF(D4690="","",IFERROR(MATCH(D4690,Projects!$A:$A,0),""))</f>
        <v/>
      </c>
    </row>
    <row r="4691" spans="31:32" x14ac:dyDescent="0.25">
      <c r="AE4691" s="39" t="str">
        <f>IF(D4691="","",IFERROR(VLOOKUP(D4691,Projects!$A$2:$A$20000,1,FALSE),""))</f>
        <v/>
      </c>
      <c r="AF4691" s="2" t="str">
        <f>IF(D4691="","",IFERROR(MATCH(D4691,Projects!$A:$A,0),""))</f>
        <v/>
      </c>
    </row>
    <row r="4692" spans="31:32" x14ac:dyDescent="0.25">
      <c r="AE4692" s="39" t="str">
        <f>IF(D4692="","",IFERROR(VLOOKUP(D4692,Projects!$A$2:$A$20000,1,FALSE),""))</f>
        <v/>
      </c>
      <c r="AF4692" s="2" t="str">
        <f>IF(D4692="","",IFERROR(MATCH(D4692,Projects!$A:$A,0),""))</f>
        <v/>
      </c>
    </row>
    <row r="4693" spans="31:32" x14ac:dyDescent="0.25">
      <c r="AE4693" s="39" t="str">
        <f>IF(D4693="","",IFERROR(VLOOKUP(D4693,Projects!$A$2:$A$20000,1,FALSE),""))</f>
        <v/>
      </c>
      <c r="AF4693" s="2" t="str">
        <f>IF(D4693="","",IFERROR(MATCH(D4693,Projects!$A:$A,0),""))</f>
        <v/>
      </c>
    </row>
    <row r="4694" spans="31:32" x14ac:dyDescent="0.25">
      <c r="AE4694" s="39" t="str">
        <f>IF(D4694="","",IFERROR(VLOOKUP(D4694,Projects!$A$2:$A$20000,1,FALSE),""))</f>
        <v/>
      </c>
      <c r="AF4694" s="2" t="str">
        <f>IF(D4694="","",IFERROR(MATCH(D4694,Projects!$A:$A,0),""))</f>
        <v/>
      </c>
    </row>
    <row r="4695" spans="31:32" x14ac:dyDescent="0.25">
      <c r="AE4695" s="39" t="str">
        <f>IF(D4695="","",IFERROR(VLOOKUP(D4695,Projects!$A$2:$A$20000,1,FALSE),""))</f>
        <v/>
      </c>
      <c r="AF4695" s="2" t="str">
        <f>IF(D4695="","",IFERROR(MATCH(D4695,Projects!$A:$A,0),""))</f>
        <v/>
      </c>
    </row>
    <row r="4696" spans="31:32" x14ac:dyDescent="0.25">
      <c r="AE4696" s="39" t="str">
        <f>IF(D4696="","",IFERROR(VLOOKUP(D4696,Projects!$A$2:$A$20000,1,FALSE),""))</f>
        <v/>
      </c>
      <c r="AF4696" s="2" t="str">
        <f>IF(D4696="","",IFERROR(MATCH(D4696,Projects!$A:$A,0),""))</f>
        <v/>
      </c>
    </row>
    <row r="4697" spans="31:32" x14ac:dyDescent="0.25">
      <c r="AE4697" s="39" t="str">
        <f>IF(D4697="","",IFERROR(VLOOKUP(D4697,Projects!$A$2:$A$20000,1,FALSE),""))</f>
        <v/>
      </c>
      <c r="AF4697" s="2" t="str">
        <f>IF(D4697="","",IFERROR(MATCH(D4697,Projects!$A:$A,0),""))</f>
        <v/>
      </c>
    </row>
    <row r="4698" spans="31:32" x14ac:dyDescent="0.25">
      <c r="AE4698" s="39" t="str">
        <f>IF(D4698="","",IFERROR(VLOOKUP(D4698,Projects!$A$2:$A$20000,1,FALSE),""))</f>
        <v/>
      </c>
      <c r="AF4698" s="2" t="str">
        <f>IF(D4698="","",IFERROR(MATCH(D4698,Projects!$A:$A,0),""))</f>
        <v/>
      </c>
    </row>
    <row r="4699" spans="31:32" x14ac:dyDescent="0.25">
      <c r="AE4699" s="39" t="str">
        <f>IF(D4699="","",IFERROR(VLOOKUP(D4699,Projects!$A$2:$A$20000,1,FALSE),""))</f>
        <v/>
      </c>
      <c r="AF4699" s="2" t="str">
        <f>IF(D4699="","",IFERROR(MATCH(D4699,Projects!$A:$A,0),""))</f>
        <v/>
      </c>
    </row>
    <row r="4700" spans="31:32" x14ac:dyDescent="0.25">
      <c r="AE4700" s="39" t="str">
        <f>IF(D4700="","",IFERROR(VLOOKUP(D4700,Projects!$A$2:$A$20000,1,FALSE),""))</f>
        <v/>
      </c>
      <c r="AF4700" s="2" t="str">
        <f>IF(D4700="","",IFERROR(MATCH(D4700,Projects!$A:$A,0),""))</f>
        <v/>
      </c>
    </row>
    <row r="4701" spans="31:32" x14ac:dyDescent="0.25">
      <c r="AE4701" s="39" t="str">
        <f>IF(D4701="","",IFERROR(VLOOKUP(D4701,Projects!$A$2:$A$20000,1,FALSE),""))</f>
        <v/>
      </c>
      <c r="AF4701" s="2" t="str">
        <f>IF(D4701="","",IFERROR(MATCH(D4701,Projects!$A:$A,0),""))</f>
        <v/>
      </c>
    </row>
    <row r="4702" spans="31:32" x14ac:dyDescent="0.25">
      <c r="AE4702" s="39" t="str">
        <f>IF(D4702="","",IFERROR(VLOOKUP(D4702,Projects!$A$2:$A$20000,1,FALSE),""))</f>
        <v/>
      </c>
      <c r="AF4702" s="2" t="str">
        <f>IF(D4702="","",IFERROR(MATCH(D4702,Projects!$A:$A,0),""))</f>
        <v/>
      </c>
    </row>
    <row r="4703" spans="31:32" x14ac:dyDescent="0.25">
      <c r="AE4703" s="39" t="str">
        <f>IF(D4703="","",IFERROR(VLOOKUP(D4703,Projects!$A$2:$A$20000,1,FALSE),""))</f>
        <v/>
      </c>
      <c r="AF4703" s="2" t="str">
        <f>IF(D4703="","",IFERROR(MATCH(D4703,Projects!$A:$A,0),""))</f>
        <v/>
      </c>
    </row>
    <row r="4704" spans="31:32" x14ac:dyDescent="0.25">
      <c r="AE4704" s="39" t="str">
        <f>IF(D4704="","",IFERROR(VLOOKUP(D4704,Projects!$A$2:$A$20000,1,FALSE),""))</f>
        <v/>
      </c>
      <c r="AF4704" s="2" t="str">
        <f>IF(D4704="","",IFERROR(MATCH(D4704,Projects!$A:$A,0),""))</f>
        <v/>
      </c>
    </row>
    <row r="4705" spans="31:32" x14ac:dyDescent="0.25">
      <c r="AE4705" s="39" t="str">
        <f>IF(D4705="","",IFERROR(VLOOKUP(D4705,Projects!$A$2:$A$20000,1,FALSE),""))</f>
        <v/>
      </c>
      <c r="AF4705" s="2" t="str">
        <f>IF(D4705="","",IFERROR(MATCH(D4705,Projects!$A:$A,0),""))</f>
        <v/>
      </c>
    </row>
    <row r="4706" spans="31:32" x14ac:dyDescent="0.25">
      <c r="AE4706" s="39" t="str">
        <f>IF(D4706="","",IFERROR(VLOOKUP(D4706,Projects!$A$2:$A$20000,1,FALSE),""))</f>
        <v/>
      </c>
      <c r="AF4706" s="2" t="str">
        <f>IF(D4706="","",IFERROR(MATCH(D4706,Projects!$A:$A,0),""))</f>
        <v/>
      </c>
    </row>
    <row r="4707" spans="31:32" x14ac:dyDescent="0.25">
      <c r="AE4707" s="39" t="str">
        <f>IF(D4707="","",IFERROR(VLOOKUP(D4707,Projects!$A$2:$A$20000,1,FALSE),""))</f>
        <v/>
      </c>
      <c r="AF4707" s="2" t="str">
        <f>IF(D4707="","",IFERROR(MATCH(D4707,Projects!$A:$A,0),""))</f>
        <v/>
      </c>
    </row>
    <row r="4708" spans="31:32" x14ac:dyDescent="0.25">
      <c r="AE4708" s="39" t="str">
        <f>IF(D4708="","",IFERROR(VLOOKUP(D4708,Projects!$A$2:$A$20000,1,FALSE),""))</f>
        <v/>
      </c>
      <c r="AF4708" s="2" t="str">
        <f>IF(D4708="","",IFERROR(MATCH(D4708,Projects!$A:$A,0),""))</f>
        <v/>
      </c>
    </row>
    <row r="4709" spans="31:32" x14ac:dyDescent="0.25">
      <c r="AE4709" s="39" t="str">
        <f>IF(D4709="","",IFERROR(VLOOKUP(D4709,Projects!$A$2:$A$20000,1,FALSE),""))</f>
        <v/>
      </c>
      <c r="AF4709" s="2" t="str">
        <f>IF(D4709="","",IFERROR(MATCH(D4709,Projects!$A:$A,0),""))</f>
        <v/>
      </c>
    </row>
    <row r="4710" spans="31:32" x14ac:dyDescent="0.25">
      <c r="AE4710" s="39" t="str">
        <f>IF(D4710="","",IFERROR(VLOOKUP(D4710,Projects!$A$2:$A$20000,1,FALSE),""))</f>
        <v/>
      </c>
      <c r="AF4710" s="2" t="str">
        <f>IF(D4710="","",IFERROR(MATCH(D4710,Projects!$A:$A,0),""))</f>
        <v/>
      </c>
    </row>
    <row r="4711" spans="31:32" x14ac:dyDescent="0.25">
      <c r="AE4711" s="39" t="str">
        <f>IF(D4711="","",IFERROR(VLOOKUP(D4711,Projects!$A$2:$A$20000,1,FALSE),""))</f>
        <v/>
      </c>
      <c r="AF4711" s="2" t="str">
        <f>IF(D4711="","",IFERROR(MATCH(D4711,Projects!$A:$A,0),""))</f>
        <v/>
      </c>
    </row>
    <row r="4712" spans="31:32" x14ac:dyDescent="0.25">
      <c r="AE4712" s="39" t="str">
        <f>IF(D4712="","",IFERROR(VLOOKUP(D4712,Projects!$A$2:$A$20000,1,FALSE),""))</f>
        <v/>
      </c>
      <c r="AF4712" s="2" t="str">
        <f>IF(D4712="","",IFERROR(MATCH(D4712,Projects!$A:$A,0),""))</f>
        <v/>
      </c>
    </row>
    <row r="4713" spans="31:32" x14ac:dyDescent="0.25">
      <c r="AE4713" s="39" t="str">
        <f>IF(D4713="","",IFERROR(VLOOKUP(D4713,Projects!$A$2:$A$20000,1,FALSE),""))</f>
        <v/>
      </c>
      <c r="AF4713" s="2" t="str">
        <f>IF(D4713="","",IFERROR(MATCH(D4713,Projects!$A:$A,0),""))</f>
        <v/>
      </c>
    </row>
    <row r="4714" spans="31:32" x14ac:dyDescent="0.25">
      <c r="AE4714" s="39" t="str">
        <f>IF(D4714="","",IFERROR(VLOOKUP(D4714,Projects!$A$2:$A$20000,1,FALSE),""))</f>
        <v/>
      </c>
      <c r="AF4714" s="2" t="str">
        <f>IF(D4714="","",IFERROR(MATCH(D4714,Projects!$A:$A,0),""))</f>
        <v/>
      </c>
    </row>
    <row r="4715" spans="31:32" x14ac:dyDescent="0.25">
      <c r="AE4715" s="39" t="str">
        <f>IF(D4715="","",IFERROR(VLOOKUP(D4715,Projects!$A$2:$A$20000,1,FALSE),""))</f>
        <v/>
      </c>
      <c r="AF4715" s="2" t="str">
        <f>IF(D4715="","",IFERROR(MATCH(D4715,Projects!$A:$A,0),""))</f>
        <v/>
      </c>
    </row>
    <row r="4716" spans="31:32" x14ac:dyDescent="0.25">
      <c r="AE4716" s="39" t="str">
        <f>IF(D4716="","",IFERROR(VLOOKUP(D4716,Projects!$A$2:$A$20000,1,FALSE),""))</f>
        <v/>
      </c>
      <c r="AF4716" s="2" t="str">
        <f>IF(D4716="","",IFERROR(MATCH(D4716,Projects!$A:$A,0),""))</f>
        <v/>
      </c>
    </row>
    <row r="4717" spans="31:32" x14ac:dyDescent="0.25">
      <c r="AE4717" s="39" t="str">
        <f>IF(D4717="","",IFERROR(VLOOKUP(D4717,Projects!$A$2:$A$20000,1,FALSE),""))</f>
        <v/>
      </c>
      <c r="AF4717" s="2" t="str">
        <f>IF(D4717="","",IFERROR(MATCH(D4717,Projects!$A:$A,0),""))</f>
        <v/>
      </c>
    </row>
    <row r="4718" spans="31:32" x14ac:dyDescent="0.25">
      <c r="AE4718" s="39" t="str">
        <f>IF(D4718="","",IFERROR(VLOOKUP(D4718,Projects!$A$2:$A$20000,1,FALSE),""))</f>
        <v/>
      </c>
      <c r="AF4718" s="2" t="str">
        <f>IF(D4718="","",IFERROR(MATCH(D4718,Projects!$A:$A,0),""))</f>
        <v/>
      </c>
    </row>
    <row r="4719" spans="31:32" x14ac:dyDescent="0.25">
      <c r="AE4719" s="39" t="str">
        <f>IF(D4719="","",IFERROR(VLOOKUP(D4719,Projects!$A$2:$A$20000,1,FALSE),""))</f>
        <v/>
      </c>
      <c r="AF4719" s="2" t="str">
        <f>IF(D4719="","",IFERROR(MATCH(D4719,Projects!$A:$A,0),""))</f>
        <v/>
      </c>
    </row>
    <row r="4720" spans="31:32" x14ac:dyDescent="0.25">
      <c r="AE4720" s="39" t="str">
        <f>IF(D4720="","",IFERROR(VLOOKUP(D4720,Projects!$A$2:$A$20000,1,FALSE),""))</f>
        <v/>
      </c>
      <c r="AF4720" s="2" t="str">
        <f>IF(D4720="","",IFERROR(MATCH(D4720,Projects!$A:$A,0),""))</f>
        <v/>
      </c>
    </row>
    <row r="4721" spans="31:32" x14ac:dyDescent="0.25">
      <c r="AE4721" s="39" t="str">
        <f>IF(D4721="","",IFERROR(VLOOKUP(D4721,Projects!$A$2:$A$20000,1,FALSE),""))</f>
        <v/>
      </c>
      <c r="AF4721" s="2" t="str">
        <f>IF(D4721="","",IFERROR(MATCH(D4721,Projects!$A:$A,0),""))</f>
        <v/>
      </c>
    </row>
    <row r="4722" spans="31:32" x14ac:dyDescent="0.25">
      <c r="AE4722" s="39" t="str">
        <f>IF(D4722="","",IFERROR(VLOOKUP(D4722,Projects!$A$2:$A$20000,1,FALSE),""))</f>
        <v/>
      </c>
      <c r="AF4722" s="2" t="str">
        <f>IF(D4722="","",IFERROR(MATCH(D4722,Projects!$A:$A,0),""))</f>
        <v/>
      </c>
    </row>
    <row r="4723" spans="31:32" x14ac:dyDescent="0.25">
      <c r="AE4723" s="39" t="str">
        <f>IF(D4723="","",IFERROR(VLOOKUP(D4723,Projects!$A$2:$A$20000,1,FALSE),""))</f>
        <v/>
      </c>
      <c r="AF4723" s="2" t="str">
        <f>IF(D4723="","",IFERROR(MATCH(D4723,Projects!$A:$A,0),""))</f>
        <v/>
      </c>
    </row>
    <row r="4724" spans="31:32" x14ac:dyDescent="0.25">
      <c r="AE4724" s="39" t="str">
        <f>IF(D4724="","",IFERROR(VLOOKUP(D4724,Projects!$A$2:$A$20000,1,FALSE),""))</f>
        <v/>
      </c>
      <c r="AF4724" s="2" t="str">
        <f>IF(D4724="","",IFERROR(MATCH(D4724,Projects!$A:$A,0),""))</f>
        <v/>
      </c>
    </row>
    <row r="4725" spans="31:32" x14ac:dyDescent="0.25">
      <c r="AE4725" s="39" t="str">
        <f>IF(D4725="","",IFERROR(VLOOKUP(D4725,Projects!$A$2:$A$20000,1,FALSE),""))</f>
        <v/>
      </c>
      <c r="AF4725" s="2" t="str">
        <f>IF(D4725="","",IFERROR(MATCH(D4725,Projects!$A:$A,0),""))</f>
        <v/>
      </c>
    </row>
    <row r="4726" spans="31:32" x14ac:dyDescent="0.25">
      <c r="AE4726" s="39" t="str">
        <f>IF(D4726="","",IFERROR(VLOOKUP(D4726,Projects!$A$2:$A$20000,1,FALSE),""))</f>
        <v/>
      </c>
      <c r="AF4726" s="2" t="str">
        <f>IF(D4726="","",IFERROR(MATCH(D4726,Projects!$A:$A,0),""))</f>
        <v/>
      </c>
    </row>
    <row r="4727" spans="31:32" x14ac:dyDescent="0.25">
      <c r="AE4727" s="39" t="str">
        <f>IF(D4727="","",IFERROR(VLOOKUP(D4727,Projects!$A$2:$A$20000,1,FALSE),""))</f>
        <v/>
      </c>
      <c r="AF4727" s="2" t="str">
        <f>IF(D4727="","",IFERROR(MATCH(D4727,Projects!$A:$A,0),""))</f>
        <v/>
      </c>
    </row>
    <row r="4728" spans="31:32" x14ac:dyDescent="0.25">
      <c r="AE4728" s="39" t="str">
        <f>IF(D4728="","",IFERROR(VLOOKUP(D4728,Projects!$A$2:$A$20000,1,FALSE),""))</f>
        <v/>
      </c>
      <c r="AF4728" s="2" t="str">
        <f>IF(D4728="","",IFERROR(MATCH(D4728,Projects!$A:$A,0),""))</f>
        <v/>
      </c>
    </row>
    <row r="4729" spans="31:32" x14ac:dyDescent="0.25">
      <c r="AE4729" s="39" t="str">
        <f>IF(D4729="","",IFERROR(VLOOKUP(D4729,Projects!$A$2:$A$20000,1,FALSE),""))</f>
        <v/>
      </c>
      <c r="AF4729" s="2" t="str">
        <f>IF(D4729="","",IFERROR(MATCH(D4729,Projects!$A:$A,0),""))</f>
        <v/>
      </c>
    </row>
    <row r="4730" spans="31:32" x14ac:dyDescent="0.25">
      <c r="AE4730" s="39" t="str">
        <f>IF(D4730="","",IFERROR(VLOOKUP(D4730,Projects!$A$2:$A$20000,1,FALSE),""))</f>
        <v/>
      </c>
      <c r="AF4730" s="2" t="str">
        <f>IF(D4730="","",IFERROR(MATCH(D4730,Projects!$A:$A,0),""))</f>
        <v/>
      </c>
    </row>
    <row r="4731" spans="31:32" x14ac:dyDescent="0.25">
      <c r="AE4731" s="39" t="str">
        <f>IF(D4731="","",IFERROR(VLOOKUP(D4731,Projects!$A$2:$A$20000,1,FALSE),""))</f>
        <v/>
      </c>
      <c r="AF4731" s="2" t="str">
        <f>IF(D4731="","",IFERROR(MATCH(D4731,Projects!$A:$A,0),""))</f>
        <v/>
      </c>
    </row>
    <row r="4732" spans="31:32" x14ac:dyDescent="0.25">
      <c r="AE4732" s="39" t="str">
        <f>IF(D4732="","",IFERROR(VLOOKUP(D4732,Projects!$A$2:$A$20000,1,FALSE),""))</f>
        <v/>
      </c>
      <c r="AF4732" s="2" t="str">
        <f>IF(D4732="","",IFERROR(MATCH(D4732,Projects!$A:$A,0),""))</f>
        <v/>
      </c>
    </row>
    <row r="4733" spans="31:32" x14ac:dyDescent="0.25">
      <c r="AE4733" s="39" t="str">
        <f>IF(D4733="","",IFERROR(VLOOKUP(D4733,Projects!$A$2:$A$20000,1,FALSE),""))</f>
        <v/>
      </c>
      <c r="AF4733" s="2" t="str">
        <f>IF(D4733="","",IFERROR(MATCH(D4733,Projects!$A:$A,0),""))</f>
        <v/>
      </c>
    </row>
    <row r="4734" spans="31:32" x14ac:dyDescent="0.25">
      <c r="AE4734" s="39" t="str">
        <f>IF(D4734="","",IFERROR(VLOOKUP(D4734,Projects!$A$2:$A$20000,1,FALSE),""))</f>
        <v/>
      </c>
      <c r="AF4734" s="2" t="str">
        <f>IF(D4734="","",IFERROR(MATCH(D4734,Projects!$A:$A,0),""))</f>
        <v/>
      </c>
    </row>
    <row r="4735" spans="31:32" x14ac:dyDescent="0.25">
      <c r="AE4735" s="39" t="str">
        <f>IF(D4735="","",IFERROR(VLOOKUP(D4735,Projects!$A$2:$A$20000,1,FALSE),""))</f>
        <v/>
      </c>
      <c r="AF4735" s="2" t="str">
        <f>IF(D4735="","",IFERROR(MATCH(D4735,Projects!$A:$A,0),""))</f>
        <v/>
      </c>
    </row>
    <row r="4736" spans="31:32" x14ac:dyDescent="0.25">
      <c r="AE4736" s="39" t="str">
        <f>IF(D4736="","",IFERROR(VLOOKUP(D4736,Projects!$A$2:$A$20000,1,FALSE),""))</f>
        <v/>
      </c>
      <c r="AF4736" s="2" t="str">
        <f>IF(D4736="","",IFERROR(MATCH(D4736,Projects!$A:$A,0),""))</f>
        <v/>
      </c>
    </row>
    <row r="4737" spans="31:32" x14ac:dyDescent="0.25">
      <c r="AE4737" s="39" t="str">
        <f>IF(D4737="","",IFERROR(VLOOKUP(D4737,Projects!$A$2:$A$20000,1,FALSE),""))</f>
        <v/>
      </c>
      <c r="AF4737" s="2" t="str">
        <f>IF(D4737="","",IFERROR(MATCH(D4737,Projects!$A:$A,0),""))</f>
        <v/>
      </c>
    </row>
    <row r="4738" spans="31:32" x14ac:dyDescent="0.25">
      <c r="AE4738" s="39" t="str">
        <f>IF(D4738="","",IFERROR(VLOOKUP(D4738,Projects!$A$2:$A$20000,1,FALSE),""))</f>
        <v/>
      </c>
      <c r="AF4738" s="2" t="str">
        <f>IF(D4738="","",IFERROR(MATCH(D4738,Projects!$A:$A,0),""))</f>
        <v/>
      </c>
    </row>
    <row r="4739" spans="31:32" x14ac:dyDescent="0.25">
      <c r="AE4739" s="39" t="str">
        <f>IF(D4739="","",IFERROR(VLOOKUP(D4739,Projects!$A$2:$A$20000,1,FALSE),""))</f>
        <v/>
      </c>
      <c r="AF4739" s="2" t="str">
        <f>IF(D4739="","",IFERROR(MATCH(D4739,Projects!$A:$A,0),""))</f>
        <v/>
      </c>
    </row>
    <row r="4740" spans="31:32" x14ac:dyDescent="0.25">
      <c r="AE4740" s="39" t="str">
        <f>IF(D4740="","",IFERROR(VLOOKUP(D4740,Projects!$A$2:$A$20000,1,FALSE),""))</f>
        <v/>
      </c>
      <c r="AF4740" s="2" t="str">
        <f>IF(D4740="","",IFERROR(MATCH(D4740,Projects!$A:$A,0),""))</f>
        <v/>
      </c>
    </row>
    <row r="4741" spans="31:32" x14ac:dyDescent="0.25">
      <c r="AE4741" s="39" t="str">
        <f>IF(D4741="","",IFERROR(VLOOKUP(D4741,Projects!$A$2:$A$20000,1,FALSE),""))</f>
        <v/>
      </c>
      <c r="AF4741" s="2" t="str">
        <f>IF(D4741="","",IFERROR(MATCH(D4741,Projects!$A:$A,0),""))</f>
        <v/>
      </c>
    </row>
    <row r="4742" spans="31:32" x14ac:dyDescent="0.25">
      <c r="AE4742" s="39" t="str">
        <f>IF(D4742="","",IFERROR(VLOOKUP(D4742,Projects!$A$2:$A$20000,1,FALSE),""))</f>
        <v/>
      </c>
      <c r="AF4742" s="2" t="str">
        <f>IF(D4742="","",IFERROR(MATCH(D4742,Projects!$A:$A,0),""))</f>
        <v/>
      </c>
    </row>
    <row r="4743" spans="31:32" x14ac:dyDescent="0.25">
      <c r="AE4743" s="39" t="str">
        <f>IF(D4743="","",IFERROR(VLOOKUP(D4743,Projects!$A$2:$A$20000,1,FALSE),""))</f>
        <v/>
      </c>
      <c r="AF4743" s="2" t="str">
        <f>IF(D4743="","",IFERROR(MATCH(D4743,Projects!$A:$A,0),""))</f>
        <v/>
      </c>
    </row>
    <row r="4744" spans="31:32" x14ac:dyDescent="0.25">
      <c r="AE4744" s="39" t="str">
        <f>IF(D4744="","",IFERROR(VLOOKUP(D4744,Projects!$A$2:$A$20000,1,FALSE),""))</f>
        <v/>
      </c>
      <c r="AF4744" s="2" t="str">
        <f>IF(D4744="","",IFERROR(MATCH(D4744,Projects!$A:$A,0),""))</f>
        <v/>
      </c>
    </row>
    <row r="4745" spans="31:32" x14ac:dyDescent="0.25">
      <c r="AE4745" s="39" t="str">
        <f>IF(D4745="","",IFERROR(VLOOKUP(D4745,Projects!$A$2:$A$20000,1,FALSE),""))</f>
        <v/>
      </c>
      <c r="AF4745" s="2" t="str">
        <f>IF(D4745="","",IFERROR(MATCH(D4745,Projects!$A:$A,0),""))</f>
        <v/>
      </c>
    </row>
    <row r="4746" spans="31:32" x14ac:dyDescent="0.25">
      <c r="AE4746" s="39" t="str">
        <f>IF(D4746="","",IFERROR(VLOOKUP(D4746,Projects!$A$2:$A$20000,1,FALSE),""))</f>
        <v/>
      </c>
      <c r="AF4746" s="2" t="str">
        <f>IF(D4746="","",IFERROR(MATCH(D4746,Projects!$A:$A,0),""))</f>
        <v/>
      </c>
    </row>
    <row r="4747" spans="31:32" x14ac:dyDescent="0.25">
      <c r="AE4747" s="39" t="str">
        <f>IF(D4747="","",IFERROR(VLOOKUP(D4747,Projects!$A$2:$A$20000,1,FALSE),""))</f>
        <v/>
      </c>
      <c r="AF4747" s="2" t="str">
        <f>IF(D4747="","",IFERROR(MATCH(D4747,Projects!$A:$A,0),""))</f>
        <v/>
      </c>
    </row>
    <row r="4748" spans="31:32" x14ac:dyDescent="0.25">
      <c r="AE4748" s="39" t="str">
        <f>IF(D4748="","",IFERROR(VLOOKUP(D4748,Projects!$A$2:$A$20000,1,FALSE),""))</f>
        <v/>
      </c>
      <c r="AF4748" s="2" t="str">
        <f>IF(D4748="","",IFERROR(MATCH(D4748,Projects!$A:$A,0),""))</f>
        <v/>
      </c>
    </row>
    <row r="4749" spans="31:32" x14ac:dyDescent="0.25">
      <c r="AE4749" s="39" t="str">
        <f>IF(D4749="","",IFERROR(VLOOKUP(D4749,Projects!$A$2:$A$20000,1,FALSE),""))</f>
        <v/>
      </c>
      <c r="AF4749" s="2" t="str">
        <f>IF(D4749="","",IFERROR(MATCH(D4749,Projects!$A:$A,0),""))</f>
        <v/>
      </c>
    </row>
    <row r="4750" spans="31:32" x14ac:dyDescent="0.25">
      <c r="AE4750" s="39" t="str">
        <f>IF(D4750="","",IFERROR(VLOOKUP(D4750,Projects!$A$2:$A$20000,1,FALSE),""))</f>
        <v/>
      </c>
      <c r="AF4750" s="2" t="str">
        <f>IF(D4750="","",IFERROR(MATCH(D4750,Projects!$A:$A,0),""))</f>
        <v/>
      </c>
    </row>
    <row r="4751" spans="31:32" x14ac:dyDescent="0.25">
      <c r="AE4751" s="39" t="str">
        <f>IF(D4751="","",IFERROR(VLOOKUP(D4751,Projects!$A$2:$A$20000,1,FALSE),""))</f>
        <v/>
      </c>
      <c r="AF4751" s="2" t="str">
        <f>IF(D4751="","",IFERROR(MATCH(D4751,Projects!$A:$A,0),""))</f>
        <v/>
      </c>
    </row>
    <row r="4752" spans="31:32" x14ac:dyDescent="0.25">
      <c r="AE4752" s="39" t="str">
        <f>IF(D4752="","",IFERROR(VLOOKUP(D4752,Projects!$A$2:$A$20000,1,FALSE),""))</f>
        <v/>
      </c>
      <c r="AF4752" s="2" t="str">
        <f>IF(D4752="","",IFERROR(MATCH(D4752,Projects!$A:$A,0),""))</f>
        <v/>
      </c>
    </row>
    <row r="4753" spans="31:32" x14ac:dyDescent="0.25">
      <c r="AE4753" s="39" t="str">
        <f>IF(D4753="","",IFERROR(VLOOKUP(D4753,Projects!$A$2:$A$20000,1,FALSE),""))</f>
        <v/>
      </c>
      <c r="AF4753" s="2" t="str">
        <f>IF(D4753="","",IFERROR(MATCH(D4753,Projects!$A:$A,0),""))</f>
        <v/>
      </c>
    </row>
    <row r="4754" spans="31:32" x14ac:dyDescent="0.25">
      <c r="AE4754" s="39" t="str">
        <f>IF(D4754="","",IFERROR(VLOOKUP(D4754,Projects!$A$2:$A$20000,1,FALSE),""))</f>
        <v/>
      </c>
      <c r="AF4754" s="2" t="str">
        <f>IF(D4754="","",IFERROR(MATCH(D4754,Projects!$A:$A,0),""))</f>
        <v/>
      </c>
    </row>
    <row r="4755" spans="31:32" x14ac:dyDescent="0.25">
      <c r="AE4755" s="39" t="str">
        <f>IF(D4755="","",IFERROR(VLOOKUP(D4755,Projects!$A$2:$A$20000,1,FALSE),""))</f>
        <v/>
      </c>
      <c r="AF4755" s="2" t="str">
        <f>IF(D4755="","",IFERROR(MATCH(D4755,Projects!$A:$A,0),""))</f>
        <v/>
      </c>
    </row>
    <row r="4756" spans="31:32" x14ac:dyDescent="0.25">
      <c r="AE4756" s="39" t="str">
        <f>IF(D4756="","",IFERROR(VLOOKUP(D4756,Projects!$A$2:$A$20000,1,FALSE),""))</f>
        <v/>
      </c>
      <c r="AF4756" s="2" t="str">
        <f>IF(D4756="","",IFERROR(MATCH(D4756,Projects!$A:$A,0),""))</f>
        <v/>
      </c>
    </row>
    <row r="4757" spans="31:32" x14ac:dyDescent="0.25">
      <c r="AE4757" s="39" t="str">
        <f>IF(D4757="","",IFERROR(VLOOKUP(D4757,Projects!$A$2:$A$20000,1,FALSE),""))</f>
        <v/>
      </c>
      <c r="AF4757" s="2" t="str">
        <f>IF(D4757="","",IFERROR(MATCH(D4757,Projects!$A:$A,0),""))</f>
        <v/>
      </c>
    </row>
    <row r="4758" spans="31:32" x14ac:dyDescent="0.25">
      <c r="AE4758" s="39" t="str">
        <f>IF(D4758="","",IFERROR(VLOOKUP(D4758,Projects!$A$2:$A$20000,1,FALSE),""))</f>
        <v/>
      </c>
      <c r="AF4758" s="2" t="str">
        <f>IF(D4758="","",IFERROR(MATCH(D4758,Projects!$A:$A,0),""))</f>
        <v/>
      </c>
    </row>
    <row r="4759" spans="31:32" x14ac:dyDescent="0.25">
      <c r="AE4759" s="39" t="str">
        <f>IF(D4759="","",IFERROR(VLOOKUP(D4759,Projects!$A$2:$A$20000,1,FALSE),""))</f>
        <v/>
      </c>
      <c r="AF4759" s="2" t="str">
        <f>IF(D4759="","",IFERROR(MATCH(D4759,Projects!$A:$A,0),""))</f>
        <v/>
      </c>
    </row>
    <row r="4760" spans="31:32" x14ac:dyDescent="0.25">
      <c r="AE4760" s="39" t="str">
        <f>IF(D4760="","",IFERROR(VLOOKUP(D4760,Projects!$A$2:$A$20000,1,FALSE),""))</f>
        <v/>
      </c>
      <c r="AF4760" s="2" t="str">
        <f>IF(D4760="","",IFERROR(MATCH(D4760,Projects!$A:$A,0),""))</f>
        <v/>
      </c>
    </row>
    <row r="4761" spans="31:32" x14ac:dyDescent="0.25">
      <c r="AE4761" s="39" t="str">
        <f>IF(D4761="","",IFERROR(VLOOKUP(D4761,Projects!$A$2:$A$20000,1,FALSE),""))</f>
        <v/>
      </c>
      <c r="AF4761" s="2" t="str">
        <f>IF(D4761="","",IFERROR(MATCH(D4761,Projects!$A:$A,0),""))</f>
        <v/>
      </c>
    </row>
    <row r="4762" spans="31:32" x14ac:dyDescent="0.25">
      <c r="AE4762" s="39" t="str">
        <f>IF(D4762="","",IFERROR(VLOOKUP(D4762,Projects!$A$2:$A$20000,1,FALSE),""))</f>
        <v/>
      </c>
      <c r="AF4762" s="2" t="str">
        <f>IF(D4762="","",IFERROR(MATCH(D4762,Projects!$A:$A,0),""))</f>
        <v/>
      </c>
    </row>
    <row r="4763" spans="31:32" x14ac:dyDescent="0.25">
      <c r="AE4763" s="39" t="str">
        <f>IF(D4763="","",IFERROR(VLOOKUP(D4763,Projects!$A$2:$A$20000,1,FALSE),""))</f>
        <v/>
      </c>
      <c r="AF4763" s="2" t="str">
        <f>IF(D4763="","",IFERROR(MATCH(D4763,Projects!$A:$A,0),""))</f>
        <v/>
      </c>
    </row>
    <row r="4764" spans="31:32" x14ac:dyDescent="0.25">
      <c r="AE4764" s="39" t="str">
        <f>IF(D4764="","",IFERROR(VLOOKUP(D4764,Projects!$A$2:$A$20000,1,FALSE),""))</f>
        <v/>
      </c>
      <c r="AF4764" s="2" t="str">
        <f>IF(D4764="","",IFERROR(MATCH(D4764,Projects!$A:$A,0),""))</f>
        <v/>
      </c>
    </row>
    <row r="4765" spans="31:32" x14ac:dyDescent="0.25">
      <c r="AE4765" s="39" t="str">
        <f>IF(D4765="","",IFERROR(VLOOKUP(D4765,Projects!$A$2:$A$20000,1,FALSE),""))</f>
        <v/>
      </c>
      <c r="AF4765" s="2" t="str">
        <f>IF(D4765="","",IFERROR(MATCH(D4765,Projects!$A:$A,0),""))</f>
        <v/>
      </c>
    </row>
    <row r="4766" spans="31:32" x14ac:dyDescent="0.25">
      <c r="AE4766" s="39" t="str">
        <f>IF(D4766="","",IFERROR(VLOOKUP(D4766,Projects!$A$2:$A$20000,1,FALSE),""))</f>
        <v/>
      </c>
      <c r="AF4766" s="2" t="str">
        <f>IF(D4766="","",IFERROR(MATCH(D4766,Projects!$A:$A,0),""))</f>
        <v/>
      </c>
    </row>
    <row r="4767" spans="31:32" x14ac:dyDescent="0.25">
      <c r="AE4767" s="39" t="str">
        <f>IF(D4767="","",IFERROR(VLOOKUP(D4767,Projects!$A$2:$A$20000,1,FALSE),""))</f>
        <v/>
      </c>
      <c r="AF4767" s="2" t="str">
        <f>IF(D4767="","",IFERROR(MATCH(D4767,Projects!$A:$A,0),""))</f>
        <v/>
      </c>
    </row>
    <row r="4768" spans="31:32" x14ac:dyDescent="0.25">
      <c r="AE4768" s="39" t="str">
        <f>IF(D4768="","",IFERROR(VLOOKUP(D4768,Projects!$A$2:$A$20000,1,FALSE),""))</f>
        <v/>
      </c>
      <c r="AF4768" s="2" t="str">
        <f>IF(D4768="","",IFERROR(MATCH(D4768,Projects!$A:$A,0),""))</f>
        <v/>
      </c>
    </row>
    <row r="4769" spans="31:32" x14ac:dyDescent="0.25">
      <c r="AE4769" s="39" t="str">
        <f>IF(D4769="","",IFERROR(VLOOKUP(D4769,Projects!$A$2:$A$20000,1,FALSE),""))</f>
        <v/>
      </c>
      <c r="AF4769" s="2" t="str">
        <f>IF(D4769="","",IFERROR(MATCH(D4769,Projects!$A:$A,0),""))</f>
        <v/>
      </c>
    </row>
    <row r="4770" spans="31:32" x14ac:dyDescent="0.25">
      <c r="AE4770" s="39" t="str">
        <f>IF(D4770="","",IFERROR(VLOOKUP(D4770,Projects!$A$2:$A$20000,1,FALSE),""))</f>
        <v/>
      </c>
      <c r="AF4770" s="2" t="str">
        <f>IF(D4770="","",IFERROR(MATCH(D4770,Projects!$A:$A,0),""))</f>
        <v/>
      </c>
    </row>
    <row r="4771" spans="31:32" x14ac:dyDescent="0.25">
      <c r="AE4771" s="39" t="str">
        <f>IF(D4771="","",IFERROR(VLOOKUP(D4771,Projects!$A$2:$A$20000,1,FALSE),""))</f>
        <v/>
      </c>
      <c r="AF4771" s="2" t="str">
        <f>IF(D4771="","",IFERROR(MATCH(D4771,Projects!$A:$A,0),""))</f>
        <v/>
      </c>
    </row>
    <row r="4772" spans="31:32" x14ac:dyDescent="0.25">
      <c r="AE4772" s="39" t="str">
        <f>IF(D4772="","",IFERROR(VLOOKUP(D4772,Projects!$A$2:$A$20000,1,FALSE),""))</f>
        <v/>
      </c>
      <c r="AF4772" s="2" t="str">
        <f>IF(D4772="","",IFERROR(MATCH(D4772,Projects!$A:$A,0),""))</f>
        <v/>
      </c>
    </row>
    <row r="4773" spans="31:32" x14ac:dyDescent="0.25">
      <c r="AE4773" s="39" t="str">
        <f>IF(D4773="","",IFERROR(VLOOKUP(D4773,Projects!$A$2:$A$20000,1,FALSE),""))</f>
        <v/>
      </c>
      <c r="AF4773" s="2" t="str">
        <f>IF(D4773="","",IFERROR(MATCH(D4773,Projects!$A:$A,0),""))</f>
        <v/>
      </c>
    </row>
    <row r="4774" spans="31:32" x14ac:dyDescent="0.25">
      <c r="AE4774" s="39" t="str">
        <f>IF(D4774="","",IFERROR(VLOOKUP(D4774,Projects!$A$2:$A$20000,1,FALSE),""))</f>
        <v/>
      </c>
      <c r="AF4774" s="2" t="str">
        <f>IF(D4774="","",IFERROR(MATCH(D4774,Projects!$A:$A,0),""))</f>
        <v/>
      </c>
    </row>
    <row r="4775" spans="31:32" x14ac:dyDescent="0.25">
      <c r="AE4775" s="39" t="str">
        <f>IF(D4775="","",IFERROR(VLOOKUP(D4775,Projects!$A$2:$A$20000,1,FALSE),""))</f>
        <v/>
      </c>
      <c r="AF4775" s="2" t="str">
        <f>IF(D4775="","",IFERROR(MATCH(D4775,Projects!$A:$A,0),""))</f>
        <v/>
      </c>
    </row>
    <row r="4776" spans="31:32" x14ac:dyDescent="0.25">
      <c r="AE4776" s="39" t="str">
        <f>IF(D4776="","",IFERROR(VLOOKUP(D4776,Projects!$A$2:$A$20000,1,FALSE),""))</f>
        <v/>
      </c>
      <c r="AF4776" s="2" t="str">
        <f>IF(D4776="","",IFERROR(MATCH(D4776,Projects!$A:$A,0),""))</f>
        <v/>
      </c>
    </row>
    <row r="4777" spans="31:32" x14ac:dyDescent="0.25">
      <c r="AE4777" s="39" t="str">
        <f>IF(D4777="","",IFERROR(VLOOKUP(D4777,Projects!$A$2:$A$20000,1,FALSE),""))</f>
        <v/>
      </c>
      <c r="AF4777" s="2" t="str">
        <f>IF(D4777="","",IFERROR(MATCH(D4777,Projects!$A:$A,0),""))</f>
        <v/>
      </c>
    </row>
    <row r="4778" spans="31:32" x14ac:dyDescent="0.25">
      <c r="AE4778" s="39" t="str">
        <f>IF(D4778="","",IFERROR(VLOOKUP(D4778,Projects!$A$2:$A$20000,1,FALSE),""))</f>
        <v/>
      </c>
      <c r="AF4778" s="2" t="str">
        <f>IF(D4778="","",IFERROR(MATCH(D4778,Projects!$A:$A,0),""))</f>
        <v/>
      </c>
    </row>
    <row r="4779" spans="31:32" x14ac:dyDescent="0.25">
      <c r="AE4779" s="39" t="str">
        <f>IF(D4779="","",IFERROR(VLOOKUP(D4779,Projects!$A$2:$A$20000,1,FALSE),""))</f>
        <v/>
      </c>
      <c r="AF4779" s="2" t="str">
        <f>IF(D4779="","",IFERROR(MATCH(D4779,Projects!$A:$A,0),""))</f>
        <v/>
      </c>
    </row>
    <row r="4780" spans="31:32" x14ac:dyDescent="0.25">
      <c r="AE4780" s="39" t="str">
        <f>IF(D4780="","",IFERROR(VLOOKUP(D4780,Projects!$A$2:$A$20000,1,FALSE),""))</f>
        <v/>
      </c>
      <c r="AF4780" s="2" t="str">
        <f>IF(D4780="","",IFERROR(MATCH(D4780,Projects!$A:$A,0),""))</f>
        <v/>
      </c>
    </row>
    <row r="4781" spans="31:32" x14ac:dyDescent="0.25">
      <c r="AE4781" s="39" t="str">
        <f>IF(D4781="","",IFERROR(VLOOKUP(D4781,Projects!$A$2:$A$20000,1,FALSE),""))</f>
        <v/>
      </c>
      <c r="AF4781" s="2" t="str">
        <f>IF(D4781="","",IFERROR(MATCH(D4781,Projects!$A:$A,0),""))</f>
        <v/>
      </c>
    </row>
    <row r="4782" spans="31:32" x14ac:dyDescent="0.25">
      <c r="AE4782" s="39" t="str">
        <f>IF(D4782="","",IFERROR(VLOOKUP(D4782,Projects!$A$2:$A$20000,1,FALSE),""))</f>
        <v/>
      </c>
      <c r="AF4782" s="2" t="str">
        <f>IF(D4782="","",IFERROR(MATCH(D4782,Projects!$A:$A,0),""))</f>
        <v/>
      </c>
    </row>
    <row r="4783" spans="31:32" x14ac:dyDescent="0.25">
      <c r="AE4783" s="39" t="str">
        <f>IF(D4783="","",IFERROR(VLOOKUP(D4783,Projects!$A$2:$A$20000,1,FALSE),""))</f>
        <v/>
      </c>
      <c r="AF4783" s="2" t="str">
        <f>IF(D4783="","",IFERROR(MATCH(D4783,Projects!$A:$A,0),""))</f>
        <v/>
      </c>
    </row>
    <row r="4784" spans="31:32" x14ac:dyDescent="0.25">
      <c r="AE4784" s="39" t="str">
        <f>IF(D4784="","",IFERROR(VLOOKUP(D4784,Projects!$A$2:$A$20000,1,FALSE),""))</f>
        <v/>
      </c>
      <c r="AF4784" s="2" t="str">
        <f>IF(D4784="","",IFERROR(MATCH(D4784,Projects!$A:$A,0),""))</f>
        <v/>
      </c>
    </row>
    <row r="4785" spans="31:32" x14ac:dyDescent="0.25">
      <c r="AE4785" s="39" t="str">
        <f>IF(D4785="","",IFERROR(VLOOKUP(D4785,Projects!$A$2:$A$20000,1,FALSE),""))</f>
        <v/>
      </c>
      <c r="AF4785" s="2" t="str">
        <f>IF(D4785="","",IFERROR(MATCH(D4785,Projects!$A:$A,0),""))</f>
        <v/>
      </c>
    </row>
    <row r="4786" spans="31:32" x14ac:dyDescent="0.25">
      <c r="AE4786" s="39" t="str">
        <f>IF(D4786="","",IFERROR(VLOOKUP(D4786,Projects!$A$2:$A$20000,1,FALSE),""))</f>
        <v/>
      </c>
      <c r="AF4786" s="2" t="str">
        <f>IF(D4786="","",IFERROR(MATCH(D4786,Projects!$A:$A,0),""))</f>
        <v/>
      </c>
    </row>
    <row r="4787" spans="31:32" x14ac:dyDescent="0.25">
      <c r="AE4787" s="39" t="str">
        <f>IF(D4787="","",IFERROR(VLOOKUP(D4787,Projects!$A$2:$A$20000,1,FALSE),""))</f>
        <v/>
      </c>
      <c r="AF4787" s="2" t="str">
        <f>IF(D4787="","",IFERROR(MATCH(D4787,Projects!$A:$A,0),""))</f>
        <v/>
      </c>
    </row>
    <row r="4788" spans="31:32" x14ac:dyDescent="0.25">
      <c r="AE4788" s="39" t="str">
        <f>IF(D4788="","",IFERROR(VLOOKUP(D4788,Projects!$A$2:$A$20000,1,FALSE),""))</f>
        <v/>
      </c>
      <c r="AF4788" s="2" t="str">
        <f>IF(D4788="","",IFERROR(MATCH(D4788,Projects!$A:$A,0),""))</f>
        <v/>
      </c>
    </row>
    <row r="4789" spans="31:32" x14ac:dyDescent="0.25">
      <c r="AE4789" s="39" t="str">
        <f>IF(D4789="","",IFERROR(VLOOKUP(D4789,Projects!$A$2:$A$20000,1,FALSE),""))</f>
        <v/>
      </c>
      <c r="AF4789" s="2" t="str">
        <f>IF(D4789="","",IFERROR(MATCH(D4789,Projects!$A:$A,0),""))</f>
        <v/>
      </c>
    </row>
    <row r="4790" spans="31:32" x14ac:dyDescent="0.25">
      <c r="AE4790" s="39" t="str">
        <f>IF(D4790="","",IFERROR(VLOOKUP(D4790,Projects!$A$2:$A$20000,1,FALSE),""))</f>
        <v/>
      </c>
      <c r="AF4790" s="2" t="str">
        <f>IF(D4790="","",IFERROR(MATCH(D4790,Projects!$A:$A,0),""))</f>
        <v/>
      </c>
    </row>
    <row r="4791" spans="31:32" x14ac:dyDescent="0.25">
      <c r="AE4791" s="39" t="str">
        <f>IF(D4791="","",IFERROR(VLOOKUP(D4791,Projects!$A$2:$A$20000,1,FALSE),""))</f>
        <v/>
      </c>
      <c r="AF4791" s="2" t="str">
        <f>IF(D4791="","",IFERROR(MATCH(D4791,Projects!$A:$A,0),""))</f>
        <v/>
      </c>
    </row>
    <row r="4792" spans="31:32" x14ac:dyDescent="0.25">
      <c r="AE4792" s="39" t="str">
        <f>IF(D4792="","",IFERROR(VLOOKUP(D4792,Projects!$A$2:$A$20000,1,FALSE),""))</f>
        <v/>
      </c>
      <c r="AF4792" s="2" t="str">
        <f>IF(D4792="","",IFERROR(MATCH(D4792,Projects!$A:$A,0),""))</f>
        <v/>
      </c>
    </row>
    <row r="4793" spans="31:32" x14ac:dyDescent="0.25">
      <c r="AE4793" s="39" t="str">
        <f>IF(D4793="","",IFERROR(VLOOKUP(D4793,Projects!$A$2:$A$20000,1,FALSE),""))</f>
        <v/>
      </c>
      <c r="AF4793" s="2" t="str">
        <f>IF(D4793="","",IFERROR(MATCH(D4793,Projects!$A:$A,0),""))</f>
        <v/>
      </c>
    </row>
    <row r="4794" spans="31:32" x14ac:dyDescent="0.25">
      <c r="AE4794" s="39" t="str">
        <f>IF(D4794="","",IFERROR(VLOOKUP(D4794,Projects!$A$2:$A$20000,1,FALSE),""))</f>
        <v/>
      </c>
      <c r="AF4794" s="2" t="str">
        <f>IF(D4794="","",IFERROR(MATCH(D4794,Projects!$A:$A,0),""))</f>
        <v/>
      </c>
    </row>
    <row r="4795" spans="31:32" x14ac:dyDescent="0.25">
      <c r="AE4795" s="39" t="str">
        <f>IF(D4795="","",IFERROR(VLOOKUP(D4795,Projects!$A$2:$A$20000,1,FALSE),""))</f>
        <v/>
      </c>
      <c r="AF4795" s="2" t="str">
        <f>IF(D4795="","",IFERROR(MATCH(D4795,Projects!$A:$A,0),""))</f>
        <v/>
      </c>
    </row>
    <row r="4796" spans="31:32" x14ac:dyDescent="0.25">
      <c r="AE4796" s="39" t="str">
        <f>IF(D4796="","",IFERROR(VLOOKUP(D4796,Projects!$A$2:$A$20000,1,FALSE),""))</f>
        <v/>
      </c>
      <c r="AF4796" s="2" t="str">
        <f>IF(D4796="","",IFERROR(MATCH(D4796,Projects!$A:$A,0),""))</f>
        <v/>
      </c>
    </row>
    <row r="4797" spans="31:32" x14ac:dyDescent="0.25">
      <c r="AE4797" s="39" t="str">
        <f>IF(D4797="","",IFERROR(VLOOKUP(D4797,Projects!$A$2:$A$20000,1,FALSE),""))</f>
        <v/>
      </c>
      <c r="AF4797" s="2" t="str">
        <f>IF(D4797="","",IFERROR(MATCH(D4797,Projects!$A:$A,0),""))</f>
        <v/>
      </c>
    </row>
    <row r="4798" spans="31:32" x14ac:dyDescent="0.25">
      <c r="AE4798" s="39" t="str">
        <f>IF(D4798="","",IFERROR(VLOOKUP(D4798,Projects!$A$2:$A$20000,1,FALSE),""))</f>
        <v/>
      </c>
      <c r="AF4798" s="2" t="str">
        <f>IF(D4798="","",IFERROR(MATCH(D4798,Projects!$A:$A,0),""))</f>
        <v/>
      </c>
    </row>
    <row r="4799" spans="31:32" x14ac:dyDescent="0.25">
      <c r="AE4799" s="39" t="str">
        <f>IF(D4799="","",IFERROR(VLOOKUP(D4799,Projects!$A$2:$A$20000,1,FALSE),""))</f>
        <v/>
      </c>
      <c r="AF4799" s="2" t="str">
        <f>IF(D4799="","",IFERROR(MATCH(D4799,Projects!$A:$A,0),""))</f>
        <v/>
      </c>
    </row>
    <row r="4800" spans="31:32" x14ac:dyDescent="0.25">
      <c r="AE4800" s="39" t="str">
        <f>IF(D4800="","",IFERROR(VLOOKUP(D4800,Projects!$A$2:$A$20000,1,FALSE),""))</f>
        <v/>
      </c>
      <c r="AF4800" s="2" t="str">
        <f>IF(D4800="","",IFERROR(MATCH(D4800,Projects!$A:$A,0),""))</f>
        <v/>
      </c>
    </row>
    <row r="4801" spans="31:32" x14ac:dyDescent="0.25">
      <c r="AE4801" s="39" t="str">
        <f>IF(D4801="","",IFERROR(VLOOKUP(D4801,Projects!$A$2:$A$20000,1,FALSE),""))</f>
        <v/>
      </c>
      <c r="AF4801" s="2" t="str">
        <f>IF(D4801="","",IFERROR(MATCH(D4801,Projects!$A:$A,0),""))</f>
        <v/>
      </c>
    </row>
    <row r="4802" spans="31:32" x14ac:dyDescent="0.25">
      <c r="AE4802" s="39" t="str">
        <f>IF(D4802="","",IFERROR(VLOOKUP(D4802,Projects!$A$2:$A$20000,1,FALSE),""))</f>
        <v/>
      </c>
      <c r="AF4802" s="2" t="str">
        <f>IF(D4802="","",IFERROR(MATCH(D4802,Projects!$A:$A,0),""))</f>
        <v/>
      </c>
    </row>
    <row r="4803" spans="31:32" x14ac:dyDescent="0.25">
      <c r="AE4803" s="39" t="str">
        <f>IF(D4803="","",IFERROR(VLOOKUP(D4803,Projects!$A$2:$A$20000,1,FALSE),""))</f>
        <v/>
      </c>
      <c r="AF4803" s="2" t="str">
        <f>IF(D4803="","",IFERROR(MATCH(D4803,Projects!$A:$A,0),""))</f>
        <v/>
      </c>
    </row>
    <row r="4804" spans="31:32" x14ac:dyDescent="0.25">
      <c r="AE4804" s="39" t="str">
        <f>IF(D4804="","",IFERROR(VLOOKUP(D4804,Projects!$A$2:$A$20000,1,FALSE),""))</f>
        <v/>
      </c>
      <c r="AF4804" s="2" t="str">
        <f>IF(D4804="","",IFERROR(MATCH(D4804,Projects!$A:$A,0),""))</f>
        <v/>
      </c>
    </row>
    <row r="4805" spans="31:32" x14ac:dyDescent="0.25">
      <c r="AE4805" s="39" t="str">
        <f>IF(D4805="","",IFERROR(VLOOKUP(D4805,Projects!$A$2:$A$20000,1,FALSE),""))</f>
        <v/>
      </c>
      <c r="AF4805" s="2" t="str">
        <f>IF(D4805="","",IFERROR(MATCH(D4805,Projects!$A:$A,0),""))</f>
        <v/>
      </c>
    </row>
    <row r="4806" spans="31:32" x14ac:dyDescent="0.25">
      <c r="AE4806" s="39" t="str">
        <f>IF(D4806="","",IFERROR(VLOOKUP(D4806,Projects!$A$2:$A$20000,1,FALSE),""))</f>
        <v/>
      </c>
      <c r="AF4806" s="2" t="str">
        <f>IF(D4806="","",IFERROR(MATCH(D4806,Projects!$A:$A,0),""))</f>
        <v/>
      </c>
    </row>
    <row r="4807" spans="31:32" x14ac:dyDescent="0.25">
      <c r="AE4807" s="39" t="str">
        <f>IF(D4807="","",IFERROR(VLOOKUP(D4807,Projects!$A$2:$A$20000,1,FALSE),""))</f>
        <v/>
      </c>
      <c r="AF4807" s="2" t="str">
        <f>IF(D4807="","",IFERROR(MATCH(D4807,Projects!$A:$A,0),""))</f>
        <v/>
      </c>
    </row>
    <row r="4808" spans="31:32" x14ac:dyDescent="0.25">
      <c r="AE4808" s="39" t="str">
        <f>IF(D4808="","",IFERROR(VLOOKUP(D4808,Projects!$A$2:$A$20000,1,FALSE),""))</f>
        <v/>
      </c>
      <c r="AF4808" s="2" t="str">
        <f>IF(D4808="","",IFERROR(MATCH(D4808,Projects!$A:$A,0),""))</f>
        <v/>
      </c>
    </row>
    <row r="4809" spans="31:32" x14ac:dyDescent="0.25">
      <c r="AE4809" s="39" t="str">
        <f>IF(D4809="","",IFERROR(VLOOKUP(D4809,Projects!$A$2:$A$20000,1,FALSE),""))</f>
        <v/>
      </c>
      <c r="AF4809" s="2" t="str">
        <f>IF(D4809="","",IFERROR(MATCH(D4809,Projects!$A:$A,0),""))</f>
        <v/>
      </c>
    </row>
    <row r="4810" spans="31:32" x14ac:dyDescent="0.25">
      <c r="AE4810" s="39" t="str">
        <f>IF(D4810="","",IFERROR(VLOOKUP(D4810,Projects!$A$2:$A$20000,1,FALSE),""))</f>
        <v/>
      </c>
      <c r="AF4810" s="2" t="str">
        <f>IF(D4810="","",IFERROR(MATCH(D4810,Projects!$A:$A,0),""))</f>
        <v/>
      </c>
    </row>
    <row r="4811" spans="31:32" x14ac:dyDescent="0.25">
      <c r="AE4811" s="39" t="str">
        <f>IF(D4811="","",IFERROR(VLOOKUP(D4811,Projects!$A$2:$A$20000,1,FALSE),""))</f>
        <v/>
      </c>
      <c r="AF4811" s="2" t="str">
        <f>IF(D4811="","",IFERROR(MATCH(D4811,Projects!$A:$A,0),""))</f>
        <v/>
      </c>
    </row>
    <row r="4812" spans="31:32" x14ac:dyDescent="0.25">
      <c r="AE4812" s="39" t="str">
        <f>IF(D4812="","",IFERROR(VLOOKUP(D4812,Projects!$A$2:$A$20000,1,FALSE),""))</f>
        <v/>
      </c>
      <c r="AF4812" s="2" t="str">
        <f>IF(D4812="","",IFERROR(MATCH(D4812,Projects!$A:$A,0),""))</f>
        <v/>
      </c>
    </row>
    <row r="4813" spans="31:32" x14ac:dyDescent="0.25">
      <c r="AE4813" s="39" t="str">
        <f>IF(D4813="","",IFERROR(VLOOKUP(D4813,Projects!$A$2:$A$20000,1,FALSE),""))</f>
        <v/>
      </c>
      <c r="AF4813" s="2" t="str">
        <f>IF(D4813="","",IFERROR(MATCH(D4813,Projects!$A:$A,0),""))</f>
        <v/>
      </c>
    </row>
    <row r="4814" spans="31:32" x14ac:dyDescent="0.25">
      <c r="AE4814" s="39" t="str">
        <f>IF(D4814="","",IFERROR(VLOOKUP(D4814,Projects!$A$2:$A$20000,1,FALSE),""))</f>
        <v/>
      </c>
      <c r="AF4814" s="2" t="str">
        <f>IF(D4814="","",IFERROR(MATCH(D4814,Projects!$A:$A,0),""))</f>
        <v/>
      </c>
    </row>
    <row r="4815" spans="31:32" x14ac:dyDescent="0.25">
      <c r="AE4815" s="39" t="str">
        <f>IF(D4815="","",IFERROR(VLOOKUP(D4815,Projects!$A$2:$A$20000,1,FALSE),""))</f>
        <v/>
      </c>
      <c r="AF4815" s="2" t="str">
        <f>IF(D4815="","",IFERROR(MATCH(D4815,Projects!$A:$A,0),""))</f>
        <v/>
      </c>
    </row>
    <row r="4816" spans="31:32" x14ac:dyDescent="0.25">
      <c r="AE4816" s="39" t="str">
        <f>IF(D4816="","",IFERROR(VLOOKUP(D4816,Projects!$A$2:$A$20000,1,FALSE),""))</f>
        <v/>
      </c>
      <c r="AF4816" s="2" t="str">
        <f>IF(D4816="","",IFERROR(MATCH(D4816,Projects!$A:$A,0),""))</f>
        <v/>
      </c>
    </row>
    <row r="4817" spans="31:32" x14ac:dyDescent="0.25">
      <c r="AE4817" s="39" t="str">
        <f>IF(D4817="","",IFERROR(VLOOKUP(D4817,Projects!$A$2:$A$20000,1,FALSE),""))</f>
        <v/>
      </c>
      <c r="AF4817" s="2" t="str">
        <f>IF(D4817="","",IFERROR(MATCH(D4817,Projects!$A:$A,0),""))</f>
        <v/>
      </c>
    </row>
    <row r="4818" spans="31:32" x14ac:dyDescent="0.25">
      <c r="AE4818" s="39" t="str">
        <f>IF(D4818="","",IFERROR(VLOOKUP(D4818,Projects!$A$2:$A$20000,1,FALSE),""))</f>
        <v/>
      </c>
      <c r="AF4818" s="2" t="str">
        <f>IF(D4818="","",IFERROR(MATCH(D4818,Projects!$A:$A,0),""))</f>
        <v/>
      </c>
    </row>
    <row r="4819" spans="31:32" x14ac:dyDescent="0.25">
      <c r="AE4819" s="39" t="str">
        <f>IF(D4819="","",IFERROR(VLOOKUP(D4819,Projects!$A$2:$A$20000,1,FALSE),""))</f>
        <v/>
      </c>
      <c r="AF4819" s="2" t="str">
        <f>IF(D4819="","",IFERROR(MATCH(D4819,Projects!$A:$A,0),""))</f>
        <v/>
      </c>
    </row>
    <row r="4820" spans="31:32" x14ac:dyDescent="0.25">
      <c r="AE4820" s="39" t="str">
        <f>IF(D4820="","",IFERROR(VLOOKUP(D4820,Projects!$A$2:$A$20000,1,FALSE),""))</f>
        <v/>
      </c>
      <c r="AF4820" s="2" t="str">
        <f>IF(D4820="","",IFERROR(MATCH(D4820,Projects!$A:$A,0),""))</f>
        <v/>
      </c>
    </row>
    <row r="4821" spans="31:32" x14ac:dyDescent="0.25">
      <c r="AE4821" s="39" t="str">
        <f>IF(D4821="","",IFERROR(VLOOKUP(D4821,Projects!$A$2:$A$20000,1,FALSE),""))</f>
        <v/>
      </c>
      <c r="AF4821" s="2" t="str">
        <f>IF(D4821="","",IFERROR(MATCH(D4821,Projects!$A:$A,0),""))</f>
        <v/>
      </c>
    </row>
    <row r="4822" spans="31:32" x14ac:dyDescent="0.25">
      <c r="AE4822" s="39" t="str">
        <f>IF(D4822="","",IFERROR(VLOOKUP(D4822,Projects!$A$2:$A$20000,1,FALSE),""))</f>
        <v/>
      </c>
      <c r="AF4822" s="2" t="str">
        <f>IF(D4822="","",IFERROR(MATCH(D4822,Projects!$A:$A,0),""))</f>
        <v/>
      </c>
    </row>
    <row r="4823" spans="31:32" x14ac:dyDescent="0.25">
      <c r="AE4823" s="39" t="str">
        <f>IF(D4823="","",IFERROR(VLOOKUP(D4823,Projects!$A$2:$A$20000,1,FALSE),""))</f>
        <v/>
      </c>
      <c r="AF4823" s="2" t="str">
        <f>IF(D4823="","",IFERROR(MATCH(D4823,Projects!$A:$A,0),""))</f>
        <v/>
      </c>
    </row>
    <row r="4824" spans="31:32" x14ac:dyDescent="0.25">
      <c r="AE4824" s="39" t="str">
        <f>IF(D4824="","",IFERROR(VLOOKUP(D4824,Projects!$A$2:$A$20000,1,FALSE),""))</f>
        <v/>
      </c>
      <c r="AF4824" s="2" t="str">
        <f>IF(D4824="","",IFERROR(MATCH(D4824,Projects!$A:$A,0),""))</f>
        <v/>
      </c>
    </row>
    <row r="4825" spans="31:32" x14ac:dyDescent="0.25">
      <c r="AE4825" s="39" t="str">
        <f>IF(D4825="","",IFERROR(VLOOKUP(D4825,Projects!$A$2:$A$20000,1,FALSE),""))</f>
        <v/>
      </c>
      <c r="AF4825" s="2" t="str">
        <f>IF(D4825="","",IFERROR(MATCH(D4825,Projects!$A:$A,0),""))</f>
        <v/>
      </c>
    </row>
    <row r="4826" spans="31:32" x14ac:dyDescent="0.25">
      <c r="AE4826" s="39" t="str">
        <f>IF(D4826="","",IFERROR(VLOOKUP(D4826,Projects!$A$2:$A$20000,1,FALSE),""))</f>
        <v/>
      </c>
      <c r="AF4826" s="2" t="str">
        <f>IF(D4826="","",IFERROR(MATCH(D4826,Projects!$A:$A,0),""))</f>
        <v/>
      </c>
    </row>
    <row r="4827" spans="31:32" x14ac:dyDescent="0.25">
      <c r="AE4827" s="39" t="str">
        <f>IF(D4827="","",IFERROR(VLOOKUP(D4827,Projects!$A$2:$A$20000,1,FALSE),""))</f>
        <v/>
      </c>
      <c r="AF4827" s="2" t="str">
        <f>IF(D4827="","",IFERROR(MATCH(D4827,Projects!$A:$A,0),""))</f>
        <v/>
      </c>
    </row>
    <row r="4828" spans="31:32" x14ac:dyDescent="0.25">
      <c r="AE4828" s="39" t="str">
        <f>IF(D4828="","",IFERROR(VLOOKUP(D4828,Projects!$A$2:$A$20000,1,FALSE),""))</f>
        <v/>
      </c>
      <c r="AF4828" s="2" t="str">
        <f>IF(D4828="","",IFERROR(MATCH(D4828,Projects!$A:$A,0),""))</f>
        <v/>
      </c>
    </row>
    <row r="4829" spans="31:32" x14ac:dyDescent="0.25">
      <c r="AE4829" s="39" t="str">
        <f>IF(D4829="","",IFERROR(VLOOKUP(D4829,Projects!$A$2:$A$20000,1,FALSE),""))</f>
        <v/>
      </c>
      <c r="AF4829" s="2" t="str">
        <f>IF(D4829="","",IFERROR(MATCH(D4829,Projects!$A:$A,0),""))</f>
        <v/>
      </c>
    </row>
    <row r="4830" spans="31:32" x14ac:dyDescent="0.25">
      <c r="AE4830" s="39" t="str">
        <f>IF(D4830="","",IFERROR(VLOOKUP(D4830,Projects!$A$2:$A$20000,1,FALSE),""))</f>
        <v/>
      </c>
      <c r="AF4830" s="2" t="str">
        <f>IF(D4830="","",IFERROR(MATCH(D4830,Projects!$A:$A,0),""))</f>
        <v/>
      </c>
    </row>
    <row r="4831" spans="31:32" x14ac:dyDescent="0.25">
      <c r="AE4831" s="39" t="str">
        <f>IF(D4831="","",IFERROR(VLOOKUP(D4831,Projects!$A$2:$A$20000,1,FALSE),""))</f>
        <v/>
      </c>
      <c r="AF4831" s="2" t="str">
        <f>IF(D4831="","",IFERROR(MATCH(D4831,Projects!$A:$A,0),""))</f>
        <v/>
      </c>
    </row>
    <row r="4832" spans="31:32" x14ac:dyDescent="0.25">
      <c r="AE4832" s="39" t="str">
        <f>IF(D4832="","",IFERROR(VLOOKUP(D4832,Projects!$A$2:$A$20000,1,FALSE),""))</f>
        <v/>
      </c>
      <c r="AF4832" s="2" t="str">
        <f>IF(D4832="","",IFERROR(MATCH(D4832,Projects!$A:$A,0),""))</f>
        <v/>
      </c>
    </row>
    <row r="4833" spans="31:32" x14ac:dyDescent="0.25">
      <c r="AE4833" s="39" t="str">
        <f>IF(D4833="","",IFERROR(VLOOKUP(D4833,Projects!$A$2:$A$20000,1,FALSE),""))</f>
        <v/>
      </c>
      <c r="AF4833" s="2" t="str">
        <f>IF(D4833="","",IFERROR(MATCH(D4833,Projects!$A:$A,0),""))</f>
        <v/>
      </c>
    </row>
    <row r="4834" spans="31:32" x14ac:dyDescent="0.25">
      <c r="AE4834" s="39" t="str">
        <f>IF(D4834="","",IFERROR(VLOOKUP(D4834,Projects!$A$2:$A$20000,1,FALSE),""))</f>
        <v/>
      </c>
      <c r="AF4834" s="2" t="str">
        <f>IF(D4834="","",IFERROR(MATCH(D4834,Projects!$A:$A,0),""))</f>
        <v/>
      </c>
    </row>
    <row r="4835" spans="31:32" x14ac:dyDescent="0.25">
      <c r="AE4835" s="39" t="str">
        <f>IF(D4835="","",IFERROR(VLOOKUP(D4835,Projects!$A$2:$A$20000,1,FALSE),""))</f>
        <v/>
      </c>
      <c r="AF4835" s="2" t="str">
        <f>IF(D4835="","",IFERROR(MATCH(D4835,Projects!$A:$A,0),""))</f>
        <v/>
      </c>
    </row>
    <row r="4836" spans="31:32" x14ac:dyDescent="0.25">
      <c r="AE4836" s="39" t="str">
        <f>IF(D4836="","",IFERROR(VLOOKUP(D4836,Projects!$A$2:$A$20000,1,FALSE),""))</f>
        <v/>
      </c>
      <c r="AF4836" s="2" t="str">
        <f>IF(D4836="","",IFERROR(MATCH(D4836,Projects!$A:$A,0),""))</f>
        <v/>
      </c>
    </row>
    <row r="4837" spans="31:32" x14ac:dyDescent="0.25">
      <c r="AE4837" s="39" t="str">
        <f>IF(D4837="","",IFERROR(VLOOKUP(D4837,Projects!$A$2:$A$20000,1,FALSE),""))</f>
        <v/>
      </c>
      <c r="AF4837" s="2" t="str">
        <f>IF(D4837="","",IFERROR(MATCH(D4837,Projects!$A:$A,0),""))</f>
        <v/>
      </c>
    </row>
    <row r="4838" spans="31:32" x14ac:dyDescent="0.25">
      <c r="AE4838" s="39" t="str">
        <f>IF(D4838="","",IFERROR(VLOOKUP(D4838,Projects!$A$2:$A$20000,1,FALSE),""))</f>
        <v/>
      </c>
      <c r="AF4838" s="2" t="str">
        <f>IF(D4838="","",IFERROR(MATCH(D4838,Projects!$A:$A,0),""))</f>
        <v/>
      </c>
    </row>
    <row r="4839" spans="31:32" x14ac:dyDescent="0.25">
      <c r="AE4839" s="39" t="str">
        <f>IF(D4839="","",IFERROR(VLOOKUP(D4839,Projects!$A$2:$A$20000,1,FALSE),""))</f>
        <v/>
      </c>
      <c r="AF4839" s="2" t="str">
        <f>IF(D4839="","",IFERROR(MATCH(D4839,Projects!$A:$A,0),""))</f>
        <v/>
      </c>
    </row>
    <row r="4840" spans="31:32" x14ac:dyDescent="0.25">
      <c r="AE4840" s="39" t="str">
        <f>IF(D4840="","",IFERROR(VLOOKUP(D4840,Projects!$A$2:$A$20000,1,FALSE),""))</f>
        <v/>
      </c>
      <c r="AF4840" s="2" t="str">
        <f>IF(D4840="","",IFERROR(MATCH(D4840,Projects!$A:$A,0),""))</f>
        <v/>
      </c>
    </row>
    <row r="4841" spans="31:32" x14ac:dyDescent="0.25">
      <c r="AE4841" s="39" t="str">
        <f>IF(D4841="","",IFERROR(VLOOKUP(D4841,Projects!$A$2:$A$20000,1,FALSE),""))</f>
        <v/>
      </c>
      <c r="AF4841" s="2" t="str">
        <f>IF(D4841="","",IFERROR(MATCH(D4841,Projects!$A:$A,0),""))</f>
        <v/>
      </c>
    </row>
    <row r="4842" spans="31:32" x14ac:dyDescent="0.25">
      <c r="AE4842" s="39" t="str">
        <f>IF(D4842="","",IFERROR(VLOOKUP(D4842,Projects!$A$2:$A$20000,1,FALSE),""))</f>
        <v/>
      </c>
      <c r="AF4842" s="2" t="str">
        <f>IF(D4842="","",IFERROR(MATCH(D4842,Projects!$A:$A,0),""))</f>
        <v/>
      </c>
    </row>
    <row r="4843" spans="31:32" x14ac:dyDescent="0.25">
      <c r="AE4843" s="39" t="str">
        <f>IF(D4843="","",IFERROR(VLOOKUP(D4843,Projects!$A$2:$A$20000,1,FALSE),""))</f>
        <v/>
      </c>
      <c r="AF4843" s="2" t="str">
        <f>IF(D4843="","",IFERROR(MATCH(D4843,Projects!$A:$A,0),""))</f>
        <v/>
      </c>
    </row>
    <row r="4844" spans="31:32" x14ac:dyDescent="0.25">
      <c r="AE4844" s="39" t="str">
        <f>IF(D4844="","",IFERROR(VLOOKUP(D4844,Projects!$A$2:$A$20000,1,FALSE),""))</f>
        <v/>
      </c>
      <c r="AF4844" s="2" t="str">
        <f>IF(D4844="","",IFERROR(MATCH(D4844,Projects!$A:$A,0),""))</f>
        <v/>
      </c>
    </row>
    <row r="4845" spans="31:32" x14ac:dyDescent="0.25">
      <c r="AE4845" s="39" t="str">
        <f>IF(D4845="","",IFERROR(VLOOKUP(D4845,Projects!$A$2:$A$20000,1,FALSE),""))</f>
        <v/>
      </c>
      <c r="AF4845" s="2" t="str">
        <f>IF(D4845="","",IFERROR(MATCH(D4845,Projects!$A:$A,0),""))</f>
        <v/>
      </c>
    </row>
    <row r="4846" spans="31:32" x14ac:dyDescent="0.25">
      <c r="AE4846" s="39" t="str">
        <f>IF(D4846="","",IFERROR(VLOOKUP(D4846,Projects!$A$2:$A$20000,1,FALSE),""))</f>
        <v/>
      </c>
      <c r="AF4846" s="2" t="str">
        <f>IF(D4846="","",IFERROR(MATCH(D4846,Projects!$A:$A,0),""))</f>
        <v/>
      </c>
    </row>
    <row r="4847" spans="31:32" x14ac:dyDescent="0.25">
      <c r="AE4847" s="39" t="str">
        <f>IF(D4847="","",IFERROR(VLOOKUP(D4847,Projects!$A$2:$A$20000,1,FALSE),""))</f>
        <v/>
      </c>
      <c r="AF4847" s="2" t="str">
        <f>IF(D4847="","",IFERROR(MATCH(D4847,Projects!$A:$A,0),""))</f>
        <v/>
      </c>
    </row>
    <row r="4848" spans="31:32" x14ac:dyDescent="0.25">
      <c r="AE4848" s="39" t="str">
        <f>IF(D4848="","",IFERROR(VLOOKUP(D4848,Projects!$A$2:$A$20000,1,FALSE),""))</f>
        <v/>
      </c>
      <c r="AF4848" s="2" t="str">
        <f>IF(D4848="","",IFERROR(MATCH(D4848,Projects!$A:$A,0),""))</f>
        <v/>
      </c>
    </row>
    <row r="4849" spans="31:32" x14ac:dyDescent="0.25">
      <c r="AE4849" s="39" t="str">
        <f>IF(D4849="","",IFERROR(VLOOKUP(D4849,Projects!$A$2:$A$20000,1,FALSE),""))</f>
        <v/>
      </c>
      <c r="AF4849" s="2" t="str">
        <f>IF(D4849="","",IFERROR(MATCH(D4849,Projects!$A:$A,0),""))</f>
        <v/>
      </c>
    </row>
    <row r="4850" spans="31:32" x14ac:dyDescent="0.25">
      <c r="AE4850" s="39" t="str">
        <f>IF(D4850="","",IFERROR(VLOOKUP(D4850,Projects!$A$2:$A$20000,1,FALSE),""))</f>
        <v/>
      </c>
      <c r="AF4850" s="2" t="str">
        <f>IF(D4850="","",IFERROR(MATCH(D4850,Projects!$A:$A,0),""))</f>
        <v/>
      </c>
    </row>
    <row r="4851" spans="31:32" x14ac:dyDescent="0.25">
      <c r="AE4851" s="39" t="str">
        <f>IF(D4851="","",IFERROR(VLOOKUP(D4851,Projects!$A$2:$A$20000,1,FALSE),""))</f>
        <v/>
      </c>
      <c r="AF4851" s="2" t="str">
        <f>IF(D4851="","",IFERROR(MATCH(D4851,Projects!$A:$A,0),""))</f>
        <v/>
      </c>
    </row>
    <row r="4852" spans="31:32" x14ac:dyDescent="0.25">
      <c r="AE4852" s="39" t="str">
        <f>IF(D4852="","",IFERROR(VLOOKUP(D4852,Projects!$A$2:$A$20000,1,FALSE),""))</f>
        <v/>
      </c>
      <c r="AF4852" s="2" t="str">
        <f>IF(D4852="","",IFERROR(MATCH(D4852,Projects!$A:$A,0),""))</f>
        <v/>
      </c>
    </row>
    <row r="4853" spans="31:32" x14ac:dyDescent="0.25">
      <c r="AE4853" s="39" t="str">
        <f>IF(D4853="","",IFERROR(VLOOKUP(D4853,Projects!$A$2:$A$20000,1,FALSE),""))</f>
        <v/>
      </c>
      <c r="AF4853" s="2" t="str">
        <f>IF(D4853="","",IFERROR(MATCH(D4853,Projects!$A:$A,0),""))</f>
        <v/>
      </c>
    </row>
    <row r="4854" spans="31:32" x14ac:dyDescent="0.25">
      <c r="AE4854" s="39" t="str">
        <f>IF(D4854="","",IFERROR(VLOOKUP(D4854,Projects!$A$2:$A$20000,1,FALSE),""))</f>
        <v/>
      </c>
      <c r="AF4854" s="2" t="str">
        <f>IF(D4854="","",IFERROR(MATCH(D4854,Projects!$A:$A,0),""))</f>
        <v/>
      </c>
    </row>
    <row r="4855" spans="31:32" x14ac:dyDescent="0.25">
      <c r="AE4855" s="39" t="str">
        <f>IF(D4855="","",IFERROR(VLOOKUP(D4855,Projects!$A$2:$A$20000,1,FALSE),""))</f>
        <v/>
      </c>
      <c r="AF4855" s="2" t="str">
        <f>IF(D4855="","",IFERROR(MATCH(D4855,Projects!$A:$A,0),""))</f>
        <v/>
      </c>
    </row>
    <row r="4856" spans="31:32" x14ac:dyDescent="0.25">
      <c r="AE4856" s="39" t="str">
        <f>IF(D4856="","",IFERROR(VLOOKUP(D4856,Projects!$A$2:$A$20000,1,FALSE),""))</f>
        <v/>
      </c>
      <c r="AF4856" s="2" t="str">
        <f>IF(D4856="","",IFERROR(MATCH(D4856,Projects!$A:$A,0),""))</f>
        <v/>
      </c>
    </row>
    <row r="4857" spans="31:32" x14ac:dyDescent="0.25">
      <c r="AE4857" s="39" t="str">
        <f>IF(D4857="","",IFERROR(VLOOKUP(D4857,Projects!$A$2:$A$20000,1,FALSE),""))</f>
        <v/>
      </c>
      <c r="AF4857" s="2" t="str">
        <f>IF(D4857="","",IFERROR(MATCH(D4857,Projects!$A:$A,0),""))</f>
        <v/>
      </c>
    </row>
    <row r="4858" spans="31:32" x14ac:dyDescent="0.25">
      <c r="AE4858" s="39" t="str">
        <f>IF(D4858="","",IFERROR(VLOOKUP(D4858,Projects!$A$2:$A$20000,1,FALSE),""))</f>
        <v/>
      </c>
      <c r="AF4858" s="2" t="str">
        <f>IF(D4858="","",IFERROR(MATCH(D4858,Projects!$A:$A,0),""))</f>
        <v/>
      </c>
    </row>
    <row r="4859" spans="31:32" x14ac:dyDescent="0.25">
      <c r="AE4859" s="39" t="str">
        <f>IF(D4859="","",IFERROR(VLOOKUP(D4859,Projects!$A$2:$A$20000,1,FALSE),""))</f>
        <v/>
      </c>
      <c r="AF4859" s="2" t="str">
        <f>IF(D4859="","",IFERROR(MATCH(D4859,Projects!$A:$A,0),""))</f>
        <v/>
      </c>
    </row>
    <row r="4860" spans="31:32" x14ac:dyDescent="0.25">
      <c r="AE4860" s="39" t="str">
        <f>IF(D4860="","",IFERROR(VLOOKUP(D4860,Projects!$A$2:$A$20000,1,FALSE),""))</f>
        <v/>
      </c>
      <c r="AF4860" s="2" t="str">
        <f>IF(D4860="","",IFERROR(MATCH(D4860,Projects!$A:$A,0),""))</f>
        <v/>
      </c>
    </row>
    <row r="4861" spans="31:32" x14ac:dyDescent="0.25">
      <c r="AE4861" s="39" t="str">
        <f>IF(D4861="","",IFERROR(VLOOKUP(D4861,Projects!$A$2:$A$20000,1,FALSE),""))</f>
        <v/>
      </c>
      <c r="AF4861" s="2" t="str">
        <f>IF(D4861="","",IFERROR(MATCH(D4861,Projects!$A:$A,0),""))</f>
        <v/>
      </c>
    </row>
    <row r="4862" spans="31:32" x14ac:dyDescent="0.25">
      <c r="AE4862" s="39" t="str">
        <f>IF(D4862="","",IFERROR(VLOOKUP(D4862,Projects!$A$2:$A$20000,1,FALSE),""))</f>
        <v/>
      </c>
      <c r="AF4862" s="2" t="str">
        <f>IF(D4862="","",IFERROR(MATCH(D4862,Projects!$A:$A,0),""))</f>
        <v/>
      </c>
    </row>
    <row r="4863" spans="31:32" x14ac:dyDescent="0.25">
      <c r="AE4863" s="39" t="str">
        <f>IF(D4863="","",IFERROR(VLOOKUP(D4863,Projects!$A$2:$A$20000,1,FALSE),""))</f>
        <v/>
      </c>
      <c r="AF4863" s="2" t="str">
        <f>IF(D4863="","",IFERROR(MATCH(D4863,Projects!$A:$A,0),""))</f>
        <v/>
      </c>
    </row>
    <row r="4864" spans="31:32" x14ac:dyDescent="0.25">
      <c r="AE4864" s="39" t="str">
        <f>IF(D4864="","",IFERROR(VLOOKUP(D4864,Projects!$A$2:$A$20000,1,FALSE),""))</f>
        <v/>
      </c>
      <c r="AF4864" s="2" t="str">
        <f>IF(D4864="","",IFERROR(MATCH(D4864,Projects!$A:$A,0),""))</f>
        <v/>
      </c>
    </row>
    <row r="4865" spans="31:32" x14ac:dyDescent="0.25">
      <c r="AE4865" s="39" t="str">
        <f>IF(D4865="","",IFERROR(VLOOKUP(D4865,Projects!$A$2:$A$20000,1,FALSE),""))</f>
        <v/>
      </c>
      <c r="AF4865" s="2" t="str">
        <f>IF(D4865="","",IFERROR(MATCH(D4865,Projects!$A:$A,0),""))</f>
        <v/>
      </c>
    </row>
    <row r="4866" spans="31:32" x14ac:dyDescent="0.25">
      <c r="AE4866" s="39" t="str">
        <f>IF(D4866="","",IFERROR(VLOOKUP(D4866,Projects!$A$2:$A$20000,1,FALSE),""))</f>
        <v/>
      </c>
      <c r="AF4866" s="2" t="str">
        <f>IF(D4866="","",IFERROR(MATCH(D4866,Projects!$A:$A,0),""))</f>
        <v/>
      </c>
    </row>
    <row r="4867" spans="31:32" x14ac:dyDescent="0.25">
      <c r="AE4867" s="39" t="str">
        <f>IF(D4867="","",IFERROR(VLOOKUP(D4867,Projects!$A$2:$A$20000,1,FALSE),""))</f>
        <v/>
      </c>
      <c r="AF4867" s="2" t="str">
        <f>IF(D4867="","",IFERROR(MATCH(D4867,Projects!$A:$A,0),""))</f>
        <v/>
      </c>
    </row>
    <row r="4868" spans="31:32" x14ac:dyDescent="0.25">
      <c r="AE4868" s="39" t="str">
        <f>IF(D4868="","",IFERROR(VLOOKUP(D4868,Projects!$A$2:$A$20000,1,FALSE),""))</f>
        <v/>
      </c>
      <c r="AF4868" s="2" t="str">
        <f>IF(D4868="","",IFERROR(MATCH(D4868,Projects!$A:$A,0),""))</f>
        <v/>
      </c>
    </row>
    <row r="4869" spans="31:32" x14ac:dyDescent="0.25">
      <c r="AE4869" s="39" t="str">
        <f>IF(D4869="","",IFERROR(VLOOKUP(D4869,Projects!$A$2:$A$20000,1,FALSE),""))</f>
        <v/>
      </c>
      <c r="AF4869" s="2" t="str">
        <f>IF(D4869="","",IFERROR(MATCH(D4869,Projects!$A:$A,0),""))</f>
        <v/>
      </c>
    </row>
    <row r="4870" spans="31:32" x14ac:dyDescent="0.25">
      <c r="AE4870" s="39" t="str">
        <f>IF(D4870="","",IFERROR(VLOOKUP(D4870,Projects!$A$2:$A$20000,1,FALSE),""))</f>
        <v/>
      </c>
      <c r="AF4870" s="2" t="str">
        <f>IF(D4870="","",IFERROR(MATCH(D4870,Projects!$A:$A,0),""))</f>
        <v/>
      </c>
    </row>
    <row r="4871" spans="31:32" x14ac:dyDescent="0.25">
      <c r="AE4871" s="39" t="str">
        <f>IF(D4871="","",IFERROR(VLOOKUP(D4871,Projects!$A$2:$A$20000,1,FALSE),""))</f>
        <v/>
      </c>
      <c r="AF4871" s="2" t="str">
        <f>IF(D4871="","",IFERROR(MATCH(D4871,Projects!$A:$A,0),""))</f>
        <v/>
      </c>
    </row>
    <row r="4872" spans="31:32" x14ac:dyDescent="0.25">
      <c r="AE4872" s="39" t="str">
        <f>IF(D4872="","",IFERROR(VLOOKUP(D4872,Projects!$A$2:$A$20000,1,FALSE),""))</f>
        <v/>
      </c>
      <c r="AF4872" s="2" t="str">
        <f>IF(D4872="","",IFERROR(MATCH(D4872,Projects!$A:$A,0),""))</f>
        <v/>
      </c>
    </row>
    <row r="4873" spans="31:32" x14ac:dyDescent="0.25">
      <c r="AE4873" s="39" t="str">
        <f>IF(D4873="","",IFERROR(VLOOKUP(D4873,Projects!$A$2:$A$20000,1,FALSE),""))</f>
        <v/>
      </c>
      <c r="AF4873" s="2" t="str">
        <f>IF(D4873="","",IFERROR(MATCH(D4873,Projects!$A:$A,0),""))</f>
        <v/>
      </c>
    </row>
    <row r="4874" spans="31:32" x14ac:dyDescent="0.25">
      <c r="AE4874" s="39" t="str">
        <f>IF(D4874="","",IFERROR(VLOOKUP(D4874,Projects!$A$2:$A$20000,1,FALSE),""))</f>
        <v/>
      </c>
      <c r="AF4874" s="2" t="str">
        <f>IF(D4874="","",IFERROR(MATCH(D4874,Projects!$A:$A,0),""))</f>
        <v/>
      </c>
    </row>
    <row r="4875" spans="31:32" x14ac:dyDescent="0.25">
      <c r="AE4875" s="39" t="str">
        <f>IF(D4875="","",IFERROR(VLOOKUP(D4875,Projects!$A$2:$A$20000,1,FALSE),""))</f>
        <v/>
      </c>
      <c r="AF4875" s="2" t="str">
        <f>IF(D4875="","",IFERROR(MATCH(D4875,Projects!$A:$A,0),""))</f>
        <v/>
      </c>
    </row>
    <row r="4876" spans="31:32" x14ac:dyDescent="0.25">
      <c r="AE4876" s="39" t="str">
        <f>IF(D4876="","",IFERROR(VLOOKUP(D4876,Projects!$A$2:$A$20000,1,FALSE),""))</f>
        <v/>
      </c>
      <c r="AF4876" s="2" t="str">
        <f>IF(D4876="","",IFERROR(MATCH(D4876,Projects!$A:$A,0),""))</f>
        <v/>
      </c>
    </row>
    <row r="4877" spans="31:32" x14ac:dyDescent="0.25">
      <c r="AE4877" s="39" t="str">
        <f>IF(D4877="","",IFERROR(VLOOKUP(D4877,Projects!$A$2:$A$20000,1,FALSE),""))</f>
        <v/>
      </c>
      <c r="AF4877" s="2" t="str">
        <f>IF(D4877="","",IFERROR(MATCH(D4877,Projects!$A:$A,0),""))</f>
        <v/>
      </c>
    </row>
    <row r="4878" spans="31:32" x14ac:dyDescent="0.25">
      <c r="AE4878" s="39" t="str">
        <f>IF(D4878="","",IFERROR(VLOOKUP(D4878,Projects!$A$2:$A$20000,1,FALSE),""))</f>
        <v/>
      </c>
      <c r="AF4878" s="2" t="str">
        <f>IF(D4878="","",IFERROR(MATCH(D4878,Projects!$A:$A,0),""))</f>
        <v/>
      </c>
    </row>
    <row r="4879" spans="31:32" x14ac:dyDescent="0.25">
      <c r="AE4879" s="39" t="str">
        <f>IF(D4879="","",IFERROR(VLOOKUP(D4879,Projects!$A$2:$A$20000,1,FALSE),""))</f>
        <v/>
      </c>
      <c r="AF4879" s="2" t="str">
        <f>IF(D4879="","",IFERROR(MATCH(D4879,Projects!$A:$A,0),""))</f>
        <v/>
      </c>
    </row>
    <row r="4880" spans="31:32" x14ac:dyDescent="0.25">
      <c r="AE4880" s="39" t="str">
        <f>IF(D4880="","",IFERROR(VLOOKUP(D4880,Projects!$A$2:$A$20000,1,FALSE),""))</f>
        <v/>
      </c>
      <c r="AF4880" s="2" t="str">
        <f>IF(D4880="","",IFERROR(MATCH(D4880,Projects!$A:$A,0),""))</f>
        <v/>
      </c>
    </row>
    <row r="4881" spans="31:32" x14ac:dyDescent="0.25">
      <c r="AE4881" s="39" t="str">
        <f>IF(D4881="","",IFERROR(VLOOKUP(D4881,Projects!$A$2:$A$20000,1,FALSE),""))</f>
        <v/>
      </c>
      <c r="AF4881" s="2" t="str">
        <f>IF(D4881="","",IFERROR(MATCH(D4881,Projects!$A:$A,0),""))</f>
        <v/>
      </c>
    </row>
    <row r="4882" spans="31:32" x14ac:dyDescent="0.25">
      <c r="AE4882" s="39" t="str">
        <f>IF(D4882="","",IFERROR(VLOOKUP(D4882,Projects!$A$2:$A$20000,1,FALSE),""))</f>
        <v/>
      </c>
      <c r="AF4882" s="2" t="str">
        <f>IF(D4882="","",IFERROR(MATCH(D4882,Projects!$A:$A,0),""))</f>
        <v/>
      </c>
    </row>
    <row r="4883" spans="31:32" x14ac:dyDescent="0.25">
      <c r="AE4883" s="39" t="str">
        <f>IF(D4883="","",IFERROR(VLOOKUP(D4883,Projects!$A$2:$A$20000,1,FALSE),""))</f>
        <v/>
      </c>
      <c r="AF4883" s="2" t="str">
        <f>IF(D4883="","",IFERROR(MATCH(D4883,Projects!$A:$A,0),""))</f>
        <v/>
      </c>
    </row>
    <row r="4884" spans="31:32" x14ac:dyDescent="0.25">
      <c r="AE4884" s="39" t="str">
        <f>IF(D4884="","",IFERROR(VLOOKUP(D4884,Projects!$A$2:$A$20000,1,FALSE),""))</f>
        <v/>
      </c>
      <c r="AF4884" s="2" t="str">
        <f>IF(D4884="","",IFERROR(MATCH(D4884,Projects!$A:$A,0),""))</f>
        <v/>
      </c>
    </row>
    <row r="4885" spans="31:32" x14ac:dyDescent="0.25">
      <c r="AE4885" s="39" t="str">
        <f>IF(D4885="","",IFERROR(VLOOKUP(D4885,Projects!$A$2:$A$20000,1,FALSE),""))</f>
        <v/>
      </c>
      <c r="AF4885" s="2" t="str">
        <f>IF(D4885="","",IFERROR(MATCH(D4885,Projects!$A:$A,0),""))</f>
        <v/>
      </c>
    </row>
    <row r="4886" spans="31:32" x14ac:dyDescent="0.25">
      <c r="AE4886" s="39" t="str">
        <f>IF(D4886="","",IFERROR(VLOOKUP(D4886,Projects!$A$2:$A$20000,1,FALSE),""))</f>
        <v/>
      </c>
      <c r="AF4886" s="2" t="str">
        <f>IF(D4886="","",IFERROR(MATCH(D4886,Projects!$A:$A,0),""))</f>
        <v/>
      </c>
    </row>
    <row r="4887" spans="31:32" x14ac:dyDescent="0.25">
      <c r="AE4887" s="39" t="str">
        <f>IF(D4887="","",IFERROR(VLOOKUP(D4887,Projects!$A$2:$A$20000,1,FALSE),""))</f>
        <v/>
      </c>
      <c r="AF4887" s="2" t="str">
        <f>IF(D4887="","",IFERROR(MATCH(D4887,Projects!$A:$A,0),""))</f>
        <v/>
      </c>
    </row>
    <row r="4888" spans="31:32" x14ac:dyDescent="0.25">
      <c r="AE4888" s="39" t="str">
        <f>IF(D4888="","",IFERROR(VLOOKUP(D4888,Projects!$A$2:$A$20000,1,FALSE),""))</f>
        <v/>
      </c>
      <c r="AF4888" s="2" t="str">
        <f>IF(D4888="","",IFERROR(MATCH(D4888,Projects!$A:$A,0),""))</f>
        <v/>
      </c>
    </row>
    <row r="4889" spans="31:32" x14ac:dyDescent="0.25">
      <c r="AE4889" s="39" t="str">
        <f>IF(D4889="","",IFERROR(VLOOKUP(D4889,Projects!$A$2:$A$20000,1,FALSE),""))</f>
        <v/>
      </c>
      <c r="AF4889" s="2" t="str">
        <f>IF(D4889="","",IFERROR(MATCH(D4889,Projects!$A:$A,0),""))</f>
        <v/>
      </c>
    </row>
    <row r="4890" spans="31:32" x14ac:dyDescent="0.25">
      <c r="AE4890" s="39" t="str">
        <f>IF(D4890="","",IFERROR(VLOOKUP(D4890,Projects!$A$2:$A$20000,1,FALSE),""))</f>
        <v/>
      </c>
      <c r="AF4890" s="2" t="str">
        <f>IF(D4890="","",IFERROR(MATCH(D4890,Projects!$A:$A,0),""))</f>
        <v/>
      </c>
    </row>
    <row r="4891" spans="31:32" x14ac:dyDescent="0.25">
      <c r="AE4891" s="39" t="str">
        <f>IF(D4891="","",IFERROR(VLOOKUP(D4891,Projects!$A$2:$A$20000,1,FALSE),""))</f>
        <v/>
      </c>
      <c r="AF4891" s="2" t="str">
        <f>IF(D4891="","",IFERROR(MATCH(D4891,Projects!$A:$A,0),""))</f>
        <v/>
      </c>
    </row>
    <row r="4892" spans="31:32" x14ac:dyDescent="0.25">
      <c r="AE4892" s="39" t="str">
        <f>IF(D4892="","",IFERROR(VLOOKUP(D4892,Projects!$A$2:$A$20000,1,FALSE),""))</f>
        <v/>
      </c>
      <c r="AF4892" s="2" t="str">
        <f>IF(D4892="","",IFERROR(MATCH(D4892,Projects!$A:$A,0),""))</f>
        <v/>
      </c>
    </row>
    <row r="4893" spans="31:32" x14ac:dyDescent="0.25">
      <c r="AE4893" s="39" t="str">
        <f>IF(D4893="","",IFERROR(VLOOKUP(D4893,Projects!$A$2:$A$20000,1,FALSE),""))</f>
        <v/>
      </c>
      <c r="AF4893" s="2" t="str">
        <f>IF(D4893="","",IFERROR(MATCH(D4893,Projects!$A:$A,0),""))</f>
        <v/>
      </c>
    </row>
    <row r="4894" spans="31:32" x14ac:dyDescent="0.25">
      <c r="AE4894" s="39" t="str">
        <f>IF(D4894="","",IFERROR(VLOOKUP(D4894,Projects!$A$2:$A$20000,1,FALSE),""))</f>
        <v/>
      </c>
      <c r="AF4894" s="2" t="str">
        <f>IF(D4894="","",IFERROR(MATCH(D4894,Projects!$A:$A,0),""))</f>
        <v/>
      </c>
    </row>
    <row r="4895" spans="31:32" x14ac:dyDescent="0.25">
      <c r="AE4895" s="39" t="str">
        <f>IF(D4895="","",IFERROR(VLOOKUP(D4895,Projects!$A$2:$A$20000,1,FALSE),""))</f>
        <v/>
      </c>
      <c r="AF4895" s="2" t="str">
        <f>IF(D4895="","",IFERROR(MATCH(D4895,Projects!$A:$A,0),""))</f>
        <v/>
      </c>
    </row>
    <row r="4896" spans="31:32" x14ac:dyDescent="0.25">
      <c r="AE4896" s="39" t="str">
        <f>IF(D4896="","",IFERROR(VLOOKUP(D4896,Projects!$A$2:$A$20000,1,FALSE),""))</f>
        <v/>
      </c>
      <c r="AF4896" s="2" t="str">
        <f>IF(D4896="","",IFERROR(MATCH(D4896,Projects!$A:$A,0),""))</f>
        <v/>
      </c>
    </row>
    <row r="4897" spans="31:32" x14ac:dyDescent="0.25">
      <c r="AE4897" s="39" t="str">
        <f>IF(D4897="","",IFERROR(VLOOKUP(D4897,Projects!$A$2:$A$20000,1,FALSE),""))</f>
        <v/>
      </c>
      <c r="AF4897" s="2" t="str">
        <f>IF(D4897="","",IFERROR(MATCH(D4897,Projects!$A:$A,0),""))</f>
        <v/>
      </c>
    </row>
    <row r="4898" spans="31:32" x14ac:dyDescent="0.25">
      <c r="AE4898" s="39" t="str">
        <f>IF(D4898="","",IFERROR(VLOOKUP(D4898,Projects!$A$2:$A$20000,1,FALSE),""))</f>
        <v/>
      </c>
      <c r="AF4898" s="2" t="str">
        <f>IF(D4898="","",IFERROR(MATCH(D4898,Projects!$A:$A,0),""))</f>
        <v/>
      </c>
    </row>
    <row r="4899" spans="31:32" x14ac:dyDescent="0.25">
      <c r="AE4899" s="39" t="str">
        <f>IF(D4899="","",IFERROR(VLOOKUP(D4899,Projects!$A$2:$A$20000,1,FALSE),""))</f>
        <v/>
      </c>
      <c r="AF4899" s="2" t="str">
        <f>IF(D4899="","",IFERROR(MATCH(D4899,Projects!$A:$A,0),""))</f>
        <v/>
      </c>
    </row>
    <row r="4900" spans="31:32" x14ac:dyDescent="0.25">
      <c r="AE4900" s="39" t="str">
        <f>IF(D4900="","",IFERROR(VLOOKUP(D4900,Projects!$A$2:$A$20000,1,FALSE),""))</f>
        <v/>
      </c>
      <c r="AF4900" s="2" t="str">
        <f>IF(D4900="","",IFERROR(MATCH(D4900,Projects!$A:$A,0),""))</f>
        <v/>
      </c>
    </row>
    <row r="4901" spans="31:32" x14ac:dyDescent="0.25">
      <c r="AE4901" s="39" t="str">
        <f>IF(D4901="","",IFERROR(VLOOKUP(D4901,Projects!$A$2:$A$20000,1,FALSE),""))</f>
        <v/>
      </c>
      <c r="AF4901" s="2" t="str">
        <f>IF(D4901="","",IFERROR(MATCH(D4901,Projects!$A:$A,0),""))</f>
        <v/>
      </c>
    </row>
    <row r="4902" spans="31:32" x14ac:dyDescent="0.25">
      <c r="AE4902" s="39" t="str">
        <f>IF(D4902="","",IFERROR(VLOOKUP(D4902,Projects!$A$2:$A$20000,1,FALSE),""))</f>
        <v/>
      </c>
      <c r="AF4902" s="2" t="str">
        <f>IF(D4902="","",IFERROR(MATCH(D4902,Projects!$A:$A,0),""))</f>
        <v/>
      </c>
    </row>
    <row r="4903" spans="31:32" x14ac:dyDescent="0.25">
      <c r="AE4903" s="39" t="str">
        <f>IF(D4903="","",IFERROR(VLOOKUP(D4903,Projects!$A$2:$A$20000,1,FALSE),""))</f>
        <v/>
      </c>
      <c r="AF4903" s="2" t="str">
        <f>IF(D4903="","",IFERROR(MATCH(D4903,Projects!$A:$A,0),""))</f>
        <v/>
      </c>
    </row>
    <row r="4904" spans="31:32" x14ac:dyDescent="0.25">
      <c r="AE4904" s="39" t="str">
        <f>IF(D4904="","",IFERROR(VLOOKUP(D4904,Projects!$A$2:$A$20000,1,FALSE),""))</f>
        <v/>
      </c>
      <c r="AF4904" s="2" t="str">
        <f>IF(D4904="","",IFERROR(MATCH(D4904,Projects!$A:$A,0),""))</f>
        <v/>
      </c>
    </row>
    <row r="4905" spans="31:32" x14ac:dyDescent="0.25">
      <c r="AE4905" s="39" t="str">
        <f>IF(D4905="","",IFERROR(VLOOKUP(D4905,Projects!$A$2:$A$20000,1,FALSE),""))</f>
        <v/>
      </c>
      <c r="AF4905" s="2" t="str">
        <f>IF(D4905="","",IFERROR(MATCH(D4905,Projects!$A:$A,0),""))</f>
        <v/>
      </c>
    </row>
    <row r="4906" spans="31:32" x14ac:dyDescent="0.25">
      <c r="AE4906" s="39" t="str">
        <f>IF(D4906="","",IFERROR(VLOOKUP(D4906,Projects!$A$2:$A$20000,1,FALSE),""))</f>
        <v/>
      </c>
      <c r="AF4906" s="2" t="str">
        <f>IF(D4906="","",IFERROR(MATCH(D4906,Projects!$A:$A,0),""))</f>
        <v/>
      </c>
    </row>
    <row r="4907" spans="31:32" x14ac:dyDescent="0.25">
      <c r="AE4907" s="39" t="str">
        <f>IF(D4907="","",IFERROR(VLOOKUP(D4907,Projects!$A$2:$A$20000,1,FALSE),""))</f>
        <v/>
      </c>
      <c r="AF4907" s="2" t="str">
        <f>IF(D4907="","",IFERROR(MATCH(D4907,Projects!$A:$A,0),""))</f>
        <v/>
      </c>
    </row>
    <row r="4908" spans="31:32" x14ac:dyDescent="0.25">
      <c r="AE4908" s="39" t="str">
        <f>IF(D4908="","",IFERROR(VLOOKUP(D4908,Projects!$A$2:$A$20000,1,FALSE),""))</f>
        <v/>
      </c>
      <c r="AF4908" s="2" t="str">
        <f>IF(D4908="","",IFERROR(MATCH(D4908,Projects!$A:$A,0),""))</f>
        <v/>
      </c>
    </row>
    <row r="4909" spans="31:32" x14ac:dyDescent="0.25">
      <c r="AE4909" s="39" t="str">
        <f>IF(D4909="","",IFERROR(VLOOKUP(D4909,Projects!$A$2:$A$20000,1,FALSE),""))</f>
        <v/>
      </c>
      <c r="AF4909" s="2" t="str">
        <f>IF(D4909="","",IFERROR(MATCH(D4909,Projects!$A:$A,0),""))</f>
        <v/>
      </c>
    </row>
    <row r="4910" spans="31:32" x14ac:dyDescent="0.25">
      <c r="AE4910" s="39" t="str">
        <f>IF(D4910="","",IFERROR(VLOOKUP(D4910,Projects!$A$2:$A$20000,1,FALSE),""))</f>
        <v/>
      </c>
      <c r="AF4910" s="2" t="str">
        <f>IF(D4910="","",IFERROR(MATCH(D4910,Projects!$A:$A,0),""))</f>
        <v/>
      </c>
    </row>
    <row r="4911" spans="31:32" x14ac:dyDescent="0.25">
      <c r="AE4911" s="39" t="str">
        <f>IF(D4911="","",IFERROR(VLOOKUP(D4911,Projects!$A$2:$A$20000,1,FALSE),""))</f>
        <v/>
      </c>
      <c r="AF4911" s="2" t="str">
        <f>IF(D4911="","",IFERROR(MATCH(D4911,Projects!$A:$A,0),""))</f>
        <v/>
      </c>
    </row>
    <row r="4912" spans="31:32" x14ac:dyDescent="0.25">
      <c r="AE4912" s="39" t="str">
        <f>IF(D4912="","",IFERROR(VLOOKUP(D4912,Projects!$A$2:$A$20000,1,FALSE),""))</f>
        <v/>
      </c>
      <c r="AF4912" s="2" t="str">
        <f>IF(D4912="","",IFERROR(MATCH(D4912,Projects!$A:$A,0),""))</f>
        <v/>
      </c>
    </row>
    <row r="4913" spans="31:32" x14ac:dyDescent="0.25">
      <c r="AE4913" s="39" t="str">
        <f>IF(D4913="","",IFERROR(VLOOKUP(D4913,Projects!$A$2:$A$20000,1,FALSE),""))</f>
        <v/>
      </c>
      <c r="AF4913" s="2" t="str">
        <f>IF(D4913="","",IFERROR(MATCH(D4913,Projects!$A:$A,0),""))</f>
        <v/>
      </c>
    </row>
    <row r="4914" spans="31:32" x14ac:dyDescent="0.25">
      <c r="AE4914" s="39" t="str">
        <f>IF(D4914="","",IFERROR(VLOOKUP(D4914,Projects!$A$2:$A$20000,1,FALSE),""))</f>
        <v/>
      </c>
      <c r="AF4914" s="2" t="str">
        <f>IF(D4914="","",IFERROR(MATCH(D4914,Projects!$A:$A,0),""))</f>
        <v/>
      </c>
    </row>
    <row r="4915" spans="31:32" x14ac:dyDescent="0.25">
      <c r="AE4915" s="39" t="str">
        <f>IF(D4915="","",IFERROR(VLOOKUP(D4915,Projects!$A$2:$A$20000,1,FALSE),""))</f>
        <v/>
      </c>
      <c r="AF4915" s="2" t="str">
        <f>IF(D4915="","",IFERROR(MATCH(D4915,Projects!$A:$A,0),""))</f>
        <v/>
      </c>
    </row>
    <row r="4916" spans="31:32" x14ac:dyDescent="0.25">
      <c r="AE4916" s="39" t="str">
        <f>IF(D4916="","",IFERROR(VLOOKUP(D4916,Projects!$A$2:$A$20000,1,FALSE),""))</f>
        <v/>
      </c>
      <c r="AF4916" s="2" t="str">
        <f>IF(D4916="","",IFERROR(MATCH(D4916,Projects!$A:$A,0),""))</f>
        <v/>
      </c>
    </row>
    <row r="4917" spans="31:32" x14ac:dyDescent="0.25">
      <c r="AE4917" s="39" t="str">
        <f>IF(D4917="","",IFERROR(VLOOKUP(D4917,Projects!$A$2:$A$20000,1,FALSE),""))</f>
        <v/>
      </c>
      <c r="AF4917" s="2" t="str">
        <f>IF(D4917="","",IFERROR(MATCH(D4917,Projects!$A:$A,0),""))</f>
        <v/>
      </c>
    </row>
    <row r="4918" spans="31:32" x14ac:dyDescent="0.25">
      <c r="AE4918" s="39" t="str">
        <f>IF(D4918="","",IFERROR(VLOOKUP(D4918,Projects!$A$2:$A$20000,1,FALSE),""))</f>
        <v/>
      </c>
      <c r="AF4918" s="2" t="str">
        <f>IF(D4918="","",IFERROR(MATCH(D4918,Projects!$A:$A,0),""))</f>
        <v/>
      </c>
    </row>
    <row r="4919" spans="31:32" x14ac:dyDescent="0.25">
      <c r="AE4919" s="39" t="str">
        <f>IF(D4919="","",IFERROR(VLOOKUP(D4919,Projects!$A$2:$A$20000,1,FALSE),""))</f>
        <v/>
      </c>
      <c r="AF4919" s="2" t="str">
        <f>IF(D4919="","",IFERROR(MATCH(D4919,Projects!$A:$A,0),""))</f>
        <v/>
      </c>
    </row>
    <row r="4920" spans="31:32" x14ac:dyDescent="0.25">
      <c r="AE4920" s="39" t="str">
        <f>IF(D4920="","",IFERROR(VLOOKUP(D4920,Projects!$A$2:$A$20000,1,FALSE),""))</f>
        <v/>
      </c>
      <c r="AF4920" s="2" t="str">
        <f>IF(D4920="","",IFERROR(MATCH(D4920,Projects!$A:$A,0),""))</f>
        <v/>
      </c>
    </row>
    <row r="4921" spans="31:32" x14ac:dyDescent="0.25">
      <c r="AE4921" s="39" t="str">
        <f>IF(D4921="","",IFERROR(VLOOKUP(D4921,Projects!$A$2:$A$20000,1,FALSE),""))</f>
        <v/>
      </c>
      <c r="AF4921" s="2" t="str">
        <f>IF(D4921="","",IFERROR(MATCH(D4921,Projects!$A:$A,0),""))</f>
        <v/>
      </c>
    </row>
    <row r="4922" spans="31:32" x14ac:dyDescent="0.25">
      <c r="AE4922" s="39" t="str">
        <f>IF(D4922="","",IFERROR(VLOOKUP(D4922,Projects!$A$2:$A$20000,1,FALSE),""))</f>
        <v/>
      </c>
      <c r="AF4922" s="2" t="str">
        <f>IF(D4922="","",IFERROR(MATCH(D4922,Projects!$A:$A,0),""))</f>
        <v/>
      </c>
    </row>
    <row r="4923" spans="31:32" x14ac:dyDescent="0.25">
      <c r="AE4923" s="39" t="str">
        <f>IF(D4923="","",IFERROR(VLOOKUP(D4923,Projects!$A$2:$A$20000,1,FALSE),""))</f>
        <v/>
      </c>
      <c r="AF4923" s="2" t="str">
        <f>IF(D4923="","",IFERROR(MATCH(D4923,Projects!$A:$A,0),""))</f>
        <v/>
      </c>
    </row>
    <row r="4924" spans="31:32" x14ac:dyDescent="0.25">
      <c r="AE4924" s="39" t="str">
        <f>IF(D4924="","",IFERROR(VLOOKUP(D4924,Projects!$A$2:$A$20000,1,FALSE),""))</f>
        <v/>
      </c>
      <c r="AF4924" s="2" t="str">
        <f>IF(D4924="","",IFERROR(MATCH(D4924,Projects!$A:$A,0),""))</f>
        <v/>
      </c>
    </row>
    <row r="4925" spans="31:32" x14ac:dyDescent="0.25">
      <c r="AE4925" s="39" t="str">
        <f>IF(D4925="","",IFERROR(VLOOKUP(D4925,Projects!$A$2:$A$20000,1,FALSE),""))</f>
        <v/>
      </c>
      <c r="AF4925" s="2" t="str">
        <f>IF(D4925="","",IFERROR(MATCH(D4925,Projects!$A:$A,0),""))</f>
        <v/>
      </c>
    </row>
    <row r="4926" spans="31:32" x14ac:dyDescent="0.25">
      <c r="AE4926" s="39" t="str">
        <f>IF(D4926="","",IFERROR(VLOOKUP(D4926,Projects!$A$2:$A$20000,1,FALSE),""))</f>
        <v/>
      </c>
      <c r="AF4926" s="2" t="str">
        <f>IF(D4926="","",IFERROR(MATCH(D4926,Projects!$A:$A,0),""))</f>
        <v/>
      </c>
    </row>
    <row r="4927" spans="31:32" x14ac:dyDescent="0.25">
      <c r="AE4927" s="39" t="str">
        <f>IF(D4927="","",IFERROR(VLOOKUP(D4927,Projects!$A$2:$A$20000,1,FALSE),""))</f>
        <v/>
      </c>
      <c r="AF4927" s="2" t="str">
        <f>IF(D4927="","",IFERROR(MATCH(D4927,Projects!$A:$A,0),""))</f>
        <v/>
      </c>
    </row>
    <row r="4928" spans="31:32" x14ac:dyDescent="0.25">
      <c r="AE4928" s="39" t="str">
        <f>IF(D4928="","",IFERROR(VLOOKUP(D4928,Projects!$A$2:$A$20000,1,FALSE),""))</f>
        <v/>
      </c>
      <c r="AF4928" s="2" t="str">
        <f>IF(D4928="","",IFERROR(MATCH(D4928,Projects!$A:$A,0),""))</f>
        <v/>
      </c>
    </row>
    <row r="4929" spans="31:32" x14ac:dyDescent="0.25">
      <c r="AE4929" s="39" t="str">
        <f>IF(D4929="","",IFERROR(VLOOKUP(D4929,Projects!$A$2:$A$20000,1,FALSE),""))</f>
        <v/>
      </c>
      <c r="AF4929" s="2" t="str">
        <f>IF(D4929="","",IFERROR(MATCH(D4929,Projects!$A:$A,0),""))</f>
        <v/>
      </c>
    </row>
    <row r="4930" spans="31:32" x14ac:dyDescent="0.25">
      <c r="AE4930" s="39" t="str">
        <f>IF(D4930="","",IFERROR(VLOOKUP(D4930,Projects!$A$2:$A$20000,1,FALSE),""))</f>
        <v/>
      </c>
      <c r="AF4930" s="2" t="str">
        <f>IF(D4930="","",IFERROR(MATCH(D4930,Projects!$A:$A,0),""))</f>
        <v/>
      </c>
    </row>
    <row r="4931" spans="31:32" x14ac:dyDescent="0.25">
      <c r="AE4931" s="39" t="str">
        <f>IF(D4931="","",IFERROR(VLOOKUP(D4931,Projects!$A$2:$A$20000,1,FALSE),""))</f>
        <v/>
      </c>
      <c r="AF4931" s="2" t="str">
        <f>IF(D4931="","",IFERROR(MATCH(D4931,Projects!$A:$A,0),""))</f>
        <v/>
      </c>
    </row>
    <row r="4932" spans="31:32" x14ac:dyDescent="0.25">
      <c r="AE4932" s="39" t="str">
        <f>IF(D4932="","",IFERROR(VLOOKUP(D4932,Projects!$A$2:$A$20000,1,FALSE),""))</f>
        <v/>
      </c>
      <c r="AF4932" s="2" t="str">
        <f>IF(D4932="","",IFERROR(MATCH(D4932,Projects!$A:$A,0),""))</f>
        <v/>
      </c>
    </row>
    <row r="4933" spans="31:32" x14ac:dyDescent="0.25">
      <c r="AE4933" s="39" t="str">
        <f>IF(D4933="","",IFERROR(VLOOKUP(D4933,Projects!$A$2:$A$20000,1,FALSE),""))</f>
        <v/>
      </c>
      <c r="AF4933" s="2" t="str">
        <f>IF(D4933="","",IFERROR(MATCH(D4933,Projects!$A:$A,0),""))</f>
        <v/>
      </c>
    </row>
    <row r="4934" spans="31:32" x14ac:dyDescent="0.25">
      <c r="AE4934" s="39" t="str">
        <f>IF(D4934="","",IFERROR(VLOOKUP(D4934,Projects!$A$2:$A$20000,1,FALSE),""))</f>
        <v/>
      </c>
      <c r="AF4934" s="2" t="str">
        <f>IF(D4934="","",IFERROR(MATCH(D4934,Projects!$A:$A,0),""))</f>
        <v/>
      </c>
    </row>
    <row r="4935" spans="31:32" x14ac:dyDescent="0.25">
      <c r="AE4935" s="39" t="str">
        <f>IF(D4935="","",IFERROR(VLOOKUP(D4935,Projects!$A$2:$A$20000,1,FALSE),""))</f>
        <v/>
      </c>
      <c r="AF4935" s="2" t="str">
        <f>IF(D4935="","",IFERROR(MATCH(D4935,Projects!$A:$A,0),""))</f>
        <v/>
      </c>
    </row>
    <row r="4936" spans="31:32" x14ac:dyDescent="0.25">
      <c r="AE4936" s="39" t="str">
        <f>IF(D4936="","",IFERROR(VLOOKUP(D4936,Projects!$A$2:$A$20000,1,FALSE),""))</f>
        <v/>
      </c>
      <c r="AF4936" s="2" t="str">
        <f>IF(D4936="","",IFERROR(MATCH(D4936,Projects!$A:$A,0),""))</f>
        <v/>
      </c>
    </row>
    <row r="4937" spans="31:32" x14ac:dyDescent="0.25">
      <c r="AE4937" s="39" t="str">
        <f>IF(D4937="","",IFERROR(VLOOKUP(D4937,Projects!$A$2:$A$20000,1,FALSE),""))</f>
        <v/>
      </c>
      <c r="AF4937" s="2" t="str">
        <f>IF(D4937="","",IFERROR(MATCH(D4937,Projects!$A:$A,0),""))</f>
        <v/>
      </c>
    </row>
    <row r="4938" spans="31:32" x14ac:dyDescent="0.25">
      <c r="AE4938" s="39" t="str">
        <f>IF(D4938="","",IFERROR(VLOOKUP(D4938,Projects!$A$2:$A$20000,1,FALSE),""))</f>
        <v/>
      </c>
      <c r="AF4938" s="2" t="str">
        <f>IF(D4938="","",IFERROR(MATCH(D4938,Projects!$A:$A,0),""))</f>
        <v/>
      </c>
    </row>
    <row r="4939" spans="31:32" x14ac:dyDescent="0.25">
      <c r="AE4939" s="39" t="str">
        <f>IF(D4939="","",IFERROR(VLOOKUP(D4939,Projects!$A$2:$A$20000,1,FALSE),""))</f>
        <v/>
      </c>
      <c r="AF4939" s="2" t="str">
        <f>IF(D4939="","",IFERROR(MATCH(D4939,Projects!$A:$A,0),""))</f>
        <v/>
      </c>
    </row>
    <row r="4940" spans="31:32" x14ac:dyDescent="0.25">
      <c r="AE4940" s="39" t="str">
        <f>IF(D4940="","",IFERROR(VLOOKUP(D4940,Projects!$A$2:$A$20000,1,FALSE),""))</f>
        <v/>
      </c>
      <c r="AF4940" s="2" t="str">
        <f>IF(D4940="","",IFERROR(MATCH(D4940,Projects!$A:$A,0),""))</f>
        <v/>
      </c>
    </row>
    <row r="4941" spans="31:32" x14ac:dyDescent="0.25">
      <c r="AE4941" s="39" t="str">
        <f>IF(D4941="","",IFERROR(VLOOKUP(D4941,Projects!$A$2:$A$20000,1,FALSE),""))</f>
        <v/>
      </c>
      <c r="AF4941" s="2" t="str">
        <f>IF(D4941="","",IFERROR(MATCH(D4941,Projects!$A:$A,0),""))</f>
        <v/>
      </c>
    </row>
    <row r="4942" spans="31:32" x14ac:dyDescent="0.25">
      <c r="AE4942" s="39" t="str">
        <f>IF(D4942="","",IFERROR(VLOOKUP(D4942,Projects!$A$2:$A$20000,1,FALSE),""))</f>
        <v/>
      </c>
      <c r="AF4942" s="2" t="str">
        <f>IF(D4942="","",IFERROR(MATCH(D4942,Projects!$A:$A,0),""))</f>
        <v/>
      </c>
    </row>
    <row r="4943" spans="31:32" x14ac:dyDescent="0.25">
      <c r="AE4943" s="39" t="str">
        <f>IF(D4943="","",IFERROR(VLOOKUP(D4943,Projects!$A$2:$A$20000,1,FALSE),""))</f>
        <v/>
      </c>
      <c r="AF4943" s="2" t="str">
        <f>IF(D4943="","",IFERROR(MATCH(D4943,Projects!$A:$A,0),""))</f>
        <v/>
      </c>
    </row>
    <row r="4944" spans="31:32" x14ac:dyDescent="0.25">
      <c r="AE4944" s="39" t="str">
        <f>IF(D4944="","",IFERROR(VLOOKUP(D4944,Projects!$A$2:$A$20000,1,FALSE),""))</f>
        <v/>
      </c>
      <c r="AF4944" s="2" t="str">
        <f>IF(D4944="","",IFERROR(MATCH(D4944,Projects!$A:$A,0),""))</f>
        <v/>
      </c>
    </row>
    <row r="4945" spans="31:32" x14ac:dyDescent="0.25">
      <c r="AE4945" s="39" t="str">
        <f>IF(D4945="","",IFERROR(VLOOKUP(D4945,Projects!$A$2:$A$20000,1,FALSE),""))</f>
        <v/>
      </c>
      <c r="AF4945" s="2" t="str">
        <f>IF(D4945="","",IFERROR(MATCH(D4945,Projects!$A:$A,0),""))</f>
        <v/>
      </c>
    </row>
    <row r="4946" spans="31:32" x14ac:dyDescent="0.25">
      <c r="AE4946" s="39" t="str">
        <f>IF(D4946="","",IFERROR(VLOOKUP(D4946,Projects!$A$2:$A$20000,1,FALSE),""))</f>
        <v/>
      </c>
      <c r="AF4946" s="2" t="str">
        <f>IF(D4946="","",IFERROR(MATCH(D4946,Projects!$A:$A,0),""))</f>
        <v/>
      </c>
    </row>
    <row r="4947" spans="31:32" x14ac:dyDescent="0.25">
      <c r="AE4947" s="39" t="str">
        <f>IF(D4947="","",IFERROR(VLOOKUP(D4947,Projects!$A$2:$A$20000,1,FALSE),""))</f>
        <v/>
      </c>
      <c r="AF4947" s="2" t="str">
        <f>IF(D4947="","",IFERROR(MATCH(D4947,Projects!$A:$A,0),""))</f>
        <v/>
      </c>
    </row>
    <row r="4948" spans="31:32" x14ac:dyDescent="0.25">
      <c r="AE4948" s="39" t="str">
        <f>IF(D4948="","",IFERROR(VLOOKUP(D4948,Projects!$A$2:$A$20000,1,FALSE),""))</f>
        <v/>
      </c>
      <c r="AF4948" s="2" t="str">
        <f>IF(D4948="","",IFERROR(MATCH(D4948,Projects!$A:$A,0),""))</f>
        <v/>
      </c>
    </row>
    <row r="4949" spans="31:32" x14ac:dyDescent="0.25">
      <c r="AE4949" s="39" t="str">
        <f>IF(D4949="","",IFERROR(VLOOKUP(D4949,Projects!$A$2:$A$20000,1,FALSE),""))</f>
        <v/>
      </c>
      <c r="AF4949" s="2" t="str">
        <f>IF(D4949="","",IFERROR(MATCH(D4949,Projects!$A:$A,0),""))</f>
        <v/>
      </c>
    </row>
    <row r="4950" spans="31:32" x14ac:dyDescent="0.25">
      <c r="AE4950" s="39" t="str">
        <f>IF(D4950="","",IFERROR(VLOOKUP(D4950,Projects!$A$2:$A$20000,1,FALSE),""))</f>
        <v/>
      </c>
      <c r="AF4950" s="2" t="str">
        <f>IF(D4950="","",IFERROR(MATCH(D4950,Projects!$A:$A,0),""))</f>
        <v/>
      </c>
    </row>
    <row r="4951" spans="31:32" x14ac:dyDescent="0.25">
      <c r="AE4951" s="39" t="str">
        <f>IF(D4951="","",IFERROR(VLOOKUP(D4951,Projects!$A$2:$A$20000,1,FALSE),""))</f>
        <v/>
      </c>
      <c r="AF4951" s="2" t="str">
        <f>IF(D4951="","",IFERROR(MATCH(D4951,Projects!$A:$A,0),""))</f>
        <v/>
      </c>
    </row>
    <row r="4952" spans="31:32" x14ac:dyDescent="0.25">
      <c r="AE4952" s="39" t="str">
        <f>IF(D4952="","",IFERROR(VLOOKUP(D4952,Projects!$A$2:$A$20000,1,FALSE),""))</f>
        <v/>
      </c>
      <c r="AF4952" s="2" t="str">
        <f>IF(D4952="","",IFERROR(MATCH(D4952,Projects!$A:$A,0),""))</f>
        <v/>
      </c>
    </row>
    <row r="4953" spans="31:32" x14ac:dyDescent="0.25">
      <c r="AE4953" s="39" t="str">
        <f>IF(D4953="","",IFERROR(VLOOKUP(D4953,Projects!$A$2:$A$20000,1,FALSE),""))</f>
        <v/>
      </c>
      <c r="AF4953" s="2" t="str">
        <f>IF(D4953="","",IFERROR(MATCH(D4953,Projects!$A:$A,0),""))</f>
        <v/>
      </c>
    </row>
    <row r="4954" spans="31:32" x14ac:dyDescent="0.25">
      <c r="AE4954" s="39" t="str">
        <f>IF(D4954="","",IFERROR(VLOOKUP(D4954,Projects!$A$2:$A$20000,1,FALSE),""))</f>
        <v/>
      </c>
      <c r="AF4954" s="2" t="str">
        <f>IF(D4954="","",IFERROR(MATCH(D4954,Projects!$A:$A,0),""))</f>
        <v/>
      </c>
    </row>
    <row r="4955" spans="31:32" x14ac:dyDescent="0.25">
      <c r="AE4955" s="39" t="str">
        <f>IF(D4955="","",IFERROR(VLOOKUP(D4955,Projects!$A$2:$A$20000,1,FALSE),""))</f>
        <v/>
      </c>
      <c r="AF4955" s="2" t="str">
        <f>IF(D4955="","",IFERROR(MATCH(D4955,Projects!$A:$A,0),""))</f>
        <v/>
      </c>
    </row>
    <row r="4956" spans="31:32" x14ac:dyDescent="0.25">
      <c r="AE4956" s="39" t="str">
        <f>IF(D4956="","",IFERROR(VLOOKUP(D4956,Projects!$A$2:$A$20000,1,FALSE),""))</f>
        <v/>
      </c>
      <c r="AF4956" s="2" t="str">
        <f>IF(D4956="","",IFERROR(MATCH(D4956,Projects!$A:$A,0),""))</f>
        <v/>
      </c>
    </row>
    <row r="4957" spans="31:32" x14ac:dyDescent="0.25">
      <c r="AE4957" s="39" t="str">
        <f>IF(D4957="","",IFERROR(VLOOKUP(D4957,Projects!$A$2:$A$20000,1,FALSE),""))</f>
        <v/>
      </c>
      <c r="AF4957" s="2" t="str">
        <f>IF(D4957="","",IFERROR(MATCH(D4957,Projects!$A:$A,0),""))</f>
        <v/>
      </c>
    </row>
    <row r="4958" spans="31:32" x14ac:dyDescent="0.25">
      <c r="AE4958" s="39" t="str">
        <f>IF(D4958="","",IFERROR(VLOOKUP(D4958,Projects!$A$2:$A$20000,1,FALSE),""))</f>
        <v/>
      </c>
      <c r="AF4958" s="2" t="str">
        <f>IF(D4958="","",IFERROR(MATCH(D4958,Projects!$A:$A,0),""))</f>
        <v/>
      </c>
    </row>
    <row r="4959" spans="31:32" x14ac:dyDescent="0.25">
      <c r="AE4959" s="39" t="str">
        <f>IF(D4959="","",IFERROR(VLOOKUP(D4959,Projects!$A$2:$A$20000,1,FALSE),""))</f>
        <v/>
      </c>
      <c r="AF4959" s="2" t="str">
        <f>IF(D4959="","",IFERROR(MATCH(D4959,Projects!$A:$A,0),""))</f>
        <v/>
      </c>
    </row>
    <row r="4960" spans="31:32" x14ac:dyDescent="0.25">
      <c r="AE4960" s="39" t="str">
        <f>IF(D4960="","",IFERROR(VLOOKUP(D4960,Projects!$A$2:$A$20000,1,FALSE),""))</f>
        <v/>
      </c>
      <c r="AF4960" s="2" t="str">
        <f>IF(D4960="","",IFERROR(MATCH(D4960,Projects!$A:$A,0),""))</f>
        <v/>
      </c>
    </row>
    <row r="4961" spans="31:32" x14ac:dyDescent="0.25">
      <c r="AE4961" s="39" t="str">
        <f>IF(D4961="","",IFERROR(VLOOKUP(D4961,Projects!$A$2:$A$20000,1,FALSE),""))</f>
        <v/>
      </c>
      <c r="AF4961" s="2" t="str">
        <f>IF(D4961="","",IFERROR(MATCH(D4961,Projects!$A:$A,0),""))</f>
        <v/>
      </c>
    </row>
    <row r="4962" spans="31:32" x14ac:dyDescent="0.25">
      <c r="AE4962" s="39" t="str">
        <f>IF(D4962="","",IFERROR(VLOOKUP(D4962,Projects!$A$2:$A$20000,1,FALSE),""))</f>
        <v/>
      </c>
      <c r="AF4962" s="2" t="str">
        <f>IF(D4962="","",IFERROR(MATCH(D4962,Projects!$A:$A,0),""))</f>
        <v/>
      </c>
    </row>
    <row r="4963" spans="31:32" x14ac:dyDescent="0.25">
      <c r="AE4963" s="39" t="str">
        <f>IF(D4963="","",IFERROR(VLOOKUP(D4963,Projects!$A$2:$A$20000,1,FALSE),""))</f>
        <v/>
      </c>
      <c r="AF4963" s="2" t="str">
        <f>IF(D4963="","",IFERROR(MATCH(D4963,Projects!$A:$A,0),""))</f>
        <v/>
      </c>
    </row>
    <row r="4964" spans="31:32" x14ac:dyDescent="0.25">
      <c r="AE4964" s="39" t="str">
        <f>IF(D4964="","",IFERROR(VLOOKUP(D4964,Projects!$A$2:$A$20000,1,FALSE),""))</f>
        <v/>
      </c>
      <c r="AF4964" s="2" t="str">
        <f>IF(D4964="","",IFERROR(MATCH(D4964,Projects!$A:$A,0),""))</f>
        <v/>
      </c>
    </row>
    <row r="4965" spans="31:32" x14ac:dyDescent="0.25">
      <c r="AE4965" s="39" t="str">
        <f>IF(D4965="","",IFERROR(VLOOKUP(D4965,Projects!$A$2:$A$20000,1,FALSE),""))</f>
        <v/>
      </c>
      <c r="AF4965" s="2" t="str">
        <f>IF(D4965="","",IFERROR(MATCH(D4965,Projects!$A:$A,0),""))</f>
        <v/>
      </c>
    </row>
    <row r="4966" spans="31:32" x14ac:dyDescent="0.25">
      <c r="AE4966" s="39" t="str">
        <f>IF(D4966="","",IFERROR(VLOOKUP(D4966,Projects!$A$2:$A$20000,1,FALSE),""))</f>
        <v/>
      </c>
      <c r="AF4966" s="2" t="str">
        <f>IF(D4966="","",IFERROR(MATCH(D4966,Projects!$A:$A,0),""))</f>
        <v/>
      </c>
    </row>
    <row r="4967" spans="31:32" x14ac:dyDescent="0.25">
      <c r="AE4967" s="39" t="str">
        <f>IF(D4967="","",IFERROR(VLOOKUP(D4967,Projects!$A$2:$A$20000,1,FALSE),""))</f>
        <v/>
      </c>
      <c r="AF4967" s="2" t="str">
        <f>IF(D4967="","",IFERROR(MATCH(D4967,Projects!$A:$A,0),""))</f>
        <v/>
      </c>
    </row>
    <row r="4968" spans="31:32" x14ac:dyDescent="0.25">
      <c r="AE4968" s="39" t="str">
        <f>IF(D4968="","",IFERROR(VLOOKUP(D4968,Projects!$A$2:$A$20000,1,FALSE),""))</f>
        <v/>
      </c>
      <c r="AF4968" s="2" t="str">
        <f>IF(D4968="","",IFERROR(MATCH(D4968,Projects!$A:$A,0),""))</f>
        <v/>
      </c>
    </row>
    <row r="4969" spans="31:32" x14ac:dyDescent="0.25">
      <c r="AE4969" s="39" t="str">
        <f>IF(D4969="","",IFERROR(VLOOKUP(D4969,Projects!$A$2:$A$20000,1,FALSE),""))</f>
        <v/>
      </c>
      <c r="AF4969" s="2" t="str">
        <f>IF(D4969="","",IFERROR(MATCH(D4969,Projects!$A:$A,0),""))</f>
        <v/>
      </c>
    </row>
    <row r="4970" spans="31:32" x14ac:dyDescent="0.25">
      <c r="AE4970" s="39" t="str">
        <f>IF(D4970="","",IFERROR(VLOOKUP(D4970,Projects!$A$2:$A$20000,1,FALSE),""))</f>
        <v/>
      </c>
      <c r="AF4970" s="2" t="str">
        <f>IF(D4970="","",IFERROR(MATCH(D4970,Projects!$A:$A,0),""))</f>
        <v/>
      </c>
    </row>
    <row r="4971" spans="31:32" x14ac:dyDescent="0.25">
      <c r="AE4971" s="39" t="str">
        <f>IF(D4971="","",IFERROR(VLOOKUP(D4971,Projects!$A$2:$A$20000,1,FALSE),""))</f>
        <v/>
      </c>
      <c r="AF4971" s="2" t="str">
        <f>IF(D4971="","",IFERROR(MATCH(D4971,Projects!$A:$A,0),""))</f>
        <v/>
      </c>
    </row>
    <row r="4972" spans="31:32" x14ac:dyDescent="0.25">
      <c r="AE4972" s="39" t="str">
        <f>IF(D4972="","",IFERROR(VLOOKUP(D4972,Projects!$A$2:$A$20000,1,FALSE),""))</f>
        <v/>
      </c>
      <c r="AF4972" s="2" t="str">
        <f>IF(D4972="","",IFERROR(MATCH(D4972,Projects!$A:$A,0),""))</f>
        <v/>
      </c>
    </row>
    <row r="4973" spans="31:32" x14ac:dyDescent="0.25">
      <c r="AE4973" s="39" t="str">
        <f>IF(D4973="","",IFERROR(VLOOKUP(D4973,Projects!$A$2:$A$20000,1,FALSE),""))</f>
        <v/>
      </c>
      <c r="AF4973" s="2" t="str">
        <f>IF(D4973="","",IFERROR(MATCH(D4973,Projects!$A:$A,0),""))</f>
        <v/>
      </c>
    </row>
    <row r="4974" spans="31:32" x14ac:dyDescent="0.25">
      <c r="AE4974" s="39" t="str">
        <f>IF(D4974="","",IFERROR(VLOOKUP(D4974,Projects!$A$2:$A$20000,1,FALSE),""))</f>
        <v/>
      </c>
      <c r="AF4974" s="2" t="str">
        <f>IF(D4974="","",IFERROR(MATCH(D4974,Projects!$A:$A,0),""))</f>
        <v/>
      </c>
    </row>
    <row r="4975" spans="31:32" x14ac:dyDescent="0.25">
      <c r="AE4975" s="39" t="str">
        <f>IF(D4975="","",IFERROR(VLOOKUP(D4975,Projects!$A$2:$A$20000,1,FALSE),""))</f>
        <v/>
      </c>
      <c r="AF4975" s="2" t="str">
        <f>IF(D4975="","",IFERROR(MATCH(D4975,Projects!$A:$A,0),""))</f>
        <v/>
      </c>
    </row>
    <row r="4976" spans="31:32" x14ac:dyDescent="0.25">
      <c r="AE4976" s="39" t="str">
        <f>IF(D4976="","",IFERROR(VLOOKUP(D4976,Projects!$A$2:$A$20000,1,FALSE),""))</f>
        <v/>
      </c>
      <c r="AF4976" s="2" t="str">
        <f>IF(D4976="","",IFERROR(MATCH(D4976,Projects!$A:$A,0),""))</f>
        <v/>
      </c>
    </row>
    <row r="4977" spans="31:32" x14ac:dyDescent="0.25">
      <c r="AE4977" s="39" t="str">
        <f>IF(D4977="","",IFERROR(VLOOKUP(D4977,Projects!$A$2:$A$20000,1,FALSE),""))</f>
        <v/>
      </c>
      <c r="AF4977" s="2" t="str">
        <f>IF(D4977="","",IFERROR(MATCH(D4977,Projects!$A:$A,0),""))</f>
        <v/>
      </c>
    </row>
    <row r="4978" spans="31:32" x14ac:dyDescent="0.25">
      <c r="AE4978" s="39" t="str">
        <f>IF(D4978="","",IFERROR(VLOOKUP(D4978,Projects!$A$2:$A$20000,1,FALSE),""))</f>
        <v/>
      </c>
      <c r="AF4978" s="2" t="str">
        <f>IF(D4978="","",IFERROR(MATCH(D4978,Projects!$A:$A,0),""))</f>
        <v/>
      </c>
    </row>
    <row r="4979" spans="31:32" x14ac:dyDescent="0.25">
      <c r="AE4979" s="39" t="str">
        <f>IF(D4979="","",IFERROR(VLOOKUP(D4979,Projects!$A$2:$A$20000,1,FALSE),""))</f>
        <v/>
      </c>
      <c r="AF4979" s="2" t="str">
        <f>IF(D4979="","",IFERROR(MATCH(D4979,Projects!$A:$A,0),""))</f>
        <v/>
      </c>
    </row>
    <row r="4980" spans="31:32" x14ac:dyDescent="0.25">
      <c r="AE4980" s="39" t="str">
        <f>IF(D4980="","",IFERROR(VLOOKUP(D4980,Projects!$A$2:$A$20000,1,FALSE),""))</f>
        <v/>
      </c>
      <c r="AF4980" s="2" t="str">
        <f>IF(D4980="","",IFERROR(MATCH(D4980,Projects!$A:$A,0),""))</f>
        <v/>
      </c>
    </row>
    <row r="4981" spans="31:32" x14ac:dyDescent="0.25">
      <c r="AE4981" s="39" t="str">
        <f>IF(D4981="","",IFERROR(VLOOKUP(D4981,Projects!$A$2:$A$20000,1,FALSE),""))</f>
        <v/>
      </c>
      <c r="AF4981" s="2" t="str">
        <f>IF(D4981="","",IFERROR(MATCH(D4981,Projects!$A:$A,0),""))</f>
        <v/>
      </c>
    </row>
    <row r="4982" spans="31:32" x14ac:dyDescent="0.25">
      <c r="AE4982" s="39" t="str">
        <f>IF(D4982="","",IFERROR(VLOOKUP(D4982,Projects!$A$2:$A$20000,1,FALSE),""))</f>
        <v/>
      </c>
      <c r="AF4982" s="2" t="str">
        <f>IF(D4982="","",IFERROR(MATCH(D4982,Projects!$A:$A,0),""))</f>
        <v/>
      </c>
    </row>
    <row r="4983" spans="31:32" x14ac:dyDescent="0.25">
      <c r="AE4983" s="39" t="str">
        <f>IF(D4983="","",IFERROR(VLOOKUP(D4983,Projects!$A$2:$A$20000,1,FALSE),""))</f>
        <v/>
      </c>
      <c r="AF4983" s="2" t="str">
        <f>IF(D4983="","",IFERROR(MATCH(D4983,Projects!$A:$A,0),""))</f>
        <v/>
      </c>
    </row>
    <row r="4984" spans="31:32" x14ac:dyDescent="0.25">
      <c r="AE4984" s="39" t="str">
        <f>IF(D4984="","",IFERROR(VLOOKUP(D4984,Projects!$A$2:$A$20000,1,FALSE),""))</f>
        <v/>
      </c>
      <c r="AF4984" s="2" t="str">
        <f>IF(D4984="","",IFERROR(MATCH(D4984,Projects!$A:$A,0),""))</f>
        <v/>
      </c>
    </row>
    <row r="4985" spans="31:32" x14ac:dyDescent="0.25">
      <c r="AE4985" s="39" t="str">
        <f>IF(D4985="","",IFERROR(VLOOKUP(D4985,Projects!$A$2:$A$20000,1,FALSE),""))</f>
        <v/>
      </c>
      <c r="AF4985" s="2" t="str">
        <f>IF(D4985="","",IFERROR(MATCH(D4985,Projects!$A:$A,0),""))</f>
        <v/>
      </c>
    </row>
    <row r="4986" spans="31:32" x14ac:dyDescent="0.25">
      <c r="AE4986" s="39" t="str">
        <f>IF(D4986="","",IFERROR(VLOOKUP(D4986,Projects!$A$2:$A$20000,1,FALSE),""))</f>
        <v/>
      </c>
      <c r="AF4986" s="2" t="str">
        <f>IF(D4986="","",IFERROR(MATCH(D4986,Projects!$A:$A,0),""))</f>
        <v/>
      </c>
    </row>
    <row r="4987" spans="31:32" x14ac:dyDescent="0.25">
      <c r="AE4987" s="39" t="str">
        <f>IF(D4987="","",IFERROR(VLOOKUP(D4987,Projects!$A$2:$A$20000,1,FALSE),""))</f>
        <v/>
      </c>
      <c r="AF4987" s="2" t="str">
        <f>IF(D4987="","",IFERROR(MATCH(D4987,Projects!$A:$A,0),""))</f>
        <v/>
      </c>
    </row>
    <row r="4988" spans="31:32" x14ac:dyDescent="0.25">
      <c r="AE4988" s="39" t="str">
        <f>IF(D4988="","",IFERROR(VLOOKUP(D4988,Projects!$A$2:$A$20000,1,FALSE),""))</f>
        <v/>
      </c>
      <c r="AF4988" s="2" t="str">
        <f>IF(D4988="","",IFERROR(MATCH(D4988,Projects!$A:$A,0),""))</f>
        <v/>
      </c>
    </row>
    <row r="4989" spans="31:32" x14ac:dyDescent="0.25">
      <c r="AE4989" s="39" t="str">
        <f>IF(D4989="","",IFERROR(VLOOKUP(D4989,Projects!$A$2:$A$20000,1,FALSE),""))</f>
        <v/>
      </c>
      <c r="AF4989" s="2" t="str">
        <f>IF(D4989="","",IFERROR(MATCH(D4989,Projects!$A:$A,0),""))</f>
        <v/>
      </c>
    </row>
    <row r="4990" spans="31:32" x14ac:dyDescent="0.25">
      <c r="AE4990" s="39" t="str">
        <f>IF(D4990="","",IFERROR(VLOOKUP(D4990,Projects!$A$2:$A$20000,1,FALSE),""))</f>
        <v/>
      </c>
      <c r="AF4990" s="2" t="str">
        <f>IF(D4990="","",IFERROR(MATCH(D4990,Projects!$A:$A,0),""))</f>
        <v/>
      </c>
    </row>
    <row r="4991" spans="31:32" x14ac:dyDescent="0.25">
      <c r="AE4991" s="39" t="str">
        <f>IF(D4991="","",IFERROR(VLOOKUP(D4991,Projects!$A$2:$A$20000,1,FALSE),""))</f>
        <v/>
      </c>
      <c r="AF4991" s="2" t="str">
        <f>IF(D4991="","",IFERROR(MATCH(D4991,Projects!$A:$A,0),""))</f>
        <v/>
      </c>
    </row>
    <row r="4992" spans="31:32" x14ac:dyDescent="0.25">
      <c r="AE4992" s="39" t="str">
        <f>IF(D4992="","",IFERROR(VLOOKUP(D4992,Projects!$A$2:$A$20000,1,FALSE),""))</f>
        <v/>
      </c>
      <c r="AF4992" s="2" t="str">
        <f>IF(D4992="","",IFERROR(MATCH(D4992,Projects!$A:$A,0),""))</f>
        <v/>
      </c>
    </row>
    <row r="4993" spans="31:32" x14ac:dyDescent="0.25">
      <c r="AE4993" s="39" t="str">
        <f>IF(D4993="","",IFERROR(VLOOKUP(D4993,Projects!$A$2:$A$20000,1,FALSE),""))</f>
        <v/>
      </c>
      <c r="AF4993" s="2" t="str">
        <f>IF(D4993="","",IFERROR(MATCH(D4993,Projects!$A:$A,0),""))</f>
        <v/>
      </c>
    </row>
    <row r="4994" spans="31:32" x14ac:dyDescent="0.25">
      <c r="AE4994" s="39" t="str">
        <f>IF(D4994="","",IFERROR(VLOOKUP(D4994,Projects!$A$2:$A$20000,1,FALSE),""))</f>
        <v/>
      </c>
      <c r="AF4994" s="2" t="str">
        <f>IF(D4994="","",IFERROR(MATCH(D4994,Projects!$A:$A,0),""))</f>
        <v/>
      </c>
    </row>
    <row r="4995" spans="31:32" x14ac:dyDescent="0.25">
      <c r="AE4995" s="39" t="str">
        <f>IF(D4995="","",IFERROR(VLOOKUP(D4995,Projects!$A$2:$A$20000,1,FALSE),""))</f>
        <v/>
      </c>
      <c r="AF4995" s="2" t="str">
        <f>IF(D4995="","",IFERROR(MATCH(D4995,Projects!$A:$A,0),""))</f>
        <v/>
      </c>
    </row>
    <row r="4996" spans="31:32" x14ac:dyDescent="0.25">
      <c r="AE4996" s="39" t="str">
        <f>IF(D4996="","",IFERROR(VLOOKUP(D4996,Projects!$A$2:$A$20000,1,FALSE),""))</f>
        <v/>
      </c>
      <c r="AF4996" s="2" t="str">
        <f>IF(D4996="","",IFERROR(MATCH(D4996,Projects!$A:$A,0),""))</f>
        <v/>
      </c>
    </row>
    <row r="4997" spans="31:32" x14ac:dyDescent="0.25">
      <c r="AE4997" s="39" t="str">
        <f>IF(D4997="","",IFERROR(VLOOKUP(D4997,Projects!$A$2:$A$20000,1,FALSE),""))</f>
        <v/>
      </c>
      <c r="AF4997" s="2" t="str">
        <f>IF(D4997="","",IFERROR(MATCH(D4997,Projects!$A:$A,0),""))</f>
        <v/>
      </c>
    </row>
    <row r="4998" spans="31:32" x14ac:dyDescent="0.25">
      <c r="AE4998" s="39" t="str">
        <f>IF(D4998="","",IFERROR(VLOOKUP(D4998,Projects!$A$2:$A$20000,1,FALSE),""))</f>
        <v/>
      </c>
      <c r="AF4998" s="2" t="str">
        <f>IF(D4998="","",IFERROR(MATCH(D4998,Projects!$A:$A,0),""))</f>
        <v/>
      </c>
    </row>
    <row r="4999" spans="31:32" x14ac:dyDescent="0.25">
      <c r="AE4999" s="39" t="str">
        <f>IF(D4999="","",IFERROR(VLOOKUP(D4999,Projects!$A$2:$A$20000,1,FALSE),""))</f>
        <v/>
      </c>
      <c r="AF4999" s="2" t="str">
        <f>IF(D4999="","",IFERROR(MATCH(D4999,Projects!$A:$A,0),""))</f>
        <v/>
      </c>
    </row>
    <row r="5000" spans="31:32" x14ac:dyDescent="0.25">
      <c r="AE5000" s="39" t="str">
        <f>IF(D5000="","",IFERROR(VLOOKUP(D5000,Projects!$A$2:$A$20000,1,FALSE),""))</f>
        <v/>
      </c>
      <c r="AF5000" s="2" t="str">
        <f>IF(D5000="","",IFERROR(MATCH(D5000,Projects!$A:$A,0),""))</f>
        <v/>
      </c>
    </row>
    <row r="5001" spans="31:32" x14ac:dyDescent="0.25">
      <c r="AE5001" s="39" t="str">
        <f>IF(D5001="","",IFERROR(VLOOKUP(D5001,Projects!$A$2:$A$20000,1,FALSE),""))</f>
        <v/>
      </c>
      <c r="AF5001" s="2" t="str">
        <f>IF(D5001="","",IFERROR(MATCH(D5001,Projects!$A:$A,0),""))</f>
        <v/>
      </c>
    </row>
    <row r="5002" spans="31:32" x14ac:dyDescent="0.25">
      <c r="AE5002" s="39" t="str">
        <f>IF(D5002="","",IFERROR(VLOOKUP(D5002,Projects!$A$2:$A$20000,1,FALSE),""))</f>
        <v/>
      </c>
      <c r="AF5002" s="2" t="str">
        <f>IF(D5002="","",IFERROR(MATCH(D5002,Projects!$A:$A,0),""))</f>
        <v/>
      </c>
    </row>
    <row r="5003" spans="31:32" x14ac:dyDescent="0.25">
      <c r="AE5003" s="39" t="str">
        <f>IF(D5003="","",IFERROR(VLOOKUP(D5003,Projects!$A$2:$A$20000,1,FALSE),""))</f>
        <v/>
      </c>
      <c r="AF5003" s="2" t="str">
        <f>IF(D5003="","",IFERROR(MATCH(D5003,Projects!$A:$A,0),""))</f>
        <v/>
      </c>
    </row>
    <row r="5004" spans="31:32" x14ac:dyDescent="0.25">
      <c r="AE5004" s="39" t="str">
        <f>IF(D5004="","",IFERROR(VLOOKUP(D5004,Projects!$A$2:$A$20000,1,FALSE),""))</f>
        <v/>
      </c>
      <c r="AF5004" s="2" t="str">
        <f>IF(D5004="","",IFERROR(MATCH(D5004,Projects!$A:$A,0),""))</f>
        <v/>
      </c>
    </row>
    <row r="5005" spans="31:32" x14ac:dyDescent="0.25">
      <c r="AE5005" s="39" t="str">
        <f>IF(D5005="","",IFERROR(VLOOKUP(D5005,Projects!$A$2:$A$20000,1,FALSE),""))</f>
        <v/>
      </c>
      <c r="AF5005" s="2" t="str">
        <f>IF(D5005="","",IFERROR(MATCH(D5005,Projects!$A:$A,0),""))</f>
        <v/>
      </c>
    </row>
    <row r="5006" spans="31:32" x14ac:dyDescent="0.25">
      <c r="AE5006" s="39" t="str">
        <f>IF(D5006="","",IFERROR(VLOOKUP(D5006,Projects!$A$2:$A$20000,1,FALSE),""))</f>
        <v/>
      </c>
      <c r="AF5006" s="2" t="str">
        <f>IF(D5006="","",IFERROR(MATCH(D5006,Projects!$A:$A,0),""))</f>
        <v/>
      </c>
    </row>
    <row r="5007" spans="31:32" x14ac:dyDescent="0.25">
      <c r="AE5007" s="39" t="str">
        <f>IF(D5007="","",IFERROR(VLOOKUP(D5007,Projects!$A$2:$A$20000,1,FALSE),""))</f>
        <v/>
      </c>
      <c r="AF5007" s="2" t="str">
        <f>IF(D5007="","",IFERROR(MATCH(D5007,Projects!$A:$A,0),""))</f>
        <v/>
      </c>
    </row>
    <row r="5008" spans="31:32" x14ac:dyDescent="0.25">
      <c r="AE5008" s="39" t="str">
        <f>IF(D5008="","",IFERROR(VLOOKUP(D5008,Projects!$A$2:$A$20000,1,FALSE),""))</f>
        <v/>
      </c>
      <c r="AF5008" s="2" t="str">
        <f>IF(D5008="","",IFERROR(MATCH(D5008,Projects!$A:$A,0),""))</f>
        <v/>
      </c>
    </row>
    <row r="5009" spans="31:32" x14ac:dyDescent="0.25">
      <c r="AE5009" s="39" t="str">
        <f>IF(D5009="","",IFERROR(VLOOKUP(D5009,Projects!$A$2:$A$20000,1,FALSE),""))</f>
        <v/>
      </c>
      <c r="AF5009" s="2" t="str">
        <f>IF(D5009="","",IFERROR(MATCH(D5009,Projects!$A:$A,0),""))</f>
        <v/>
      </c>
    </row>
    <row r="5010" spans="31:32" x14ac:dyDescent="0.25">
      <c r="AE5010" s="39" t="str">
        <f>IF(D5010="","",IFERROR(VLOOKUP(D5010,Projects!$A$2:$A$20000,1,FALSE),""))</f>
        <v/>
      </c>
      <c r="AF5010" s="2" t="str">
        <f>IF(D5010="","",IFERROR(MATCH(D5010,Projects!$A:$A,0),""))</f>
        <v/>
      </c>
    </row>
    <row r="5011" spans="31:32" x14ac:dyDescent="0.25">
      <c r="AE5011" s="39" t="str">
        <f>IF(D5011="","",IFERROR(VLOOKUP(D5011,Projects!$A$2:$A$20000,1,FALSE),""))</f>
        <v/>
      </c>
      <c r="AF5011" s="2" t="str">
        <f>IF(D5011="","",IFERROR(MATCH(D5011,Projects!$A:$A,0),""))</f>
        <v/>
      </c>
    </row>
    <row r="5012" spans="31:32" x14ac:dyDescent="0.25">
      <c r="AE5012" s="39" t="str">
        <f>IF(D5012="","",IFERROR(VLOOKUP(D5012,Projects!$A$2:$A$20000,1,FALSE),""))</f>
        <v/>
      </c>
      <c r="AF5012" s="2" t="str">
        <f>IF(D5012="","",IFERROR(MATCH(D5012,Projects!$A:$A,0),""))</f>
        <v/>
      </c>
    </row>
    <row r="5013" spans="31:32" x14ac:dyDescent="0.25">
      <c r="AE5013" s="39" t="str">
        <f>IF(D5013="","",IFERROR(VLOOKUP(D5013,Projects!$A$2:$A$20000,1,FALSE),""))</f>
        <v/>
      </c>
      <c r="AF5013" s="2" t="str">
        <f>IF(D5013="","",IFERROR(MATCH(D5013,Projects!$A:$A,0),""))</f>
        <v/>
      </c>
    </row>
    <row r="5014" spans="31:32" x14ac:dyDescent="0.25">
      <c r="AE5014" s="39" t="str">
        <f>IF(D5014="","",IFERROR(VLOOKUP(D5014,Projects!$A$2:$A$20000,1,FALSE),""))</f>
        <v/>
      </c>
      <c r="AF5014" s="2" t="str">
        <f>IF(D5014="","",IFERROR(MATCH(D5014,Projects!$A:$A,0),""))</f>
        <v/>
      </c>
    </row>
    <row r="5015" spans="31:32" x14ac:dyDescent="0.25">
      <c r="AE5015" s="39" t="str">
        <f>IF(D5015="","",IFERROR(VLOOKUP(D5015,Projects!$A$2:$A$20000,1,FALSE),""))</f>
        <v/>
      </c>
      <c r="AF5015" s="2" t="str">
        <f>IF(D5015="","",IFERROR(MATCH(D5015,Projects!$A:$A,0),""))</f>
        <v/>
      </c>
    </row>
    <row r="5016" spans="31:32" x14ac:dyDescent="0.25">
      <c r="AE5016" s="39" t="str">
        <f>IF(D5016="","",IFERROR(VLOOKUP(D5016,Projects!$A$2:$A$20000,1,FALSE),""))</f>
        <v/>
      </c>
      <c r="AF5016" s="2" t="str">
        <f>IF(D5016="","",IFERROR(MATCH(D5016,Projects!$A:$A,0),""))</f>
        <v/>
      </c>
    </row>
    <row r="5017" spans="31:32" x14ac:dyDescent="0.25">
      <c r="AE5017" s="39" t="str">
        <f>IF(D5017="","",IFERROR(VLOOKUP(D5017,Projects!$A$2:$A$20000,1,FALSE),""))</f>
        <v/>
      </c>
      <c r="AF5017" s="2" t="str">
        <f>IF(D5017="","",IFERROR(MATCH(D5017,Projects!$A:$A,0),""))</f>
        <v/>
      </c>
    </row>
    <row r="5018" spans="31:32" x14ac:dyDescent="0.25">
      <c r="AE5018" s="39" t="str">
        <f>IF(D5018="","",IFERROR(VLOOKUP(D5018,Projects!$A$2:$A$20000,1,FALSE),""))</f>
        <v/>
      </c>
      <c r="AF5018" s="2" t="str">
        <f>IF(D5018="","",IFERROR(MATCH(D5018,Projects!$A:$A,0),""))</f>
        <v/>
      </c>
    </row>
    <row r="5019" spans="31:32" x14ac:dyDescent="0.25">
      <c r="AE5019" s="39" t="str">
        <f>IF(D5019="","",IFERROR(VLOOKUP(D5019,Projects!$A$2:$A$20000,1,FALSE),""))</f>
        <v/>
      </c>
      <c r="AF5019" s="2" t="str">
        <f>IF(D5019="","",IFERROR(MATCH(D5019,Projects!$A:$A,0),""))</f>
        <v/>
      </c>
    </row>
    <row r="5020" spans="31:32" x14ac:dyDescent="0.25">
      <c r="AE5020" s="39" t="str">
        <f>IF(D5020="","",IFERROR(VLOOKUP(D5020,Projects!$A$2:$A$20000,1,FALSE),""))</f>
        <v/>
      </c>
      <c r="AF5020" s="2" t="str">
        <f>IF(D5020="","",IFERROR(MATCH(D5020,Projects!$A:$A,0),""))</f>
        <v/>
      </c>
    </row>
    <row r="5021" spans="31:32" x14ac:dyDescent="0.25">
      <c r="AE5021" s="39" t="str">
        <f>IF(D5021="","",IFERROR(VLOOKUP(D5021,Projects!$A$2:$A$20000,1,FALSE),""))</f>
        <v/>
      </c>
      <c r="AF5021" s="2" t="str">
        <f>IF(D5021="","",IFERROR(MATCH(D5021,Projects!$A:$A,0),""))</f>
        <v/>
      </c>
    </row>
    <row r="5022" spans="31:32" x14ac:dyDescent="0.25">
      <c r="AE5022" s="39" t="str">
        <f>IF(D5022="","",IFERROR(VLOOKUP(D5022,Projects!$A$2:$A$20000,1,FALSE),""))</f>
        <v/>
      </c>
      <c r="AF5022" s="2" t="str">
        <f>IF(D5022="","",IFERROR(MATCH(D5022,Projects!$A:$A,0),""))</f>
        <v/>
      </c>
    </row>
    <row r="5023" spans="31:32" x14ac:dyDescent="0.25">
      <c r="AE5023" s="39" t="str">
        <f>IF(D5023="","",IFERROR(VLOOKUP(D5023,Projects!$A$2:$A$20000,1,FALSE),""))</f>
        <v/>
      </c>
      <c r="AF5023" s="2" t="str">
        <f>IF(D5023="","",IFERROR(MATCH(D5023,Projects!$A:$A,0),""))</f>
        <v/>
      </c>
    </row>
    <row r="5024" spans="31:32" x14ac:dyDescent="0.25">
      <c r="AE5024" s="39" t="str">
        <f>IF(D5024="","",IFERROR(VLOOKUP(D5024,Projects!$A$2:$A$20000,1,FALSE),""))</f>
        <v/>
      </c>
      <c r="AF5024" s="2" t="str">
        <f>IF(D5024="","",IFERROR(MATCH(D5024,Projects!$A:$A,0),""))</f>
        <v/>
      </c>
    </row>
    <row r="5025" spans="31:32" x14ac:dyDescent="0.25">
      <c r="AE5025" s="39" t="str">
        <f>IF(D5025="","",IFERROR(VLOOKUP(D5025,Projects!$A$2:$A$20000,1,FALSE),""))</f>
        <v/>
      </c>
      <c r="AF5025" s="2" t="str">
        <f>IF(D5025="","",IFERROR(MATCH(D5025,Projects!$A:$A,0),""))</f>
        <v/>
      </c>
    </row>
    <row r="5026" spans="31:32" x14ac:dyDescent="0.25">
      <c r="AE5026" s="39" t="str">
        <f>IF(D5026="","",IFERROR(VLOOKUP(D5026,Projects!$A$2:$A$20000,1,FALSE),""))</f>
        <v/>
      </c>
      <c r="AF5026" s="2" t="str">
        <f>IF(D5026="","",IFERROR(MATCH(D5026,Projects!$A:$A,0),""))</f>
        <v/>
      </c>
    </row>
    <row r="5027" spans="31:32" x14ac:dyDescent="0.25">
      <c r="AE5027" s="39" t="str">
        <f>IF(D5027="","",IFERROR(VLOOKUP(D5027,Projects!$A$2:$A$20000,1,FALSE),""))</f>
        <v/>
      </c>
      <c r="AF5027" s="2" t="str">
        <f>IF(D5027="","",IFERROR(MATCH(D5027,Projects!$A:$A,0),""))</f>
        <v/>
      </c>
    </row>
    <row r="5028" spans="31:32" x14ac:dyDescent="0.25">
      <c r="AE5028" s="39" t="str">
        <f>IF(D5028="","",IFERROR(VLOOKUP(D5028,Projects!$A$2:$A$20000,1,FALSE),""))</f>
        <v/>
      </c>
      <c r="AF5028" s="2" t="str">
        <f>IF(D5028="","",IFERROR(MATCH(D5028,Projects!$A:$A,0),""))</f>
        <v/>
      </c>
    </row>
    <row r="5029" spans="31:32" x14ac:dyDescent="0.25">
      <c r="AE5029" s="39" t="str">
        <f>IF(D5029="","",IFERROR(VLOOKUP(D5029,Projects!$A$2:$A$20000,1,FALSE),""))</f>
        <v/>
      </c>
      <c r="AF5029" s="2" t="str">
        <f>IF(D5029="","",IFERROR(MATCH(D5029,Projects!$A:$A,0),""))</f>
        <v/>
      </c>
    </row>
    <row r="5030" spans="31:32" x14ac:dyDescent="0.25">
      <c r="AE5030" s="39" t="str">
        <f>IF(D5030="","",IFERROR(VLOOKUP(D5030,Projects!$A$2:$A$20000,1,FALSE),""))</f>
        <v/>
      </c>
      <c r="AF5030" s="2" t="str">
        <f>IF(D5030="","",IFERROR(MATCH(D5030,Projects!$A:$A,0),""))</f>
        <v/>
      </c>
    </row>
    <row r="5031" spans="31:32" x14ac:dyDescent="0.25">
      <c r="AE5031" s="39" t="str">
        <f>IF(D5031="","",IFERROR(VLOOKUP(D5031,Projects!$A$2:$A$20000,1,FALSE),""))</f>
        <v/>
      </c>
      <c r="AF5031" s="2" t="str">
        <f>IF(D5031="","",IFERROR(MATCH(D5031,Projects!$A:$A,0),""))</f>
        <v/>
      </c>
    </row>
    <row r="5032" spans="31:32" x14ac:dyDescent="0.25">
      <c r="AE5032" s="39" t="str">
        <f>IF(D5032="","",IFERROR(VLOOKUP(D5032,Projects!$A$2:$A$20000,1,FALSE),""))</f>
        <v/>
      </c>
      <c r="AF5032" s="2" t="str">
        <f>IF(D5032="","",IFERROR(MATCH(D5032,Projects!$A:$A,0),""))</f>
        <v/>
      </c>
    </row>
    <row r="5033" spans="31:32" x14ac:dyDescent="0.25">
      <c r="AE5033" s="39" t="str">
        <f>IF(D5033="","",IFERROR(VLOOKUP(D5033,Projects!$A$2:$A$20000,1,FALSE),""))</f>
        <v/>
      </c>
      <c r="AF5033" s="2" t="str">
        <f>IF(D5033="","",IFERROR(MATCH(D5033,Projects!$A:$A,0),""))</f>
        <v/>
      </c>
    </row>
    <row r="5034" spans="31:32" x14ac:dyDescent="0.25">
      <c r="AE5034" s="39" t="str">
        <f>IF(D5034="","",IFERROR(VLOOKUP(D5034,Projects!$A$2:$A$20000,1,FALSE),""))</f>
        <v/>
      </c>
      <c r="AF5034" s="2" t="str">
        <f>IF(D5034="","",IFERROR(MATCH(D5034,Projects!$A:$A,0),""))</f>
        <v/>
      </c>
    </row>
    <row r="5035" spans="31:32" x14ac:dyDescent="0.25">
      <c r="AE5035" s="39" t="str">
        <f>IF(D5035="","",IFERROR(VLOOKUP(D5035,Projects!$A$2:$A$20000,1,FALSE),""))</f>
        <v/>
      </c>
      <c r="AF5035" s="2" t="str">
        <f>IF(D5035="","",IFERROR(MATCH(D5035,Projects!$A:$A,0),""))</f>
        <v/>
      </c>
    </row>
    <row r="5036" spans="31:32" x14ac:dyDescent="0.25">
      <c r="AE5036" s="39" t="str">
        <f>IF(D5036="","",IFERROR(VLOOKUP(D5036,Projects!$A$2:$A$20000,1,FALSE),""))</f>
        <v/>
      </c>
      <c r="AF5036" s="2" t="str">
        <f>IF(D5036="","",IFERROR(MATCH(D5036,Projects!$A:$A,0),""))</f>
        <v/>
      </c>
    </row>
    <row r="5037" spans="31:32" x14ac:dyDescent="0.25">
      <c r="AE5037" s="39" t="str">
        <f>IF(D5037="","",IFERROR(VLOOKUP(D5037,Projects!$A$2:$A$20000,1,FALSE),""))</f>
        <v/>
      </c>
      <c r="AF5037" s="2" t="str">
        <f>IF(D5037="","",IFERROR(MATCH(D5037,Projects!$A:$A,0),""))</f>
        <v/>
      </c>
    </row>
    <row r="5038" spans="31:32" x14ac:dyDescent="0.25">
      <c r="AE5038" s="39" t="str">
        <f>IF(D5038="","",IFERROR(VLOOKUP(D5038,Projects!$A$2:$A$20000,1,FALSE),""))</f>
        <v/>
      </c>
      <c r="AF5038" s="2" t="str">
        <f>IF(D5038="","",IFERROR(MATCH(D5038,Projects!$A:$A,0),""))</f>
        <v/>
      </c>
    </row>
    <row r="5039" spans="31:32" x14ac:dyDescent="0.25">
      <c r="AE5039" s="39" t="str">
        <f>IF(D5039="","",IFERROR(VLOOKUP(D5039,Projects!$A$2:$A$20000,1,FALSE),""))</f>
        <v/>
      </c>
      <c r="AF5039" s="2" t="str">
        <f>IF(D5039="","",IFERROR(MATCH(D5039,Projects!$A:$A,0),""))</f>
        <v/>
      </c>
    </row>
    <row r="5040" spans="31:32" x14ac:dyDescent="0.25">
      <c r="AE5040" s="39" t="str">
        <f>IF(D5040="","",IFERROR(VLOOKUP(D5040,Projects!$A$2:$A$20000,1,FALSE),""))</f>
        <v/>
      </c>
      <c r="AF5040" s="2" t="str">
        <f>IF(D5040="","",IFERROR(MATCH(D5040,Projects!$A:$A,0),""))</f>
        <v/>
      </c>
    </row>
    <row r="5041" spans="31:32" x14ac:dyDescent="0.25">
      <c r="AE5041" s="39" t="str">
        <f>IF(D5041="","",IFERROR(VLOOKUP(D5041,Projects!$A$2:$A$20000,1,FALSE),""))</f>
        <v/>
      </c>
      <c r="AF5041" s="2" t="str">
        <f>IF(D5041="","",IFERROR(MATCH(D5041,Projects!$A:$A,0),""))</f>
        <v/>
      </c>
    </row>
    <row r="5042" spans="31:32" x14ac:dyDescent="0.25">
      <c r="AE5042" s="39" t="str">
        <f>IF(D5042="","",IFERROR(VLOOKUP(D5042,Projects!$A$2:$A$20000,1,FALSE),""))</f>
        <v/>
      </c>
      <c r="AF5042" s="2" t="str">
        <f>IF(D5042="","",IFERROR(MATCH(D5042,Projects!$A:$A,0),""))</f>
        <v/>
      </c>
    </row>
    <row r="5043" spans="31:32" x14ac:dyDescent="0.25">
      <c r="AE5043" s="39" t="str">
        <f>IF(D5043="","",IFERROR(VLOOKUP(D5043,Projects!$A$2:$A$20000,1,FALSE),""))</f>
        <v/>
      </c>
      <c r="AF5043" s="2" t="str">
        <f>IF(D5043="","",IFERROR(MATCH(D5043,Projects!$A:$A,0),""))</f>
        <v/>
      </c>
    </row>
    <row r="5044" spans="31:32" x14ac:dyDescent="0.25">
      <c r="AE5044" s="39" t="str">
        <f>IF(D5044="","",IFERROR(VLOOKUP(D5044,Projects!$A$2:$A$20000,1,FALSE),""))</f>
        <v/>
      </c>
      <c r="AF5044" s="2" t="str">
        <f>IF(D5044="","",IFERROR(MATCH(D5044,Projects!$A:$A,0),""))</f>
        <v/>
      </c>
    </row>
    <row r="5045" spans="31:32" x14ac:dyDescent="0.25">
      <c r="AE5045" s="39" t="str">
        <f>IF(D5045="","",IFERROR(VLOOKUP(D5045,Projects!$A$2:$A$20000,1,FALSE),""))</f>
        <v/>
      </c>
      <c r="AF5045" s="2" t="str">
        <f>IF(D5045="","",IFERROR(MATCH(D5045,Projects!$A:$A,0),""))</f>
        <v/>
      </c>
    </row>
    <row r="5046" spans="31:32" x14ac:dyDescent="0.25">
      <c r="AE5046" s="39" t="str">
        <f>IF(D5046="","",IFERROR(VLOOKUP(D5046,Projects!$A$2:$A$20000,1,FALSE),""))</f>
        <v/>
      </c>
      <c r="AF5046" s="2" t="str">
        <f>IF(D5046="","",IFERROR(MATCH(D5046,Projects!$A:$A,0),""))</f>
        <v/>
      </c>
    </row>
    <row r="5047" spans="31:32" x14ac:dyDescent="0.25">
      <c r="AE5047" s="39" t="str">
        <f>IF(D5047="","",IFERROR(VLOOKUP(D5047,Projects!$A$2:$A$20000,1,FALSE),""))</f>
        <v/>
      </c>
      <c r="AF5047" s="2" t="str">
        <f>IF(D5047="","",IFERROR(MATCH(D5047,Projects!$A:$A,0),""))</f>
        <v/>
      </c>
    </row>
    <row r="5048" spans="31:32" x14ac:dyDescent="0.25">
      <c r="AE5048" s="39" t="str">
        <f>IF(D5048="","",IFERROR(VLOOKUP(D5048,Projects!$A$2:$A$20000,1,FALSE),""))</f>
        <v/>
      </c>
      <c r="AF5048" s="2" t="str">
        <f>IF(D5048="","",IFERROR(MATCH(D5048,Projects!$A:$A,0),""))</f>
        <v/>
      </c>
    </row>
    <row r="5049" spans="31:32" x14ac:dyDescent="0.25">
      <c r="AE5049" s="39" t="str">
        <f>IF(D5049="","",IFERROR(VLOOKUP(D5049,Projects!$A$2:$A$20000,1,FALSE),""))</f>
        <v/>
      </c>
      <c r="AF5049" s="2" t="str">
        <f>IF(D5049="","",IFERROR(MATCH(D5049,Projects!$A:$A,0),""))</f>
        <v/>
      </c>
    </row>
    <row r="5050" spans="31:32" x14ac:dyDescent="0.25">
      <c r="AE5050" s="39" t="str">
        <f>IF(D5050="","",IFERROR(VLOOKUP(D5050,Projects!$A$2:$A$20000,1,FALSE),""))</f>
        <v/>
      </c>
      <c r="AF5050" s="2" t="str">
        <f>IF(D5050="","",IFERROR(MATCH(D5050,Projects!$A:$A,0),""))</f>
        <v/>
      </c>
    </row>
    <row r="5051" spans="31:32" x14ac:dyDescent="0.25">
      <c r="AE5051" s="39" t="str">
        <f>IF(D5051="","",IFERROR(VLOOKUP(D5051,Projects!$A$2:$A$20000,1,FALSE),""))</f>
        <v/>
      </c>
      <c r="AF5051" s="2" t="str">
        <f>IF(D5051="","",IFERROR(MATCH(D5051,Projects!$A:$A,0),""))</f>
        <v/>
      </c>
    </row>
    <row r="5052" spans="31:32" x14ac:dyDescent="0.25">
      <c r="AE5052" s="39" t="str">
        <f>IF(D5052="","",IFERROR(VLOOKUP(D5052,Projects!$A$2:$A$20000,1,FALSE),""))</f>
        <v/>
      </c>
      <c r="AF5052" s="2" t="str">
        <f>IF(D5052="","",IFERROR(MATCH(D5052,Projects!$A:$A,0),""))</f>
        <v/>
      </c>
    </row>
    <row r="5053" spans="31:32" x14ac:dyDescent="0.25">
      <c r="AE5053" s="39" t="str">
        <f>IF(D5053="","",IFERROR(VLOOKUP(D5053,Projects!$A$2:$A$20000,1,FALSE),""))</f>
        <v/>
      </c>
      <c r="AF5053" s="2" t="str">
        <f>IF(D5053="","",IFERROR(MATCH(D5053,Projects!$A:$A,0),""))</f>
        <v/>
      </c>
    </row>
    <row r="5054" spans="31:32" x14ac:dyDescent="0.25">
      <c r="AE5054" s="39" t="str">
        <f>IF(D5054="","",IFERROR(VLOOKUP(D5054,Projects!$A$2:$A$20000,1,FALSE),""))</f>
        <v/>
      </c>
      <c r="AF5054" s="2" t="str">
        <f>IF(D5054="","",IFERROR(MATCH(D5054,Projects!$A:$A,0),""))</f>
        <v/>
      </c>
    </row>
    <row r="5055" spans="31:32" x14ac:dyDescent="0.25">
      <c r="AE5055" s="39" t="str">
        <f>IF(D5055="","",IFERROR(VLOOKUP(D5055,Projects!$A$2:$A$20000,1,FALSE),""))</f>
        <v/>
      </c>
      <c r="AF5055" s="2" t="str">
        <f>IF(D5055="","",IFERROR(MATCH(D5055,Projects!$A:$A,0),""))</f>
        <v/>
      </c>
    </row>
    <row r="5056" spans="31:32" x14ac:dyDescent="0.25">
      <c r="AE5056" s="39" t="str">
        <f>IF(D5056="","",IFERROR(VLOOKUP(D5056,Projects!$A$2:$A$20000,1,FALSE),""))</f>
        <v/>
      </c>
      <c r="AF5056" s="2" t="str">
        <f>IF(D5056="","",IFERROR(MATCH(D5056,Projects!$A:$A,0),""))</f>
        <v/>
      </c>
    </row>
    <row r="5057" spans="31:32" x14ac:dyDescent="0.25">
      <c r="AE5057" s="39" t="str">
        <f>IF(D5057="","",IFERROR(VLOOKUP(D5057,Projects!$A$2:$A$20000,1,FALSE),""))</f>
        <v/>
      </c>
      <c r="AF5057" s="2" t="str">
        <f>IF(D5057="","",IFERROR(MATCH(D5057,Projects!$A:$A,0),""))</f>
        <v/>
      </c>
    </row>
    <row r="5058" spans="31:32" x14ac:dyDescent="0.25">
      <c r="AE5058" s="39" t="str">
        <f>IF(D5058="","",IFERROR(VLOOKUP(D5058,Projects!$A$2:$A$20000,1,FALSE),""))</f>
        <v/>
      </c>
      <c r="AF5058" s="2" t="str">
        <f>IF(D5058="","",IFERROR(MATCH(D5058,Projects!$A:$A,0),""))</f>
        <v/>
      </c>
    </row>
    <row r="5059" spans="31:32" x14ac:dyDescent="0.25">
      <c r="AE5059" s="39" t="str">
        <f>IF(D5059="","",IFERROR(VLOOKUP(D5059,Projects!$A$2:$A$20000,1,FALSE),""))</f>
        <v/>
      </c>
      <c r="AF5059" s="2" t="str">
        <f>IF(D5059="","",IFERROR(MATCH(D5059,Projects!$A:$A,0),""))</f>
        <v/>
      </c>
    </row>
    <row r="5060" spans="31:32" x14ac:dyDescent="0.25">
      <c r="AE5060" s="39" t="str">
        <f>IF(D5060="","",IFERROR(VLOOKUP(D5060,Projects!$A$2:$A$20000,1,FALSE),""))</f>
        <v/>
      </c>
      <c r="AF5060" s="2" t="str">
        <f>IF(D5060="","",IFERROR(MATCH(D5060,Projects!$A:$A,0),""))</f>
        <v/>
      </c>
    </row>
    <row r="5061" spans="31:32" x14ac:dyDescent="0.25">
      <c r="AE5061" s="39" t="str">
        <f>IF(D5061="","",IFERROR(VLOOKUP(D5061,Projects!$A$2:$A$20000,1,FALSE),""))</f>
        <v/>
      </c>
      <c r="AF5061" s="2" t="str">
        <f>IF(D5061="","",IFERROR(MATCH(D5061,Projects!$A:$A,0),""))</f>
        <v/>
      </c>
    </row>
    <row r="5062" spans="31:32" x14ac:dyDescent="0.25">
      <c r="AE5062" s="39" t="str">
        <f>IF(D5062="","",IFERROR(VLOOKUP(D5062,Projects!$A$2:$A$20000,1,FALSE),""))</f>
        <v/>
      </c>
      <c r="AF5062" s="2" t="str">
        <f>IF(D5062="","",IFERROR(MATCH(D5062,Projects!$A:$A,0),""))</f>
        <v/>
      </c>
    </row>
    <row r="5063" spans="31:32" x14ac:dyDescent="0.25">
      <c r="AE5063" s="39" t="str">
        <f>IF(D5063="","",IFERROR(VLOOKUP(D5063,Projects!$A$2:$A$20000,1,FALSE),""))</f>
        <v/>
      </c>
      <c r="AF5063" s="2" t="str">
        <f>IF(D5063="","",IFERROR(MATCH(D5063,Projects!$A:$A,0),""))</f>
        <v/>
      </c>
    </row>
    <row r="5064" spans="31:32" x14ac:dyDescent="0.25">
      <c r="AE5064" s="39" t="str">
        <f>IF(D5064="","",IFERROR(VLOOKUP(D5064,Projects!$A$2:$A$20000,1,FALSE),""))</f>
        <v/>
      </c>
      <c r="AF5064" s="2" t="str">
        <f>IF(D5064="","",IFERROR(MATCH(D5064,Projects!$A:$A,0),""))</f>
        <v/>
      </c>
    </row>
    <row r="5065" spans="31:32" x14ac:dyDescent="0.25">
      <c r="AE5065" s="39" t="str">
        <f>IF(D5065="","",IFERROR(VLOOKUP(D5065,Projects!$A$2:$A$20000,1,FALSE),""))</f>
        <v/>
      </c>
      <c r="AF5065" s="2" t="str">
        <f>IF(D5065="","",IFERROR(MATCH(D5065,Projects!$A:$A,0),""))</f>
        <v/>
      </c>
    </row>
    <row r="5066" spans="31:32" x14ac:dyDescent="0.25">
      <c r="AE5066" s="39" t="str">
        <f>IF(D5066="","",IFERROR(VLOOKUP(D5066,Projects!$A$2:$A$20000,1,FALSE),""))</f>
        <v/>
      </c>
      <c r="AF5066" s="2" t="str">
        <f>IF(D5066="","",IFERROR(MATCH(D5066,Projects!$A:$A,0),""))</f>
        <v/>
      </c>
    </row>
    <row r="5067" spans="31:32" x14ac:dyDescent="0.25">
      <c r="AE5067" s="39" t="str">
        <f>IF(D5067="","",IFERROR(VLOOKUP(D5067,Projects!$A$2:$A$20000,1,FALSE),""))</f>
        <v/>
      </c>
      <c r="AF5067" s="2" t="str">
        <f>IF(D5067="","",IFERROR(MATCH(D5067,Projects!$A:$A,0),""))</f>
        <v/>
      </c>
    </row>
    <row r="5068" spans="31:32" x14ac:dyDescent="0.25">
      <c r="AE5068" s="39" t="str">
        <f>IF(D5068="","",IFERROR(VLOOKUP(D5068,Projects!$A$2:$A$20000,1,FALSE),""))</f>
        <v/>
      </c>
      <c r="AF5068" s="2" t="str">
        <f>IF(D5068="","",IFERROR(MATCH(D5068,Projects!$A:$A,0),""))</f>
        <v/>
      </c>
    </row>
    <row r="5069" spans="31:32" x14ac:dyDescent="0.25">
      <c r="AE5069" s="39" t="str">
        <f>IF(D5069="","",IFERROR(VLOOKUP(D5069,Projects!$A$2:$A$20000,1,FALSE),""))</f>
        <v/>
      </c>
      <c r="AF5069" s="2" t="str">
        <f>IF(D5069="","",IFERROR(MATCH(D5069,Projects!$A:$A,0),""))</f>
        <v/>
      </c>
    </row>
    <row r="5070" spans="31:32" x14ac:dyDescent="0.25">
      <c r="AE5070" s="39" t="str">
        <f>IF(D5070="","",IFERROR(VLOOKUP(D5070,Projects!$A$2:$A$20000,1,FALSE),""))</f>
        <v/>
      </c>
      <c r="AF5070" s="2" t="str">
        <f>IF(D5070="","",IFERROR(MATCH(D5070,Projects!$A:$A,0),""))</f>
        <v/>
      </c>
    </row>
    <row r="5071" spans="31:32" x14ac:dyDescent="0.25">
      <c r="AE5071" s="39" t="str">
        <f>IF(D5071="","",IFERROR(VLOOKUP(D5071,Projects!$A$2:$A$20000,1,FALSE),""))</f>
        <v/>
      </c>
      <c r="AF5071" s="2" t="str">
        <f>IF(D5071="","",IFERROR(MATCH(D5071,Projects!$A:$A,0),""))</f>
        <v/>
      </c>
    </row>
    <row r="5072" spans="31:32" x14ac:dyDescent="0.25">
      <c r="AE5072" s="39" t="str">
        <f>IF(D5072="","",IFERROR(VLOOKUP(D5072,Projects!$A$2:$A$20000,1,FALSE),""))</f>
        <v/>
      </c>
      <c r="AF5072" s="2" t="str">
        <f>IF(D5072="","",IFERROR(MATCH(D5072,Projects!$A:$A,0),""))</f>
        <v/>
      </c>
    </row>
    <row r="5073" spans="31:32" x14ac:dyDescent="0.25">
      <c r="AE5073" s="39" t="str">
        <f>IF(D5073="","",IFERROR(VLOOKUP(D5073,Projects!$A$2:$A$20000,1,FALSE),""))</f>
        <v/>
      </c>
      <c r="AF5073" s="2" t="str">
        <f>IF(D5073="","",IFERROR(MATCH(D5073,Projects!$A:$A,0),""))</f>
        <v/>
      </c>
    </row>
    <row r="5074" spans="31:32" x14ac:dyDescent="0.25">
      <c r="AE5074" s="39" t="str">
        <f>IF(D5074="","",IFERROR(VLOOKUP(D5074,Projects!$A$2:$A$20000,1,FALSE),""))</f>
        <v/>
      </c>
      <c r="AF5074" s="2" t="str">
        <f>IF(D5074="","",IFERROR(MATCH(D5074,Projects!$A:$A,0),""))</f>
        <v/>
      </c>
    </row>
    <row r="5075" spans="31:32" x14ac:dyDescent="0.25">
      <c r="AE5075" s="39" t="str">
        <f>IF(D5075="","",IFERROR(VLOOKUP(D5075,Projects!$A$2:$A$20000,1,FALSE),""))</f>
        <v/>
      </c>
      <c r="AF5075" s="2" t="str">
        <f>IF(D5075="","",IFERROR(MATCH(D5075,Projects!$A:$A,0),""))</f>
        <v/>
      </c>
    </row>
    <row r="5076" spans="31:32" x14ac:dyDescent="0.25">
      <c r="AE5076" s="39" t="str">
        <f>IF(D5076="","",IFERROR(VLOOKUP(D5076,Projects!$A$2:$A$20000,1,FALSE),""))</f>
        <v/>
      </c>
      <c r="AF5076" s="2" t="str">
        <f>IF(D5076="","",IFERROR(MATCH(D5076,Projects!$A:$A,0),""))</f>
        <v/>
      </c>
    </row>
    <row r="5077" spans="31:32" x14ac:dyDescent="0.25">
      <c r="AE5077" s="39" t="str">
        <f>IF(D5077="","",IFERROR(VLOOKUP(D5077,Projects!$A$2:$A$20000,1,FALSE),""))</f>
        <v/>
      </c>
      <c r="AF5077" s="2" t="str">
        <f>IF(D5077="","",IFERROR(MATCH(D5077,Projects!$A:$A,0),""))</f>
        <v/>
      </c>
    </row>
    <row r="5078" spans="31:32" x14ac:dyDescent="0.25">
      <c r="AE5078" s="39" t="str">
        <f>IF(D5078="","",IFERROR(VLOOKUP(D5078,Projects!$A$2:$A$20000,1,FALSE),""))</f>
        <v/>
      </c>
      <c r="AF5078" s="2" t="str">
        <f>IF(D5078="","",IFERROR(MATCH(D5078,Projects!$A:$A,0),""))</f>
        <v/>
      </c>
    </row>
    <row r="5079" spans="31:32" x14ac:dyDescent="0.25">
      <c r="AE5079" s="39" t="str">
        <f>IF(D5079="","",IFERROR(VLOOKUP(D5079,Projects!$A$2:$A$20000,1,FALSE),""))</f>
        <v/>
      </c>
      <c r="AF5079" s="2" t="str">
        <f>IF(D5079="","",IFERROR(MATCH(D5079,Projects!$A:$A,0),""))</f>
        <v/>
      </c>
    </row>
    <row r="5080" spans="31:32" x14ac:dyDescent="0.25">
      <c r="AE5080" s="39" t="str">
        <f>IF(D5080="","",IFERROR(VLOOKUP(D5080,Projects!$A$2:$A$20000,1,FALSE),""))</f>
        <v/>
      </c>
      <c r="AF5080" s="2" t="str">
        <f>IF(D5080="","",IFERROR(MATCH(D5080,Projects!$A:$A,0),""))</f>
        <v/>
      </c>
    </row>
    <row r="5081" spans="31:32" x14ac:dyDescent="0.25">
      <c r="AE5081" s="39" t="str">
        <f>IF(D5081="","",IFERROR(VLOOKUP(D5081,Projects!$A$2:$A$20000,1,FALSE),""))</f>
        <v/>
      </c>
      <c r="AF5081" s="2" t="str">
        <f>IF(D5081="","",IFERROR(MATCH(D5081,Projects!$A:$A,0),""))</f>
        <v/>
      </c>
    </row>
    <row r="5082" spans="31:32" x14ac:dyDescent="0.25">
      <c r="AE5082" s="39" t="str">
        <f>IF(D5082="","",IFERROR(VLOOKUP(D5082,Projects!$A$2:$A$20000,1,FALSE),""))</f>
        <v/>
      </c>
      <c r="AF5082" s="2" t="str">
        <f>IF(D5082="","",IFERROR(MATCH(D5082,Projects!$A:$A,0),""))</f>
        <v/>
      </c>
    </row>
    <row r="5083" spans="31:32" x14ac:dyDescent="0.25">
      <c r="AE5083" s="39" t="str">
        <f>IF(D5083="","",IFERROR(VLOOKUP(D5083,Projects!$A$2:$A$20000,1,FALSE),""))</f>
        <v/>
      </c>
      <c r="AF5083" s="2" t="str">
        <f>IF(D5083="","",IFERROR(MATCH(D5083,Projects!$A:$A,0),""))</f>
        <v/>
      </c>
    </row>
    <row r="5084" spans="31:32" x14ac:dyDescent="0.25">
      <c r="AE5084" s="39" t="str">
        <f>IF(D5084="","",IFERROR(VLOOKUP(D5084,Projects!$A$2:$A$20000,1,FALSE),""))</f>
        <v/>
      </c>
      <c r="AF5084" s="2" t="str">
        <f>IF(D5084="","",IFERROR(MATCH(D5084,Projects!$A:$A,0),""))</f>
        <v/>
      </c>
    </row>
    <row r="5085" spans="31:32" x14ac:dyDescent="0.25">
      <c r="AE5085" s="39" t="str">
        <f>IF(D5085="","",IFERROR(VLOOKUP(D5085,Projects!$A$2:$A$20000,1,FALSE),""))</f>
        <v/>
      </c>
      <c r="AF5085" s="2" t="str">
        <f>IF(D5085="","",IFERROR(MATCH(D5085,Projects!$A:$A,0),""))</f>
        <v/>
      </c>
    </row>
    <row r="5086" spans="31:32" x14ac:dyDescent="0.25">
      <c r="AE5086" s="39" t="str">
        <f>IF(D5086="","",IFERROR(VLOOKUP(D5086,Projects!$A$2:$A$20000,1,FALSE),""))</f>
        <v/>
      </c>
      <c r="AF5086" s="2" t="str">
        <f>IF(D5086="","",IFERROR(MATCH(D5086,Projects!$A:$A,0),""))</f>
        <v/>
      </c>
    </row>
    <row r="5087" spans="31:32" x14ac:dyDescent="0.25">
      <c r="AE5087" s="39" t="str">
        <f>IF(D5087="","",IFERROR(VLOOKUP(D5087,Projects!$A$2:$A$20000,1,FALSE),""))</f>
        <v/>
      </c>
      <c r="AF5087" s="2" t="str">
        <f>IF(D5087="","",IFERROR(MATCH(D5087,Projects!$A:$A,0),""))</f>
        <v/>
      </c>
    </row>
    <row r="5088" spans="31:32" x14ac:dyDescent="0.25">
      <c r="AE5088" s="39" t="str">
        <f>IF(D5088="","",IFERROR(VLOOKUP(D5088,Projects!$A$2:$A$20000,1,FALSE),""))</f>
        <v/>
      </c>
      <c r="AF5088" s="2" t="str">
        <f>IF(D5088="","",IFERROR(MATCH(D5088,Projects!$A:$A,0),""))</f>
        <v/>
      </c>
    </row>
    <row r="5089" spans="31:32" x14ac:dyDescent="0.25">
      <c r="AE5089" s="39" t="str">
        <f>IF(D5089="","",IFERROR(VLOOKUP(D5089,Projects!$A$2:$A$20000,1,FALSE),""))</f>
        <v/>
      </c>
      <c r="AF5089" s="2" t="str">
        <f>IF(D5089="","",IFERROR(MATCH(D5089,Projects!$A:$A,0),""))</f>
        <v/>
      </c>
    </row>
    <row r="5090" spans="31:32" x14ac:dyDescent="0.25">
      <c r="AE5090" s="39" t="str">
        <f>IF(D5090="","",IFERROR(VLOOKUP(D5090,Projects!$A$2:$A$20000,1,FALSE),""))</f>
        <v/>
      </c>
      <c r="AF5090" s="2" t="str">
        <f>IF(D5090="","",IFERROR(MATCH(D5090,Projects!$A:$A,0),""))</f>
        <v/>
      </c>
    </row>
    <row r="5091" spans="31:32" x14ac:dyDescent="0.25">
      <c r="AE5091" s="39" t="str">
        <f>IF(D5091="","",IFERROR(VLOOKUP(D5091,Projects!$A$2:$A$20000,1,FALSE),""))</f>
        <v/>
      </c>
      <c r="AF5091" s="2" t="str">
        <f>IF(D5091="","",IFERROR(MATCH(D5091,Projects!$A:$A,0),""))</f>
        <v/>
      </c>
    </row>
    <row r="5092" spans="31:32" x14ac:dyDescent="0.25">
      <c r="AE5092" s="39" t="str">
        <f>IF(D5092="","",IFERROR(VLOOKUP(D5092,Projects!$A$2:$A$20000,1,FALSE),""))</f>
        <v/>
      </c>
      <c r="AF5092" s="2" t="str">
        <f>IF(D5092="","",IFERROR(MATCH(D5092,Projects!$A:$A,0),""))</f>
        <v/>
      </c>
    </row>
    <row r="5093" spans="31:32" x14ac:dyDescent="0.25">
      <c r="AE5093" s="39" t="str">
        <f>IF(D5093="","",IFERROR(VLOOKUP(D5093,Projects!$A$2:$A$20000,1,FALSE),""))</f>
        <v/>
      </c>
      <c r="AF5093" s="2" t="str">
        <f>IF(D5093="","",IFERROR(MATCH(D5093,Projects!$A:$A,0),""))</f>
        <v/>
      </c>
    </row>
    <row r="5094" spans="31:32" x14ac:dyDescent="0.25">
      <c r="AE5094" s="39" t="str">
        <f>IF(D5094="","",IFERROR(VLOOKUP(D5094,Projects!$A$2:$A$20000,1,FALSE),""))</f>
        <v/>
      </c>
      <c r="AF5094" s="2" t="str">
        <f>IF(D5094="","",IFERROR(MATCH(D5094,Projects!$A:$A,0),""))</f>
        <v/>
      </c>
    </row>
    <row r="5095" spans="31:32" x14ac:dyDescent="0.25">
      <c r="AE5095" s="39" t="str">
        <f>IF(D5095="","",IFERROR(VLOOKUP(D5095,Projects!$A$2:$A$20000,1,FALSE),""))</f>
        <v/>
      </c>
      <c r="AF5095" s="2" t="str">
        <f>IF(D5095="","",IFERROR(MATCH(D5095,Projects!$A:$A,0),""))</f>
        <v/>
      </c>
    </row>
    <row r="5096" spans="31:32" x14ac:dyDescent="0.25">
      <c r="AE5096" s="39" t="str">
        <f>IF(D5096="","",IFERROR(VLOOKUP(D5096,Projects!$A$2:$A$20000,1,FALSE),""))</f>
        <v/>
      </c>
      <c r="AF5096" s="2" t="str">
        <f>IF(D5096="","",IFERROR(MATCH(D5096,Projects!$A:$A,0),""))</f>
        <v/>
      </c>
    </row>
    <row r="5097" spans="31:32" x14ac:dyDescent="0.25">
      <c r="AE5097" s="39" t="str">
        <f>IF(D5097="","",IFERROR(VLOOKUP(D5097,Projects!$A$2:$A$20000,1,FALSE),""))</f>
        <v/>
      </c>
      <c r="AF5097" s="2" t="str">
        <f>IF(D5097="","",IFERROR(MATCH(D5097,Projects!$A:$A,0),""))</f>
        <v/>
      </c>
    </row>
    <row r="5098" spans="31:32" x14ac:dyDescent="0.25">
      <c r="AE5098" s="39" t="str">
        <f>IF(D5098="","",IFERROR(VLOOKUP(D5098,Projects!$A$2:$A$20000,1,FALSE),""))</f>
        <v/>
      </c>
      <c r="AF5098" s="2" t="str">
        <f>IF(D5098="","",IFERROR(MATCH(D5098,Projects!$A:$A,0),""))</f>
        <v/>
      </c>
    </row>
    <row r="5099" spans="31:32" x14ac:dyDescent="0.25">
      <c r="AE5099" s="39" t="str">
        <f>IF(D5099="","",IFERROR(VLOOKUP(D5099,Projects!$A$2:$A$20000,1,FALSE),""))</f>
        <v/>
      </c>
      <c r="AF5099" s="2" t="str">
        <f>IF(D5099="","",IFERROR(MATCH(D5099,Projects!$A:$A,0),""))</f>
        <v/>
      </c>
    </row>
    <row r="5100" spans="31:32" x14ac:dyDescent="0.25">
      <c r="AE5100" s="39" t="str">
        <f>IF(D5100="","",IFERROR(VLOOKUP(D5100,Projects!$A$2:$A$20000,1,FALSE),""))</f>
        <v/>
      </c>
      <c r="AF5100" s="2" t="str">
        <f>IF(D5100="","",IFERROR(MATCH(D5100,Projects!$A:$A,0),""))</f>
        <v/>
      </c>
    </row>
    <row r="5101" spans="31:32" x14ac:dyDescent="0.25">
      <c r="AE5101" s="39" t="str">
        <f>IF(D5101="","",IFERROR(VLOOKUP(D5101,Projects!$A$2:$A$20000,1,FALSE),""))</f>
        <v/>
      </c>
      <c r="AF5101" s="2" t="str">
        <f>IF(D5101="","",IFERROR(MATCH(D5101,Projects!$A:$A,0),""))</f>
        <v/>
      </c>
    </row>
    <row r="5102" spans="31:32" x14ac:dyDescent="0.25">
      <c r="AE5102" s="39" t="str">
        <f>IF(D5102="","",IFERROR(VLOOKUP(D5102,Projects!$A$2:$A$20000,1,FALSE),""))</f>
        <v/>
      </c>
      <c r="AF5102" s="2" t="str">
        <f>IF(D5102="","",IFERROR(MATCH(D5102,Projects!$A:$A,0),""))</f>
        <v/>
      </c>
    </row>
    <row r="5103" spans="31:32" x14ac:dyDescent="0.25">
      <c r="AE5103" s="39" t="str">
        <f>IF(D5103="","",IFERROR(VLOOKUP(D5103,Projects!$A$2:$A$20000,1,FALSE),""))</f>
        <v/>
      </c>
      <c r="AF5103" s="2" t="str">
        <f>IF(D5103="","",IFERROR(MATCH(D5103,Projects!$A:$A,0),""))</f>
        <v/>
      </c>
    </row>
    <row r="5104" spans="31:32" x14ac:dyDescent="0.25">
      <c r="AE5104" s="39" t="str">
        <f>IF(D5104="","",IFERROR(VLOOKUP(D5104,Projects!$A$2:$A$20000,1,FALSE),""))</f>
        <v/>
      </c>
      <c r="AF5104" s="2" t="str">
        <f>IF(D5104="","",IFERROR(MATCH(D5104,Projects!$A:$A,0),""))</f>
        <v/>
      </c>
    </row>
    <row r="5105" spans="31:32" x14ac:dyDescent="0.25">
      <c r="AE5105" s="39" t="str">
        <f>IF(D5105="","",IFERROR(VLOOKUP(D5105,Projects!$A$2:$A$20000,1,FALSE),""))</f>
        <v/>
      </c>
      <c r="AF5105" s="2" t="str">
        <f>IF(D5105="","",IFERROR(MATCH(D5105,Projects!$A:$A,0),""))</f>
        <v/>
      </c>
    </row>
    <row r="5106" spans="31:32" x14ac:dyDescent="0.25">
      <c r="AE5106" s="39" t="str">
        <f>IF(D5106="","",IFERROR(VLOOKUP(D5106,Projects!$A$2:$A$20000,1,FALSE),""))</f>
        <v/>
      </c>
      <c r="AF5106" s="2" t="str">
        <f>IF(D5106="","",IFERROR(MATCH(D5106,Projects!$A:$A,0),""))</f>
        <v/>
      </c>
    </row>
    <row r="5107" spans="31:32" x14ac:dyDescent="0.25">
      <c r="AE5107" s="39" t="str">
        <f>IF(D5107="","",IFERROR(VLOOKUP(D5107,Projects!$A$2:$A$20000,1,FALSE),""))</f>
        <v/>
      </c>
      <c r="AF5107" s="2" t="str">
        <f>IF(D5107="","",IFERROR(MATCH(D5107,Projects!$A:$A,0),""))</f>
        <v/>
      </c>
    </row>
    <row r="5108" spans="31:32" x14ac:dyDescent="0.25">
      <c r="AE5108" s="39" t="str">
        <f>IF(D5108="","",IFERROR(VLOOKUP(D5108,Projects!$A$2:$A$20000,1,FALSE),""))</f>
        <v/>
      </c>
      <c r="AF5108" s="2" t="str">
        <f>IF(D5108="","",IFERROR(MATCH(D5108,Projects!$A:$A,0),""))</f>
        <v/>
      </c>
    </row>
    <row r="5109" spans="31:32" x14ac:dyDescent="0.25">
      <c r="AE5109" s="39" t="str">
        <f>IF(D5109="","",IFERROR(VLOOKUP(D5109,Projects!$A$2:$A$20000,1,FALSE),""))</f>
        <v/>
      </c>
      <c r="AF5109" s="2" t="str">
        <f>IF(D5109="","",IFERROR(MATCH(D5109,Projects!$A:$A,0),""))</f>
        <v/>
      </c>
    </row>
    <row r="5110" spans="31:32" x14ac:dyDescent="0.25">
      <c r="AE5110" s="39" t="str">
        <f>IF(D5110="","",IFERROR(VLOOKUP(D5110,Projects!$A$2:$A$20000,1,FALSE),""))</f>
        <v/>
      </c>
      <c r="AF5110" s="2" t="str">
        <f>IF(D5110="","",IFERROR(MATCH(D5110,Projects!$A:$A,0),""))</f>
        <v/>
      </c>
    </row>
    <row r="5111" spans="31:32" x14ac:dyDescent="0.25">
      <c r="AE5111" s="39" t="str">
        <f>IF(D5111="","",IFERROR(VLOOKUP(D5111,Projects!$A$2:$A$20000,1,FALSE),""))</f>
        <v/>
      </c>
      <c r="AF5111" s="2" t="str">
        <f>IF(D5111="","",IFERROR(MATCH(D5111,Projects!$A:$A,0),""))</f>
        <v/>
      </c>
    </row>
    <row r="5112" spans="31:32" x14ac:dyDescent="0.25">
      <c r="AE5112" s="39" t="str">
        <f>IF(D5112="","",IFERROR(VLOOKUP(D5112,Projects!$A$2:$A$20000,1,FALSE),""))</f>
        <v/>
      </c>
      <c r="AF5112" s="2" t="str">
        <f>IF(D5112="","",IFERROR(MATCH(D5112,Projects!$A:$A,0),""))</f>
        <v/>
      </c>
    </row>
    <row r="5113" spans="31:32" x14ac:dyDescent="0.25">
      <c r="AE5113" s="39" t="str">
        <f>IF(D5113="","",IFERROR(VLOOKUP(D5113,Projects!$A$2:$A$20000,1,FALSE),""))</f>
        <v/>
      </c>
      <c r="AF5113" s="2" t="str">
        <f>IF(D5113="","",IFERROR(MATCH(D5113,Projects!$A:$A,0),""))</f>
        <v/>
      </c>
    </row>
    <row r="5114" spans="31:32" x14ac:dyDescent="0.25">
      <c r="AE5114" s="39" t="str">
        <f>IF(D5114="","",IFERROR(VLOOKUP(D5114,Projects!$A$2:$A$20000,1,FALSE),""))</f>
        <v/>
      </c>
      <c r="AF5114" s="2" t="str">
        <f>IF(D5114="","",IFERROR(MATCH(D5114,Projects!$A:$A,0),""))</f>
        <v/>
      </c>
    </row>
    <row r="5115" spans="31:32" x14ac:dyDescent="0.25">
      <c r="AE5115" s="39" t="str">
        <f>IF(D5115="","",IFERROR(VLOOKUP(D5115,Projects!$A$2:$A$20000,1,FALSE),""))</f>
        <v/>
      </c>
      <c r="AF5115" s="2" t="str">
        <f>IF(D5115="","",IFERROR(MATCH(D5115,Projects!$A:$A,0),""))</f>
        <v/>
      </c>
    </row>
    <row r="5116" spans="31:32" x14ac:dyDescent="0.25">
      <c r="AE5116" s="39" t="str">
        <f>IF(D5116="","",IFERROR(VLOOKUP(D5116,Projects!$A$2:$A$20000,1,FALSE),""))</f>
        <v/>
      </c>
      <c r="AF5116" s="2" t="str">
        <f>IF(D5116="","",IFERROR(MATCH(D5116,Projects!$A:$A,0),""))</f>
        <v/>
      </c>
    </row>
    <row r="5117" spans="31:32" x14ac:dyDescent="0.25">
      <c r="AE5117" s="39" t="str">
        <f>IF(D5117="","",IFERROR(VLOOKUP(D5117,Projects!$A$2:$A$20000,1,FALSE),""))</f>
        <v/>
      </c>
      <c r="AF5117" s="2" t="str">
        <f>IF(D5117="","",IFERROR(MATCH(D5117,Projects!$A:$A,0),""))</f>
        <v/>
      </c>
    </row>
    <row r="5118" spans="31:32" x14ac:dyDescent="0.25">
      <c r="AE5118" s="39" t="str">
        <f>IF(D5118="","",IFERROR(VLOOKUP(D5118,Projects!$A$2:$A$20000,1,FALSE),""))</f>
        <v/>
      </c>
      <c r="AF5118" s="2" t="str">
        <f>IF(D5118="","",IFERROR(MATCH(D5118,Projects!$A:$A,0),""))</f>
        <v/>
      </c>
    </row>
    <row r="5119" spans="31:32" x14ac:dyDescent="0.25">
      <c r="AE5119" s="39" t="str">
        <f>IF(D5119="","",IFERROR(VLOOKUP(D5119,Projects!$A$2:$A$20000,1,FALSE),""))</f>
        <v/>
      </c>
      <c r="AF5119" s="2" t="str">
        <f>IF(D5119="","",IFERROR(MATCH(D5119,Projects!$A:$A,0),""))</f>
        <v/>
      </c>
    </row>
    <row r="5120" spans="31:32" x14ac:dyDescent="0.25">
      <c r="AE5120" s="39" t="str">
        <f>IF(D5120="","",IFERROR(VLOOKUP(D5120,Projects!$A$2:$A$20000,1,FALSE),""))</f>
        <v/>
      </c>
      <c r="AF5120" s="2" t="str">
        <f>IF(D5120="","",IFERROR(MATCH(D5120,Projects!$A:$A,0),""))</f>
        <v/>
      </c>
    </row>
    <row r="5121" spans="31:32" x14ac:dyDescent="0.25">
      <c r="AE5121" s="39" t="str">
        <f>IF(D5121="","",IFERROR(VLOOKUP(D5121,Projects!$A$2:$A$20000,1,FALSE),""))</f>
        <v/>
      </c>
      <c r="AF5121" s="2" t="str">
        <f>IF(D5121="","",IFERROR(MATCH(D5121,Projects!$A:$A,0),""))</f>
        <v/>
      </c>
    </row>
    <row r="5122" spans="31:32" x14ac:dyDescent="0.25">
      <c r="AE5122" s="39" t="str">
        <f>IF(D5122="","",IFERROR(VLOOKUP(D5122,Projects!$A$2:$A$20000,1,FALSE),""))</f>
        <v/>
      </c>
      <c r="AF5122" s="2" t="str">
        <f>IF(D5122="","",IFERROR(MATCH(D5122,Projects!$A:$A,0),""))</f>
        <v/>
      </c>
    </row>
    <row r="5123" spans="31:32" x14ac:dyDescent="0.25">
      <c r="AE5123" s="39" t="str">
        <f>IF(D5123="","",IFERROR(VLOOKUP(D5123,Projects!$A$2:$A$20000,1,FALSE),""))</f>
        <v/>
      </c>
      <c r="AF5123" s="2" t="str">
        <f>IF(D5123="","",IFERROR(MATCH(D5123,Projects!$A:$A,0),""))</f>
        <v/>
      </c>
    </row>
    <row r="5124" spans="31:32" x14ac:dyDescent="0.25">
      <c r="AE5124" s="39" t="str">
        <f>IF(D5124="","",IFERROR(VLOOKUP(D5124,Projects!$A$2:$A$20000,1,FALSE),""))</f>
        <v/>
      </c>
      <c r="AF5124" s="2" t="str">
        <f>IF(D5124="","",IFERROR(MATCH(D5124,Projects!$A:$A,0),""))</f>
        <v/>
      </c>
    </row>
    <row r="5125" spans="31:32" x14ac:dyDescent="0.25">
      <c r="AE5125" s="39" t="str">
        <f>IF(D5125="","",IFERROR(VLOOKUP(D5125,Projects!$A$2:$A$20000,1,FALSE),""))</f>
        <v/>
      </c>
      <c r="AF5125" s="2" t="str">
        <f>IF(D5125="","",IFERROR(MATCH(D5125,Projects!$A:$A,0),""))</f>
        <v/>
      </c>
    </row>
    <row r="5126" spans="31:32" x14ac:dyDescent="0.25">
      <c r="AE5126" s="39" t="str">
        <f>IF(D5126="","",IFERROR(VLOOKUP(D5126,Projects!$A$2:$A$20000,1,FALSE),""))</f>
        <v/>
      </c>
      <c r="AF5126" s="2" t="str">
        <f>IF(D5126="","",IFERROR(MATCH(D5126,Projects!$A:$A,0),""))</f>
        <v/>
      </c>
    </row>
    <row r="5127" spans="31:32" x14ac:dyDescent="0.25">
      <c r="AE5127" s="39" t="str">
        <f>IF(D5127="","",IFERROR(VLOOKUP(D5127,Projects!$A$2:$A$20000,1,FALSE),""))</f>
        <v/>
      </c>
      <c r="AF5127" s="2" t="str">
        <f>IF(D5127="","",IFERROR(MATCH(D5127,Projects!$A:$A,0),""))</f>
        <v/>
      </c>
    </row>
    <row r="5128" spans="31:32" x14ac:dyDescent="0.25">
      <c r="AE5128" s="39" t="str">
        <f>IF(D5128="","",IFERROR(VLOOKUP(D5128,Projects!$A$2:$A$20000,1,FALSE),""))</f>
        <v/>
      </c>
      <c r="AF5128" s="2" t="str">
        <f>IF(D5128="","",IFERROR(MATCH(D5128,Projects!$A:$A,0),""))</f>
        <v/>
      </c>
    </row>
    <row r="5129" spans="31:32" x14ac:dyDescent="0.25">
      <c r="AE5129" s="39" t="str">
        <f>IF(D5129="","",IFERROR(VLOOKUP(D5129,Projects!$A$2:$A$20000,1,FALSE),""))</f>
        <v/>
      </c>
      <c r="AF5129" s="2" t="str">
        <f>IF(D5129="","",IFERROR(MATCH(D5129,Projects!$A:$A,0),""))</f>
        <v/>
      </c>
    </row>
    <row r="5130" spans="31:32" x14ac:dyDescent="0.25">
      <c r="AE5130" s="39" t="str">
        <f>IF(D5130="","",IFERROR(VLOOKUP(D5130,Projects!$A$2:$A$20000,1,FALSE),""))</f>
        <v/>
      </c>
      <c r="AF5130" s="2" t="str">
        <f>IF(D5130="","",IFERROR(MATCH(D5130,Projects!$A:$A,0),""))</f>
        <v/>
      </c>
    </row>
    <row r="5131" spans="31:32" x14ac:dyDescent="0.25">
      <c r="AE5131" s="39" t="str">
        <f>IF(D5131="","",IFERROR(VLOOKUP(D5131,Projects!$A$2:$A$20000,1,FALSE),""))</f>
        <v/>
      </c>
      <c r="AF5131" s="2" t="str">
        <f>IF(D5131="","",IFERROR(MATCH(D5131,Projects!$A:$A,0),""))</f>
        <v/>
      </c>
    </row>
    <row r="5132" spans="31:32" x14ac:dyDescent="0.25">
      <c r="AE5132" s="39" t="str">
        <f>IF(D5132="","",IFERROR(VLOOKUP(D5132,Projects!$A$2:$A$20000,1,FALSE),""))</f>
        <v/>
      </c>
      <c r="AF5132" s="2" t="str">
        <f>IF(D5132="","",IFERROR(MATCH(D5132,Projects!$A:$A,0),""))</f>
        <v/>
      </c>
    </row>
    <row r="5133" spans="31:32" x14ac:dyDescent="0.25">
      <c r="AE5133" s="39" t="str">
        <f>IF(D5133="","",IFERROR(VLOOKUP(D5133,Projects!$A$2:$A$20000,1,FALSE),""))</f>
        <v/>
      </c>
      <c r="AF5133" s="2" t="str">
        <f>IF(D5133="","",IFERROR(MATCH(D5133,Projects!$A:$A,0),""))</f>
        <v/>
      </c>
    </row>
    <row r="5134" spans="31:32" x14ac:dyDescent="0.25">
      <c r="AE5134" s="39" t="str">
        <f>IF(D5134="","",IFERROR(VLOOKUP(D5134,Projects!$A$2:$A$20000,1,FALSE),""))</f>
        <v/>
      </c>
      <c r="AF5134" s="2" t="str">
        <f>IF(D5134="","",IFERROR(MATCH(D5134,Projects!$A:$A,0),""))</f>
        <v/>
      </c>
    </row>
    <row r="5135" spans="31:32" x14ac:dyDescent="0.25">
      <c r="AE5135" s="39" t="str">
        <f>IF(D5135="","",IFERROR(VLOOKUP(D5135,Projects!$A$2:$A$20000,1,FALSE),""))</f>
        <v/>
      </c>
      <c r="AF5135" s="2" t="str">
        <f>IF(D5135="","",IFERROR(MATCH(D5135,Projects!$A:$A,0),""))</f>
        <v/>
      </c>
    </row>
    <row r="5136" spans="31:32" x14ac:dyDescent="0.25">
      <c r="AE5136" s="39" t="str">
        <f>IF(D5136="","",IFERROR(VLOOKUP(D5136,Projects!$A$2:$A$20000,1,FALSE),""))</f>
        <v/>
      </c>
      <c r="AF5136" s="2" t="str">
        <f>IF(D5136="","",IFERROR(MATCH(D5136,Projects!$A:$A,0),""))</f>
        <v/>
      </c>
    </row>
    <row r="5137" spans="31:32" x14ac:dyDescent="0.25">
      <c r="AE5137" s="39" t="str">
        <f>IF(D5137="","",IFERROR(VLOOKUP(D5137,Projects!$A$2:$A$20000,1,FALSE),""))</f>
        <v/>
      </c>
      <c r="AF5137" s="2" t="str">
        <f>IF(D5137="","",IFERROR(MATCH(D5137,Projects!$A:$A,0),""))</f>
        <v/>
      </c>
    </row>
    <row r="5138" spans="31:32" x14ac:dyDescent="0.25">
      <c r="AE5138" s="39" t="str">
        <f>IF(D5138="","",IFERROR(VLOOKUP(D5138,Projects!$A$2:$A$20000,1,FALSE),""))</f>
        <v/>
      </c>
      <c r="AF5138" s="2" t="str">
        <f>IF(D5138="","",IFERROR(MATCH(D5138,Projects!$A:$A,0),""))</f>
        <v/>
      </c>
    </row>
    <row r="5139" spans="31:32" x14ac:dyDescent="0.25">
      <c r="AE5139" s="39" t="str">
        <f>IF(D5139="","",IFERROR(VLOOKUP(D5139,Projects!$A$2:$A$20000,1,FALSE),""))</f>
        <v/>
      </c>
      <c r="AF5139" s="2" t="str">
        <f>IF(D5139="","",IFERROR(MATCH(D5139,Projects!$A:$A,0),""))</f>
        <v/>
      </c>
    </row>
    <row r="5140" spans="31:32" x14ac:dyDescent="0.25">
      <c r="AE5140" s="39" t="str">
        <f>IF(D5140="","",IFERROR(VLOOKUP(D5140,Projects!$A$2:$A$20000,1,FALSE),""))</f>
        <v/>
      </c>
      <c r="AF5140" s="2" t="str">
        <f>IF(D5140="","",IFERROR(MATCH(D5140,Projects!$A:$A,0),""))</f>
        <v/>
      </c>
    </row>
    <row r="5141" spans="31:32" x14ac:dyDescent="0.25">
      <c r="AE5141" s="39" t="str">
        <f>IF(D5141="","",IFERROR(VLOOKUP(D5141,Projects!$A$2:$A$20000,1,FALSE),""))</f>
        <v/>
      </c>
      <c r="AF5141" s="2" t="str">
        <f>IF(D5141="","",IFERROR(MATCH(D5141,Projects!$A:$A,0),""))</f>
        <v/>
      </c>
    </row>
    <row r="5142" spans="31:32" x14ac:dyDescent="0.25">
      <c r="AE5142" s="39" t="str">
        <f>IF(D5142="","",IFERROR(VLOOKUP(D5142,Projects!$A$2:$A$20000,1,FALSE),""))</f>
        <v/>
      </c>
      <c r="AF5142" s="2" t="str">
        <f>IF(D5142="","",IFERROR(MATCH(D5142,Projects!$A:$A,0),""))</f>
        <v/>
      </c>
    </row>
    <row r="5143" spans="31:32" x14ac:dyDescent="0.25">
      <c r="AE5143" s="39" t="str">
        <f>IF(D5143="","",IFERROR(VLOOKUP(D5143,Projects!$A$2:$A$20000,1,FALSE),""))</f>
        <v/>
      </c>
      <c r="AF5143" s="2" t="str">
        <f>IF(D5143="","",IFERROR(MATCH(D5143,Projects!$A:$A,0),""))</f>
        <v/>
      </c>
    </row>
    <row r="5144" spans="31:32" x14ac:dyDescent="0.25">
      <c r="AE5144" s="39" t="str">
        <f>IF(D5144="","",IFERROR(VLOOKUP(D5144,Projects!$A$2:$A$20000,1,FALSE),""))</f>
        <v/>
      </c>
      <c r="AF5144" s="2" t="str">
        <f>IF(D5144="","",IFERROR(MATCH(D5144,Projects!$A:$A,0),""))</f>
        <v/>
      </c>
    </row>
    <row r="5145" spans="31:32" x14ac:dyDescent="0.25">
      <c r="AE5145" s="39" t="str">
        <f>IF(D5145="","",IFERROR(VLOOKUP(D5145,Projects!$A$2:$A$20000,1,FALSE),""))</f>
        <v/>
      </c>
      <c r="AF5145" s="2" t="str">
        <f>IF(D5145="","",IFERROR(MATCH(D5145,Projects!$A:$A,0),""))</f>
        <v/>
      </c>
    </row>
    <row r="5146" spans="31:32" x14ac:dyDescent="0.25">
      <c r="AE5146" s="39" t="str">
        <f>IF(D5146="","",IFERROR(VLOOKUP(D5146,Projects!$A$2:$A$20000,1,FALSE),""))</f>
        <v/>
      </c>
      <c r="AF5146" s="2" t="str">
        <f>IF(D5146="","",IFERROR(MATCH(D5146,Projects!$A:$A,0),""))</f>
        <v/>
      </c>
    </row>
    <row r="5147" spans="31:32" x14ac:dyDescent="0.25">
      <c r="AE5147" s="39" t="str">
        <f>IF(D5147="","",IFERROR(VLOOKUP(D5147,Projects!$A$2:$A$20000,1,FALSE),""))</f>
        <v/>
      </c>
      <c r="AF5147" s="2" t="str">
        <f>IF(D5147="","",IFERROR(MATCH(D5147,Projects!$A:$A,0),""))</f>
        <v/>
      </c>
    </row>
    <row r="5148" spans="31:32" x14ac:dyDescent="0.25">
      <c r="AE5148" s="39" t="str">
        <f>IF(D5148="","",IFERROR(VLOOKUP(D5148,Projects!$A$2:$A$20000,1,FALSE),""))</f>
        <v/>
      </c>
      <c r="AF5148" s="2" t="str">
        <f>IF(D5148="","",IFERROR(MATCH(D5148,Projects!$A:$A,0),""))</f>
        <v/>
      </c>
    </row>
    <row r="5149" spans="31:32" x14ac:dyDescent="0.25">
      <c r="AE5149" s="39" t="str">
        <f>IF(D5149="","",IFERROR(VLOOKUP(D5149,Projects!$A$2:$A$20000,1,FALSE),""))</f>
        <v/>
      </c>
      <c r="AF5149" s="2" t="str">
        <f>IF(D5149="","",IFERROR(MATCH(D5149,Projects!$A:$A,0),""))</f>
        <v/>
      </c>
    </row>
    <row r="5150" spans="31:32" x14ac:dyDescent="0.25">
      <c r="AE5150" s="39" t="str">
        <f>IF(D5150="","",IFERROR(VLOOKUP(D5150,Projects!$A$2:$A$20000,1,FALSE),""))</f>
        <v/>
      </c>
      <c r="AF5150" s="2" t="str">
        <f>IF(D5150="","",IFERROR(MATCH(D5150,Projects!$A:$A,0),""))</f>
        <v/>
      </c>
    </row>
    <row r="5151" spans="31:32" x14ac:dyDescent="0.25">
      <c r="AE5151" s="39" t="str">
        <f>IF(D5151="","",IFERROR(VLOOKUP(D5151,Projects!$A$2:$A$20000,1,FALSE),""))</f>
        <v/>
      </c>
      <c r="AF5151" s="2" t="str">
        <f>IF(D5151="","",IFERROR(MATCH(D5151,Projects!$A:$A,0),""))</f>
        <v/>
      </c>
    </row>
    <row r="5152" spans="31:32" x14ac:dyDescent="0.25">
      <c r="AE5152" s="39" t="str">
        <f>IF(D5152="","",IFERROR(VLOOKUP(D5152,Projects!$A$2:$A$20000,1,FALSE),""))</f>
        <v/>
      </c>
      <c r="AF5152" s="2" t="str">
        <f>IF(D5152="","",IFERROR(MATCH(D5152,Projects!$A:$A,0),""))</f>
        <v/>
      </c>
    </row>
    <row r="5153" spans="31:32" x14ac:dyDescent="0.25">
      <c r="AE5153" s="39" t="str">
        <f>IF(D5153="","",IFERROR(VLOOKUP(D5153,Projects!$A$2:$A$20000,1,FALSE),""))</f>
        <v/>
      </c>
      <c r="AF5153" s="2" t="str">
        <f>IF(D5153="","",IFERROR(MATCH(D5153,Projects!$A:$A,0),""))</f>
        <v/>
      </c>
    </row>
    <row r="5154" spans="31:32" x14ac:dyDescent="0.25">
      <c r="AE5154" s="39" t="str">
        <f>IF(D5154="","",IFERROR(VLOOKUP(D5154,Projects!$A$2:$A$20000,1,FALSE),""))</f>
        <v/>
      </c>
      <c r="AF5154" s="2" t="str">
        <f>IF(D5154="","",IFERROR(MATCH(D5154,Projects!$A:$A,0),""))</f>
        <v/>
      </c>
    </row>
    <row r="5155" spans="31:32" x14ac:dyDescent="0.25">
      <c r="AE5155" s="39" t="str">
        <f>IF(D5155="","",IFERROR(VLOOKUP(D5155,Projects!$A$2:$A$20000,1,FALSE),""))</f>
        <v/>
      </c>
      <c r="AF5155" s="2" t="str">
        <f>IF(D5155="","",IFERROR(MATCH(D5155,Projects!$A:$A,0),""))</f>
        <v/>
      </c>
    </row>
    <row r="5156" spans="31:32" x14ac:dyDescent="0.25">
      <c r="AE5156" s="39" t="str">
        <f>IF(D5156="","",IFERROR(VLOOKUP(D5156,Projects!$A$2:$A$20000,1,FALSE),""))</f>
        <v/>
      </c>
      <c r="AF5156" s="2" t="str">
        <f>IF(D5156="","",IFERROR(MATCH(D5156,Projects!$A:$A,0),""))</f>
        <v/>
      </c>
    </row>
    <row r="5157" spans="31:32" x14ac:dyDescent="0.25">
      <c r="AE5157" s="39" t="str">
        <f>IF(D5157="","",IFERROR(VLOOKUP(D5157,Projects!$A$2:$A$20000,1,FALSE),""))</f>
        <v/>
      </c>
      <c r="AF5157" s="2" t="str">
        <f>IF(D5157="","",IFERROR(MATCH(D5157,Projects!$A:$A,0),""))</f>
        <v/>
      </c>
    </row>
    <row r="5158" spans="31:32" x14ac:dyDescent="0.25">
      <c r="AE5158" s="39" t="str">
        <f>IF(D5158="","",IFERROR(VLOOKUP(D5158,Projects!$A$2:$A$20000,1,FALSE),""))</f>
        <v/>
      </c>
      <c r="AF5158" s="2" t="str">
        <f>IF(D5158="","",IFERROR(MATCH(D5158,Projects!$A:$A,0),""))</f>
        <v/>
      </c>
    </row>
    <row r="5159" spans="31:32" x14ac:dyDescent="0.25">
      <c r="AE5159" s="39" t="str">
        <f>IF(D5159="","",IFERROR(VLOOKUP(D5159,Projects!$A$2:$A$20000,1,FALSE),""))</f>
        <v/>
      </c>
      <c r="AF5159" s="2" t="str">
        <f>IF(D5159="","",IFERROR(MATCH(D5159,Projects!$A:$A,0),""))</f>
        <v/>
      </c>
    </row>
    <row r="5160" spans="31:32" x14ac:dyDescent="0.25">
      <c r="AE5160" s="39" t="str">
        <f>IF(D5160="","",IFERROR(VLOOKUP(D5160,Projects!$A$2:$A$20000,1,FALSE),""))</f>
        <v/>
      </c>
      <c r="AF5160" s="2" t="str">
        <f>IF(D5160="","",IFERROR(MATCH(D5160,Projects!$A:$A,0),""))</f>
        <v/>
      </c>
    </row>
    <row r="5161" spans="31:32" x14ac:dyDescent="0.25">
      <c r="AE5161" s="39" t="str">
        <f>IF(D5161="","",IFERROR(VLOOKUP(D5161,Projects!$A$2:$A$20000,1,FALSE),""))</f>
        <v/>
      </c>
      <c r="AF5161" s="2" t="str">
        <f>IF(D5161="","",IFERROR(MATCH(D5161,Projects!$A:$A,0),""))</f>
        <v/>
      </c>
    </row>
    <row r="5162" spans="31:32" x14ac:dyDescent="0.25">
      <c r="AE5162" s="39" t="str">
        <f>IF(D5162="","",IFERROR(VLOOKUP(D5162,Projects!$A$2:$A$20000,1,FALSE),""))</f>
        <v/>
      </c>
      <c r="AF5162" s="2" t="str">
        <f>IF(D5162="","",IFERROR(MATCH(D5162,Projects!$A:$A,0),""))</f>
        <v/>
      </c>
    </row>
    <row r="5163" spans="31:32" x14ac:dyDescent="0.25">
      <c r="AE5163" s="39" t="str">
        <f>IF(D5163="","",IFERROR(VLOOKUP(D5163,Projects!$A$2:$A$20000,1,FALSE),""))</f>
        <v/>
      </c>
      <c r="AF5163" s="2" t="str">
        <f>IF(D5163="","",IFERROR(MATCH(D5163,Projects!$A:$A,0),""))</f>
        <v/>
      </c>
    </row>
    <row r="5164" spans="31:32" x14ac:dyDescent="0.25">
      <c r="AE5164" s="39" t="str">
        <f>IF(D5164="","",IFERROR(VLOOKUP(D5164,Projects!$A$2:$A$20000,1,FALSE),""))</f>
        <v/>
      </c>
      <c r="AF5164" s="2" t="str">
        <f>IF(D5164="","",IFERROR(MATCH(D5164,Projects!$A:$A,0),""))</f>
        <v/>
      </c>
    </row>
    <row r="5165" spans="31:32" x14ac:dyDescent="0.25">
      <c r="AE5165" s="39" t="str">
        <f>IF(D5165="","",IFERROR(VLOOKUP(D5165,Projects!$A$2:$A$20000,1,FALSE),""))</f>
        <v/>
      </c>
      <c r="AF5165" s="2" t="str">
        <f>IF(D5165="","",IFERROR(MATCH(D5165,Projects!$A:$A,0),""))</f>
        <v/>
      </c>
    </row>
    <row r="5166" spans="31:32" x14ac:dyDescent="0.25">
      <c r="AE5166" s="39" t="str">
        <f>IF(D5166="","",IFERROR(VLOOKUP(D5166,Projects!$A$2:$A$20000,1,FALSE),""))</f>
        <v/>
      </c>
      <c r="AF5166" s="2" t="str">
        <f>IF(D5166="","",IFERROR(MATCH(D5166,Projects!$A:$A,0),""))</f>
        <v/>
      </c>
    </row>
    <row r="5167" spans="31:32" x14ac:dyDescent="0.25">
      <c r="AE5167" s="39" t="str">
        <f>IF(D5167="","",IFERROR(VLOOKUP(D5167,Projects!$A$2:$A$20000,1,FALSE),""))</f>
        <v/>
      </c>
      <c r="AF5167" s="2" t="str">
        <f>IF(D5167="","",IFERROR(MATCH(D5167,Projects!$A:$A,0),""))</f>
        <v/>
      </c>
    </row>
    <row r="5168" spans="31:32" x14ac:dyDescent="0.25">
      <c r="AE5168" s="39" t="str">
        <f>IF(D5168="","",IFERROR(VLOOKUP(D5168,Projects!$A$2:$A$20000,1,FALSE),""))</f>
        <v/>
      </c>
      <c r="AF5168" s="2" t="str">
        <f>IF(D5168="","",IFERROR(MATCH(D5168,Projects!$A:$A,0),""))</f>
        <v/>
      </c>
    </row>
    <row r="5169" spans="31:32" x14ac:dyDescent="0.25">
      <c r="AE5169" s="39" t="str">
        <f>IF(D5169="","",IFERROR(VLOOKUP(D5169,Projects!$A$2:$A$20000,1,FALSE),""))</f>
        <v/>
      </c>
      <c r="AF5169" s="2" t="str">
        <f>IF(D5169="","",IFERROR(MATCH(D5169,Projects!$A:$A,0),""))</f>
        <v/>
      </c>
    </row>
    <row r="5170" spans="31:32" x14ac:dyDescent="0.25">
      <c r="AE5170" s="39" t="str">
        <f>IF(D5170="","",IFERROR(VLOOKUP(D5170,Projects!$A$2:$A$20000,1,FALSE),""))</f>
        <v/>
      </c>
      <c r="AF5170" s="2" t="str">
        <f>IF(D5170="","",IFERROR(MATCH(D5170,Projects!$A:$A,0),""))</f>
        <v/>
      </c>
    </row>
    <row r="5171" spans="31:32" x14ac:dyDescent="0.25">
      <c r="AE5171" s="39" t="str">
        <f>IF(D5171="","",IFERROR(VLOOKUP(D5171,Projects!$A$2:$A$20000,1,FALSE),""))</f>
        <v/>
      </c>
      <c r="AF5171" s="2" t="str">
        <f>IF(D5171="","",IFERROR(MATCH(D5171,Projects!$A:$A,0),""))</f>
        <v/>
      </c>
    </row>
    <row r="5172" spans="31:32" x14ac:dyDescent="0.25">
      <c r="AE5172" s="39" t="str">
        <f>IF(D5172="","",IFERROR(VLOOKUP(D5172,Projects!$A$2:$A$20000,1,FALSE),""))</f>
        <v/>
      </c>
      <c r="AF5172" s="2" t="str">
        <f>IF(D5172="","",IFERROR(MATCH(D5172,Projects!$A:$A,0),""))</f>
        <v/>
      </c>
    </row>
    <row r="5173" spans="31:32" x14ac:dyDescent="0.25">
      <c r="AE5173" s="39" t="str">
        <f>IF(D5173="","",IFERROR(VLOOKUP(D5173,Projects!$A$2:$A$20000,1,FALSE),""))</f>
        <v/>
      </c>
      <c r="AF5173" s="2" t="str">
        <f>IF(D5173="","",IFERROR(MATCH(D5173,Projects!$A:$A,0),""))</f>
        <v/>
      </c>
    </row>
    <row r="5174" spans="31:32" x14ac:dyDescent="0.25">
      <c r="AE5174" s="39" t="str">
        <f>IF(D5174="","",IFERROR(VLOOKUP(D5174,Projects!$A$2:$A$20000,1,FALSE),""))</f>
        <v/>
      </c>
      <c r="AF5174" s="2" t="str">
        <f>IF(D5174="","",IFERROR(MATCH(D5174,Projects!$A:$A,0),""))</f>
        <v/>
      </c>
    </row>
    <row r="5175" spans="31:32" x14ac:dyDescent="0.25">
      <c r="AE5175" s="39" t="str">
        <f>IF(D5175="","",IFERROR(VLOOKUP(D5175,Projects!$A$2:$A$20000,1,FALSE),""))</f>
        <v/>
      </c>
      <c r="AF5175" s="2" t="str">
        <f>IF(D5175="","",IFERROR(MATCH(D5175,Projects!$A:$A,0),""))</f>
        <v/>
      </c>
    </row>
    <row r="5176" spans="31:32" x14ac:dyDescent="0.25">
      <c r="AE5176" s="39" t="str">
        <f>IF(D5176="","",IFERROR(VLOOKUP(D5176,Projects!$A$2:$A$20000,1,FALSE),""))</f>
        <v/>
      </c>
      <c r="AF5176" s="2" t="str">
        <f>IF(D5176="","",IFERROR(MATCH(D5176,Projects!$A:$A,0),""))</f>
        <v/>
      </c>
    </row>
    <row r="5177" spans="31:32" x14ac:dyDescent="0.25">
      <c r="AE5177" s="39" t="str">
        <f>IF(D5177="","",IFERROR(VLOOKUP(D5177,Projects!$A$2:$A$20000,1,FALSE),""))</f>
        <v/>
      </c>
      <c r="AF5177" s="2" t="str">
        <f>IF(D5177="","",IFERROR(MATCH(D5177,Projects!$A:$A,0),""))</f>
        <v/>
      </c>
    </row>
    <row r="5178" spans="31:32" x14ac:dyDescent="0.25">
      <c r="AE5178" s="39" t="str">
        <f>IF(D5178="","",IFERROR(VLOOKUP(D5178,Projects!$A$2:$A$20000,1,FALSE),""))</f>
        <v/>
      </c>
      <c r="AF5178" s="2" t="str">
        <f>IF(D5178="","",IFERROR(MATCH(D5178,Projects!$A:$A,0),""))</f>
        <v/>
      </c>
    </row>
    <row r="5179" spans="31:32" x14ac:dyDescent="0.25">
      <c r="AE5179" s="39" t="str">
        <f>IF(D5179="","",IFERROR(VLOOKUP(D5179,Projects!$A$2:$A$20000,1,FALSE),""))</f>
        <v/>
      </c>
      <c r="AF5179" s="2" t="str">
        <f>IF(D5179="","",IFERROR(MATCH(D5179,Projects!$A:$A,0),""))</f>
        <v/>
      </c>
    </row>
    <row r="5180" spans="31:32" x14ac:dyDescent="0.25">
      <c r="AE5180" s="39" t="str">
        <f>IF(D5180="","",IFERROR(VLOOKUP(D5180,Projects!$A$2:$A$20000,1,FALSE),""))</f>
        <v/>
      </c>
      <c r="AF5180" s="2" t="str">
        <f>IF(D5180="","",IFERROR(MATCH(D5180,Projects!$A:$A,0),""))</f>
        <v/>
      </c>
    </row>
    <row r="5181" spans="31:32" x14ac:dyDescent="0.25">
      <c r="AE5181" s="39" t="str">
        <f>IF(D5181="","",IFERROR(VLOOKUP(D5181,Projects!$A$2:$A$20000,1,FALSE),""))</f>
        <v/>
      </c>
      <c r="AF5181" s="2" t="str">
        <f>IF(D5181="","",IFERROR(MATCH(D5181,Projects!$A:$A,0),""))</f>
        <v/>
      </c>
    </row>
    <row r="5182" spans="31:32" x14ac:dyDescent="0.25">
      <c r="AE5182" s="39" t="str">
        <f>IF(D5182="","",IFERROR(VLOOKUP(D5182,Projects!$A$2:$A$20000,1,FALSE),""))</f>
        <v/>
      </c>
      <c r="AF5182" s="2" t="str">
        <f>IF(D5182="","",IFERROR(MATCH(D5182,Projects!$A:$A,0),""))</f>
        <v/>
      </c>
    </row>
    <row r="5183" spans="31:32" x14ac:dyDescent="0.25">
      <c r="AE5183" s="39" t="str">
        <f>IF(D5183="","",IFERROR(VLOOKUP(D5183,Projects!$A$2:$A$20000,1,FALSE),""))</f>
        <v/>
      </c>
      <c r="AF5183" s="2" t="str">
        <f>IF(D5183="","",IFERROR(MATCH(D5183,Projects!$A:$A,0),""))</f>
        <v/>
      </c>
    </row>
    <row r="5184" spans="31:32" x14ac:dyDescent="0.25">
      <c r="AE5184" s="39" t="str">
        <f>IF(D5184="","",IFERROR(VLOOKUP(D5184,Projects!$A$2:$A$20000,1,FALSE),""))</f>
        <v/>
      </c>
      <c r="AF5184" s="2" t="str">
        <f>IF(D5184="","",IFERROR(MATCH(D5184,Projects!$A:$A,0),""))</f>
        <v/>
      </c>
    </row>
    <row r="5185" spans="31:32" x14ac:dyDescent="0.25">
      <c r="AE5185" s="39" t="str">
        <f>IF(D5185="","",IFERROR(VLOOKUP(D5185,Projects!$A$2:$A$20000,1,FALSE),""))</f>
        <v/>
      </c>
      <c r="AF5185" s="2" t="str">
        <f>IF(D5185="","",IFERROR(MATCH(D5185,Projects!$A:$A,0),""))</f>
        <v/>
      </c>
    </row>
    <row r="5186" spans="31:32" x14ac:dyDescent="0.25">
      <c r="AE5186" s="39" t="str">
        <f>IF(D5186="","",IFERROR(VLOOKUP(D5186,Projects!$A$2:$A$20000,1,FALSE),""))</f>
        <v/>
      </c>
      <c r="AF5186" s="2" t="str">
        <f>IF(D5186="","",IFERROR(MATCH(D5186,Projects!$A:$A,0),""))</f>
        <v/>
      </c>
    </row>
    <row r="5187" spans="31:32" x14ac:dyDescent="0.25">
      <c r="AE5187" s="39" t="str">
        <f>IF(D5187="","",IFERROR(VLOOKUP(D5187,Projects!$A$2:$A$20000,1,FALSE),""))</f>
        <v/>
      </c>
      <c r="AF5187" s="2" t="str">
        <f>IF(D5187="","",IFERROR(MATCH(D5187,Projects!$A:$A,0),""))</f>
        <v/>
      </c>
    </row>
    <row r="5188" spans="31:32" x14ac:dyDescent="0.25">
      <c r="AE5188" s="39" t="str">
        <f>IF(D5188="","",IFERROR(VLOOKUP(D5188,Projects!$A$2:$A$20000,1,FALSE),""))</f>
        <v/>
      </c>
      <c r="AF5188" s="2" t="str">
        <f>IF(D5188="","",IFERROR(MATCH(D5188,Projects!$A:$A,0),""))</f>
        <v/>
      </c>
    </row>
    <row r="5189" spans="31:32" x14ac:dyDescent="0.25">
      <c r="AE5189" s="39" t="str">
        <f>IF(D5189="","",IFERROR(VLOOKUP(D5189,Projects!$A$2:$A$20000,1,FALSE),""))</f>
        <v/>
      </c>
      <c r="AF5189" s="2" t="str">
        <f>IF(D5189="","",IFERROR(MATCH(D5189,Projects!$A:$A,0),""))</f>
        <v/>
      </c>
    </row>
    <row r="5190" spans="31:32" x14ac:dyDescent="0.25">
      <c r="AE5190" s="39" t="str">
        <f>IF(D5190="","",IFERROR(VLOOKUP(D5190,Projects!$A$2:$A$20000,1,FALSE),""))</f>
        <v/>
      </c>
      <c r="AF5190" s="2" t="str">
        <f>IF(D5190="","",IFERROR(MATCH(D5190,Projects!$A:$A,0),""))</f>
        <v/>
      </c>
    </row>
    <row r="5191" spans="31:32" x14ac:dyDescent="0.25">
      <c r="AE5191" s="39" t="str">
        <f>IF(D5191="","",IFERROR(VLOOKUP(D5191,Projects!$A$2:$A$20000,1,FALSE),""))</f>
        <v/>
      </c>
      <c r="AF5191" s="2" t="str">
        <f>IF(D5191="","",IFERROR(MATCH(D5191,Projects!$A:$A,0),""))</f>
        <v/>
      </c>
    </row>
    <row r="5192" spans="31:32" x14ac:dyDescent="0.25">
      <c r="AE5192" s="39" t="str">
        <f>IF(D5192="","",IFERROR(VLOOKUP(D5192,Projects!$A$2:$A$20000,1,FALSE),""))</f>
        <v/>
      </c>
      <c r="AF5192" s="2" t="str">
        <f>IF(D5192="","",IFERROR(MATCH(D5192,Projects!$A:$A,0),""))</f>
        <v/>
      </c>
    </row>
    <row r="5193" spans="31:32" x14ac:dyDescent="0.25">
      <c r="AE5193" s="39" t="str">
        <f>IF(D5193="","",IFERROR(VLOOKUP(D5193,Projects!$A$2:$A$20000,1,FALSE),""))</f>
        <v/>
      </c>
      <c r="AF5193" s="2" t="str">
        <f>IF(D5193="","",IFERROR(MATCH(D5193,Projects!$A:$A,0),""))</f>
        <v/>
      </c>
    </row>
    <row r="5194" spans="31:32" x14ac:dyDescent="0.25">
      <c r="AE5194" s="39" t="str">
        <f>IF(D5194="","",IFERROR(VLOOKUP(D5194,Projects!$A$2:$A$20000,1,FALSE),""))</f>
        <v/>
      </c>
      <c r="AF5194" s="2" t="str">
        <f>IF(D5194="","",IFERROR(MATCH(D5194,Projects!$A:$A,0),""))</f>
        <v/>
      </c>
    </row>
    <row r="5195" spans="31:32" x14ac:dyDescent="0.25">
      <c r="AE5195" s="39" t="str">
        <f>IF(D5195="","",IFERROR(VLOOKUP(D5195,Projects!$A$2:$A$20000,1,FALSE),""))</f>
        <v/>
      </c>
      <c r="AF5195" s="2" t="str">
        <f>IF(D5195="","",IFERROR(MATCH(D5195,Projects!$A:$A,0),""))</f>
        <v/>
      </c>
    </row>
    <row r="5196" spans="31:32" x14ac:dyDescent="0.25">
      <c r="AE5196" s="39" t="str">
        <f>IF(D5196="","",IFERROR(VLOOKUP(D5196,Projects!$A$2:$A$20000,1,FALSE),""))</f>
        <v/>
      </c>
      <c r="AF5196" s="2" t="str">
        <f>IF(D5196="","",IFERROR(MATCH(D5196,Projects!$A:$A,0),""))</f>
        <v/>
      </c>
    </row>
    <row r="5197" spans="31:32" x14ac:dyDescent="0.25">
      <c r="AE5197" s="39" t="str">
        <f>IF(D5197="","",IFERROR(VLOOKUP(D5197,Projects!$A$2:$A$20000,1,FALSE),""))</f>
        <v/>
      </c>
      <c r="AF5197" s="2" t="str">
        <f>IF(D5197="","",IFERROR(MATCH(D5197,Projects!$A:$A,0),""))</f>
        <v/>
      </c>
    </row>
    <row r="5198" spans="31:32" x14ac:dyDescent="0.25">
      <c r="AE5198" s="39" t="str">
        <f>IF(D5198="","",IFERROR(VLOOKUP(D5198,Projects!$A$2:$A$20000,1,FALSE),""))</f>
        <v/>
      </c>
      <c r="AF5198" s="2" t="str">
        <f>IF(D5198="","",IFERROR(MATCH(D5198,Projects!$A:$A,0),""))</f>
        <v/>
      </c>
    </row>
    <row r="5199" spans="31:32" x14ac:dyDescent="0.25">
      <c r="AE5199" s="39" t="str">
        <f>IF(D5199="","",IFERROR(VLOOKUP(D5199,Projects!$A$2:$A$20000,1,FALSE),""))</f>
        <v/>
      </c>
      <c r="AF5199" s="2" t="str">
        <f>IF(D5199="","",IFERROR(MATCH(D5199,Projects!$A:$A,0),""))</f>
        <v/>
      </c>
    </row>
    <row r="5200" spans="31:32" x14ac:dyDescent="0.25">
      <c r="AE5200" s="39" t="str">
        <f>IF(D5200="","",IFERROR(VLOOKUP(D5200,Projects!$A$2:$A$20000,1,FALSE),""))</f>
        <v/>
      </c>
      <c r="AF5200" s="2" t="str">
        <f>IF(D5200="","",IFERROR(MATCH(D5200,Projects!$A:$A,0),""))</f>
        <v/>
      </c>
    </row>
    <row r="5201" spans="31:32" x14ac:dyDescent="0.25">
      <c r="AE5201" s="39" t="str">
        <f>IF(D5201="","",IFERROR(VLOOKUP(D5201,Projects!$A$2:$A$20000,1,FALSE),""))</f>
        <v/>
      </c>
      <c r="AF5201" s="2" t="str">
        <f>IF(D5201="","",IFERROR(MATCH(D5201,Projects!$A:$A,0),""))</f>
        <v/>
      </c>
    </row>
    <row r="5202" spans="31:32" x14ac:dyDescent="0.25">
      <c r="AE5202" s="39" t="str">
        <f>IF(D5202="","",IFERROR(VLOOKUP(D5202,Projects!$A$2:$A$20000,1,FALSE),""))</f>
        <v/>
      </c>
      <c r="AF5202" s="2" t="str">
        <f>IF(D5202="","",IFERROR(MATCH(D5202,Projects!$A:$A,0),""))</f>
        <v/>
      </c>
    </row>
    <row r="5203" spans="31:32" x14ac:dyDescent="0.25">
      <c r="AE5203" s="39" t="str">
        <f>IF(D5203="","",IFERROR(VLOOKUP(D5203,Projects!$A$2:$A$20000,1,FALSE),""))</f>
        <v/>
      </c>
      <c r="AF5203" s="2" t="str">
        <f>IF(D5203="","",IFERROR(MATCH(D5203,Projects!$A:$A,0),""))</f>
        <v/>
      </c>
    </row>
    <row r="5204" spans="31:32" x14ac:dyDescent="0.25">
      <c r="AE5204" s="39" t="str">
        <f>IF(D5204="","",IFERROR(VLOOKUP(D5204,Projects!$A$2:$A$20000,1,FALSE),""))</f>
        <v/>
      </c>
      <c r="AF5204" s="2" t="str">
        <f>IF(D5204="","",IFERROR(MATCH(D5204,Projects!$A:$A,0),""))</f>
        <v/>
      </c>
    </row>
    <row r="5205" spans="31:32" x14ac:dyDescent="0.25">
      <c r="AE5205" s="39" t="str">
        <f>IF(D5205="","",IFERROR(VLOOKUP(D5205,Projects!$A$2:$A$20000,1,FALSE),""))</f>
        <v/>
      </c>
      <c r="AF5205" s="2" t="str">
        <f>IF(D5205="","",IFERROR(MATCH(D5205,Projects!$A:$A,0),""))</f>
        <v/>
      </c>
    </row>
    <row r="5206" spans="31:32" x14ac:dyDescent="0.25">
      <c r="AE5206" s="39" t="str">
        <f>IF(D5206="","",IFERROR(VLOOKUP(D5206,Projects!$A$2:$A$20000,1,FALSE),""))</f>
        <v/>
      </c>
      <c r="AF5206" s="2" t="str">
        <f>IF(D5206="","",IFERROR(MATCH(D5206,Projects!$A:$A,0),""))</f>
        <v/>
      </c>
    </row>
    <row r="5207" spans="31:32" x14ac:dyDescent="0.25">
      <c r="AE5207" s="39" t="str">
        <f>IF(D5207="","",IFERROR(VLOOKUP(D5207,Projects!$A$2:$A$20000,1,FALSE),""))</f>
        <v/>
      </c>
      <c r="AF5207" s="2" t="str">
        <f>IF(D5207="","",IFERROR(MATCH(D5207,Projects!$A:$A,0),""))</f>
        <v/>
      </c>
    </row>
    <row r="5208" spans="31:32" x14ac:dyDescent="0.25">
      <c r="AE5208" s="39" t="str">
        <f>IF(D5208="","",IFERROR(VLOOKUP(D5208,Projects!$A$2:$A$20000,1,FALSE),""))</f>
        <v/>
      </c>
      <c r="AF5208" s="2" t="str">
        <f>IF(D5208="","",IFERROR(MATCH(D5208,Projects!$A:$A,0),""))</f>
        <v/>
      </c>
    </row>
    <row r="5209" spans="31:32" x14ac:dyDescent="0.25">
      <c r="AE5209" s="39" t="str">
        <f>IF(D5209="","",IFERROR(VLOOKUP(D5209,Projects!$A$2:$A$20000,1,FALSE),""))</f>
        <v/>
      </c>
      <c r="AF5209" s="2" t="str">
        <f>IF(D5209="","",IFERROR(MATCH(D5209,Projects!$A:$A,0),""))</f>
        <v/>
      </c>
    </row>
    <row r="5210" spans="31:32" x14ac:dyDescent="0.25">
      <c r="AE5210" s="39" t="str">
        <f>IF(D5210="","",IFERROR(VLOOKUP(D5210,Projects!$A$2:$A$20000,1,FALSE),""))</f>
        <v/>
      </c>
      <c r="AF5210" s="2" t="str">
        <f>IF(D5210="","",IFERROR(MATCH(D5210,Projects!$A:$A,0),""))</f>
        <v/>
      </c>
    </row>
    <row r="5211" spans="31:32" x14ac:dyDescent="0.25">
      <c r="AE5211" s="39" t="str">
        <f>IF(D5211="","",IFERROR(VLOOKUP(D5211,Projects!$A$2:$A$20000,1,FALSE),""))</f>
        <v/>
      </c>
      <c r="AF5211" s="2" t="str">
        <f>IF(D5211="","",IFERROR(MATCH(D5211,Projects!$A:$A,0),""))</f>
        <v/>
      </c>
    </row>
    <row r="5212" spans="31:32" x14ac:dyDescent="0.25">
      <c r="AE5212" s="39" t="str">
        <f>IF(D5212="","",IFERROR(VLOOKUP(D5212,Projects!$A$2:$A$20000,1,FALSE),""))</f>
        <v/>
      </c>
      <c r="AF5212" s="2" t="str">
        <f>IF(D5212="","",IFERROR(MATCH(D5212,Projects!$A:$A,0),""))</f>
        <v/>
      </c>
    </row>
    <row r="5213" spans="31:32" x14ac:dyDescent="0.25">
      <c r="AE5213" s="39" t="str">
        <f>IF(D5213="","",IFERROR(VLOOKUP(D5213,Projects!$A$2:$A$20000,1,FALSE),""))</f>
        <v/>
      </c>
      <c r="AF5213" s="2" t="str">
        <f>IF(D5213="","",IFERROR(MATCH(D5213,Projects!$A:$A,0),""))</f>
        <v/>
      </c>
    </row>
    <row r="5214" spans="31:32" x14ac:dyDescent="0.25">
      <c r="AE5214" s="39" t="str">
        <f>IF(D5214="","",IFERROR(VLOOKUP(D5214,Projects!$A$2:$A$20000,1,FALSE),""))</f>
        <v/>
      </c>
      <c r="AF5214" s="2" t="str">
        <f>IF(D5214="","",IFERROR(MATCH(D5214,Projects!$A:$A,0),""))</f>
        <v/>
      </c>
    </row>
    <row r="5215" spans="31:32" x14ac:dyDescent="0.25">
      <c r="AE5215" s="39" t="str">
        <f>IF(D5215="","",IFERROR(VLOOKUP(D5215,Projects!$A$2:$A$20000,1,FALSE),""))</f>
        <v/>
      </c>
      <c r="AF5215" s="2" t="str">
        <f>IF(D5215="","",IFERROR(MATCH(D5215,Projects!$A:$A,0),""))</f>
        <v/>
      </c>
    </row>
    <row r="5216" spans="31:32" x14ac:dyDescent="0.25">
      <c r="AE5216" s="39" t="str">
        <f>IF(D5216="","",IFERROR(VLOOKUP(D5216,Projects!$A$2:$A$20000,1,FALSE),""))</f>
        <v/>
      </c>
      <c r="AF5216" s="2" t="str">
        <f>IF(D5216="","",IFERROR(MATCH(D5216,Projects!$A:$A,0),""))</f>
        <v/>
      </c>
    </row>
    <row r="5217" spans="31:32" x14ac:dyDescent="0.25">
      <c r="AE5217" s="39" t="str">
        <f>IF(D5217="","",IFERROR(VLOOKUP(D5217,Projects!$A$2:$A$20000,1,FALSE),""))</f>
        <v/>
      </c>
      <c r="AF5217" s="2" t="str">
        <f>IF(D5217="","",IFERROR(MATCH(D5217,Projects!$A:$A,0),""))</f>
        <v/>
      </c>
    </row>
    <row r="5218" spans="31:32" x14ac:dyDescent="0.25">
      <c r="AE5218" s="39" t="str">
        <f>IF(D5218="","",IFERROR(VLOOKUP(D5218,Projects!$A$2:$A$20000,1,FALSE),""))</f>
        <v/>
      </c>
      <c r="AF5218" s="2" t="str">
        <f>IF(D5218="","",IFERROR(MATCH(D5218,Projects!$A:$A,0),""))</f>
        <v/>
      </c>
    </row>
    <row r="5219" spans="31:32" x14ac:dyDescent="0.25">
      <c r="AE5219" s="39" t="str">
        <f>IF(D5219="","",IFERROR(VLOOKUP(D5219,Projects!$A$2:$A$20000,1,FALSE),""))</f>
        <v/>
      </c>
      <c r="AF5219" s="2" t="str">
        <f>IF(D5219="","",IFERROR(MATCH(D5219,Projects!$A:$A,0),""))</f>
        <v/>
      </c>
    </row>
    <row r="5220" spans="31:32" x14ac:dyDescent="0.25">
      <c r="AE5220" s="39" t="str">
        <f>IF(D5220="","",IFERROR(VLOOKUP(D5220,Projects!$A$2:$A$20000,1,FALSE),""))</f>
        <v/>
      </c>
      <c r="AF5220" s="2" t="str">
        <f>IF(D5220="","",IFERROR(MATCH(D5220,Projects!$A:$A,0),""))</f>
        <v/>
      </c>
    </row>
    <row r="5221" spans="31:32" x14ac:dyDescent="0.25">
      <c r="AE5221" s="39" t="str">
        <f>IF(D5221="","",IFERROR(VLOOKUP(D5221,Projects!$A$2:$A$20000,1,FALSE),""))</f>
        <v/>
      </c>
      <c r="AF5221" s="2" t="str">
        <f>IF(D5221="","",IFERROR(MATCH(D5221,Projects!$A:$A,0),""))</f>
        <v/>
      </c>
    </row>
    <row r="5222" spans="31:32" x14ac:dyDescent="0.25">
      <c r="AE5222" s="39" t="str">
        <f>IF(D5222="","",IFERROR(VLOOKUP(D5222,Projects!$A$2:$A$20000,1,FALSE),""))</f>
        <v/>
      </c>
      <c r="AF5222" s="2" t="str">
        <f>IF(D5222="","",IFERROR(MATCH(D5222,Projects!$A:$A,0),""))</f>
        <v/>
      </c>
    </row>
    <row r="5223" spans="31:32" x14ac:dyDescent="0.25">
      <c r="AE5223" s="39" t="str">
        <f>IF(D5223="","",IFERROR(VLOOKUP(D5223,Projects!$A$2:$A$20000,1,FALSE),""))</f>
        <v/>
      </c>
      <c r="AF5223" s="2" t="str">
        <f>IF(D5223="","",IFERROR(MATCH(D5223,Projects!$A:$A,0),""))</f>
        <v/>
      </c>
    </row>
    <row r="5224" spans="31:32" x14ac:dyDescent="0.25">
      <c r="AE5224" s="39" t="str">
        <f>IF(D5224="","",IFERROR(VLOOKUP(D5224,Projects!$A$2:$A$20000,1,FALSE),""))</f>
        <v/>
      </c>
      <c r="AF5224" s="2" t="str">
        <f>IF(D5224="","",IFERROR(MATCH(D5224,Projects!$A:$A,0),""))</f>
        <v/>
      </c>
    </row>
    <row r="5225" spans="31:32" x14ac:dyDescent="0.25">
      <c r="AE5225" s="39" t="str">
        <f>IF(D5225="","",IFERROR(VLOOKUP(D5225,Projects!$A$2:$A$20000,1,FALSE),""))</f>
        <v/>
      </c>
      <c r="AF5225" s="2" t="str">
        <f>IF(D5225="","",IFERROR(MATCH(D5225,Projects!$A:$A,0),""))</f>
        <v/>
      </c>
    </row>
    <row r="5226" spans="31:32" x14ac:dyDescent="0.25">
      <c r="AE5226" s="39" t="str">
        <f>IF(D5226="","",IFERROR(VLOOKUP(D5226,Projects!$A$2:$A$20000,1,FALSE),""))</f>
        <v/>
      </c>
      <c r="AF5226" s="2" t="str">
        <f>IF(D5226="","",IFERROR(MATCH(D5226,Projects!$A:$A,0),""))</f>
        <v/>
      </c>
    </row>
    <row r="5227" spans="31:32" x14ac:dyDescent="0.25">
      <c r="AE5227" s="39" t="str">
        <f>IF(D5227="","",IFERROR(VLOOKUP(D5227,Projects!$A$2:$A$20000,1,FALSE),""))</f>
        <v/>
      </c>
      <c r="AF5227" s="2" t="str">
        <f>IF(D5227="","",IFERROR(MATCH(D5227,Projects!$A:$A,0),""))</f>
        <v/>
      </c>
    </row>
    <row r="5228" spans="31:32" x14ac:dyDescent="0.25">
      <c r="AE5228" s="39" t="str">
        <f>IF(D5228="","",IFERROR(VLOOKUP(D5228,Projects!$A$2:$A$20000,1,FALSE),""))</f>
        <v/>
      </c>
      <c r="AF5228" s="2" t="str">
        <f>IF(D5228="","",IFERROR(MATCH(D5228,Projects!$A:$A,0),""))</f>
        <v/>
      </c>
    </row>
    <row r="5229" spans="31:32" x14ac:dyDescent="0.25">
      <c r="AE5229" s="39" t="str">
        <f>IF(D5229="","",IFERROR(VLOOKUP(D5229,Projects!$A$2:$A$20000,1,FALSE),""))</f>
        <v/>
      </c>
      <c r="AF5229" s="2" t="str">
        <f>IF(D5229="","",IFERROR(MATCH(D5229,Projects!$A:$A,0),""))</f>
        <v/>
      </c>
    </row>
    <row r="5230" spans="31:32" x14ac:dyDescent="0.25">
      <c r="AE5230" s="39" t="str">
        <f>IF(D5230="","",IFERROR(VLOOKUP(D5230,Projects!$A$2:$A$20000,1,FALSE),""))</f>
        <v/>
      </c>
      <c r="AF5230" s="2" t="str">
        <f>IF(D5230="","",IFERROR(MATCH(D5230,Projects!$A:$A,0),""))</f>
        <v/>
      </c>
    </row>
    <row r="5231" spans="31:32" x14ac:dyDescent="0.25">
      <c r="AE5231" s="39" t="str">
        <f>IF(D5231="","",IFERROR(VLOOKUP(D5231,Projects!$A$2:$A$20000,1,FALSE),""))</f>
        <v/>
      </c>
      <c r="AF5231" s="2" t="str">
        <f>IF(D5231="","",IFERROR(MATCH(D5231,Projects!$A:$A,0),""))</f>
        <v/>
      </c>
    </row>
    <row r="5232" spans="31:32" x14ac:dyDescent="0.25">
      <c r="AE5232" s="39" t="str">
        <f>IF(D5232="","",IFERROR(VLOOKUP(D5232,Projects!$A$2:$A$20000,1,FALSE),""))</f>
        <v/>
      </c>
      <c r="AF5232" s="2" t="str">
        <f>IF(D5232="","",IFERROR(MATCH(D5232,Projects!$A:$A,0),""))</f>
        <v/>
      </c>
    </row>
    <row r="5233" spans="31:32" x14ac:dyDescent="0.25">
      <c r="AE5233" s="39" t="str">
        <f>IF(D5233="","",IFERROR(VLOOKUP(D5233,Projects!$A$2:$A$20000,1,FALSE),""))</f>
        <v/>
      </c>
      <c r="AF5233" s="2" t="str">
        <f>IF(D5233="","",IFERROR(MATCH(D5233,Projects!$A:$A,0),""))</f>
        <v/>
      </c>
    </row>
    <row r="5234" spans="31:32" x14ac:dyDescent="0.25">
      <c r="AE5234" s="39" t="str">
        <f>IF(D5234="","",IFERROR(VLOOKUP(D5234,Projects!$A$2:$A$20000,1,FALSE),""))</f>
        <v/>
      </c>
      <c r="AF5234" s="2" t="str">
        <f>IF(D5234="","",IFERROR(MATCH(D5234,Projects!$A:$A,0),""))</f>
        <v/>
      </c>
    </row>
    <row r="5235" spans="31:32" x14ac:dyDescent="0.25">
      <c r="AE5235" s="39" t="str">
        <f>IF(D5235="","",IFERROR(VLOOKUP(D5235,Projects!$A$2:$A$20000,1,FALSE),""))</f>
        <v/>
      </c>
      <c r="AF5235" s="2" t="str">
        <f>IF(D5235="","",IFERROR(MATCH(D5235,Projects!$A:$A,0),""))</f>
        <v/>
      </c>
    </row>
    <row r="5236" spans="31:32" x14ac:dyDescent="0.25">
      <c r="AE5236" s="39" t="str">
        <f>IF(D5236="","",IFERROR(VLOOKUP(D5236,Projects!$A$2:$A$20000,1,FALSE),""))</f>
        <v/>
      </c>
      <c r="AF5236" s="2" t="str">
        <f>IF(D5236="","",IFERROR(MATCH(D5236,Projects!$A:$A,0),""))</f>
        <v/>
      </c>
    </row>
    <row r="5237" spans="31:32" x14ac:dyDescent="0.25">
      <c r="AE5237" s="39" t="str">
        <f>IF(D5237="","",IFERROR(VLOOKUP(D5237,Projects!$A$2:$A$20000,1,FALSE),""))</f>
        <v/>
      </c>
      <c r="AF5237" s="2" t="str">
        <f>IF(D5237="","",IFERROR(MATCH(D5237,Projects!$A:$A,0),""))</f>
        <v/>
      </c>
    </row>
    <row r="5238" spans="31:32" x14ac:dyDescent="0.25">
      <c r="AE5238" s="39" t="str">
        <f>IF(D5238="","",IFERROR(VLOOKUP(D5238,Projects!$A$2:$A$20000,1,FALSE),""))</f>
        <v/>
      </c>
      <c r="AF5238" s="2" t="str">
        <f>IF(D5238="","",IFERROR(MATCH(D5238,Projects!$A:$A,0),""))</f>
        <v/>
      </c>
    </row>
    <row r="5239" spans="31:32" x14ac:dyDescent="0.25">
      <c r="AE5239" s="39" t="str">
        <f>IF(D5239="","",IFERROR(VLOOKUP(D5239,Projects!$A$2:$A$20000,1,FALSE),""))</f>
        <v/>
      </c>
      <c r="AF5239" s="2" t="str">
        <f>IF(D5239="","",IFERROR(MATCH(D5239,Projects!$A:$A,0),""))</f>
        <v/>
      </c>
    </row>
    <row r="5240" spans="31:32" x14ac:dyDescent="0.25">
      <c r="AE5240" s="39" t="str">
        <f>IF(D5240="","",IFERROR(VLOOKUP(D5240,Projects!$A$2:$A$20000,1,FALSE),""))</f>
        <v/>
      </c>
      <c r="AF5240" s="2" t="str">
        <f>IF(D5240="","",IFERROR(MATCH(D5240,Projects!$A:$A,0),""))</f>
        <v/>
      </c>
    </row>
    <row r="5241" spans="31:32" x14ac:dyDescent="0.25">
      <c r="AE5241" s="39" t="str">
        <f>IF(D5241="","",IFERROR(VLOOKUP(D5241,Projects!$A$2:$A$20000,1,FALSE),""))</f>
        <v/>
      </c>
      <c r="AF5241" s="2" t="str">
        <f>IF(D5241="","",IFERROR(MATCH(D5241,Projects!$A:$A,0),""))</f>
        <v/>
      </c>
    </row>
    <row r="5242" spans="31:32" x14ac:dyDescent="0.25">
      <c r="AE5242" s="39" t="str">
        <f>IF(D5242="","",IFERROR(VLOOKUP(D5242,Projects!$A$2:$A$20000,1,FALSE),""))</f>
        <v/>
      </c>
      <c r="AF5242" s="2" t="str">
        <f>IF(D5242="","",IFERROR(MATCH(D5242,Projects!$A:$A,0),""))</f>
        <v/>
      </c>
    </row>
    <row r="5243" spans="31:32" x14ac:dyDescent="0.25">
      <c r="AE5243" s="39" t="str">
        <f>IF(D5243="","",IFERROR(VLOOKUP(D5243,Projects!$A$2:$A$20000,1,FALSE),""))</f>
        <v/>
      </c>
      <c r="AF5243" s="2" t="str">
        <f>IF(D5243="","",IFERROR(MATCH(D5243,Projects!$A:$A,0),""))</f>
        <v/>
      </c>
    </row>
    <row r="5244" spans="31:32" x14ac:dyDescent="0.25">
      <c r="AE5244" s="39" t="str">
        <f>IF(D5244="","",IFERROR(VLOOKUP(D5244,Projects!$A$2:$A$20000,1,FALSE),""))</f>
        <v/>
      </c>
      <c r="AF5244" s="2" t="str">
        <f>IF(D5244="","",IFERROR(MATCH(D5244,Projects!$A:$A,0),""))</f>
        <v/>
      </c>
    </row>
    <row r="5245" spans="31:32" x14ac:dyDescent="0.25">
      <c r="AE5245" s="39" t="str">
        <f>IF(D5245="","",IFERROR(VLOOKUP(D5245,Projects!$A$2:$A$20000,1,FALSE),""))</f>
        <v/>
      </c>
      <c r="AF5245" s="2" t="str">
        <f>IF(D5245="","",IFERROR(MATCH(D5245,Projects!$A:$A,0),""))</f>
        <v/>
      </c>
    </row>
    <row r="5246" spans="31:32" x14ac:dyDescent="0.25">
      <c r="AE5246" s="39" t="str">
        <f>IF(D5246="","",IFERROR(VLOOKUP(D5246,Projects!$A$2:$A$20000,1,FALSE),""))</f>
        <v/>
      </c>
      <c r="AF5246" s="2" t="str">
        <f>IF(D5246="","",IFERROR(MATCH(D5246,Projects!$A:$A,0),""))</f>
        <v/>
      </c>
    </row>
    <row r="5247" spans="31:32" x14ac:dyDescent="0.25">
      <c r="AE5247" s="39" t="str">
        <f>IF(D5247="","",IFERROR(VLOOKUP(D5247,Projects!$A$2:$A$20000,1,FALSE),""))</f>
        <v/>
      </c>
      <c r="AF5247" s="2" t="str">
        <f>IF(D5247="","",IFERROR(MATCH(D5247,Projects!$A:$A,0),""))</f>
        <v/>
      </c>
    </row>
    <row r="5248" spans="31:32" x14ac:dyDescent="0.25">
      <c r="AE5248" s="39" t="str">
        <f>IF(D5248="","",IFERROR(VLOOKUP(D5248,Projects!$A$2:$A$20000,1,FALSE),""))</f>
        <v/>
      </c>
      <c r="AF5248" s="2" t="str">
        <f>IF(D5248="","",IFERROR(MATCH(D5248,Projects!$A:$A,0),""))</f>
        <v/>
      </c>
    </row>
    <row r="5249" spans="31:32" x14ac:dyDescent="0.25">
      <c r="AE5249" s="39" t="str">
        <f>IF(D5249="","",IFERROR(VLOOKUP(D5249,Projects!$A$2:$A$20000,1,FALSE),""))</f>
        <v/>
      </c>
      <c r="AF5249" s="2" t="str">
        <f>IF(D5249="","",IFERROR(MATCH(D5249,Projects!$A:$A,0),""))</f>
        <v/>
      </c>
    </row>
    <row r="5250" spans="31:32" x14ac:dyDescent="0.25">
      <c r="AE5250" s="39" t="str">
        <f>IF(D5250="","",IFERROR(VLOOKUP(D5250,Projects!$A$2:$A$20000,1,FALSE),""))</f>
        <v/>
      </c>
      <c r="AF5250" s="2" t="str">
        <f>IF(D5250="","",IFERROR(MATCH(D5250,Projects!$A:$A,0),""))</f>
        <v/>
      </c>
    </row>
    <row r="5251" spans="31:32" x14ac:dyDescent="0.25">
      <c r="AE5251" s="39" t="str">
        <f>IF(D5251="","",IFERROR(VLOOKUP(D5251,Projects!$A$2:$A$20000,1,FALSE),""))</f>
        <v/>
      </c>
      <c r="AF5251" s="2" t="str">
        <f>IF(D5251="","",IFERROR(MATCH(D5251,Projects!$A:$A,0),""))</f>
        <v/>
      </c>
    </row>
    <row r="5252" spans="31:32" x14ac:dyDescent="0.25">
      <c r="AE5252" s="39" t="str">
        <f>IF(D5252="","",IFERROR(VLOOKUP(D5252,Projects!$A$2:$A$20000,1,FALSE),""))</f>
        <v/>
      </c>
      <c r="AF5252" s="2" t="str">
        <f>IF(D5252="","",IFERROR(MATCH(D5252,Projects!$A:$A,0),""))</f>
        <v/>
      </c>
    </row>
    <row r="5253" spans="31:32" x14ac:dyDescent="0.25">
      <c r="AE5253" s="39" t="str">
        <f>IF(D5253="","",IFERROR(VLOOKUP(D5253,Projects!$A$2:$A$20000,1,FALSE),""))</f>
        <v/>
      </c>
      <c r="AF5253" s="2" t="str">
        <f>IF(D5253="","",IFERROR(MATCH(D5253,Projects!$A:$A,0),""))</f>
        <v/>
      </c>
    </row>
    <row r="5254" spans="31:32" x14ac:dyDescent="0.25">
      <c r="AE5254" s="39" t="str">
        <f>IF(D5254="","",IFERROR(VLOOKUP(D5254,Projects!$A$2:$A$20000,1,FALSE),""))</f>
        <v/>
      </c>
      <c r="AF5254" s="2" t="str">
        <f>IF(D5254="","",IFERROR(MATCH(D5254,Projects!$A:$A,0),""))</f>
        <v/>
      </c>
    </row>
    <row r="5255" spans="31:32" x14ac:dyDescent="0.25">
      <c r="AE5255" s="39" t="str">
        <f>IF(D5255="","",IFERROR(VLOOKUP(D5255,Projects!$A$2:$A$20000,1,FALSE),""))</f>
        <v/>
      </c>
      <c r="AF5255" s="2" t="str">
        <f>IF(D5255="","",IFERROR(MATCH(D5255,Projects!$A:$A,0),""))</f>
        <v/>
      </c>
    </row>
    <row r="5256" spans="31:32" x14ac:dyDescent="0.25">
      <c r="AE5256" s="39" t="str">
        <f>IF(D5256="","",IFERROR(VLOOKUP(D5256,Projects!$A$2:$A$20000,1,FALSE),""))</f>
        <v/>
      </c>
      <c r="AF5256" s="2" t="str">
        <f>IF(D5256="","",IFERROR(MATCH(D5256,Projects!$A:$A,0),""))</f>
        <v/>
      </c>
    </row>
    <row r="5257" spans="31:32" x14ac:dyDescent="0.25">
      <c r="AE5257" s="39" t="str">
        <f>IF(D5257="","",IFERROR(VLOOKUP(D5257,Projects!$A$2:$A$20000,1,FALSE),""))</f>
        <v/>
      </c>
      <c r="AF5257" s="2" t="str">
        <f>IF(D5257="","",IFERROR(MATCH(D5257,Projects!$A:$A,0),""))</f>
        <v/>
      </c>
    </row>
    <row r="5258" spans="31:32" x14ac:dyDescent="0.25">
      <c r="AE5258" s="39" t="str">
        <f>IF(D5258="","",IFERROR(VLOOKUP(D5258,Projects!$A$2:$A$20000,1,FALSE),""))</f>
        <v/>
      </c>
      <c r="AF5258" s="2" t="str">
        <f>IF(D5258="","",IFERROR(MATCH(D5258,Projects!$A:$A,0),""))</f>
        <v/>
      </c>
    </row>
    <row r="5259" spans="31:32" x14ac:dyDescent="0.25">
      <c r="AE5259" s="39" t="str">
        <f>IF(D5259="","",IFERROR(VLOOKUP(D5259,Projects!$A$2:$A$20000,1,FALSE),""))</f>
        <v/>
      </c>
      <c r="AF5259" s="2" t="str">
        <f>IF(D5259="","",IFERROR(MATCH(D5259,Projects!$A:$A,0),""))</f>
        <v/>
      </c>
    </row>
    <row r="5260" spans="31:32" x14ac:dyDescent="0.25">
      <c r="AE5260" s="39" t="str">
        <f>IF(D5260="","",IFERROR(VLOOKUP(D5260,Projects!$A$2:$A$20000,1,FALSE),""))</f>
        <v/>
      </c>
      <c r="AF5260" s="2" t="str">
        <f>IF(D5260="","",IFERROR(MATCH(D5260,Projects!$A:$A,0),""))</f>
        <v/>
      </c>
    </row>
    <row r="5261" spans="31:32" x14ac:dyDescent="0.25">
      <c r="AE5261" s="39" t="str">
        <f>IF(D5261="","",IFERROR(VLOOKUP(D5261,Projects!$A$2:$A$20000,1,FALSE),""))</f>
        <v/>
      </c>
      <c r="AF5261" s="2" t="str">
        <f>IF(D5261="","",IFERROR(MATCH(D5261,Projects!$A:$A,0),""))</f>
        <v/>
      </c>
    </row>
    <row r="5262" spans="31:32" x14ac:dyDescent="0.25">
      <c r="AE5262" s="39" t="str">
        <f>IF(D5262="","",IFERROR(VLOOKUP(D5262,Projects!$A$2:$A$20000,1,FALSE),""))</f>
        <v/>
      </c>
      <c r="AF5262" s="2" t="str">
        <f>IF(D5262="","",IFERROR(MATCH(D5262,Projects!$A:$A,0),""))</f>
        <v/>
      </c>
    </row>
    <row r="5263" spans="31:32" x14ac:dyDescent="0.25">
      <c r="AE5263" s="39" t="str">
        <f>IF(D5263="","",IFERROR(VLOOKUP(D5263,Projects!$A$2:$A$20000,1,FALSE),""))</f>
        <v/>
      </c>
      <c r="AF5263" s="2" t="str">
        <f>IF(D5263="","",IFERROR(MATCH(D5263,Projects!$A:$A,0),""))</f>
        <v/>
      </c>
    </row>
    <row r="5264" spans="31:32" x14ac:dyDescent="0.25">
      <c r="AE5264" s="39" t="str">
        <f>IF(D5264="","",IFERROR(VLOOKUP(D5264,Projects!$A$2:$A$20000,1,FALSE),""))</f>
        <v/>
      </c>
      <c r="AF5264" s="2" t="str">
        <f>IF(D5264="","",IFERROR(MATCH(D5264,Projects!$A:$A,0),""))</f>
        <v/>
      </c>
    </row>
    <row r="5265" spans="31:32" x14ac:dyDescent="0.25">
      <c r="AE5265" s="39" t="str">
        <f>IF(D5265="","",IFERROR(VLOOKUP(D5265,Projects!$A$2:$A$20000,1,FALSE),""))</f>
        <v/>
      </c>
      <c r="AF5265" s="2" t="str">
        <f>IF(D5265="","",IFERROR(MATCH(D5265,Projects!$A:$A,0),""))</f>
        <v/>
      </c>
    </row>
    <row r="5266" spans="31:32" x14ac:dyDescent="0.25">
      <c r="AE5266" s="39" t="str">
        <f>IF(D5266="","",IFERROR(VLOOKUP(D5266,Projects!$A$2:$A$20000,1,FALSE),""))</f>
        <v/>
      </c>
      <c r="AF5266" s="2" t="str">
        <f>IF(D5266="","",IFERROR(MATCH(D5266,Projects!$A:$A,0),""))</f>
        <v/>
      </c>
    </row>
    <row r="5267" spans="31:32" x14ac:dyDescent="0.25">
      <c r="AE5267" s="39" t="str">
        <f>IF(D5267="","",IFERROR(VLOOKUP(D5267,Projects!$A$2:$A$20000,1,FALSE),""))</f>
        <v/>
      </c>
      <c r="AF5267" s="2" t="str">
        <f>IF(D5267="","",IFERROR(MATCH(D5267,Projects!$A:$A,0),""))</f>
        <v/>
      </c>
    </row>
    <row r="5268" spans="31:32" x14ac:dyDescent="0.25">
      <c r="AE5268" s="39" t="str">
        <f>IF(D5268="","",IFERROR(VLOOKUP(D5268,Projects!$A$2:$A$20000,1,FALSE),""))</f>
        <v/>
      </c>
      <c r="AF5268" s="2" t="str">
        <f>IF(D5268="","",IFERROR(MATCH(D5268,Projects!$A:$A,0),""))</f>
        <v/>
      </c>
    </row>
    <row r="5269" spans="31:32" x14ac:dyDescent="0.25">
      <c r="AE5269" s="39" t="str">
        <f>IF(D5269="","",IFERROR(VLOOKUP(D5269,Projects!$A$2:$A$20000,1,FALSE),""))</f>
        <v/>
      </c>
      <c r="AF5269" s="2" t="str">
        <f>IF(D5269="","",IFERROR(MATCH(D5269,Projects!$A:$A,0),""))</f>
        <v/>
      </c>
    </row>
    <row r="5270" spans="31:32" x14ac:dyDescent="0.25">
      <c r="AE5270" s="39" t="str">
        <f>IF(D5270="","",IFERROR(VLOOKUP(D5270,Projects!$A$2:$A$20000,1,FALSE),""))</f>
        <v/>
      </c>
      <c r="AF5270" s="2" t="str">
        <f>IF(D5270="","",IFERROR(MATCH(D5270,Projects!$A:$A,0),""))</f>
        <v/>
      </c>
    </row>
    <row r="5271" spans="31:32" x14ac:dyDescent="0.25">
      <c r="AE5271" s="39" t="str">
        <f>IF(D5271="","",IFERROR(VLOOKUP(D5271,Projects!$A$2:$A$20000,1,FALSE),""))</f>
        <v/>
      </c>
      <c r="AF5271" s="2" t="str">
        <f>IF(D5271="","",IFERROR(MATCH(D5271,Projects!$A:$A,0),""))</f>
        <v/>
      </c>
    </row>
    <row r="5272" spans="31:32" x14ac:dyDescent="0.25">
      <c r="AE5272" s="39" t="str">
        <f>IF(D5272="","",IFERROR(VLOOKUP(D5272,Projects!$A$2:$A$20000,1,FALSE),""))</f>
        <v/>
      </c>
      <c r="AF5272" s="2" t="str">
        <f>IF(D5272="","",IFERROR(MATCH(D5272,Projects!$A:$A,0),""))</f>
        <v/>
      </c>
    </row>
    <row r="5273" spans="31:32" x14ac:dyDescent="0.25">
      <c r="AE5273" s="39" t="str">
        <f>IF(D5273="","",IFERROR(VLOOKUP(D5273,Projects!$A$2:$A$20000,1,FALSE),""))</f>
        <v/>
      </c>
      <c r="AF5273" s="2" t="str">
        <f>IF(D5273="","",IFERROR(MATCH(D5273,Projects!$A:$A,0),""))</f>
        <v/>
      </c>
    </row>
    <row r="5274" spans="31:32" x14ac:dyDescent="0.25">
      <c r="AE5274" s="39" t="str">
        <f>IF(D5274="","",IFERROR(VLOOKUP(D5274,Projects!$A$2:$A$20000,1,FALSE),""))</f>
        <v/>
      </c>
      <c r="AF5274" s="2" t="str">
        <f>IF(D5274="","",IFERROR(MATCH(D5274,Projects!$A:$A,0),""))</f>
        <v/>
      </c>
    </row>
    <row r="5275" spans="31:32" x14ac:dyDescent="0.25">
      <c r="AE5275" s="39" t="str">
        <f>IF(D5275="","",IFERROR(VLOOKUP(D5275,Projects!$A$2:$A$20000,1,FALSE),""))</f>
        <v/>
      </c>
      <c r="AF5275" s="2" t="str">
        <f>IF(D5275="","",IFERROR(MATCH(D5275,Projects!$A:$A,0),""))</f>
        <v/>
      </c>
    </row>
    <row r="5276" spans="31:32" x14ac:dyDescent="0.25">
      <c r="AE5276" s="39" t="str">
        <f>IF(D5276="","",IFERROR(VLOOKUP(D5276,Projects!$A$2:$A$20000,1,FALSE),""))</f>
        <v/>
      </c>
      <c r="AF5276" s="2" t="str">
        <f>IF(D5276="","",IFERROR(MATCH(D5276,Projects!$A:$A,0),""))</f>
        <v/>
      </c>
    </row>
    <row r="5277" spans="31:32" x14ac:dyDescent="0.25">
      <c r="AE5277" s="39" t="str">
        <f>IF(D5277="","",IFERROR(VLOOKUP(D5277,Projects!$A$2:$A$20000,1,FALSE),""))</f>
        <v/>
      </c>
      <c r="AF5277" s="2" t="str">
        <f>IF(D5277="","",IFERROR(MATCH(D5277,Projects!$A:$A,0),""))</f>
        <v/>
      </c>
    </row>
    <row r="5278" spans="31:32" x14ac:dyDescent="0.25">
      <c r="AE5278" s="39" t="str">
        <f>IF(D5278="","",IFERROR(VLOOKUP(D5278,Projects!$A$2:$A$20000,1,FALSE),""))</f>
        <v/>
      </c>
      <c r="AF5278" s="2" t="str">
        <f>IF(D5278="","",IFERROR(MATCH(D5278,Projects!$A:$A,0),""))</f>
        <v/>
      </c>
    </row>
    <row r="5279" spans="31:32" x14ac:dyDescent="0.25">
      <c r="AE5279" s="39" t="str">
        <f>IF(D5279="","",IFERROR(VLOOKUP(D5279,Projects!$A$2:$A$20000,1,FALSE),""))</f>
        <v/>
      </c>
      <c r="AF5279" s="2" t="str">
        <f>IF(D5279="","",IFERROR(MATCH(D5279,Projects!$A:$A,0),""))</f>
        <v/>
      </c>
    </row>
    <row r="5280" spans="31:32" x14ac:dyDescent="0.25">
      <c r="AE5280" s="39" t="str">
        <f>IF(D5280="","",IFERROR(VLOOKUP(D5280,Projects!$A$2:$A$20000,1,FALSE),""))</f>
        <v/>
      </c>
      <c r="AF5280" s="2" t="str">
        <f>IF(D5280="","",IFERROR(MATCH(D5280,Projects!$A:$A,0),""))</f>
        <v/>
      </c>
    </row>
    <row r="5281" spans="31:32" x14ac:dyDescent="0.25">
      <c r="AE5281" s="39" t="str">
        <f>IF(D5281="","",IFERROR(VLOOKUP(D5281,Projects!$A$2:$A$20000,1,FALSE),""))</f>
        <v/>
      </c>
      <c r="AF5281" s="2" t="str">
        <f>IF(D5281="","",IFERROR(MATCH(D5281,Projects!$A:$A,0),""))</f>
        <v/>
      </c>
    </row>
    <row r="5282" spans="31:32" x14ac:dyDescent="0.25">
      <c r="AE5282" s="39" t="str">
        <f>IF(D5282="","",IFERROR(VLOOKUP(D5282,Projects!$A$2:$A$20000,1,FALSE),""))</f>
        <v/>
      </c>
      <c r="AF5282" s="2" t="str">
        <f>IF(D5282="","",IFERROR(MATCH(D5282,Projects!$A:$A,0),""))</f>
        <v/>
      </c>
    </row>
    <row r="5283" spans="31:32" x14ac:dyDescent="0.25">
      <c r="AE5283" s="39" t="str">
        <f>IF(D5283="","",IFERROR(VLOOKUP(D5283,Projects!$A$2:$A$20000,1,FALSE),""))</f>
        <v/>
      </c>
      <c r="AF5283" s="2" t="str">
        <f>IF(D5283="","",IFERROR(MATCH(D5283,Projects!$A:$A,0),""))</f>
        <v/>
      </c>
    </row>
    <row r="5284" spans="31:32" x14ac:dyDescent="0.25">
      <c r="AE5284" s="39" t="str">
        <f>IF(D5284="","",IFERROR(VLOOKUP(D5284,Projects!$A$2:$A$20000,1,FALSE),""))</f>
        <v/>
      </c>
      <c r="AF5284" s="2" t="str">
        <f>IF(D5284="","",IFERROR(MATCH(D5284,Projects!$A:$A,0),""))</f>
        <v/>
      </c>
    </row>
    <row r="5285" spans="31:32" x14ac:dyDescent="0.25">
      <c r="AE5285" s="39" t="str">
        <f>IF(D5285="","",IFERROR(VLOOKUP(D5285,Projects!$A$2:$A$20000,1,FALSE),""))</f>
        <v/>
      </c>
      <c r="AF5285" s="2" t="str">
        <f>IF(D5285="","",IFERROR(MATCH(D5285,Projects!$A:$A,0),""))</f>
        <v/>
      </c>
    </row>
    <row r="5286" spans="31:32" x14ac:dyDescent="0.25">
      <c r="AE5286" s="39" t="str">
        <f>IF(D5286="","",IFERROR(VLOOKUP(D5286,Projects!$A$2:$A$20000,1,FALSE),""))</f>
        <v/>
      </c>
      <c r="AF5286" s="2" t="str">
        <f>IF(D5286="","",IFERROR(MATCH(D5286,Projects!$A:$A,0),""))</f>
        <v/>
      </c>
    </row>
    <row r="5287" spans="31:32" x14ac:dyDescent="0.25">
      <c r="AE5287" s="39" t="str">
        <f>IF(D5287="","",IFERROR(VLOOKUP(D5287,Projects!$A$2:$A$20000,1,FALSE),""))</f>
        <v/>
      </c>
      <c r="AF5287" s="2" t="str">
        <f>IF(D5287="","",IFERROR(MATCH(D5287,Projects!$A:$A,0),""))</f>
        <v/>
      </c>
    </row>
    <row r="5288" spans="31:32" x14ac:dyDescent="0.25">
      <c r="AE5288" s="39" t="str">
        <f>IF(D5288="","",IFERROR(VLOOKUP(D5288,Projects!$A$2:$A$20000,1,FALSE),""))</f>
        <v/>
      </c>
      <c r="AF5288" s="2" t="str">
        <f>IF(D5288="","",IFERROR(MATCH(D5288,Projects!$A:$A,0),""))</f>
        <v/>
      </c>
    </row>
    <row r="5289" spans="31:32" x14ac:dyDescent="0.25">
      <c r="AE5289" s="39" t="str">
        <f>IF(D5289="","",IFERROR(VLOOKUP(D5289,Projects!$A$2:$A$20000,1,FALSE),""))</f>
        <v/>
      </c>
      <c r="AF5289" s="2" t="str">
        <f>IF(D5289="","",IFERROR(MATCH(D5289,Projects!$A:$A,0),""))</f>
        <v/>
      </c>
    </row>
    <row r="5290" spans="31:32" x14ac:dyDescent="0.25">
      <c r="AE5290" s="39" t="str">
        <f>IF(D5290="","",IFERROR(VLOOKUP(D5290,Projects!$A$2:$A$20000,1,FALSE),""))</f>
        <v/>
      </c>
      <c r="AF5290" s="2" t="str">
        <f>IF(D5290="","",IFERROR(MATCH(D5290,Projects!$A:$A,0),""))</f>
        <v/>
      </c>
    </row>
    <row r="5291" spans="31:32" x14ac:dyDescent="0.25">
      <c r="AE5291" s="39" t="str">
        <f>IF(D5291="","",IFERROR(VLOOKUP(D5291,Projects!$A$2:$A$20000,1,FALSE),""))</f>
        <v/>
      </c>
      <c r="AF5291" s="2" t="str">
        <f>IF(D5291="","",IFERROR(MATCH(D5291,Projects!$A:$A,0),""))</f>
        <v/>
      </c>
    </row>
    <row r="5292" spans="31:32" x14ac:dyDescent="0.25">
      <c r="AE5292" s="39" t="str">
        <f>IF(D5292="","",IFERROR(VLOOKUP(D5292,Projects!$A$2:$A$20000,1,FALSE),""))</f>
        <v/>
      </c>
      <c r="AF5292" s="2" t="str">
        <f>IF(D5292="","",IFERROR(MATCH(D5292,Projects!$A:$A,0),""))</f>
        <v/>
      </c>
    </row>
    <row r="5293" spans="31:32" x14ac:dyDescent="0.25">
      <c r="AE5293" s="39" t="str">
        <f>IF(D5293="","",IFERROR(VLOOKUP(D5293,Projects!$A$2:$A$20000,1,FALSE),""))</f>
        <v/>
      </c>
      <c r="AF5293" s="2" t="str">
        <f>IF(D5293="","",IFERROR(MATCH(D5293,Projects!$A:$A,0),""))</f>
        <v/>
      </c>
    </row>
    <row r="5294" spans="31:32" x14ac:dyDescent="0.25">
      <c r="AE5294" s="39" t="str">
        <f>IF(D5294="","",IFERROR(VLOOKUP(D5294,Projects!$A$2:$A$20000,1,FALSE),""))</f>
        <v/>
      </c>
      <c r="AF5294" s="2" t="str">
        <f>IF(D5294="","",IFERROR(MATCH(D5294,Projects!$A:$A,0),""))</f>
        <v/>
      </c>
    </row>
    <row r="5295" spans="31:32" x14ac:dyDescent="0.25">
      <c r="AE5295" s="39" t="str">
        <f>IF(D5295="","",IFERROR(VLOOKUP(D5295,Projects!$A$2:$A$20000,1,FALSE),""))</f>
        <v/>
      </c>
      <c r="AF5295" s="2" t="str">
        <f>IF(D5295="","",IFERROR(MATCH(D5295,Projects!$A:$A,0),""))</f>
        <v/>
      </c>
    </row>
    <row r="5296" spans="31:32" x14ac:dyDescent="0.25">
      <c r="AE5296" s="39" t="str">
        <f>IF(D5296="","",IFERROR(VLOOKUP(D5296,Projects!$A$2:$A$20000,1,FALSE),""))</f>
        <v/>
      </c>
      <c r="AF5296" s="2" t="str">
        <f>IF(D5296="","",IFERROR(MATCH(D5296,Projects!$A:$A,0),""))</f>
        <v/>
      </c>
    </row>
    <row r="5297" spans="31:32" x14ac:dyDescent="0.25">
      <c r="AE5297" s="39" t="str">
        <f>IF(D5297="","",IFERROR(VLOOKUP(D5297,Projects!$A$2:$A$20000,1,FALSE),""))</f>
        <v/>
      </c>
      <c r="AF5297" s="2" t="str">
        <f>IF(D5297="","",IFERROR(MATCH(D5297,Projects!$A:$A,0),""))</f>
        <v/>
      </c>
    </row>
    <row r="5298" spans="31:32" x14ac:dyDescent="0.25">
      <c r="AE5298" s="39" t="str">
        <f>IF(D5298="","",IFERROR(VLOOKUP(D5298,Projects!$A$2:$A$20000,1,FALSE),""))</f>
        <v/>
      </c>
      <c r="AF5298" s="2" t="str">
        <f>IF(D5298="","",IFERROR(MATCH(D5298,Projects!$A:$A,0),""))</f>
        <v/>
      </c>
    </row>
    <row r="5299" spans="31:32" x14ac:dyDescent="0.25">
      <c r="AE5299" s="39" t="str">
        <f>IF(D5299="","",IFERROR(VLOOKUP(D5299,Projects!$A$2:$A$20000,1,FALSE),""))</f>
        <v/>
      </c>
      <c r="AF5299" s="2" t="str">
        <f>IF(D5299="","",IFERROR(MATCH(D5299,Projects!$A:$A,0),""))</f>
        <v/>
      </c>
    </row>
    <row r="5300" spans="31:32" x14ac:dyDescent="0.25">
      <c r="AE5300" s="39" t="str">
        <f>IF(D5300="","",IFERROR(VLOOKUP(D5300,Projects!$A$2:$A$20000,1,FALSE),""))</f>
        <v/>
      </c>
      <c r="AF5300" s="2" t="str">
        <f>IF(D5300="","",IFERROR(MATCH(D5300,Projects!$A:$A,0),""))</f>
        <v/>
      </c>
    </row>
    <row r="5301" spans="31:32" x14ac:dyDescent="0.25">
      <c r="AE5301" s="39" t="str">
        <f>IF(D5301="","",IFERROR(VLOOKUP(D5301,Projects!$A$2:$A$20000,1,FALSE),""))</f>
        <v/>
      </c>
      <c r="AF5301" s="2" t="str">
        <f>IF(D5301="","",IFERROR(MATCH(D5301,Projects!$A:$A,0),""))</f>
        <v/>
      </c>
    </row>
    <row r="5302" spans="31:32" x14ac:dyDescent="0.25">
      <c r="AE5302" s="39" t="str">
        <f>IF(D5302="","",IFERROR(VLOOKUP(D5302,Projects!$A$2:$A$20000,1,FALSE),""))</f>
        <v/>
      </c>
      <c r="AF5302" s="2" t="str">
        <f>IF(D5302="","",IFERROR(MATCH(D5302,Projects!$A:$A,0),""))</f>
        <v/>
      </c>
    </row>
    <row r="5303" spans="31:32" x14ac:dyDescent="0.25">
      <c r="AE5303" s="39" t="str">
        <f>IF(D5303="","",IFERROR(VLOOKUP(D5303,Projects!$A$2:$A$20000,1,FALSE),""))</f>
        <v/>
      </c>
      <c r="AF5303" s="2" t="str">
        <f>IF(D5303="","",IFERROR(MATCH(D5303,Projects!$A:$A,0),""))</f>
        <v/>
      </c>
    </row>
    <row r="5304" spans="31:32" x14ac:dyDescent="0.25">
      <c r="AE5304" s="39" t="str">
        <f>IF(D5304="","",IFERROR(VLOOKUP(D5304,Projects!$A$2:$A$20000,1,FALSE),""))</f>
        <v/>
      </c>
      <c r="AF5304" s="2" t="str">
        <f>IF(D5304="","",IFERROR(MATCH(D5304,Projects!$A:$A,0),""))</f>
        <v/>
      </c>
    </row>
    <row r="5305" spans="31:32" x14ac:dyDescent="0.25">
      <c r="AE5305" s="39" t="str">
        <f>IF(D5305="","",IFERROR(VLOOKUP(D5305,Projects!$A$2:$A$20000,1,FALSE),""))</f>
        <v/>
      </c>
      <c r="AF5305" s="2" t="str">
        <f>IF(D5305="","",IFERROR(MATCH(D5305,Projects!$A:$A,0),""))</f>
        <v/>
      </c>
    </row>
    <row r="5306" spans="31:32" x14ac:dyDescent="0.25">
      <c r="AE5306" s="39" t="str">
        <f>IF(D5306="","",IFERROR(VLOOKUP(D5306,Projects!$A$2:$A$20000,1,FALSE),""))</f>
        <v/>
      </c>
      <c r="AF5306" s="2" t="str">
        <f>IF(D5306="","",IFERROR(MATCH(D5306,Projects!$A:$A,0),""))</f>
        <v/>
      </c>
    </row>
    <row r="5307" spans="31:32" x14ac:dyDescent="0.25">
      <c r="AE5307" s="39" t="str">
        <f>IF(D5307="","",IFERROR(VLOOKUP(D5307,Projects!$A$2:$A$20000,1,FALSE),""))</f>
        <v/>
      </c>
      <c r="AF5307" s="2" t="str">
        <f>IF(D5307="","",IFERROR(MATCH(D5307,Projects!$A:$A,0),""))</f>
        <v/>
      </c>
    </row>
    <row r="5308" spans="31:32" x14ac:dyDescent="0.25">
      <c r="AE5308" s="39" t="str">
        <f>IF(D5308="","",IFERROR(VLOOKUP(D5308,Projects!$A$2:$A$20000,1,FALSE),""))</f>
        <v/>
      </c>
      <c r="AF5308" s="2" t="str">
        <f>IF(D5308="","",IFERROR(MATCH(D5308,Projects!$A:$A,0),""))</f>
        <v/>
      </c>
    </row>
    <row r="5309" spans="31:32" x14ac:dyDescent="0.25">
      <c r="AE5309" s="39" t="str">
        <f>IF(D5309="","",IFERROR(VLOOKUP(D5309,Projects!$A$2:$A$20000,1,FALSE),""))</f>
        <v/>
      </c>
      <c r="AF5309" s="2" t="str">
        <f>IF(D5309="","",IFERROR(MATCH(D5309,Projects!$A:$A,0),""))</f>
        <v/>
      </c>
    </row>
    <row r="5310" spans="31:32" x14ac:dyDescent="0.25">
      <c r="AE5310" s="39" t="str">
        <f>IF(D5310="","",IFERROR(VLOOKUP(D5310,Projects!$A$2:$A$20000,1,FALSE),""))</f>
        <v/>
      </c>
      <c r="AF5310" s="2" t="str">
        <f>IF(D5310="","",IFERROR(MATCH(D5310,Projects!$A:$A,0),""))</f>
        <v/>
      </c>
    </row>
    <row r="5311" spans="31:32" x14ac:dyDescent="0.25">
      <c r="AE5311" s="39" t="str">
        <f>IF(D5311="","",IFERROR(VLOOKUP(D5311,Projects!$A$2:$A$20000,1,FALSE),""))</f>
        <v/>
      </c>
      <c r="AF5311" s="2" t="str">
        <f>IF(D5311="","",IFERROR(MATCH(D5311,Projects!$A:$A,0),""))</f>
        <v/>
      </c>
    </row>
    <row r="5312" spans="31:32" x14ac:dyDescent="0.25">
      <c r="AE5312" s="39" t="str">
        <f>IF(D5312="","",IFERROR(VLOOKUP(D5312,Projects!$A$2:$A$20000,1,FALSE),""))</f>
        <v/>
      </c>
      <c r="AF5312" s="2" t="str">
        <f>IF(D5312="","",IFERROR(MATCH(D5312,Projects!$A:$A,0),""))</f>
        <v/>
      </c>
    </row>
    <row r="5313" spans="31:32" x14ac:dyDescent="0.25">
      <c r="AE5313" s="39" t="str">
        <f>IF(D5313="","",IFERROR(VLOOKUP(D5313,Projects!$A$2:$A$20000,1,FALSE),""))</f>
        <v/>
      </c>
      <c r="AF5313" s="2" t="str">
        <f>IF(D5313="","",IFERROR(MATCH(D5313,Projects!$A:$A,0),""))</f>
        <v/>
      </c>
    </row>
    <row r="5314" spans="31:32" x14ac:dyDescent="0.25">
      <c r="AE5314" s="39" t="str">
        <f>IF(D5314="","",IFERROR(VLOOKUP(D5314,Projects!$A$2:$A$20000,1,FALSE),""))</f>
        <v/>
      </c>
      <c r="AF5314" s="2" t="str">
        <f>IF(D5314="","",IFERROR(MATCH(D5314,Projects!$A:$A,0),""))</f>
        <v/>
      </c>
    </row>
    <row r="5315" spans="31:32" x14ac:dyDescent="0.25">
      <c r="AE5315" s="39" t="str">
        <f>IF(D5315="","",IFERROR(VLOOKUP(D5315,Projects!$A$2:$A$20000,1,FALSE),""))</f>
        <v/>
      </c>
      <c r="AF5315" s="2" t="str">
        <f>IF(D5315="","",IFERROR(MATCH(D5315,Projects!$A:$A,0),""))</f>
        <v/>
      </c>
    </row>
    <row r="5316" spans="31:32" x14ac:dyDescent="0.25">
      <c r="AE5316" s="39" t="str">
        <f>IF(D5316="","",IFERROR(VLOOKUP(D5316,Projects!$A$2:$A$20000,1,FALSE),""))</f>
        <v/>
      </c>
      <c r="AF5316" s="2" t="str">
        <f>IF(D5316="","",IFERROR(MATCH(D5316,Projects!$A:$A,0),""))</f>
        <v/>
      </c>
    </row>
    <row r="5317" spans="31:32" x14ac:dyDescent="0.25">
      <c r="AE5317" s="39" t="str">
        <f>IF(D5317="","",IFERROR(VLOOKUP(D5317,Projects!$A$2:$A$20000,1,FALSE),""))</f>
        <v/>
      </c>
      <c r="AF5317" s="2" t="str">
        <f>IF(D5317="","",IFERROR(MATCH(D5317,Projects!$A:$A,0),""))</f>
        <v/>
      </c>
    </row>
    <row r="5318" spans="31:32" x14ac:dyDescent="0.25">
      <c r="AE5318" s="39" t="str">
        <f>IF(D5318="","",IFERROR(VLOOKUP(D5318,Projects!$A$2:$A$20000,1,FALSE),""))</f>
        <v/>
      </c>
      <c r="AF5318" s="2" t="str">
        <f>IF(D5318="","",IFERROR(MATCH(D5318,Projects!$A:$A,0),""))</f>
        <v/>
      </c>
    </row>
    <row r="5319" spans="31:32" x14ac:dyDescent="0.25">
      <c r="AE5319" s="39" t="str">
        <f>IF(D5319="","",IFERROR(VLOOKUP(D5319,Projects!$A$2:$A$20000,1,FALSE),""))</f>
        <v/>
      </c>
      <c r="AF5319" s="2" t="str">
        <f>IF(D5319="","",IFERROR(MATCH(D5319,Projects!$A:$A,0),""))</f>
        <v/>
      </c>
    </row>
    <row r="5320" spans="31:32" x14ac:dyDescent="0.25">
      <c r="AE5320" s="39" t="str">
        <f>IF(D5320="","",IFERROR(VLOOKUP(D5320,Projects!$A$2:$A$20000,1,FALSE),""))</f>
        <v/>
      </c>
      <c r="AF5320" s="2" t="str">
        <f>IF(D5320="","",IFERROR(MATCH(D5320,Projects!$A:$A,0),""))</f>
        <v/>
      </c>
    </row>
    <row r="5321" spans="31:32" x14ac:dyDescent="0.25">
      <c r="AE5321" s="39" t="str">
        <f>IF(D5321="","",IFERROR(VLOOKUP(D5321,Projects!$A$2:$A$20000,1,FALSE),""))</f>
        <v/>
      </c>
      <c r="AF5321" s="2" t="str">
        <f>IF(D5321="","",IFERROR(MATCH(D5321,Projects!$A:$A,0),""))</f>
        <v/>
      </c>
    </row>
    <row r="5322" spans="31:32" x14ac:dyDescent="0.25">
      <c r="AE5322" s="39" t="str">
        <f>IF(D5322="","",IFERROR(VLOOKUP(D5322,Projects!$A$2:$A$20000,1,FALSE),""))</f>
        <v/>
      </c>
      <c r="AF5322" s="2" t="str">
        <f>IF(D5322="","",IFERROR(MATCH(D5322,Projects!$A:$A,0),""))</f>
        <v/>
      </c>
    </row>
    <row r="5323" spans="31:32" x14ac:dyDescent="0.25">
      <c r="AE5323" s="39" t="str">
        <f>IF(D5323="","",IFERROR(VLOOKUP(D5323,Projects!$A$2:$A$20000,1,FALSE),""))</f>
        <v/>
      </c>
      <c r="AF5323" s="2" t="str">
        <f>IF(D5323="","",IFERROR(MATCH(D5323,Projects!$A:$A,0),""))</f>
        <v/>
      </c>
    </row>
    <row r="5324" spans="31:32" x14ac:dyDescent="0.25">
      <c r="AE5324" s="39" t="str">
        <f>IF(D5324="","",IFERROR(VLOOKUP(D5324,Projects!$A$2:$A$20000,1,FALSE),""))</f>
        <v/>
      </c>
      <c r="AF5324" s="2" t="str">
        <f>IF(D5324="","",IFERROR(MATCH(D5324,Projects!$A:$A,0),""))</f>
        <v/>
      </c>
    </row>
    <row r="5325" spans="31:32" x14ac:dyDescent="0.25">
      <c r="AE5325" s="39" t="str">
        <f>IF(D5325="","",IFERROR(VLOOKUP(D5325,Projects!$A$2:$A$20000,1,FALSE),""))</f>
        <v/>
      </c>
      <c r="AF5325" s="2" t="str">
        <f>IF(D5325="","",IFERROR(MATCH(D5325,Projects!$A:$A,0),""))</f>
        <v/>
      </c>
    </row>
    <row r="5326" spans="31:32" x14ac:dyDescent="0.25">
      <c r="AE5326" s="39" t="str">
        <f>IF(D5326="","",IFERROR(VLOOKUP(D5326,Projects!$A$2:$A$20000,1,FALSE),""))</f>
        <v/>
      </c>
      <c r="AF5326" s="2" t="str">
        <f>IF(D5326="","",IFERROR(MATCH(D5326,Projects!$A:$A,0),""))</f>
        <v/>
      </c>
    </row>
    <row r="5327" spans="31:32" x14ac:dyDescent="0.25">
      <c r="AE5327" s="39" t="str">
        <f>IF(D5327="","",IFERROR(VLOOKUP(D5327,Projects!$A$2:$A$20000,1,FALSE),""))</f>
        <v/>
      </c>
      <c r="AF5327" s="2" t="str">
        <f>IF(D5327="","",IFERROR(MATCH(D5327,Projects!$A:$A,0),""))</f>
        <v/>
      </c>
    </row>
    <row r="5328" spans="31:32" x14ac:dyDescent="0.25">
      <c r="AE5328" s="39" t="str">
        <f>IF(D5328="","",IFERROR(VLOOKUP(D5328,Projects!$A$2:$A$20000,1,FALSE),""))</f>
        <v/>
      </c>
      <c r="AF5328" s="2" t="str">
        <f>IF(D5328="","",IFERROR(MATCH(D5328,Projects!$A:$A,0),""))</f>
        <v/>
      </c>
    </row>
    <row r="5329" spans="31:32" x14ac:dyDescent="0.25">
      <c r="AE5329" s="39" t="str">
        <f>IF(D5329="","",IFERROR(VLOOKUP(D5329,Projects!$A$2:$A$20000,1,FALSE),""))</f>
        <v/>
      </c>
      <c r="AF5329" s="2" t="str">
        <f>IF(D5329="","",IFERROR(MATCH(D5329,Projects!$A:$A,0),""))</f>
        <v/>
      </c>
    </row>
    <row r="5330" spans="31:32" x14ac:dyDescent="0.25">
      <c r="AE5330" s="39" t="str">
        <f>IF(D5330="","",IFERROR(VLOOKUP(D5330,Projects!$A$2:$A$20000,1,FALSE),""))</f>
        <v/>
      </c>
      <c r="AF5330" s="2" t="str">
        <f>IF(D5330="","",IFERROR(MATCH(D5330,Projects!$A:$A,0),""))</f>
        <v/>
      </c>
    </row>
    <row r="5331" spans="31:32" x14ac:dyDescent="0.25">
      <c r="AE5331" s="39" t="str">
        <f>IF(D5331="","",IFERROR(VLOOKUP(D5331,Projects!$A$2:$A$20000,1,FALSE),""))</f>
        <v/>
      </c>
      <c r="AF5331" s="2" t="str">
        <f>IF(D5331="","",IFERROR(MATCH(D5331,Projects!$A:$A,0),""))</f>
        <v/>
      </c>
    </row>
    <row r="5332" spans="31:32" x14ac:dyDescent="0.25">
      <c r="AE5332" s="39" t="str">
        <f>IF(D5332="","",IFERROR(VLOOKUP(D5332,Projects!$A$2:$A$20000,1,FALSE),""))</f>
        <v/>
      </c>
      <c r="AF5332" s="2" t="str">
        <f>IF(D5332="","",IFERROR(MATCH(D5332,Projects!$A:$A,0),""))</f>
        <v/>
      </c>
    </row>
    <row r="5333" spans="31:32" x14ac:dyDescent="0.25">
      <c r="AE5333" s="39" t="str">
        <f>IF(D5333="","",IFERROR(VLOOKUP(D5333,Projects!$A$2:$A$20000,1,FALSE),""))</f>
        <v/>
      </c>
      <c r="AF5333" s="2" t="str">
        <f>IF(D5333="","",IFERROR(MATCH(D5333,Projects!$A:$A,0),""))</f>
        <v/>
      </c>
    </row>
    <row r="5334" spans="31:32" x14ac:dyDescent="0.25">
      <c r="AE5334" s="39" t="str">
        <f>IF(D5334="","",IFERROR(VLOOKUP(D5334,Projects!$A$2:$A$20000,1,FALSE),""))</f>
        <v/>
      </c>
      <c r="AF5334" s="2" t="str">
        <f>IF(D5334="","",IFERROR(MATCH(D5334,Projects!$A:$A,0),""))</f>
        <v/>
      </c>
    </row>
    <row r="5335" spans="31:32" x14ac:dyDescent="0.25">
      <c r="AE5335" s="39" t="str">
        <f>IF(D5335="","",IFERROR(VLOOKUP(D5335,Projects!$A$2:$A$20000,1,FALSE),""))</f>
        <v/>
      </c>
      <c r="AF5335" s="2" t="str">
        <f>IF(D5335="","",IFERROR(MATCH(D5335,Projects!$A:$A,0),""))</f>
        <v/>
      </c>
    </row>
    <row r="5336" spans="31:32" x14ac:dyDescent="0.25">
      <c r="AE5336" s="39" t="str">
        <f>IF(D5336="","",IFERROR(VLOOKUP(D5336,Projects!$A$2:$A$20000,1,FALSE),""))</f>
        <v/>
      </c>
      <c r="AF5336" s="2" t="str">
        <f>IF(D5336="","",IFERROR(MATCH(D5336,Projects!$A:$A,0),""))</f>
        <v/>
      </c>
    </row>
    <row r="5337" spans="31:32" x14ac:dyDescent="0.25">
      <c r="AE5337" s="39" t="str">
        <f>IF(D5337="","",IFERROR(VLOOKUP(D5337,Projects!$A$2:$A$20000,1,FALSE),""))</f>
        <v/>
      </c>
      <c r="AF5337" s="2" t="str">
        <f>IF(D5337="","",IFERROR(MATCH(D5337,Projects!$A:$A,0),""))</f>
        <v/>
      </c>
    </row>
    <row r="5338" spans="31:32" x14ac:dyDescent="0.25">
      <c r="AE5338" s="39" t="str">
        <f>IF(D5338="","",IFERROR(VLOOKUP(D5338,Projects!$A$2:$A$20000,1,FALSE),""))</f>
        <v/>
      </c>
      <c r="AF5338" s="2" t="str">
        <f>IF(D5338="","",IFERROR(MATCH(D5338,Projects!$A:$A,0),""))</f>
        <v/>
      </c>
    </row>
    <row r="5339" spans="31:32" x14ac:dyDescent="0.25">
      <c r="AE5339" s="39" t="str">
        <f>IF(D5339="","",IFERROR(VLOOKUP(D5339,Projects!$A$2:$A$20000,1,FALSE),""))</f>
        <v/>
      </c>
      <c r="AF5339" s="2" t="str">
        <f>IF(D5339="","",IFERROR(MATCH(D5339,Projects!$A:$A,0),""))</f>
        <v/>
      </c>
    </row>
    <row r="5340" spans="31:32" x14ac:dyDescent="0.25">
      <c r="AE5340" s="39" t="str">
        <f>IF(D5340="","",IFERROR(VLOOKUP(D5340,Projects!$A$2:$A$20000,1,FALSE),""))</f>
        <v/>
      </c>
      <c r="AF5340" s="2" t="str">
        <f>IF(D5340="","",IFERROR(MATCH(D5340,Projects!$A:$A,0),""))</f>
        <v/>
      </c>
    </row>
    <row r="5341" spans="31:32" x14ac:dyDescent="0.25">
      <c r="AE5341" s="39" t="str">
        <f>IF(D5341="","",IFERROR(VLOOKUP(D5341,Projects!$A$2:$A$20000,1,FALSE),""))</f>
        <v/>
      </c>
      <c r="AF5341" s="2" t="str">
        <f>IF(D5341="","",IFERROR(MATCH(D5341,Projects!$A:$A,0),""))</f>
        <v/>
      </c>
    </row>
    <row r="5342" spans="31:32" x14ac:dyDescent="0.25">
      <c r="AE5342" s="39" t="str">
        <f>IF(D5342="","",IFERROR(VLOOKUP(D5342,Projects!$A$2:$A$20000,1,FALSE),""))</f>
        <v/>
      </c>
      <c r="AF5342" s="2" t="str">
        <f>IF(D5342="","",IFERROR(MATCH(D5342,Projects!$A:$A,0),""))</f>
        <v/>
      </c>
    </row>
    <row r="5343" spans="31:32" x14ac:dyDescent="0.25">
      <c r="AE5343" s="39" t="str">
        <f>IF(D5343="","",IFERROR(VLOOKUP(D5343,Projects!$A$2:$A$20000,1,FALSE),""))</f>
        <v/>
      </c>
      <c r="AF5343" s="2" t="str">
        <f>IF(D5343="","",IFERROR(MATCH(D5343,Projects!$A:$A,0),""))</f>
        <v/>
      </c>
    </row>
    <row r="5344" spans="31:32" x14ac:dyDescent="0.25">
      <c r="AE5344" s="39" t="str">
        <f>IF(D5344="","",IFERROR(VLOOKUP(D5344,Projects!$A$2:$A$20000,1,FALSE),""))</f>
        <v/>
      </c>
      <c r="AF5344" s="2" t="str">
        <f>IF(D5344="","",IFERROR(MATCH(D5344,Projects!$A:$A,0),""))</f>
        <v/>
      </c>
    </row>
    <row r="5345" spans="31:32" x14ac:dyDescent="0.25">
      <c r="AE5345" s="39" t="str">
        <f>IF(D5345="","",IFERROR(VLOOKUP(D5345,Projects!$A$2:$A$20000,1,FALSE),""))</f>
        <v/>
      </c>
      <c r="AF5345" s="2" t="str">
        <f>IF(D5345="","",IFERROR(MATCH(D5345,Projects!$A:$A,0),""))</f>
        <v/>
      </c>
    </row>
    <row r="5346" spans="31:32" x14ac:dyDescent="0.25">
      <c r="AE5346" s="39" t="str">
        <f>IF(D5346="","",IFERROR(VLOOKUP(D5346,Projects!$A$2:$A$20000,1,FALSE),""))</f>
        <v/>
      </c>
      <c r="AF5346" s="2" t="str">
        <f>IF(D5346="","",IFERROR(MATCH(D5346,Projects!$A:$A,0),""))</f>
        <v/>
      </c>
    </row>
    <row r="5347" spans="31:32" x14ac:dyDescent="0.25">
      <c r="AE5347" s="39" t="str">
        <f>IF(D5347="","",IFERROR(VLOOKUP(D5347,Projects!$A$2:$A$20000,1,FALSE),""))</f>
        <v/>
      </c>
      <c r="AF5347" s="2" t="str">
        <f>IF(D5347="","",IFERROR(MATCH(D5347,Projects!$A:$A,0),""))</f>
        <v/>
      </c>
    </row>
    <row r="5348" spans="31:32" x14ac:dyDescent="0.25">
      <c r="AE5348" s="39" t="str">
        <f>IF(D5348="","",IFERROR(VLOOKUP(D5348,Projects!$A$2:$A$20000,1,FALSE),""))</f>
        <v/>
      </c>
      <c r="AF5348" s="2" t="str">
        <f>IF(D5348="","",IFERROR(MATCH(D5348,Projects!$A:$A,0),""))</f>
        <v/>
      </c>
    </row>
    <row r="5349" spans="31:32" x14ac:dyDescent="0.25">
      <c r="AE5349" s="39" t="str">
        <f>IF(D5349="","",IFERROR(VLOOKUP(D5349,Projects!$A$2:$A$20000,1,FALSE),""))</f>
        <v/>
      </c>
      <c r="AF5349" s="2" t="str">
        <f>IF(D5349="","",IFERROR(MATCH(D5349,Projects!$A:$A,0),""))</f>
        <v/>
      </c>
    </row>
    <row r="5350" spans="31:32" x14ac:dyDescent="0.25">
      <c r="AE5350" s="39" t="str">
        <f>IF(D5350="","",IFERROR(VLOOKUP(D5350,Projects!$A$2:$A$20000,1,FALSE),""))</f>
        <v/>
      </c>
      <c r="AF5350" s="2" t="str">
        <f>IF(D5350="","",IFERROR(MATCH(D5350,Projects!$A:$A,0),""))</f>
        <v/>
      </c>
    </row>
    <row r="5351" spans="31:32" x14ac:dyDescent="0.25">
      <c r="AE5351" s="39" t="str">
        <f>IF(D5351="","",IFERROR(VLOOKUP(D5351,Projects!$A$2:$A$20000,1,FALSE),""))</f>
        <v/>
      </c>
      <c r="AF5351" s="2" t="str">
        <f>IF(D5351="","",IFERROR(MATCH(D5351,Projects!$A:$A,0),""))</f>
        <v/>
      </c>
    </row>
    <row r="5352" spans="31:32" x14ac:dyDescent="0.25">
      <c r="AE5352" s="39" t="str">
        <f>IF(D5352="","",IFERROR(VLOOKUP(D5352,Projects!$A$2:$A$20000,1,FALSE),""))</f>
        <v/>
      </c>
      <c r="AF5352" s="2" t="str">
        <f>IF(D5352="","",IFERROR(MATCH(D5352,Projects!$A:$A,0),""))</f>
        <v/>
      </c>
    </row>
    <row r="5353" spans="31:32" x14ac:dyDescent="0.25">
      <c r="AE5353" s="39" t="str">
        <f>IF(D5353="","",IFERROR(VLOOKUP(D5353,Projects!$A$2:$A$20000,1,FALSE),""))</f>
        <v/>
      </c>
      <c r="AF5353" s="2" t="str">
        <f>IF(D5353="","",IFERROR(MATCH(D5353,Projects!$A:$A,0),""))</f>
        <v/>
      </c>
    </row>
    <row r="5354" spans="31:32" x14ac:dyDescent="0.25">
      <c r="AE5354" s="39" t="str">
        <f>IF(D5354="","",IFERROR(VLOOKUP(D5354,Projects!$A$2:$A$20000,1,FALSE),""))</f>
        <v/>
      </c>
      <c r="AF5354" s="2" t="str">
        <f>IF(D5354="","",IFERROR(MATCH(D5354,Projects!$A:$A,0),""))</f>
        <v/>
      </c>
    </row>
    <row r="5355" spans="31:32" x14ac:dyDescent="0.25">
      <c r="AE5355" s="39" t="str">
        <f>IF(D5355="","",IFERROR(VLOOKUP(D5355,Projects!$A$2:$A$20000,1,FALSE),""))</f>
        <v/>
      </c>
      <c r="AF5355" s="2" t="str">
        <f>IF(D5355="","",IFERROR(MATCH(D5355,Projects!$A:$A,0),""))</f>
        <v/>
      </c>
    </row>
    <row r="5356" spans="31:32" x14ac:dyDescent="0.25">
      <c r="AE5356" s="39" t="str">
        <f>IF(D5356="","",IFERROR(VLOOKUP(D5356,Projects!$A$2:$A$20000,1,FALSE),""))</f>
        <v/>
      </c>
      <c r="AF5356" s="2" t="str">
        <f>IF(D5356="","",IFERROR(MATCH(D5356,Projects!$A:$A,0),""))</f>
        <v/>
      </c>
    </row>
    <row r="5357" spans="31:32" x14ac:dyDescent="0.25">
      <c r="AE5357" s="39" t="str">
        <f>IF(D5357="","",IFERROR(VLOOKUP(D5357,Projects!$A$2:$A$20000,1,FALSE),""))</f>
        <v/>
      </c>
      <c r="AF5357" s="2" t="str">
        <f>IF(D5357="","",IFERROR(MATCH(D5357,Projects!$A:$A,0),""))</f>
        <v/>
      </c>
    </row>
    <row r="5358" spans="31:32" x14ac:dyDescent="0.25">
      <c r="AE5358" s="39" t="str">
        <f>IF(D5358="","",IFERROR(VLOOKUP(D5358,Projects!$A$2:$A$20000,1,FALSE),""))</f>
        <v/>
      </c>
      <c r="AF5358" s="2" t="str">
        <f>IF(D5358="","",IFERROR(MATCH(D5358,Projects!$A:$A,0),""))</f>
        <v/>
      </c>
    </row>
    <row r="5359" spans="31:32" x14ac:dyDescent="0.25">
      <c r="AE5359" s="39" t="str">
        <f>IF(D5359="","",IFERROR(VLOOKUP(D5359,Projects!$A$2:$A$20000,1,FALSE),""))</f>
        <v/>
      </c>
      <c r="AF5359" s="2" t="str">
        <f>IF(D5359="","",IFERROR(MATCH(D5359,Projects!$A:$A,0),""))</f>
        <v/>
      </c>
    </row>
    <row r="5360" spans="31:32" x14ac:dyDescent="0.25">
      <c r="AE5360" s="39" t="str">
        <f>IF(D5360="","",IFERROR(VLOOKUP(D5360,Projects!$A$2:$A$20000,1,FALSE),""))</f>
        <v/>
      </c>
      <c r="AF5360" s="2" t="str">
        <f>IF(D5360="","",IFERROR(MATCH(D5360,Projects!$A:$A,0),""))</f>
        <v/>
      </c>
    </row>
    <row r="5361" spans="31:32" x14ac:dyDescent="0.25">
      <c r="AE5361" s="39" t="str">
        <f>IF(D5361="","",IFERROR(VLOOKUP(D5361,Projects!$A$2:$A$20000,1,FALSE),""))</f>
        <v/>
      </c>
      <c r="AF5361" s="2" t="str">
        <f>IF(D5361="","",IFERROR(MATCH(D5361,Projects!$A:$A,0),""))</f>
        <v/>
      </c>
    </row>
    <row r="5362" spans="31:32" x14ac:dyDescent="0.25">
      <c r="AE5362" s="39" t="str">
        <f>IF(D5362="","",IFERROR(VLOOKUP(D5362,Projects!$A$2:$A$20000,1,FALSE),""))</f>
        <v/>
      </c>
      <c r="AF5362" s="2" t="str">
        <f>IF(D5362="","",IFERROR(MATCH(D5362,Projects!$A:$A,0),""))</f>
        <v/>
      </c>
    </row>
    <row r="5363" spans="31:32" x14ac:dyDescent="0.25">
      <c r="AE5363" s="39" t="str">
        <f>IF(D5363="","",IFERROR(VLOOKUP(D5363,Projects!$A$2:$A$20000,1,FALSE),""))</f>
        <v/>
      </c>
      <c r="AF5363" s="2" t="str">
        <f>IF(D5363="","",IFERROR(MATCH(D5363,Projects!$A:$A,0),""))</f>
        <v/>
      </c>
    </row>
    <row r="5364" spans="31:32" x14ac:dyDescent="0.25">
      <c r="AE5364" s="39" t="str">
        <f>IF(D5364="","",IFERROR(VLOOKUP(D5364,Projects!$A$2:$A$20000,1,FALSE),""))</f>
        <v/>
      </c>
      <c r="AF5364" s="2" t="str">
        <f>IF(D5364="","",IFERROR(MATCH(D5364,Projects!$A:$A,0),""))</f>
        <v/>
      </c>
    </row>
    <row r="5365" spans="31:32" x14ac:dyDescent="0.25">
      <c r="AE5365" s="39" t="str">
        <f>IF(D5365="","",IFERROR(VLOOKUP(D5365,Projects!$A$2:$A$20000,1,FALSE),""))</f>
        <v/>
      </c>
      <c r="AF5365" s="2" t="str">
        <f>IF(D5365="","",IFERROR(MATCH(D5365,Projects!$A:$A,0),""))</f>
        <v/>
      </c>
    </row>
    <row r="5366" spans="31:32" x14ac:dyDescent="0.25">
      <c r="AE5366" s="39" t="str">
        <f>IF(D5366="","",IFERROR(VLOOKUP(D5366,Projects!$A$2:$A$20000,1,FALSE),""))</f>
        <v/>
      </c>
      <c r="AF5366" s="2" t="str">
        <f>IF(D5366="","",IFERROR(MATCH(D5366,Projects!$A:$A,0),""))</f>
        <v/>
      </c>
    </row>
    <row r="5367" spans="31:32" x14ac:dyDescent="0.25">
      <c r="AE5367" s="39" t="str">
        <f>IF(D5367="","",IFERROR(VLOOKUP(D5367,Projects!$A$2:$A$20000,1,FALSE),""))</f>
        <v/>
      </c>
      <c r="AF5367" s="2" t="str">
        <f>IF(D5367="","",IFERROR(MATCH(D5367,Projects!$A:$A,0),""))</f>
        <v/>
      </c>
    </row>
    <row r="5368" spans="31:32" x14ac:dyDescent="0.25">
      <c r="AE5368" s="39" t="str">
        <f>IF(D5368="","",IFERROR(VLOOKUP(D5368,Projects!$A$2:$A$20000,1,FALSE),""))</f>
        <v/>
      </c>
      <c r="AF5368" s="2" t="str">
        <f>IF(D5368="","",IFERROR(MATCH(D5368,Projects!$A:$A,0),""))</f>
        <v/>
      </c>
    </row>
    <row r="5369" spans="31:32" x14ac:dyDescent="0.25">
      <c r="AE5369" s="39" t="str">
        <f>IF(D5369="","",IFERROR(VLOOKUP(D5369,Projects!$A$2:$A$20000,1,FALSE),""))</f>
        <v/>
      </c>
      <c r="AF5369" s="2" t="str">
        <f>IF(D5369="","",IFERROR(MATCH(D5369,Projects!$A:$A,0),""))</f>
        <v/>
      </c>
    </row>
    <row r="5370" spans="31:32" x14ac:dyDescent="0.25">
      <c r="AE5370" s="39" t="str">
        <f>IF(D5370="","",IFERROR(VLOOKUP(D5370,Projects!$A$2:$A$20000,1,FALSE),""))</f>
        <v/>
      </c>
      <c r="AF5370" s="2" t="str">
        <f>IF(D5370="","",IFERROR(MATCH(D5370,Projects!$A:$A,0),""))</f>
        <v/>
      </c>
    </row>
    <row r="5371" spans="31:32" x14ac:dyDescent="0.25">
      <c r="AE5371" s="39" t="str">
        <f>IF(D5371="","",IFERROR(VLOOKUP(D5371,Projects!$A$2:$A$20000,1,FALSE),""))</f>
        <v/>
      </c>
      <c r="AF5371" s="2" t="str">
        <f>IF(D5371="","",IFERROR(MATCH(D5371,Projects!$A:$A,0),""))</f>
        <v/>
      </c>
    </row>
    <row r="5372" spans="31:32" x14ac:dyDescent="0.25">
      <c r="AE5372" s="39" t="str">
        <f>IF(D5372="","",IFERROR(VLOOKUP(D5372,Projects!$A$2:$A$20000,1,FALSE),""))</f>
        <v/>
      </c>
      <c r="AF5372" s="2" t="str">
        <f>IF(D5372="","",IFERROR(MATCH(D5372,Projects!$A:$A,0),""))</f>
        <v/>
      </c>
    </row>
    <row r="5373" spans="31:32" x14ac:dyDescent="0.25">
      <c r="AE5373" s="39" t="str">
        <f>IF(D5373="","",IFERROR(VLOOKUP(D5373,Projects!$A$2:$A$20000,1,FALSE),""))</f>
        <v/>
      </c>
      <c r="AF5373" s="2" t="str">
        <f>IF(D5373="","",IFERROR(MATCH(D5373,Projects!$A:$A,0),""))</f>
        <v/>
      </c>
    </row>
    <row r="5374" spans="31:32" x14ac:dyDescent="0.25">
      <c r="AE5374" s="39" t="str">
        <f>IF(D5374="","",IFERROR(VLOOKUP(D5374,Projects!$A$2:$A$20000,1,FALSE),""))</f>
        <v/>
      </c>
      <c r="AF5374" s="2" t="str">
        <f>IF(D5374="","",IFERROR(MATCH(D5374,Projects!$A:$A,0),""))</f>
        <v/>
      </c>
    </row>
    <row r="5375" spans="31:32" x14ac:dyDescent="0.25">
      <c r="AE5375" s="39" t="str">
        <f>IF(D5375="","",IFERROR(VLOOKUP(D5375,Projects!$A$2:$A$20000,1,FALSE),""))</f>
        <v/>
      </c>
      <c r="AF5375" s="2" t="str">
        <f>IF(D5375="","",IFERROR(MATCH(D5375,Projects!$A:$A,0),""))</f>
        <v/>
      </c>
    </row>
    <row r="5376" spans="31:32" x14ac:dyDescent="0.25">
      <c r="AE5376" s="39" t="str">
        <f>IF(D5376="","",IFERROR(VLOOKUP(D5376,Projects!$A$2:$A$20000,1,FALSE),""))</f>
        <v/>
      </c>
      <c r="AF5376" s="2" t="str">
        <f>IF(D5376="","",IFERROR(MATCH(D5376,Projects!$A:$A,0),""))</f>
        <v/>
      </c>
    </row>
    <row r="5377" spans="31:32" x14ac:dyDescent="0.25">
      <c r="AE5377" s="39" t="str">
        <f>IF(D5377="","",IFERROR(VLOOKUP(D5377,Projects!$A$2:$A$20000,1,FALSE),""))</f>
        <v/>
      </c>
      <c r="AF5377" s="2" t="str">
        <f>IF(D5377="","",IFERROR(MATCH(D5377,Projects!$A:$A,0),""))</f>
        <v/>
      </c>
    </row>
    <row r="5378" spans="31:32" x14ac:dyDescent="0.25">
      <c r="AE5378" s="39" t="str">
        <f>IF(D5378="","",IFERROR(VLOOKUP(D5378,Projects!$A$2:$A$20000,1,FALSE),""))</f>
        <v/>
      </c>
      <c r="AF5378" s="2" t="str">
        <f>IF(D5378="","",IFERROR(MATCH(D5378,Projects!$A:$A,0),""))</f>
        <v/>
      </c>
    </row>
    <row r="5379" spans="31:32" x14ac:dyDescent="0.25">
      <c r="AE5379" s="39" t="str">
        <f>IF(D5379="","",IFERROR(VLOOKUP(D5379,Projects!$A$2:$A$20000,1,FALSE),""))</f>
        <v/>
      </c>
      <c r="AF5379" s="2" t="str">
        <f>IF(D5379="","",IFERROR(MATCH(D5379,Projects!$A:$A,0),""))</f>
        <v/>
      </c>
    </row>
    <row r="5380" spans="31:32" x14ac:dyDescent="0.25">
      <c r="AE5380" s="39" t="str">
        <f>IF(D5380="","",IFERROR(VLOOKUP(D5380,Projects!$A$2:$A$20000,1,FALSE),""))</f>
        <v/>
      </c>
      <c r="AF5380" s="2" t="str">
        <f>IF(D5380="","",IFERROR(MATCH(D5380,Projects!$A:$A,0),""))</f>
        <v/>
      </c>
    </row>
    <row r="5381" spans="31:32" x14ac:dyDescent="0.25">
      <c r="AE5381" s="39" t="str">
        <f>IF(D5381="","",IFERROR(VLOOKUP(D5381,Projects!$A$2:$A$20000,1,FALSE),""))</f>
        <v/>
      </c>
      <c r="AF5381" s="2" t="str">
        <f>IF(D5381="","",IFERROR(MATCH(D5381,Projects!$A:$A,0),""))</f>
        <v/>
      </c>
    </row>
    <row r="5382" spans="31:32" x14ac:dyDescent="0.25">
      <c r="AE5382" s="39" t="str">
        <f>IF(D5382="","",IFERROR(VLOOKUP(D5382,Projects!$A$2:$A$20000,1,FALSE),""))</f>
        <v/>
      </c>
      <c r="AF5382" s="2" t="str">
        <f>IF(D5382="","",IFERROR(MATCH(D5382,Projects!$A:$A,0),""))</f>
        <v/>
      </c>
    </row>
    <row r="5383" spans="31:32" x14ac:dyDescent="0.25">
      <c r="AE5383" s="39" t="str">
        <f>IF(D5383="","",IFERROR(VLOOKUP(D5383,Projects!$A$2:$A$20000,1,FALSE),""))</f>
        <v/>
      </c>
      <c r="AF5383" s="2" t="str">
        <f>IF(D5383="","",IFERROR(MATCH(D5383,Projects!$A:$A,0),""))</f>
        <v/>
      </c>
    </row>
    <row r="5384" spans="31:32" x14ac:dyDescent="0.25">
      <c r="AE5384" s="39" t="str">
        <f>IF(D5384="","",IFERROR(VLOOKUP(D5384,Projects!$A$2:$A$20000,1,FALSE),""))</f>
        <v/>
      </c>
      <c r="AF5384" s="2" t="str">
        <f>IF(D5384="","",IFERROR(MATCH(D5384,Projects!$A:$A,0),""))</f>
        <v/>
      </c>
    </row>
    <row r="5385" spans="31:32" x14ac:dyDescent="0.25">
      <c r="AE5385" s="39" t="str">
        <f>IF(D5385="","",IFERROR(VLOOKUP(D5385,Projects!$A$2:$A$20000,1,FALSE),""))</f>
        <v/>
      </c>
      <c r="AF5385" s="2" t="str">
        <f>IF(D5385="","",IFERROR(MATCH(D5385,Projects!$A:$A,0),""))</f>
        <v/>
      </c>
    </row>
    <row r="5386" spans="31:32" x14ac:dyDescent="0.25">
      <c r="AE5386" s="39" t="str">
        <f>IF(D5386="","",IFERROR(VLOOKUP(D5386,Projects!$A$2:$A$20000,1,FALSE),""))</f>
        <v/>
      </c>
      <c r="AF5386" s="2" t="str">
        <f>IF(D5386="","",IFERROR(MATCH(D5386,Projects!$A:$A,0),""))</f>
        <v/>
      </c>
    </row>
    <row r="5387" spans="31:32" x14ac:dyDescent="0.25">
      <c r="AE5387" s="39" t="str">
        <f>IF(D5387="","",IFERROR(VLOOKUP(D5387,Projects!$A$2:$A$20000,1,FALSE),""))</f>
        <v/>
      </c>
      <c r="AF5387" s="2" t="str">
        <f>IF(D5387="","",IFERROR(MATCH(D5387,Projects!$A:$A,0),""))</f>
        <v/>
      </c>
    </row>
    <row r="5388" spans="31:32" x14ac:dyDescent="0.25">
      <c r="AE5388" s="39" t="str">
        <f>IF(D5388="","",IFERROR(VLOOKUP(D5388,Projects!$A$2:$A$20000,1,FALSE),""))</f>
        <v/>
      </c>
      <c r="AF5388" s="2" t="str">
        <f>IF(D5388="","",IFERROR(MATCH(D5388,Projects!$A:$A,0),""))</f>
        <v/>
      </c>
    </row>
    <row r="5389" spans="31:32" x14ac:dyDescent="0.25">
      <c r="AE5389" s="39" t="str">
        <f>IF(D5389="","",IFERROR(VLOOKUP(D5389,Projects!$A$2:$A$20000,1,FALSE),""))</f>
        <v/>
      </c>
      <c r="AF5389" s="2" t="str">
        <f>IF(D5389="","",IFERROR(MATCH(D5389,Projects!$A:$A,0),""))</f>
        <v/>
      </c>
    </row>
    <row r="5390" spans="31:32" x14ac:dyDescent="0.25">
      <c r="AE5390" s="39" t="str">
        <f>IF(D5390="","",IFERROR(VLOOKUP(D5390,Projects!$A$2:$A$20000,1,FALSE),""))</f>
        <v/>
      </c>
      <c r="AF5390" s="2" t="str">
        <f>IF(D5390="","",IFERROR(MATCH(D5390,Projects!$A:$A,0),""))</f>
        <v/>
      </c>
    </row>
    <row r="5391" spans="31:32" x14ac:dyDescent="0.25">
      <c r="AE5391" s="39" t="str">
        <f>IF(D5391="","",IFERROR(VLOOKUP(D5391,Projects!$A$2:$A$20000,1,FALSE),""))</f>
        <v/>
      </c>
      <c r="AF5391" s="2" t="str">
        <f>IF(D5391="","",IFERROR(MATCH(D5391,Projects!$A:$A,0),""))</f>
        <v/>
      </c>
    </row>
    <row r="5392" spans="31:32" x14ac:dyDescent="0.25">
      <c r="AE5392" s="39" t="str">
        <f>IF(D5392="","",IFERROR(VLOOKUP(D5392,Projects!$A$2:$A$20000,1,FALSE),""))</f>
        <v/>
      </c>
      <c r="AF5392" s="2" t="str">
        <f>IF(D5392="","",IFERROR(MATCH(D5392,Projects!$A:$A,0),""))</f>
        <v/>
      </c>
    </row>
    <row r="5393" spans="31:32" x14ac:dyDescent="0.25">
      <c r="AE5393" s="39" t="str">
        <f>IF(D5393="","",IFERROR(VLOOKUP(D5393,Projects!$A$2:$A$20000,1,FALSE),""))</f>
        <v/>
      </c>
      <c r="AF5393" s="2" t="str">
        <f>IF(D5393="","",IFERROR(MATCH(D5393,Projects!$A:$A,0),""))</f>
        <v/>
      </c>
    </row>
    <row r="5394" spans="31:32" x14ac:dyDescent="0.25">
      <c r="AE5394" s="39" t="str">
        <f>IF(D5394="","",IFERROR(VLOOKUP(D5394,Projects!$A$2:$A$20000,1,FALSE),""))</f>
        <v/>
      </c>
      <c r="AF5394" s="2" t="str">
        <f>IF(D5394="","",IFERROR(MATCH(D5394,Projects!$A:$A,0),""))</f>
        <v/>
      </c>
    </row>
    <row r="5395" spans="31:32" x14ac:dyDescent="0.25">
      <c r="AE5395" s="39" t="str">
        <f>IF(D5395="","",IFERROR(VLOOKUP(D5395,Projects!$A$2:$A$20000,1,FALSE),""))</f>
        <v/>
      </c>
      <c r="AF5395" s="2" t="str">
        <f>IF(D5395="","",IFERROR(MATCH(D5395,Projects!$A:$A,0),""))</f>
        <v/>
      </c>
    </row>
    <row r="5396" spans="31:32" x14ac:dyDescent="0.25">
      <c r="AE5396" s="39" t="str">
        <f>IF(D5396="","",IFERROR(VLOOKUP(D5396,Projects!$A$2:$A$20000,1,FALSE),""))</f>
        <v/>
      </c>
      <c r="AF5396" s="2" t="str">
        <f>IF(D5396="","",IFERROR(MATCH(D5396,Projects!$A:$A,0),""))</f>
        <v/>
      </c>
    </row>
    <row r="5397" spans="31:32" x14ac:dyDescent="0.25">
      <c r="AE5397" s="39" t="str">
        <f>IF(D5397="","",IFERROR(VLOOKUP(D5397,Projects!$A$2:$A$20000,1,FALSE),""))</f>
        <v/>
      </c>
      <c r="AF5397" s="2" t="str">
        <f>IF(D5397="","",IFERROR(MATCH(D5397,Projects!$A:$A,0),""))</f>
        <v/>
      </c>
    </row>
    <row r="5398" spans="31:32" x14ac:dyDescent="0.25">
      <c r="AE5398" s="39" t="str">
        <f>IF(D5398="","",IFERROR(VLOOKUP(D5398,Projects!$A$2:$A$20000,1,FALSE),""))</f>
        <v/>
      </c>
      <c r="AF5398" s="2" t="str">
        <f>IF(D5398="","",IFERROR(MATCH(D5398,Projects!$A:$A,0),""))</f>
        <v/>
      </c>
    </row>
    <row r="5399" spans="31:32" x14ac:dyDescent="0.25">
      <c r="AE5399" s="39" t="str">
        <f>IF(D5399="","",IFERROR(VLOOKUP(D5399,Projects!$A$2:$A$20000,1,FALSE),""))</f>
        <v/>
      </c>
      <c r="AF5399" s="2" t="str">
        <f>IF(D5399="","",IFERROR(MATCH(D5399,Projects!$A:$A,0),""))</f>
        <v/>
      </c>
    </row>
    <row r="5400" spans="31:32" x14ac:dyDescent="0.25">
      <c r="AE5400" s="39" t="str">
        <f>IF(D5400="","",IFERROR(VLOOKUP(D5400,Projects!$A$2:$A$20000,1,FALSE),""))</f>
        <v/>
      </c>
      <c r="AF5400" s="2" t="str">
        <f>IF(D5400="","",IFERROR(MATCH(D5400,Projects!$A:$A,0),""))</f>
        <v/>
      </c>
    </row>
    <row r="5401" spans="31:32" x14ac:dyDescent="0.25">
      <c r="AE5401" s="39" t="str">
        <f>IF(D5401="","",IFERROR(VLOOKUP(D5401,Projects!$A$2:$A$20000,1,FALSE),""))</f>
        <v/>
      </c>
      <c r="AF5401" s="2" t="str">
        <f>IF(D5401="","",IFERROR(MATCH(D5401,Projects!$A:$A,0),""))</f>
        <v/>
      </c>
    </row>
    <row r="5402" spans="31:32" x14ac:dyDescent="0.25">
      <c r="AE5402" s="39" t="str">
        <f>IF(D5402="","",IFERROR(VLOOKUP(D5402,Projects!$A$2:$A$20000,1,FALSE),""))</f>
        <v/>
      </c>
      <c r="AF5402" s="2" t="str">
        <f>IF(D5402="","",IFERROR(MATCH(D5402,Projects!$A:$A,0),""))</f>
        <v/>
      </c>
    </row>
    <row r="5403" spans="31:32" x14ac:dyDescent="0.25">
      <c r="AE5403" s="39" t="str">
        <f>IF(D5403="","",IFERROR(VLOOKUP(D5403,Projects!$A$2:$A$20000,1,FALSE),""))</f>
        <v/>
      </c>
      <c r="AF5403" s="2" t="str">
        <f>IF(D5403="","",IFERROR(MATCH(D5403,Projects!$A:$A,0),""))</f>
        <v/>
      </c>
    </row>
    <row r="5404" spans="31:32" x14ac:dyDescent="0.25">
      <c r="AE5404" s="39" t="str">
        <f>IF(D5404="","",IFERROR(VLOOKUP(D5404,Projects!$A$2:$A$20000,1,FALSE),""))</f>
        <v/>
      </c>
      <c r="AF5404" s="2" t="str">
        <f>IF(D5404="","",IFERROR(MATCH(D5404,Projects!$A:$A,0),""))</f>
        <v/>
      </c>
    </row>
    <row r="5405" spans="31:32" x14ac:dyDescent="0.25">
      <c r="AE5405" s="39" t="str">
        <f>IF(D5405="","",IFERROR(VLOOKUP(D5405,Projects!$A$2:$A$20000,1,FALSE),""))</f>
        <v/>
      </c>
      <c r="AF5405" s="2" t="str">
        <f>IF(D5405="","",IFERROR(MATCH(D5405,Projects!$A:$A,0),""))</f>
        <v/>
      </c>
    </row>
    <row r="5406" spans="31:32" x14ac:dyDescent="0.25">
      <c r="AE5406" s="39" t="str">
        <f>IF(D5406="","",IFERROR(VLOOKUP(D5406,Projects!$A$2:$A$20000,1,FALSE),""))</f>
        <v/>
      </c>
      <c r="AF5406" s="2" t="str">
        <f>IF(D5406="","",IFERROR(MATCH(D5406,Projects!$A:$A,0),""))</f>
        <v/>
      </c>
    </row>
    <row r="5407" spans="31:32" x14ac:dyDescent="0.25">
      <c r="AE5407" s="39" t="str">
        <f>IF(D5407="","",IFERROR(VLOOKUP(D5407,Projects!$A$2:$A$20000,1,FALSE),""))</f>
        <v/>
      </c>
      <c r="AF5407" s="2" t="str">
        <f>IF(D5407="","",IFERROR(MATCH(D5407,Projects!$A:$A,0),""))</f>
        <v/>
      </c>
    </row>
    <row r="5408" spans="31:32" x14ac:dyDescent="0.25">
      <c r="AE5408" s="39" t="str">
        <f>IF(D5408="","",IFERROR(VLOOKUP(D5408,Projects!$A$2:$A$20000,1,FALSE),""))</f>
        <v/>
      </c>
      <c r="AF5408" s="2" t="str">
        <f>IF(D5408="","",IFERROR(MATCH(D5408,Projects!$A:$A,0),""))</f>
        <v/>
      </c>
    </row>
    <row r="5409" spans="31:32" x14ac:dyDescent="0.25">
      <c r="AE5409" s="39" t="str">
        <f>IF(D5409="","",IFERROR(VLOOKUP(D5409,Projects!$A$2:$A$20000,1,FALSE),""))</f>
        <v/>
      </c>
      <c r="AF5409" s="2" t="str">
        <f>IF(D5409="","",IFERROR(MATCH(D5409,Projects!$A:$A,0),""))</f>
        <v/>
      </c>
    </row>
    <row r="5410" spans="31:32" x14ac:dyDescent="0.25">
      <c r="AE5410" s="39" t="str">
        <f>IF(D5410="","",IFERROR(VLOOKUP(D5410,Projects!$A$2:$A$20000,1,FALSE),""))</f>
        <v/>
      </c>
      <c r="AF5410" s="2" t="str">
        <f>IF(D5410="","",IFERROR(MATCH(D5410,Projects!$A:$A,0),""))</f>
        <v/>
      </c>
    </row>
    <row r="5411" spans="31:32" x14ac:dyDescent="0.25">
      <c r="AE5411" s="39" t="str">
        <f>IF(D5411="","",IFERROR(VLOOKUP(D5411,Projects!$A$2:$A$20000,1,FALSE),""))</f>
        <v/>
      </c>
      <c r="AF5411" s="2" t="str">
        <f>IF(D5411="","",IFERROR(MATCH(D5411,Projects!$A:$A,0),""))</f>
        <v/>
      </c>
    </row>
    <row r="5412" spans="31:32" x14ac:dyDescent="0.25">
      <c r="AE5412" s="39" t="str">
        <f>IF(D5412="","",IFERROR(VLOOKUP(D5412,Projects!$A$2:$A$20000,1,FALSE),""))</f>
        <v/>
      </c>
      <c r="AF5412" s="2" t="str">
        <f>IF(D5412="","",IFERROR(MATCH(D5412,Projects!$A:$A,0),""))</f>
        <v/>
      </c>
    </row>
    <row r="5413" spans="31:32" x14ac:dyDescent="0.25">
      <c r="AE5413" s="39" t="str">
        <f>IF(D5413="","",IFERROR(VLOOKUP(D5413,Projects!$A$2:$A$20000,1,FALSE),""))</f>
        <v/>
      </c>
      <c r="AF5413" s="2" t="str">
        <f>IF(D5413="","",IFERROR(MATCH(D5413,Projects!$A:$A,0),""))</f>
        <v/>
      </c>
    </row>
    <row r="5414" spans="31:32" x14ac:dyDescent="0.25">
      <c r="AE5414" s="39" t="str">
        <f>IF(D5414="","",IFERROR(VLOOKUP(D5414,Projects!$A$2:$A$20000,1,FALSE),""))</f>
        <v/>
      </c>
      <c r="AF5414" s="2" t="str">
        <f>IF(D5414="","",IFERROR(MATCH(D5414,Projects!$A:$A,0),""))</f>
        <v/>
      </c>
    </row>
    <row r="5415" spans="31:32" x14ac:dyDescent="0.25">
      <c r="AE5415" s="39" t="str">
        <f>IF(D5415="","",IFERROR(VLOOKUP(D5415,Projects!$A$2:$A$20000,1,FALSE),""))</f>
        <v/>
      </c>
      <c r="AF5415" s="2" t="str">
        <f>IF(D5415="","",IFERROR(MATCH(D5415,Projects!$A:$A,0),""))</f>
        <v/>
      </c>
    </row>
    <row r="5416" spans="31:32" x14ac:dyDescent="0.25">
      <c r="AE5416" s="39" t="str">
        <f>IF(D5416="","",IFERROR(VLOOKUP(D5416,Projects!$A$2:$A$20000,1,FALSE),""))</f>
        <v/>
      </c>
      <c r="AF5416" s="2" t="str">
        <f>IF(D5416="","",IFERROR(MATCH(D5416,Projects!$A:$A,0),""))</f>
        <v/>
      </c>
    </row>
    <row r="5417" spans="31:32" x14ac:dyDescent="0.25">
      <c r="AE5417" s="39" t="str">
        <f>IF(D5417="","",IFERROR(VLOOKUP(D5417,Projects!$A$2:$A$20000,1,FALSE),""))</f>
        <v/>
      </c>
      <c r="AF5417" s="2" t="str">
        <f>IF(D5417="","",IFERROR(MATCH(D5417,Projects!$A:$A,0),""))</f>
        <v/>
      </c>
    </row>
    <row r="5418" spans="31:32" x14ac:dyDescent="0.25">
      <c r="AE5418" s="39" t="str">
        <f>IF(D5418="","",IFERROR(VLOOKUP(D5418,Projects!$A$2:$A$20000,1,FALSE),""))</f>
        <v/>
      </c>
      <c r="AF5418" s="2" t="str">
        <f>IF(D5418="","",IFERROR(MATCH(D5418,Projects!$A:$A,0),""))</f>
        <v/>
      </c>
    </row>
    <row r="5419" spans="31:32" x14ac:dyDescent="0.25">
      <c r="AE5419" s="39" t="str">
        <f>IF(D5419="","",IFERROR(VLOOKUP(D5419,Projects!$A$2:$A$20000,1,FALSE),""))</f>
        <v/>
      </c>
      <c r="AF5419" s="2" t="str">
        <f>IF(D5419="","",IFERROR(MATCH(D5419,Projects!$A:$A,0),""))</f>
        <v/>
      </c>
    </row>
    <row r="5420" spans="31:32" x14ac:dyDescent="0.25">
      <c r="AE5420" s="39" t="str">
        <f>IF(D5420="","",IFERROR(VLOOKUP(D5420,Projects!$A$2:$A$20000,1,FALSE),""))</f>
        <v/>
      </c>
      <c r="AF5420" s="2" t="str">
        <f>IF(D5420="","",IFERROR(MATCH(D5420,Projects!$A:$A,0),""))</f>
        <v/>
      </c>
    </row>
    <row r="5421" spans="31:32" x14ac:dyDescent="0.25">
      <c r="AE5421" s="39" t="str">
        <f>IF(D5421="","",IFERROR(VLOOKUP(D5421,Projects!$A$2:$A$20000,1,FALSE),""))</f>
        <v/>
      </c>
      <c r="AF5421" s="2" t="str">
        <f>IF(D5421="","",IFERROR(MATCH(D5421,Projects!$A:$A,0),""))</f>
        <v/>
      </c>
    </row>
    <row r="5422" spans="31:32" x14ac:dyDescent="0.25">
      <c r="AE5422" s="39" t="str">
        <f>IF(D5422="","",IFERROR(VLOOKUP(D5422,Projects!$A$2:$A$20000,1,FALSE),""))</f>
        <v/>
      </c>
      <c r="AF5422" s="2" t="str">
        <f>IF(D5422="","",IFERROR(MATCH(D5422,Projects!$A:$A,0),""))</f>
        <v/>
      </c>
    </row>
    <row r="5423" spans="31:32" x14ac:dyDescent="0.25">
      <c r="AE5423" s="39" t="str">
        <f>IF(D5423="","",IFERROR(VLOOKUP(D5423,Projects!$A$2:$A$20000,1,FALSE),""))</f>
        <v/>
      </c>
      <c r="AF5423" s="2" t="str">
        <f>IF(D5423="","",IFERROR(MATCH(D5423,Projects!$A:$A,0),""))</f>
        <v/>
      </c>
    </row>
    <row r="5424" spans="31:32" x14ac:dyDescent="0.25">
      <c r="AE5424" s="39" t="str">
        <f>IF(D5424="","",IFERROR(VLOOKUP(D5424,Projects!$A$2:$A$20000,1,FALSE),""))</f>
        <v/>
      </c>
      <c r="AF5424" s="2" t="str">
        <f>IF(D5424="","",IFERROR(MATCH(D5424,Projects!$A:$A,0),""))</f>
        <v/>
      </c>
    </row>
    <row r="5425" spans="31:32" x14ac:dyDescent="0.25">
      <c r="AE5425" s="39" t="str">
        <f>IF(D5425="","",IFERROR(VLOOKUP(D5425,Projects!$A$2:$A$20000,1,FALSE),""))</f>
        <v/>
      </c>
      <c r="AF5425" s="2" t="str">
        <f>IF(D5425="","",IFERROR(MATCH(D5425,Projects!$A:$A,0),""))</f>
        <v/>
      </c>
    </row>
    <row r="5426" spans="31:32" x14ac:dyDescent="0.25">
      <c r="AE5426" s="39" t="str">
        <f>IF(D5426="","",IFERROR(VLOOKUP(D5426,Projects!$A$2:$A$20000,1,FALSE),""))</f>
        <v/>
      </c>
      <c r="AF5426" s="2" t="str">
        <f>IF(D5426="","",IFERROR(MATCH(D5426,Projects!$A:$A,0),""))</f>
        <v/>
      </c>
    </row>
    <row r="5427" spans="31:32" x14ac:dyDescent="0.25">
      <c r="AE5427" s="39" t="str">
        <f>IF(D5427="","",IFERROR(VLOOKUP(D5427,Projects!$A$2:$A$20000,1,FALSE),""))</f>
        <v/>
      </c>
      <c r="AF5427" s="2" t="str">
        <f>IF(D5427="","",IFERROR(MATCH(D5427,Projects!$A:$A,0),""))</f>
        <v/>
      </c>
    </row>
    <row r="5428" spans="31:32" x14ac:dyDescent="0.25">
      <c r="AE5428" s="39" t="str">
        <f>IF(D5428="","",IFERROR(VLOOKUP(D5428,Projects!$A$2:$A$20000,1,FALSE),""))</f>
        <v/>
      </c>
      <c r="AF5428" s="2" t="str">
        <f>IF(D5428="","",IFERROR(MATCH(D5428,Projects!$A:$A,0),""))</f>
        <v/>
      </c>
    </row>
    <row r="5429" spans="31:32" x14ac:dyDescent="0.25">
      <c r="AE5429" s="39" t="str">
        <f>IF(D5429="","",IFERROR(VLOOKUP(D5429,Projects!$A$2:$A$20000,1,FALSE),""))</f>
        <v/>
      </c>
      <c r="AF5429" s="2" t="str">
        <f>IF(D5429="","",IFERROR(MATCH(D5429,Projects!$A:$A,0),""))</f>
        <v/>
      </c>
    </row>
    <row r="5430" spans="31:32" x14ac:dyDescent="0.25">
      <c r="AE5430" s="39" t="str">
        <f>IF(D5430="","",IFERROR(VLOOKUP(D5430,Projects!$A$2:$A$20000,1,FALSE),""))</f>
        <v/>
      </c>
      <c r="AF5430" s="2" t="str">
        <f>IF(D5430="","",IFERROR(MATCH(D5430,Projects!$A:$A,0),""))</f>
        <v/>
      </c>
    </row>
    <row r="5431" spans="31:32" x14ac:dyDescent="0.25">
      <c r="AE5431" s="39" t="str">
        <f>IF(D5431="","",IFERROR(VLOOKUP(D5431,Projects!$A$2:$A$20000,1,FALSE),""))</f>
        <v/>
      </c>
      <c r="AF5431" s="2" t="str">
        <f>IF(D5431="","",IFERROR(MATCH(D5431,Projects!$A:$A,0),""))</f>
        <v/>
      </c>
    </row>
    <row r="5432" spans="31:32" x14ac:dyDescent="0.25">
      <c r="AE5432" s="39" t="str">
        <f>IF(D5432="","",IFERROR(VLOOKUP(D5432,Projects!$A$2:$A$20000,1,FALSE),""))</f>
        <v/>
      </c>
      <c r="AF5432" s="2" t="str">
        <f>IF(D5432="","",IFERROR(MATCH(D5432,Projects!$A:$A,0),""))</f>
        <v/>
      </c>
    </row>
    <row r="5433" spans="31:32" x14ac:dyDescent="0.25">
      <c r="AE5433" s="39" t="str">
        <f>IF(D5433="","",IFERROR(VLOOKUP(D5433,Projects!$A$2:$A$20000,1,FALSE),""))</f>
        <v/>
      </c>
      <c r="AF5433" s="2" t="str">
        <f>IF(D5433="","",IFERROR(MATCH(D5433,Projects!$A:$A,0),""))</f>
        <v/>
      </c>
    </row>
    <row r="5434" spans="31:32" x14ac:dyDescent="0.25">
      <c r="AE5434" s="39" t="str">
        <f>IF(D5434="","",IFERROR(VLOOKUP(D5434,Projects!$A$2:$A$20000,1,FALSE),""))</f>
        <v/>
      </c>
      <c r="AF5434" s="2" t="str">
        <f>IF(D5434="","",IFERROR(MATCH(D5434,Projects!$A:$A,0),""))</f>
        <v/>
      </c>
    </row>
    <row r="5435" spans="31:32" x14ac:dyDescent="0.25">
      <c r="AE5435" s="39" t="str">
        <f>IF(D5435="","",IFERROR(VLOOKUP(D5435,Projects!$A$2:$A$20000,1,FALSE),""))</f>
        <v/>
      </c>
      <c r="AF5435" s="2" t="str">
        <f>IF(D5435="","",IFERROR(MATCH(D5435,Projects!$A:$A,0),""))</f>
        <v/>
      </c>
    </row>
    <row r="5436" spans="31:32" x14ac:dyDescent="0.25">
      <c r="AE5436" s="39" t="str">
        <f>IF(D5436="","",IFERROR(VLOOKUP(D5436,Projects!$A$2:$A$20000,1,FALSE),""))</f>
        <v/>
      </c>
      <c r="AF5436" s="2" t="str">
        <f>IF(D5436="","",IFERROR(MATCH(D5436,Projects!$A:$A,0),""))</f>
        <v/>
      </c>
    </row>
    <row r="5437" spans="31:32" x14ac:dyDescent="0.25">
      <c r="AE5437" s="39" t="str">
        <f>IF(D5437="","",IFERROR(VLOOKUP(D5437,Projects!$A$2:$A$20000,1,FALSE),""))</f>
        <v/>
      </c>
      <c r="AF5437" s="2" t="str">
        <f>IF(D5437="","",IFERROR(MATCH(D5437,Projects!$A:$A,0),""))</f>
        <v/>
      </c>
    </row>
    <row r="5438" spans="31:32" x14ac:dyDescent="0.25">
      <c r="AE5438" s="39" t="str">
        <f>IF(D5438="","",IFERROR(VLOOKUP(D5438,Projects!$A$2:$A$20000,1,FALSE),""))</f>
        <v/>
      </c>
      <c r="AF5438" s="2" t="str">
        <f>IF(D5438="","",IFERROR(MATCH(D5438,Projects!$A:$A,0),""))</f>
        <v/>
      </c>
    </row>
    <row r="5439" spans="31:32" x14ac:dyDescent="0.25">
      <c r="AE5439" s="39" t="str">
        <f>IF(D5439="","",IFERROR(VLOOKUP(D5439,Projects!$A$2:$A$20000,1,FALSE),""))</f>
        <v/>
      </c>
      <c r="AF5439" s="2" t="str">
        <f>IF(D5439="","",IFERROR(MATCH(D5439,Projects!$A:$A,0),""))</f>
        <v/>
      </c>
    </row>
    <row r="5440" spans="31:32" x14ac:dyDescent="0.25">
      <c r="AE5440" s="39" t="str">
        <f>IF(D5440="","",IFERROR(VLOOKUP(D5440,Projects!$A$2:$A$20000,1,FALSE),""))</f>
        <v/>
      </c>
      <c r="AF5440" s="2" t="str">
        <f>IF(D5440="","",IFERROR(MATCH(D5440,Projects!$A:$A,0),""))</f>
        <v/>
      </c>
    </row>
    <row r="5441" spans="31:32" x14ac:dyDescent="0.25">
      <c r="AE5441" s="39" t="str">
        <f>IF(D5441="","",IFERROR(VLOOKUP(D5441,Projects!$A$2:$A$20000,1,FALSE),""))</f>
        <v/>
      </c>
      <c r="AF5441" s="2" t="str">
        <f>IF(D5441="","",IFERROR(MATCH(D5441,Projects!$A:$A,0),""))</f>
        <v/>
      </c>
    </row>
    <row r="5442" spans="31:32" x14ac:dyDescent="0.25">
      <c r="AE5442" s="39" t="str">
        <f>IF(D5442="","",IFERROR(VLOOKUP(D5442,Projects!$A$2:$A$20000,1,FALSE),""))</f>
        <v/>
      </c>
      <c r="AF5442" s="2" t="str">
        <f>IF(D5442="","",IFERROR(MATCH(D5442,Projects!$A:$A,0),""))</f>
        <v/>
      </c>
    </row>
    <row r="5443" spans="31:32" x14ac:dyDescent="0.25">
      <c r="AE5443" s="39" t="str">
        <f>IF(D5443="","",IFERROR(VLOOKUP(D5443,Projects!$A$2:$A$20000,1,FALSE),""))</f>
        <v/>
      </c>
      <c r="AF5443" s="2" t="str">
        <f>IF(D5443="","",IFERROR(MATCH(D5443,Projects!$A:$A,0),""))</f>
        <v/>
      </c>
    </row>
    <row r="5444" spans="31:32" x14ac:dyDescent="0.25">
      <c r="AE5444" s="39" t="str">
        <f>IF(D5444="","",IFERROR(VLOOKUP(D5444,Projects!$A$2:$A$20000,1,FALSE),""))</f>
        <v/>
      </c>
      <c r="AF5444" s="2" t="str">
        <f>IF(D5444="","",IFERROR(MATCH(D5444,Projects!$A:$A,0),""))</f>
        <v/>
      </c>
    </row>
    <row r="5445" spans="31:32" x14ac:dyDescent="0.25">
      <c r="AE5445" s="39" t="str">
        <f>IF(D5445="","",IFERROR(VLOOKUP(D5445,Projects!$A$2:$A$20000,1,FALSE),""))</f>
        <v/>
      </c>
      <c r="AF5445" s="2" t="str">
        <f>IF(D5445="","",IFERROR(MATCH(D5445,Projects!$A:$A,0),""))</f>
        <v/>
      </c>
    </row>
    <row r="5446" spans="31:32" x14ac:dyDescent="0.25">
      <c r="AE5446" s="39" t="str">
        <f>IF(D5446="","",IFERROR(VLOOKUP(D5446,Projects!$A$2:$A$20000,1,FALSE),""))</f>
        <v/>
      </c>
      <c r="AF5446" s="2" t="str">
        <f>IF(D5446="","",IFERROR(MATCH(D5446,Projects!$A:$A,0),""))</f>
        <v/>
      </c>
    </row>
    <row r="5447" spans="31:32" x14ac:dyDescent="0.25">
      <c r="AE5447" s="39" t="str">
        <f>IF(D5447="","",IFERROR(VLOOKUP(D5447,Projects!$A$2:$A$20000,1,FALSE),""))</f>
        <v/>
      </c>
      <c r="AF5447" s="2" t="str">
        <f>IF(D5447="","",IFERROR(MATCH(D5447,Projects!$A:$A,0),""))</f>
        <v/>
      </c>
    </row>
    <row r="5448" spans="31:32" x14ac:dyDescent="0.25">
      <c r="AE5448" s="39" t="str">
        <f>IF(D5448="","",IFERROR(VLOOKUP(D5448,Projects!$A$2:$A$20000,1,FALSE),""))</f>
        <v/>
      </c>
      <c r="AF5448" s="2" t="str">
        <f>IF(D5448="","",IFERROR(MATCH(D5448,Projects!$A:$A,0),""))</f>
        <v/>
      </c>
    </row>
    <row r="5449" spans="31:32" x14ac:dyDescent="0.25">
      <c r="AE5449" s="39" t="str">
        <f>IF(D5449="","",IFERROR(VLOOKUP(D5449,Projects!$A$2:$A$20000,1,FALSE),""))</f>
        <v/>
      </c>
      <c r="AF5449" s="2" t="str">
        <f>IF(D5449="","",IFERROR(MATCH(D5449,Projects!$A:$A,0),""))</f>
        <v/>
      </c>
    </row>
    <row r="5450" spans="31:32" x14ac:dyDescent="0.25">
      <c r="AE5450" s="39" t="str">
        <f>IF(D5450="","",IFERROR(VLOOKUP(D5450,Projects!$A$2:$A$20000,1,FALSE),""))</f>
        <v/>
      </c>
      <c r="AF5450" s="2" t="str">
        <f>IF(D5450="","",IFERROR(MATCH(D5450,Projects!$A:$A,0),""))</f>
        <v/>
      </c>
    </row>
    <row r="5451" spans="31:32" x14ac:dyDescent="0.25">
      <c r="AE5451" s="39" t="str">
        <f>IF(D5451="","",IFERROR(VLOOKUP(D5451,Projects!$A$2:$A$20000,1,FALSE),""))</f>
        <v/>
      </c>
      <c r="AF5451" s="2" t="str">
        <f>IF(D5451="","",IFERROR(MATCH(D5451,Projects!$A:$A,0),""))</f>
        <v/>
      </c>
    </row>
    <row r="5452" spans="31:32" x14ac:dyDescent="0.25">
      <c r="AE5452" s="39" t="str">
        <f>IF(D5452="","",IFERROR(VLOOKUP(D5452,Projects!$A$2:$A$20000,1,FALSE),""))</f>
        <v/>
      </c>
      <c r="AF5452" s="2" t="str">
        <f>IF(D5452="","",IFERROR(MATCH(D5452,Projects!$A:$A,0),""))</f>
        <v/>
      </c>
    </row>
    <row r="5453" spans="31:32" x14ac:dyDescent="0.25">
      <c r="AE5453" s="39" t="str">
        <f>IF(D5453="","",IFERROR(VLOOKUP(D5453,Projects!$A$2:$A$20000,1,FALSE),""))</f>
        <v/>
      </c>
      <c r="AF5453" s="2" t="str">
        <f>IF(D5453="","",IFERROR(MATCH(D5453,Projects!$A:$A,0),""))</f>
        <v/>
      </c>
    </row>
    <row r="5454" spans="31:32" x14ac:dyDescent="0.25">
      <c r="AE5454" s="39" t="str">
        <f>IF(D5454="","",IFERROR(VLOOKUP(D5454,Projects!$A$2:$A$20000,1,FALSE),""))</f>
        <v/>
      </c>
      <c r="AF5454" s="2" t="str">
        <f>IF(D5454="","",IFERROR(MATCH(D5454,Projects!$A:$A,0),""))</f>
        <v/>
      </c>
    </row>
    <row r="5455" spans="31:32" x14ac:dyDescent="0.25">
      <c r="AE5455" s="39" t="str">
        <f>IF(D5455="","",IFERROR(VLOOKUP(D5455,Projects!$A$2:$A$20000,1,FALSE),""))</f>
        <v/>
      </c>
      <c r="AF5455" s="2" t="str">
        <f>IF(D5455="","",IFERROR(MATCH(D5455,Projects!$A:$A,0),""))</f>
        <v/>
      </c>
    </row>
    <row r="5456" spans="31:32" x14ac:dyDescent="0.25">
      <c r="AE5456" s="39" t="str">
        <f>IF(D5456="","",IFERROR(VLOOKUP(D5456,Projects!$A$2:$A$20000,1,FALSE),""))</f>
        <v/>
      </c>
      <c r="AF5456" s="2" t="str">
        <f>IF(D5456="","",IFERROR(MATCH(D5456,Projects!$A:$A,0),""))</f>
        <v/>
      </c>
    </row>
    <row r="5457" spans="31:32" x14ac:dyDescent="0.25">
      <c r="AE5457" s="39" t="str">
        <f>IF(D5457="","",IFERROR(VLOOKUP(D5457,Projects!$A$2:$A$20000,1,FALSE),""))</f>
        <v/>
      </c>
      <c r="AF5457" s="2" t="str">
        <f>IF(D5457="","",IFERROR(MATCH(D5457,Projects!$A:$A,0),""))</f>
        <v/>
      </c>
    </row>
    <row r="5458" spans="31:32" x14ac:dyDescent="0.25">
      <c r="AE5458" s="39" t="str">
        <f>IF(D5458="","",IFERROR(VLOOKUP(D5458,Projects!$A$2:$A$20000,1,FALSE),""))</f>
        <v/>
      </c>
      <c r="AF5458" s="2" t="str">
        <f>IF(D5458="","",IFERROR(MATCH(D5458,Projects!$A:$A,0),""))</f>
        <v/>
      </c>
    </row>
    <row r="5459" spans="31:32" x14ac:dyDescent="0.25">
      <c r="AE5459" s="39" t="str">
        <f>IF(D5459="","",IFERROR(VLOOKUP(D5459,Projects!$A$2:$A$20000,1,FALSE),""))</f>
        <v/>
      </c>
      <c r="AF5459" s="2" t="str">
        <f>IF(D5459="","",IFERROR(MATCH(D5459,Projects!$A:$A,0),""))</f>
        <v/>
      </c>
    </row>
    <row r="5460" spans="31:32" x14ac:dyDescent="0.25">
      <c r="AE5460" s="39" t="str">
        <f>IF(D5460="","",IFERROR(VLOOKUP(D5460,Projects!$A$2:$A$20000,1,FALSE),""))</f>
        <v/>
      </c>
      <c r="AF5460" s="2" t="str">
        <f>IF(D5460="","",IFERROR(MATCH(D5460,Projects!$A:$A,0),""))</f>
        <v/>
      </c>
    </row>
    <row r="5461" spans="31:32" x14ac:dyDescent="0.25">
      <c r="AE5461" s="39" t="str">
        <f>IF(D5461="","",IFERROR(VLOOKUP(D5461,Projects!$A$2:$A$20000,1,FALSE),""))</f>
        <v/>
      </c>
      <c r="AF5461" s="2" t="str">
        <f>IF(D5461="","",IFERROR(MATCH(D5461,Projects!$A:$A,0),""))</f>
        <v/>
      </c>
    </row>
    <row r="5462" spans="31:32" x14ac:dyDescent="0.25">
      <c r="AE5462" s="39" t="str">
        <f>IF(D5462="","",IFERROR(VLOOKUP(D5462,Projects!$A$2:$A$20000,1,FALSE),""))</f>
        <v/>
      </c>
      <c r="AF5462" s="2" t="str">
        <f>IF(D5462="","",IFERROR(MATCH(D5462,Projects!$A:$A,0),""))</f>
        <v/>
      </c>
    </row>
    <row r="5463" spans="31:32" x14ac:dyDescent="0.25">
      <c r="AE5463" s="39" t="str">
        <f>IF(D5463="","",IFERROR(VLOOKUP(D5463,Projects!$A$2:$A$20000,1,FALSE),""))</f>
        <v/>
      </c>
      <c r="AF5463" s="2" t="str">
        <f>IF(D5463="","",IFERROR(MATCH(D5463,Projects!$A:$A,0),""))</f>
        <v/>
      </c>
    </row>
    <row r="5464" spans="31:32" x14ac:dyDescent="0.25">
      <c r="AE5464" s="39" t="str">
        <f>IF(D5464="","",IFERROR(VLOOKUP(D5464,Projects!$A$2:$A$20000,1,FALSE),""))</f>
        <v/>
      </c>
      <c r="AF5464" s="2" t="str">
        <f>IF(D5464="","",IFERROR(MATCH(D5464,Projects!$A:$A,0),""))</f>
        <v/>
      </c>
    </row>
    <row r="5465" spans="31:32" x14ac:dyDescent="0.25">
      <c r="AE5465" s="39" t="str">
        <f>IF(D5465="","",IFERROR(VLOOKUP(D5465,Projects!$A$2:$A$20000,1,FALSE),""))</f>
        <v/>
      </c>
      <c r="AF5465" s="2" t="str">
        <f>IF(D5465="","",IFERROR(MATCH(D5465,Projects!$A:$A,0),""))</f>
        <v/>
      </c>
    </row>
    <row r="5466" spans="31:32" x14ac:dyDescent="0.25">
      <c r="AE5466" s="39" t="str">
        <f>IF(D5466="","",IFERROR(VLOOKUP(D5466,Projects!$A$2:$A$20000,1,FALSE),""))</f>
        <v/>
      </c>
      <c r="AF5466" s="2" t="str">
        <f>IF(D5466="","",IFERROR(MATCH(D5466,Projects!$A:$A,0),""))</f>
        <v/>
      </c>
    </row>
    <row r="5467" spans="31:32" x14ac:dyDescent="0.25">
      <c r="AE5467" s="39" t="str">
        <f>IF(D5467="","",IFERROR(VLOOKUP(D5467,Projects!$A$2:$A$20000,1,FALSE),""))</f>
        <v/>
      </c>
      <c r="AF5467" s="2" t="str">
        <f>IF(D5467="","",IFERROR(MATCH(D5467,Projects!$A:$A,0),""))</f>
        <v/>
      </c>
    </row>
    <row r="5468" spans="31:32" x14ac:dyDescent="0.25">
      <c r="AE5468" s="39" t="str">
        <f>IF(D5468="","",IFERROR(VLOOKUP(D5468,Projects!$A$2:$A$20000,1,FALSE),""))</f>
        <v/>
      </c>
      <c r="AF5468" s="2" t="str">
        <f>IF(D5468="","",IFERROR(MATCH(D5468,Projects!$A:$A,0),""))</f>
        <v/>
      </c>
    </row>
    <row r="5469" spans="31:32" x14ac:dyDescent="0.25">
      <c r="AE5469" s="39" t="str">
        <f>IF(D5469="","",IFERROR(VLOOKUP(D5469,Projects!$A$2:$A$20000,1,FALSE),""))</f>
        <v/>
      </c>
      <c r="AF5469" s="2" t="str">
        <f>IF(D5469="","",IFERROR(MATCH(D5469,Projects!$A:$A,0),""))</f>
        <v/>
      </c>
    </row>
    <row r="5470" spans="31:32" x14ac:dyDescent="0.25">
      <c r="AE5470" s="39" t="str">
        <f>IF(D5470="","",IFERROR(VLOOKUP(D5470,Projects!$A$2:$A$20000,1,FALSE),""))</f>
        <v/>
      </c>
      <c r="AF5470" s="2" t="str">
        <f>IF(D5470="","",IFERROR(MATCH(D5470,Projects!$A:$A,0),""))</f>
        <v/>
      </c>
    </row>
    <row r="5471" spans="31:32" x14ac:dyDescent="0.25">
      <c r="AE5471" s="39" t="str">
        <f>IF(D5471="","",IFERROR(VLOOKUP(D5471,Projects!$A$2:$A$20000,1,FALSE),""))</f>
        <v/>
      </c>
      <c r="AF5471" s="2" t="str">
        <f>IF(D5471="","",IFERROR(MATCH(D5471,Projects!$A:$A,0),""))</f>
        <v/>
      </c>
    </row>
    <row r="5472" spans="31:32" x14ac:dyDescent="0.25">
      <c r="AE5472" s="39" t="str">
        <f>IF(D5472="","",IFERROR(VLOOKUP(D5472,Projects!$A$2:$A$20000,1,FALSE),""))</f>
        <v/>
      </c>
      <c r="AF5472" s="2" t="str">
        <f>IF(D5472="","",IFERROR(MATCH(D5472,Projects!$A:$A,0),""))</f>
        <v/>
      </c>
    </row>
    <row r="5473" spans="31:32" x14ac:dyDescent="0.25">
      <c r="AE5473" s="39" t="str">
        <f>IF(D5473="","",IFERROR(VLOOKUP(D5473,Projects!$A$2:$A$20000,1,FALSE),""))</f>
        <v/>
      </c>
      <c r="AF5473" s="2" t="str">
        <f>IF(D5473="","",IFERROR(MATCH(D5473,Projects!$A:$A,0),""))</f>
        <v/>
      </c>
    </row>
    <row r="5474" spans="31:32" x14ac:dyDescent="0.25">
      <c r="AE5474" s="39" t="str">
        <f>IF(D5474="","",IFERROR(VLOOKUP(D5474,Projects!$A$2:$A$20000,1,FALSE),""))</f>
        <v/>
      </c>
      <c r="AF5474" s="2" t="str">
        <f>IF(D5474="","",IFERROR(MATCH(D5474,Projects!$A:$A,0),""))</f>
        <v/>
      </c>
    </row>
    <row r="5475" spans="31:32" x14ac:dyDescent="0.25">
      <c r="AE5475" s="39" t="str">
        <f>IF(D5475="","",IFERROR(VLOOKUP(D5475,Projects!$A$2:$A$20000,1,FALSE),""))</f>
        <v/>
      </c>
      <c r="AF5475" s="2" t="str">
        <f>IF(D5475="","",IFERROR(MATCH(D5475,Projects!$A:$A,0),""))</f>
        <v/>
      </c>
    </row>
    <row r="5476" spans="31:32" x14ac:dyDescent="0.25">
      <c r="AE5476" s="39" t="str">
        <f>IF(D5476="","",IFERROR(VLOOKUP(D5476,Projects!$A$2:$A$20000,1,FALSE),""))</f>
        <v/>
      </c>
      <c r="AF5476" s="2" t="str">
        <f>IF(D5476="","",IFERROR(MATCH(D5476,Projects!$A:$A,0),""))</f>
        <v/>
      </c>
    </row>
    <row r="5477" spans="31:32" x14ac:dyDescent="0.25">
      <c r="AE5477" s="39" t="str">
        <f>IF(D5477="","",IFERROR(VLOOKUP(D5477,Projects!$A$2:$A$20000,1,FALSE),""))</f>
        <v/>
      </c>
      <c r="AF5477" s="2" t="str">
        <f>IF(D5477="","",IFERROR(MATCH(D5477,Projects!$A:$A,0),""))</f>
        <v/>
      </c>
    </row>
    <row r="5478" spans="31:32" x14ac:dyDescent="0.25">
      <c r="AE5478" s="39" t="str">
        <f>IF(D5478="","",IFERROR(VLOOKUP(D5478,Projects!$A$2:$A$20000,1,FALSE),""))</f>
        <v/>
      </c>
      <c r="AF5478" s="2" t="str">
        <f>IF(D5478="","",IFERROR(MATCH(D5478,Projects!$A:$A,0),""))</f>
        <v/>
      </c>
    </row>
    <row r="5479" spans="31:32" x14ac:dyDescent="0.25">
      <c r="AE5479" s="39" t="str">
        <f>IF(D5479="","",IFERROR(VLOOKUP(D5479,Projects!$A$2:$A$20000,1,FALSE),""))</f>
        <v/>
      </c>
      <c r="AF5479" s="2" t="str">
        <f>IF(D5479="","",IFERROR(MATCH(D5479,Projects!$A:$A,0),""))</f>
        <v/>
      </c>
    </row>
    <row r="5480" spans="31:32" x14ac:dyDescent="0.25">
      <c r="AE5480" s="39" t="str">
        <f>IF(D5480="","",IFERROR(VLOOKUP(D5480,Projects!$A$2:$A$20000,1,FALSE),""))</f>
        <v/>
      </c>
      <c r="AF5480" s="2" t="str">
        <f>IF(D5480="","",IFERROR(MATCH(D5480,Projects!$A:$A,0),""))</f>
        <v/>
      </c>
    </row>
    <row r="5481" spans="31:32" x14ac:dyDescent="0.25">
      <c r="AE5481" s="39" t="str">
        <f>IF(D5481="","",IFERROR(VLOOKUP(D5481,Projects!$A$2:$A$20000,1,FALSE),""))</f>
        <v/>
      </c>
      <c r="AF5481" s="2" t="str">
        <f>IF(D5481="","",IFERROR(MATCH(D5481,Projects!$A:$A,0),""))</f>
        <v/>
      </c>
    </row>
    <row r="5482" spans="31:32" x14ac:dyDescent="0.25">
      <c r="AE5482" s="39" t="str">
        <f>IF(D5482="","",IFERROR(VLOOKUP(D5482,Projects!$A$2:$A$20000,1,FALSE),""))</f>
        <v/>
      </c>
      <c r="AF5482" s="2" t="str">
        <f>IF(D5482="","",IFERROR(MATCH(D5482,Projects!$A:$A,0),""))</f>
        <v/>
      </c>
    </row>
    <row r="5483" spans="31:32" x14ac:dyDescent="0.25">
      <c r="AE5483" s="39" t="str">
        <f>IF(D5483="","",IFERROR(VLOOKUP(D5483,Projects!$A$2:$A$20000,1,FALSE),""))</f>
        <v/>
      </c>
      <c r="AF5483" s="2" t="str">
        <f>IF(D5483="","",IFERROR(MATCH(D5483,Projects!$A:$A,0),""))</f>
        <v/>
      </c>
    </row>
    <row r="5484" spans="31:32" x14ac:dyDescent="0.25">
      <c r="AE5484" s="39" t="str">
        <f>IF(D5484="","",IFERROR(VLOOKUP(D5484,Projects!$A$2:$A$20000,1,FALSE),""))</f>
        <v/>
      </c>
      <c r="AF5484" s="2" t="str">
        <f>IF(D5484="","",IFERROR(MATCH(D5484,Projects!$A:$A,0),""))</f>
        <v/>
      </c>
    </row>
    <row r="5485" spans="31:32" x14ac:dyDescent="0.25">
      <c r="AE5485" s="39" t="str">
        <f>IF(D5485="","",IFERROR(VLOOKUP(D5485,Projects!$A$2:$A$20000,1,FALSE),""))</f>
        <v/>
      </c>
      <c r="AF5485" s="2" t="str">
        <f>IF(D5485="","",IFERROR(MATCH(D5485,Projects!$A:$A,0),""))</f>
        <v/>
      </c>
    </row>
    <row r="5486" spans="31:32" x14ac:dyDescent="0.25">
      <c r="AE5486" s="39" t="str">
        <f>IF(D5486="","",IFERROR(VLOOKUP(D5486,Projects!$A$2:$A$20000,1,FALSE),""))</f>
        <v/>
      </c>
      <c r="AF5486" s="2" t="str">
        <f>IF(D5486="","",IFERROR(MATCH(D5486,Projects!$A:$A,0),""))</f>
        <v/>
      </c>
    </row>
    <row r="5487" spans="31:32" x14ac:dyDescent="0.25">
      <c r="AE5487" s="39" t="str">
        <f>IF(D5487="","",IFERROR(VLOOKUP(D5487,Projects!$A$2:$A$20000,1,FALSE),""))</f>
        <v/>
      </c>
      <c r="AF5487" s="2" t="str">
        <f>IF(D5487="","",IFERROR(MATCH(D5487,Projects!$A:$A,0),""))</f>
        <v/>
      </c>
    </row>
    <row r="5488" spans="31:32" x14ac:dyDescent="0.25">
      <c r="AE5488" s="39" t="str">
        <f>IF(D5488="","",IFERROR(VLOOKUP(D5488,Projects!$A$2:$A$20000,1,FALSE),""))</f>
        <v/>
      </c>
      <c r="AF5488" s="2" t="str">
        <f>IF(D5488="","",IFERROR(MATCH(D5488,Projects!$A:$A,0),""))</f>
        <v/>
      </c>
    </row>
    <row r="5489" spans="31:32" x14ac:dyDescent="0.25">
      <c r="AE5489" s="39" t="str">
        <f>IF(D5489="","",IFERROR(VLOOKUP(D5489,Projects!$A$2:$A$20000,1,FALSE),""))</f>
        <v/>
      </c>
      <c r="AF5489" s="2" t="str">
        <f>IF(D5489="","",IFERROR(MATCH(D5489,Projects!$A:$A,0),""))</f>
        <v/>
      </c>
    </row>
    <row r="5490" spans="31:32" x14ac:dyDescent="0.25">
      <c r="AE5490" s="39" t="str">
        <f>IF(D5490="","",IFERROR(VLOOKUP(D5490,Projects!$A$2:$A$20000,1,FALSE),""))</f>
        <v/>
      </c>
      <c r="AF5490" s="2" t="str">
        <f>IF(D5490="","",IFERROR(MATCH(D5490,Projects!$A:$A,0),""))</f>
        <v/>
      </c>
    </row>
    <row r="5491" spans="31:32" x14ac:dyDescent="0.25">
      <c r="AE5491" s="39" t="str">
        <f>IF(D5491="","",IFERROR(VLOOKUP(D5491,Projects!$A$2:$A$20000,1,FALSE),""))</f>
        <v/>
      </c>
      <c r="AF5491" s="2" t="str">
        <f>IF(D5491="","",IFERROR(MATCH(D5491,Projects!$A:$A,0),""))</f>
        <v/>
      </c>
    </row>
    <row r="5492" spans="31:32" x14ac:dyDescent="0.25">
      <c r="AE5492" s="39" t="str">
        <f>IF(D5492="","",IFERROR(VLOOKUP(D5492,Projects!$A$2:$A$20000,1,FALSE),""))</f>
        <v/>
      </c>
      <c r="AF5492" s="2" t="str">
        <f>IF(D5492="","",IFERROR(MATCH(D5492,Projects!$A:$A,0),""))</f>
        <v/>
      </c>
    </row>
    <row r="5493" spans="31:32" x14ac:dyDescent="0.25">
      <c r="AE5493" s="39" t="str">
        <f>IF(D5493="","",IFERROR(VLOOKUP(D5493,Projects!$A$2:$A$20000,1,FALSE),""))</f>
        <v/>
      </c>
      <c r="AF5493" s="2" t="str">
        <f>IF(D5493="","",IFERROR(MATCH(D5493,Projects!$A:$A,0),""))</f>
        <v/>
      </c>
    </row>
    <row r="5494" spans="31:32" x14ac:dyDescent="0.25">
      <c r="AE5494" s="39" t="str">
        <f>IF(D5494="","",IFERROR(VLOOKUP(D5494,Projects!$A$2:$A$20000,1,FALSE),""))</f>
        <v/>
      </c>
      <c r="AF5494" s="2" t="str">
        <f>IF(D5494="","",IFERROR(MATCH(D5494,Projects!$A:$A,0),""))</f>
        <v/>
      </c>
    </row>
    <row r="5495" spans="31:32" x14ac:dyDescent="0.25">
      <c r="AE5495" s="39" t="str">
        <f>IF(D5495="","",IFERROR(VLOOKUP(D5495,Projects!$A$2:$A$20000,1,FALSE),""))</f>
        <v/>
      </c>
      <c r="AF5495" s="2" t="str">
        <f>IF(D5495="","",IFERROR(MATCH(D5495,Projects!$A:$A,0),""))</f>
        <v/>
      </c>
    </row>
    <row r="5496" spans="31:32" x14ac:dyDescent="0.25">
      <c r="AE5496" s="39" t="str">
        <f>IF(D5496="","",IFERROR(VLOOKUP(D5496,Projects!$A$2:$A$20000,1,FALSE),""))</f>
        <v/>
      </c>
      <c r="AF5496" s="2" t="str">
        <f>IF(D5496="","",IFERROR(MATCH(D5496,Projects!$A:$A,0),""))</f>
        <v/>
      </c>
    </row>
    <row r="5497" spans="31:32" x14ac:dyDescent="0.25">
      <c r="AE5497" s="39" t="str">
        <f>IF(D5497="","",IFERROR(VLOOKUP(D5497,Projects!$A$2:$A$20000,1,FALSE),""))</f>
        <v/>
      </c>
      <c r="AF5497" s="2" t="str">
        <f>IF(D5497="","",IFERROR(MATCH(D5497,Projects!$A:$A,0),""))</f>
        <v/>
      </c>
    </row>
    <row r="5498" spans="31:32" x14ac:dyDescent="0.25">
      <c r="AE5498" s="39" t="str">
        <f>IF(D5498="","",IFERROR(VLOOKUP(D5498,Projects!$A$2:$A$20000,1,FALSE),""))</f>
        <v/>
      </c>
      <c r="AF5498" s="2" t="str">
        <f>IF(D5498="","",IFERROR(MATCH(D5498,Projects!$A:$A,0),""))</f>
        <v/>
      </c>
    </row>
    <row r="5499" spans="31:32" x14ac:dyDescent="0.25">
      <c r="AE5499" s="39" t="str">
        <f>IF(D5499="","",IFERROR(VLOOKUP(D5499,Projects!$A$2:$A$20000,1,FALSE),""))</f>
        <v/>
      </c>
      <c r="AF5499" s="2" t="str">
        <f>IF(D5499="","",IFERROR(MATCH(D5499,Projects!$A:$A,0),""))</f>
        <v/>
      </c>
    </row>
    <row r="5500" spans="31:32" x14ac:dyDescent="0.25">
      <c r="AE5500" s="39" t="str">
        <f>IF(D5500="","",IFERROR(VLOOKUP(D5500,Projects!$A$2:$A$20000,1,FALSE),""))</f>
        <v/>
      </c>
      <c r="AF5500" s="2" t="str">
        <f>IF(D5500="","",IFERROR(MATCH(D5500,Projects!$A:$A,0),""))</f>
        <v/>
      </c>
    </row>
    <row r="5501" spans="31:32" x14ac:dyDescent="0.25">
      <c r="AE5501" s="39" t="str">
        <f>IF(D5501="","",IFERROR(VLOOKUP(D5501,Projects!$A$2:$A$20000,1,FALSE),""))</f>
        <v/>
      </c>
      <c r="AF5501" s="2" t="str">
        <f>IF(D5501="","",IFERROR(MATCH(D5501,Projects!$A:$A,0),""))</f>
        <v/>
      </c>
    </row>
    <row r="5502" spans="31:32" x14ac:dyDescent="0.25">
      <c r="AE5502" s="39" t="str">
        <f>IF(D5502="","",IFERROR(VLOOKUP(D5502,Projects!$A$2:$A$20000,1,FALSE),""))</f>
        <v/>
      </c>
      <c r="AF5502" s="2" t="str">
        <f>IF(D5502="","",IFERROR(MATCH(D5502,Projects!$A:$A,0),""))</f>
        <v/>
      </c>
    </row>
    <row r="5503" spans="31:32" x14ac:dyDescent="0.25">
      <c r="AE5503" s="39" t="str">
        <f>IF(D5503="","",IFERROR(VLOOKUP(D5503,Projects!$A$2:$A$20000,1,FALSE),""))</f>
        <v/>
      </c>
      <c r="AF5503" s="2" t="str">
        <f>IF(D5503="","",IFERROR(MATCH(D5503,Projects!$A:$A,0),""))</f>
        <v/>
      </c>
    </row>
    <row r="5504" spans="31:32" x14ac:dyDescent="0.25">
      <c r="AE5504" s="39" t="str">
        <f>IF(D5504="","",IFERROR(VLOOKUP(D5504,Projects!$A$2:$A$20000,1,FALSE),""))</f>
        <v/>
      </c>
      <c r="AF5504" s="2" t="str">
        <f>IF(D5504="","",IFERROR(MATCH(D5504,Projects!$A:$A,0),""))</f>
        <v/>
      </c>
    </row>
    <row r="5505" spans="31:32" x14ac:dyDescent="0.25">
      <c r="AE5505" s="39" t="str">
        <f>IF(D5505="","",IFERROR(VLOOKUP(D5505,Projects!$A$2:$A$20000,1,FALSE),""))</f>
        <v/>
      </c>
      <c r="AF5505" s="2" t="str">
        <f>IF(D5505="","",IFERROR(MATCH(D5505,Projects!$A:$A,0),""))</f>
        <v/>
      </c>
    </row>
    <row r="5506" spans="31:32" x14ac:dyDescent="0.25">
      <c r="AE5506" s="39" t="str">
        <f>IF(D5506="","",IFERROR(VLOOKUP(D5506,Projects!$A$2:$A$20000,1,FALSE),""))</f>
        <v/>
      </c>
      <c r="AF5506" s="2" t="str">
        <f>IF(D5506="","",IFERROR(MATCH(D5506,Projects!$A:$A,0),""))</f>
        <v/>
      </c>
    </row>
    <row r="5507" spans="31:32" x14ac:dyDescent="0.25">
      <c r="AE5507" s="39" t="str">
        <f>IF(D5507="","",IFERROR(VLOOKUP(D5507,Projects!$A$2:$A$20000,1,FALSE),""))</f>
        <v/>
      </c>
      <c r="AF5507" s="2" t="str">
        <f>IF(D5507="","",IFERROR(MATCH(D5507,Projects!$A:$A,0),""))</f>
        <v/>
      </c>
    </row>
    <row r="5508" spans="31:32" x14ac:dyDescent="0.25">
      <c r="AE5508" s="39" t="str">
        <f>IF(D5508="","",IFERROR(VLOOKUP(D5508,Projects!$A$2:$A$20000,1,FALSE),""))</f>
        <v/>
      </c>
      <c r="AF5508" s="2" t="str">
        <f>IF(D5508="","",IFERROR(MATCH(D5508,Projects!$A:$A,0),""))</f>
        <v/>
      </c>
    </row>
    <row r="5509" spans="31:32" x14ac:dyDescent="0.25">
      <c r="AE5509" s="39" t="str">
        <f>IF(D5509="","",IFERROR(VLOOKUP(D5509,Projects!$A$2:$A$20000,1,FALSE),""))</f>
        <v/>
      </c>
      <c r="AF5509" s="2" t="str">
        <f>IF(D5509="","",IFERROR(MATCH(D5509,Projects!$A:$A,0),""))</f>
        <v/>
      </c>
    </row>
    <row r="5510" spans="31:32" x14ac:dyDescent="0.25">
      <c r="AE5510" s="39" t="str">
        <f>IF(D5510="","",IFERROR(VLOOKUP(D5510,Projects!$A$2:$A$20000,1,FALSE),""))</f>
        <v/>
      </c>
      <c r="AF5510" s="2" t="str">
        <f>IF(D5510="","",IFERROR(MATCH(D5510,Projects!$A:$A,0),""))</f>
        <v/>
      </c>
    </row>
    <row r="5511" spans="31:32" x14ac:dyDescent="0.25">
      <c r="AE5511" s="39" t="str">
        <f>IF(D5511="","",IFERROR(VLOOKUP(D5511,Projects!$A$2:$A$20000,1,FALSE),""))</f>
        <v/>
      </c>
      <c r="AF5511" s="2" t="str">
        <f>IF(D5511="","",IFERROR(MATCH(D5511,Projects!$A:$A,0),""))</f>
        <v/>
      </c>
    </row>
    <row r="5512" spans="31:32" x14ac:dyDescent="0.25">
      <c r="AE5512" s="39" t="str">
        <f>IF(D5512="","",IFERROR(VLOOKUP(D5512,Projects!$A$2:$A$20000,1,FALSE),""))</f>
        <v/>
      </c>
      <c r="AF5512" s="2" t="str">
        <f>IF(D5512="","",IFERROR(MATCH(D5512,Projects!$A:$A,0),""))</f>
        <v/>
      </c>
    </row>
    <row r="5513" spans="31:32" x14ac:dyDescent="0.25">
      <c r="AE5513" s="39" t="str">
        <f>IF(D5513="","",IFERROR(VLOOKUP(D5513,Projects!$A$2:$A$20000,1,FALSE),""))</f>
        <v/>
      </c>
      <c r="AF5513" s="2" t="str">
        <f>IF(D5513="","",IFERROR(MATCH(D5513,Projects!$A:$A,0),""))</f>
        <v/>
      </c>
    </row>
    <row r="5514" spans="31:32" x14ac:dyDescent="0.25">
      <c r="AE5514" s="39" t="str">
        <f>IF(D5514="","",IFERROR(VLOOKUP(D5514,Projects!$A$2:$A$20000,1,FALSE),""))</f>
        <v/>
      </c>
      <c r="AF5514" s="2" t="str">
        <f>IF(D5514="","",IFERROR(MATCH(D5514,Projects!$A:$A,0),""))</f>
        <v/>
      </c>
    </row>
    <row r="5515" spans="31:32" x14ac:dyDescent="0.25">
      <c r="AE5515" s="39" t="str">
        <f>IF(D5515="","",IFERROR(VLOOKUP(D5515,Projects!$A$2:$A$20000,1,FALSE),""))</f>
        <v/>
      </c>
      <c r="AF5515" s="2" t="str">
        <f>IF(D5515="","",IFERROR(MATCH(D5515,Projects!$A:$A,0),""))</f>
        <v/>
      </c>
    </row>
    <row r="5516" spans="31:32" x14ac:dyDescent="0.25">
      <c r="AE5516" s="39" t="str">
        <f>IF(D5516="","",IFERROR(VLOOKUP(D5516,Projects!$A$2:$A$20000,1,FALSE),""))</f>
        <v/>
      </c>
      <c r="AF5516" s="2" t="str">
        <f>IF(D5516="","",IFERROR(MATCH(D5516,Projects!$A:$A,0),""))</f>
        <v/>
      </c>
    </row>
    <row r="5517" spans="31:32" x14ac:dyDescent="0.25">
      <c r="AE5517" s="39" t="str">
        <f>IF(D5517="","",IFERROR(VLOOKUP(D5517,Projects!$A$2:$A$20000,1,FALSE),""))</f>
        <v/>
      </c>
      <c r="AF5517" s="2" t="str">
        <f>IF(D5517="","",IFERROR(MATCH(D5517,Projects!$A:$A,0),""))</f>
        <v/>
      </c>
    </row>
    <row r="5518" spans="31:32" x14ac:dyDescent="0.25">
      <c r="AE5518" s="39" t="str">
        <f>IF(D5518="","",IFERROR(VLOOKUP(D5518,Projects!$A$2:$A$20000,1,FALSE),""))</f>
        <v/>
      </c>
      <c r="AF5518" s="2" t="str">
        <f>IF(D5518="","",IFERROR(MATCH(D5518,Projects!$A:$A,0),""))</f>
        <v/>
      </c>
    </row>
    <row r="5519" spans="31:32" x14ac:dyDescent="0.25">
      <c r="AE5519" s="39" t="str">
        <f>IF(D5519="","",IFERROR(VLOOKUP(D5519,Projects!$A$2:$A$20000,1,FALSE),""))</f>
        <v/>
      </c>
      <c r="AF5519" s="2" t="str">
        <f>IF(D5519="","",IFERROR(MATCH(D5519,Projects!$A:$A,0),""))</f>
        <v/>
      </c>
    </row>
    <row r="5520" spans="31:32" x14ac:dyDescent="0.25">
      <c r="AE5520" s="39" t="str">
        <f>IF(D5520="","",IFERROR(VLOOKUP(D5520,Projects!$A$2:$A$20000,1,FALSE),""))</f>
        <v/>
      </c>
      <c r="AF5520" s="2" t="str">
        <f>IF(D5520="","",IFERROR(MATCH(D5520,Projects!$A:$A,0),""))</f>
        <v/>
      </c>
    </row>
    <row r="5521" spans="31:32" x14ac:dyDescent="0.25">
      <c r="AE5521" s="39" t="str">
        <f>IF(D5521="","",IFERROR(VLOOKUP(D5521,Projects!$A$2:$A$20000,1,FALSE),""))</f>
        <v/>
      </c>
      <c r="AF5521" s="2" t="str">
        <f>IF(D5521="","",IFERROR(MATCH(D5521,Projects!$A:$A,0),""))</f>
        <v/>
      </c>
    </row>
    <row r="5522" spans="31:32" x14ac:dyDescent="0.25">
      <c r="AE5522" s="39" t="str">
        <f>IF(D5522="","",IFERROR(VLOOKUP(D5522,Projects!$A$2:$A$20000,1,FALSE),""))</f>
        <v/>
      </c>
      <c r="AF5522" s="2" t="str">
        <f>IF(D5522="","",IFERROR(MATCH(D5522,Projects!$A:$A,0),""))</f>
        <v/>
      </c>
    </row>
    <row r="5523" spans="31:32" x14ac:dyDescent="0.25">
      <c r="AE5523" s="39" t="str">
        <f>IF(D5523="","",IFERROR(VLOOKUP(D5523,Projects!$A$2:$A$20000,1,FALSE),""))</f>
        <v/>
      </c>
      <c r="AF5523" s="2" t="str">
        <f>IF(D5523="","",IFERROR(MATCH(D5523,Projects!$A:$A,0),""))</f>
        <v/>
      </c>
    </row>
    <row r="5524" spans="31:32" x14ac:dyDescent="0.25">
      <c r="AE5524" s="39" t="str">
        <f>IF(D5524="","",IFERROR(VLOOKUP(D5524,Projects!$A$2:$A$20000,1,FALSE),""))</f>
        <v/>
      </c>
      <c r="AF5524" s="2" t="str">
        <f>IF(D5524="","",IFERROR(MATCH(D5524,Projects!$A:$A,0),""))</f>
        <v/>
      </c>
    </row>
    <row r="5525" spans="31:32" x14ac:dyDescent="0.25">
      <c r="AE5525" s="39" t="str">
        <f>IF(D5525="","",IFERROR(VLOOKUP(D5525,Projects!$A$2:$A$20000,1,FALSE),""))</f>
        <v/>
      </c>
      <c r="AF5525" s="2" t="str">
        <f>IF(D5525="","",IFERROR(MATCH(D5525,Projects!$A:$A,0),""))</f>
        <v/>
      </c>
    </row>
    <row r="5526" spans="31:32" x14ac:dyDescent="0.25">
      <c r="AE5526" s="39" t="str">
        <f>IF(D5526="","",IFERROR(VLOOKUP(D5526,Projects!$A$2:$A$20000,1,FALSE),""))</f>
        <v/>
      </c>
      <c r="AF5526" s="2" t="str">
        <f>IF(D5526="","",IFERROR(MATCH(D5526,Projects!$A:$A,0),""))</f>
        <v/>
      </c>
    </row>
    <row r="5527" spans="31:32" x14ac:dyDescent="0.25">
      <c r="AE5527" s="39" t="str">
        <f>IF(D5527="","",IFERROR(VLOOKUP(D5527,Projects!$A$2:$A$20000,1,FALSE),""))</f>
        <v/>
      </c>
      <c r="AF5527" s="2" t="str">
        <f>IF(D5527="","",IFERROR(MATCH(D5527,Projects!$A:$A,0),""))</f>
        <v/>
      </c>
    </row>
    <row r="5528" spans="31:32" x14ac:dyDescent="0.25">
      <c r="AE5528" s="39" t="str">
        <f>IF(D5528="","",IFERROR(VLOOKUP(D5528,Projects!$A$2:$A$20000,1,FALSE),""))</f>
        <v/>
      </c>
      <c r="AF5528" s="2" t="str">
        <f>IF(D5528="","",IFERROR(MATCH(D5528,Projects!$A:$A,0),""))</f>
        <v/>
      </c>
    </row>
    <row r="5529" spans="31:32" x14ac:dyDescent="0.25">
      <c r="AE5529" s="39" t="str">
        <f>IF(D5529="","",IFERROR(VLOOKUP(D5529,Projects!$A$2:$A$20000,1,FALSE),""))</f>
        <v/>
      </c>
      <c r="AF5529" s="2" t="str">
        <f>IF(D5529="","",IFERROR(MATCH(D5529,Projects!$A:$A,0),""))</f>
        <v/>
      </c>
    </row>
    <row r="5530" spans="31:32" x14ac:dyDescent="0.25">
      <c r="AE5530" s="39" t="str">
        <f>IF(D5530="","",IFERROR(VLOOKUP(D5530,Projects!$A$2:$A$20000,1,FALSE),""))</f>
        <v/>
      </c>
      <c r="AF5530" s="2" t="str">
        <f>IF(D5530="","",IFERROR(MATCH(D5530,Projects!$A:$A,0),""))</f>
        <v/>
      </c>
    </row>
    <row r="5531" spans="31:32" x14ac:dyDescent="0.25">
      <c r="AE5531" s="39" t="str">
        <f>IF(D5531="","",IFERROR(VLOOKUP(D5531,Projects!$A$2:$A$20000,1,FALSE),""))</f>
        <v/>
      </c>
      <c r="AF5531" s="2" t="str">
        <f>IF(D5531="","",IFERROR(MATCH(D5531,Projects!$A:$A,0),""))</f>
        <v/>
      </c>
    </row>
    <row r="5532" spans="31:32" x14ac:dyDescent="0.25">
      <c r="AE5532" s="39" t="str">
        <f>IF(D5532="","",IFERROR(VLOOKUP(D5532,Projects!$A$2:$A$20000,1,FALSE),""))</f>
        <v/>
      </c>
      <c r="AF5532" s="2" t="str">
        <f>IF(D5532="","",IFERROR(MATCH(D5532,Projects!$A:$A,0),""))</f>
        <v/>
      </c>
    </row>
    <row r="5533" spans="31:32" x14ac:dyDescent="0.25">
      <c r="AE5533" s="39" t="str">
        <f>IF(D5533="","",IFERROR(VLOOKUP(D5533,Projects!$A$2:$A$20000,1,FALSE),""))</f>
        <v/>
      </c>
      <c r="AF5533" s="2" t="str">
        <f>IF(D5533="","",IFERROR(MATCH(D5533,Projects!$A:$A,0),""))</f>
        <v/>
      </c>
    </row>
    <row r="5534" spans="31:32" x14ac:dyDescent="0.25">
      <c r="AE5534" s="39" t="str">
        <f>IF(D5534="","",IFERROR(VLOOKUP(D5534,Projects!$A$2:$A$20000,1,FALSE),""))</f>
        <v/>
      </c>
      <c r="AF5534" s="2" t="str">
        <f>IF(D5534="","",IFERROR(MATCH(D5534,Projects!$A:$A,0),""))</f>
        <v/>
      </c>
    </row>
    <row r="5535" spans="31:32" x14ac:dyDescent="0.25">
      <c r="AE5535" s="39" t="str">
        <f>IF(D5535="","",IFERROR(VLOOKUP(D5535,Projects!$A$2:$A$20000,1,FALSE),""))</f>
        <v/>
      </c>
      <c r="AF5535" s="2" t="str">
        <f>IF(D5535="","",IFERROR(MATCH(D5535,Projects!$A:$A,0),""))</f>
        <v/>
      </c>
    </row>
    <row r="5536" spans="31:32" x14ac:dyDescent="0.25">
      <c r="AE5536" s="39" t="str">
        <f>IF(D5536="","",IFERROR(VLOOKUP(D5536,Projects!$A$2:$A$20000,1,FALSE),""))</f>
        <v/>
      </c>
      <c r="AF5536" s="2" t="str">
        <f>IF(D5536="","",IFERROR(MATCH(D5536,Projects!$A:$A,0),""))</f>
        <v/>
      </c>
    </row>
    <row r="5537" spans="31:32" x14ac:dyDescent="0.25">
      <c r="AE5537" s="39" t="str">
        <f>IF(D5537="","",IFERROR(VLOOKUP(D5537,Projects!$A$2:$A$20000,1,FALSE),""))</f>
        <v/>
      </c>
      <c r="AF5537" s="2" t="str">
        <f>IF(D5537="","",IFERROR(MATCH(D5537,Projects!$A:$A,0),""))</f>
        <v/>
      </c>
    </row>
    <row r="5538" spans="31:32" x14ac:dyDescent="0.25">
      <c r="AE5538" s="39" t="str">
        <f>IF(D5538="","",IFERROR(VLOOKUP(D5538,Projects!$A$2:$A$20000,1,FALSE),""))</f>
        <v/>
      </c>
      <c r="AF5538" s="2" t="str">
        <f>IF(D5538="","",IFERROR(MATCH(D5538,Projects!$A:$A,0),""))</f>
        <v/>
      </c>
    </row>
    <row r="5539" spans="31:32" x14ac:dyDescent="0.25">
      <c r="AE5539" s="39" t="str">
        <f>IF(D5539="","",IFERROR(VLOOKUP(D5539,Projects!$A$2:$A$20000,1,FALSE),""))</f>
        <v/>
      </c>
      <c r="AF5539" s="2" t="str">
        <f>IF(D5539="","",IFERROR(MATCH(D5539,Projects!$A:$A,0),""))</f>
        <v/>
      </c>
    </row>
    <row r="5540" spans="31:32" x14ac:dyDescent="0.25">
      <c r="AE5540" s="39" t="str">
        <f>IF(D5540="","",IFERROR(VLOOKUP(D5540,Projects!$A$2:$A$20000,1,FALSE),""))</f>
        <v/>
      </c>
      <c r="AF5540" s="2" t="str">
        <f>IF(D5540="","",IFERROR(MATCH(D5540,Projects!$A:$A,0),""))</f>
        <v/>
      </c>
    </row>
    <row r="5541" spans="31:32" x14ac:dyDescent="0.25">
      <c r="AE5541" s="39" t="str">
        <f>IF(D5541="","",IFERROR(VLOOKUP(D5541,Projects!$A$2:$A$20000,1,FALSE),""))</f>
        <v/>
      </c>
      <c r="AF5541" s="2" t="str">
        <f>IF(D5541="","",IFERROR(MATCH(D5541,Projects!$A:$A,0),""))</f>
        <v/>
      </c>
    </row>
    <row r="5542" spans="31:32" x14ac:dyDescent="0.25">
      <c r="AE5542" s="39" t="str">
        <f>IF(D5542="","",IFERROR(VLOOKUP(D5542,Projects!$A$2:$A$20000,1,FALSE),""))</f>
        <v/>
      </c>
      <c r="AF5542" s="2" t="str">
        <f>IF(D5542="","",IFERROR(MATCH(D5542,Projects!$A:$A,0),""))</f>
        <v/>
      </c>
    </row>
    <row r="5543" spans="31:32" x14ac:dyDescent="0.25">
      <c r="AE5543" s="39" t="str">
        <f>IF(D5543="","",IFERROR(VLOOKUP(D5543,Projects!$A$2:$A$20000,1,FALSE),""))</f>
        <v/>
      </c>
      <c r="AF5543" s="2" t="str">
        <f>IF(D5543="","",IFERROR(MATCH(D5543,Projects!$A:$A,0),""))</f>
        <v/>
      </c>
    </row>
    <row r="5544" spans="31:32" x14ac:dyDescent="0.25">
      <c r="AE5544" s="39" t="str">
        <f>IF(D5544="","",IFERROR(VLOOKUP(D5544,Projects!$A$2:$A$20000,1,FALSE),""))</f>
        <v/>
      </c>
      <c r="AF5544" s="2" t="str">
        <f>IF(D5544="","",IFERROR(MATCH(D5544,Projects!$A:$A,0),""))</f>
        <v/>
      </c>
    </row>
    <row r="5545" spans="31:32" x14ac:dyDescent="0.25">
      <c r="AE5545" s="39" t="str">
        <f>IF(D5545="","",IFERROR(VLOOKUP(D5545,Projects!$A$2:$A$20000,1,FALSE),""))</f>
        <v/>
      </c>
      <c r="AF5545" s="2" t="str">
        <f>IF(D5545="","",IFERROR(MATCH(D5545,Projects!$A:$A,0),""))</f>
        <v/>
      </c>
    </row>
    <row r="5546" spans="31:32" x14ac:dyDescent="0.25">
      <c r="AE5546" s="39" t="str">
        <f>IF(D5546="","",IFERROR(VLOOKUP(D5546,Projects!$A$2:$A$20000,1,FALSE),""))</f>
        <v/>
      </c>
      <c r="AF5546" s="2" t="str">
        <f>IF(D5546="","",IFERROR(MATCH(D5546,Projects!$A:$A,0),""))</f>
        <v/>
      </c>
    </row>
    <row r="5547" spans="31:32" x14ac:dyDescent="0.25">
      <c r="AE5547" s="39" t="str">
        <f>IF(D5547="","",IFERROR(VLOOKUP(D5547,Projects!$A$2:$A$20000,1,FALSE),""))</f>
        <v/>
      </c>
      <c r="AF5547" s="2" t="str">
        <f>IF(D5547="","",IFERROR(MATCH(D5547,Projects!$A:$A,0),""))</f>
        <v/>
      </c>
    </row>
    <row r="5548" spans="31:32" x14ac:dyDescent="0.25">
      <c r="AE5548" s="39" t="str">
        <f>IF(D5548="","",IFERROR(VLOOKUP(D5548,Projects!$A$2:$A$20000,1,FALSE),""))</f>
        <v/>
      </c>
      <c r="AF5548" s="2" t="str">
        <f>IF(D5548="","",IFERROR(MATCH(D5548,Projects!$A:$A,0),""))</f>
        <v/>
      </c>
    </row>
    <row r="5549" spans="31:32" x14ac:dyDescent="0.25">
      <c r="AE5549" s="39" t="str">
        <f>IF(D5549="","",IFERROR(VLOOKUP(D5549,Projects!$A$2:$A$20000,1,FALSE),""))</f>
        <v/>
      </c>
      <c r="AF5549" s="2" t="str">
        <f>IF(D5549="","",IFERROR(MATCH(D5549,Projects!$A:$A,0),""))</f>
        <v/>
      </c>
    </row>
    <row r="5550" spans="31:32" x14ac:dyDescent="0.25">
      <c r="AE5550" s="39" t="str">
        <f>IF(D5550="","",IFERROR(VLOOKUP(D5550,Projects!$A$2:$A$20000,1,FALSE),""))</f>
        <v/>
      </c>
      <c r="AF5550" s="2" t="str">
        <f>IF(D5550="","",IFERROR(MATCH(D5550,Projects!$A:$A,0),""))</f>
        <v/>
      </c>
    </row>
    <row r="5551" spans="31:32" x14ac:dyDescent="0.25">
      <c r="AE5551" s="39" t="str">
        <f>IF(D5551="","",IFERROR(VLOOKUP(D5551,Projects!$A$2:$A$20000,1,FALSE),""))</f>
        <v/>
      </c>
      <c r="AF5551" s="2" t="str">
        <f>IF(D5551="","",IFERROR(MATCH(D5551,Projects!$A:$A,0),""))</f>
        <v/>
      </c>
    </row>
    <row r="5552" spans="31:32" x14ac:dyDescent="0.25">
      <c r="AE5552" s="39" t="str">
        <f>IF(D5552="","",IFERROR(VLOOKUP(D5552,Projects!$A$2:$A$20000,1,FALSE),""))</f>
        <v/>
      </c>
      <c r="AF5552" s="2" t="str">
        <f>IF(D5552="","",IFERROR(MATCH(D5552,Projects!$A:$A,0),""))</f>
        <v/>
      </c>
    </row>
    <row r="5553" spans="31:32" x14ac:dyDescent="0.25">
      <c r="AE5553" s="39" t="str">
        <f>IF(D5553="","",IFERROR(VLOOKUP(D5553,Projects!$A$2:$A$20000,1,FALSE),""))</f>
        <v/>
      </c>
      <c r="AF5553" s="2" t="str">
        <f>IF(D5553="","",IFERROR(MATCH(D5553,Projects!$A:$A,0),""))</f>
        <v/>
      </c>
    </row>
    <row r="5554" spans="31:32" x14ac:dyDescent="0.25">
      <c r="AE5554" s="39" t="str">
        <f>IF(D5554="","",IFERROR(VLOOKUP(D5554,Projects!$A$2:$A$20000,1,FALSE),""))</f>
        <v/>
      </c>
      <c r="AF5554" s="2" t="str">
        <f>IF(D5554="","",IFERROR(MATCH(D5554,Projects!$A:$A,0),""))</f>
        <v/>
      </c>
    </row>
    <row r="5555" spans="31:32" x14ac:dyDescent="0.25">
      <c r="AE5555" s="39" t="str">
        <f>IF(D5555="","",IFERROR(VLOOKUP(D5555,Projects!$A$2:$A$20000,1,FALSE),""))</f>
        <v/>
      </c>
      <c r="AF5555" s="2" t="str">
        <f>IF(D5555="","",IFERROR(MATCH(D5555,Projects!$A:$A,0),""))</f>
        <v/>
      </c>
    </row>
    <row r="5556" spans="31:32" x14ac:dyDescent="0.25">
      <c r="AE5556" s="39" t="str">
        <f>IF(D5556="","",IFERROR(VLOOKUP(D5556,Projects!$A$2:$A$20000,1,FALSE),""))</f>
        <v/>
      </c>
      <c r="AF5556" s="2" t="str">
        <f>IF(D5556="","",IFERROR(MATCH(D5556,Projects!$A:$A,0),""))</f>
        <v/>
      </c>
    </row>
    <row r="5557" spans="31:32" x14ac:dyDescent="0.25">
      <c r="AE5557" s="39" t="str">
        <f>IF(D5557="","",IFERROR(VLOOKUP(D5557,Projects!$A$2:$A$20000,1,FALSE),""))</f>
        <v/>
      </c>
      <c r="AF5557" s="2" t="str">
        <f>IF(D5557="","",IFERROR(MATCH(D5557,Projects!$A:$A,0),""))</f>
        <v/>
      </c>
    </row>
    <row r="5558" spans="31:32" x14ac:dyDescent="0.25">
      <c r="AE5558" s="39" t="str">
        <f>IF(D5558="","",IFERROR(VLOOKUP(D5558,Projects!$A$2:$A$20000,1,FALSE),""))</f>
        <v/>
      </c>
      <c r="AF5558" s="2" t="str">
        <f>IF(D5558="","",IFERROR(MATCH(D5558,Projects!$A:$A,0),""))</f>
        <v/>
      </c>
    </row>
    <row r="5559" spans="31:32" x14ac:dyDescent="0.25">
      <c r="AE5559" s="39" t="str">
        <f>IF(D5559="","",IFERROR(VLOOKUP(D5559,Projects!$A$2:$A$20000,1,FALSE),""))</f>
        <v/>
      </c>
      <c r="AF5559" s="2" t="str">
        <f>IF(D5559="","",IFERROR(MATCH(D5559,Projects!$A:$A,0),""))</f>
        <v/>
      </c>
    </row>
    <row r="5560" spans="31:32" x14ac:dyDescent="0.25">
      <c r="AE5560" s="39" t="str">
        <f>IF(D5560="","",IFERROR(VLOOKUP(D5560,Projects!$A$2:$A$20000,1,FALSE),""))</f>
        <v/>
      </c>
      <c r="AF5560" s="2" t="str">
        <f>IF(D5560="","",IFERROR(MATCH(D5560,Projects!$A:$A,0),""))</f>
        <v/>
      </c>
    </row>
    <row r="5561" spans="31:32" x14ac:dyDescent="0.25">
      <c r="AE5561" s="39" t="str">
        <f>IF(D5561="","",IFERROR(VLOOKUP(D5561,Projects!$A$2:$A$20000,1,FALSE),""))</f>
        <v/>
      </c>
      <c r="AF5561" s="2" t="str">
        <f>IF(D5561="","",IFERROR(MATCH(D5561,Projects!$A:$A,0),""))</f>
        <v/>
      </c>
    </row>
    <row r="5562" spans="31:32" x14ac:dyDescent="0.25">
      <c r="AE5562" s="39" t="str">
        <f>IF(D5562="","",IFERROR(VLOOKUP(D5562,Projects!$A$2:$A$20000,1,FALSE),""))</f>
        <v/>
      </c>
      <c r="AF5562" s="2" t="str">
        <f>IF(D5562="","",IFERROR(MATCH(D5562,Projects!$A:$A,0),""))</f>
        <v/>
      </c>
    </row>
    <row r="5563" spans="31:32" x14ac:dyDescent="0.25">
      <c r="AE5563" s="39" t="str">
        <f>IF(D5563="","",IFERROR(VLOOKUP(D5563,Projects!$A$2:$A$20000,1,FALSE),""))</f>
        <v/>
      </c>
      <c r="AF5563" s="2" t="str">
        <f>IF(D5563="","",IFERROR(MATCH(D5563,Projects!$A:$A,0),""))</f>
        <v/>
      </c>
    </row>
    <row r="5564" spans="31:32" x14ac:dyDescent="0.25">
      <c r="AE5564" s="39" t="str">
        <f>IF(D5564="","",IFERROR(VLOOKUP(D5564,Projects!$A$2:$A$20000,1,FALSE),""))</f>
        <v/>
      </c>
      <c r="AF5564" s="2" t="str">
        <f>IF(D5564="","",IFERROR(MATCH(D5564,Projects!$A:$A,0),""))</f>
        <v/>
      </c>
    </row>
    <row r="5565" spans="31:32" x14ac:dyDescent="0.25">
      <c r="AE5565" s="39" t="str">
        <f>IF(D5565="","",IFERROR(VLOOKUP(D5565,Projects!$A$2:$A$20000,1,FALSE),""))</f>
        <v/>
      </c>
      <c r="AF5565" s="2" t="str">
        <f>IF(D5565="","",IFERROR(MATCH(D5565,Projects!$A:$A,0),""))</f>
        <v/>
      </c>
    </row>
    <row r="5566" spans="31:32" x14ac:dyDescent="0.25">
      <c r="AE5566" s="39" t="str">
        <f>IF(D5566="","",IFERROR(VLOOKUP(D5566,Projects!$A$2:$A$20000,1,FALSE),""))</f>
        <v/>
      </c>
      <c r="AF5566" s="2" t="str">
        <f>IF(D5566="","",IFERROR(MATCH(D5566,Projects!$A:$A,0),""))</f>
        <v/>
      </c>
    </row>
    <row r="5567" spans="31:32" x14ac:dyDescent="0.25">
      <c r="AE5567" s="39" t="str">
        <f>IF(D5567="","",IFERROR(VLOOKUP(D5567,Projects!$A$2:$A$20000,1,FALSE),""))</f>
        <v/>
      </c>
      <c r="AF5567" s="2" t="str">
        <f>IF(D5567="","",IFERROR(MATCH(D5567,Projects!$A:$A,0),""))</f>
        <v/>
      </c>
    </row>
    <row r="5568" spans="31:32" x14ac:dyDescent="0.25">
      <c r="AE5568" s="39" t="str">
        <f>IF(D5568="","",IFERROR(VLOOKUP(D5568,Projects!$A$2:$A$20000,1,FALSE),""))</f>
        <v/>
      </c>
      <c r="AF5568" s="2" t="str">
        <f>IF(D5568="","",IFERROR(MATCH(D5568,Projects!$A:$A,0),""))</f>
        <v/>
      </c>
    </row>
    <row r="5569" spans="31:32" x14ac:dyDescent="0.25">
      <c r="AE5569" s="39" t="str">
        <f>IF(D5569="","",IFERROR(VLOOKUP(D5569,Projects!$A$2:$A$20000,1,FALSE),""))</f>
        <v/>
      </c>
      <c r="AF5569" s="2" t="str">
        <f>IF(D5569="","",IFERROR(MATCH(D5569,Projects!$A:$A,0),""))</f>
        <v/>
      </c>
    </row>
    <row r="5570" spans="31:32" x14ac:dyDescent="0.25">
      <c r="AE5570" s="39" t="str">
        <f>IF(D5570="","",IFERROR(VLOOKUP(D5570,Projects!$A$2:$A$20000,1,FALSE),""))</f>
        <v/>
      </c>
      <c r="AF5570" s="2" t="str">
        <f>IF(D5570="","",IFERROR(MATCH(D5570,Projects!$A:$A,0),""))</f>
        <v/>
      </c>
    </row>
    <row r="5571" spans="31:32" x14ac:dyDescent="0.25">
      <c r="AE5571" s="39" t="str">
        <f>IF(D5571="","",IFERROR(VLOOKUP(D5571,Projects!$A$2:$A$20000,1,FALSE),""))</f>
        <v/>
      </c>
      <c r="AF5571" s="2" t="str">
        <f>IF(D5571="","",IFERROR(MATCH(D5571,Projects!$A:$A,0),""))</f>
        <v/>
      </c>
    </row>
    <row r="5572" spans="31:32" x14ac:dyDescent="0.25">
      <c r="AE5572" s="39" t="str">
        <f>IF(D5572="","",IFERROR(VLOOKUP(D5572,Projects!$A$2:$A$20000,1,FALSE),""))</f>
        <v/>
      </c>
      <c r="AF5572" s="2" t="str">
        <f>IF(D5572="","",IFERROR(MATCH(D5572,Projects!$A:$A,0),""))</f>
        <v/>
      </c>
    </row>
    <row r="5573" spans="31:32" x14ac:dyDescent="0.25">
      <c r="AE5573" s="39" t="str">
        <f>IF(D5573="","",IFERROR(VLOOKUP(D5573,Projects!$A$2:$A$20000,1,FALSE),""))</f>
        <v/>
      </c>
      <c r="AF5573" s="2" t="str">
        <f>IF(D5573="","",IFERROR(MATCH(D5573,Projects!$A:$A,0),""))</f>
        <v/>
      </c>
    </row>
    <row r="5574" spans="31:32" x14ac:dyDescent="0.25">
      <c r="AE5574" s="39" t="str">
        <f>IF(D5574="","",IFERROR(VLOOKUP(D5574,Projects!$A$2:$A$20000,1,FALSE),""))</f>
        <v/>
      </c>
      <c r="AF5574" s="2" t="str">
        <f>IF(D5574="","",IFERROR(MATCH(D5574,Projects!$A:$A,0),""))</f>
        <v/>
      </c>
    </row>
    <row r="5575" spans="31:32" x14ac:dyDescent="0.25">
      <c r="AE5575" s="39" t="str">
        <f>IF(D5575="","",IFERROR(VLOOKUP(D5575,Projects!$A$2:$A$20000,1,FALSE),""))</f>
        <v/>
      </c>
      <c r="AF5575" s="2" t="str">
        <f>IF(D5575="","",IFERROR(MATCH(D5575,Projects!$A:$A,0),""))</f>
        <v/>
      </c>
    </row>
    <row r="5576" spans="31:32" x14ac:dyDescent="0.25">
      <c r="AE5576" s="39" t="str">
        <f>IF(D5576="","",IFERROR(VLOOKUP(D5576,Projects!$A$2:$A$20000,1,FALSE),""))</f>
        <v/>
      </c>
      <c r="AF5576" s="2" t="str">
        <f>IF(D5576="","",IFERROR(MATCH(D5576,Projects!$A:$A,0),""))</f>
        <v/>
      </c>
    </row>
    <row r="5577" spans="31:32" x14ac:dyDescent="0.25">
      <c r="AE5577" s="39" t="str">
        <f>IF(D5577="","",IFERROR(VLOOKUP(D5577,Projects!$A$2:$A$20000,1,FALSE),""))</f>
        <v/>
      </c>
      <c r="AF5577" s="2" t="str">
        <f>IF(D5577="","",IFERROR(MATCH(D5577,Projects!$A:$A,0),""))</f>
        <v/>
      </c>
    </row>
    <row r="5578" spans="31:32" x14ac:dyDescent="0.25">
      <c r="AE5578" s="39" t="str">
        <f>IF(D5578="","",IFERROR(VLOOKUP(D5578,Projects!$A$2:$A$20000,1,FALSE),""))</f>
        <v/>
      </c>
      <c r="AF5578" s="2" t="str">
        <f>IF(D5578="","",IFERROR(MATCH(D5578,Projects!$A:$A,0),""))</f>
        <v/>
      </c>
    </row>
    <row r="5579" spans="31:32" x14ac:dyDescent="0.25">
      <c r="AE5579" s="39" t="str">
        <f>IF(D5579="","",IFERROR(VLOOKUP(D5579,Projects!$A$2:$A$20000,1,FALSE),""))</f>
        <v/>
      </c>
      <c r="AF5579" s="2" t="str">
        <f>IF(D5579="","",IFERROR(MATCH(D5579,Projects!$A:$A,0),""))</f>
        <v/>
      </c>
    </row>
    <row r="5580" spans="31:32" x14ac:dyDescent="0.25">
      <c r="AE5580" s="39" t="str">
        <f>IF(D5580="","",IFERROR(VLOOKUP(D5580,Projects!$A$2:$A$20000,1,FALSE),""))</f>
        <v/>
      </c>
      <c r="AF5580" s="2" t="str">
        <f>IF(D5580="","",IFERROR(MATCH(D5580,Projects!$A:$A,0),""))</f>
        <v/>
      </c>
    </row>
    <row r="5581" spans="31:32" x14ac:dyDescent="0.25">
      <c r="AE5581" s="39" t="str">
        <f>IF(D5581="","",IFERROR(VLOOKUP(D5581,Projects!$A$2:$A$20000,1,FALSE),""))</f>
        <v/>
      </c>
      <c r="AF5581" s="2" t="str">
        <f>IF(D5581="","",IFERROR(MATCH(D5581,Projects!$A:$A,0),""))</f>
        <v/>
      </c>
    </row>
    <row r="5582" spans="31:32" x14ac:dyDescent="0.25">
      <c r="AE5582" s="39" t="str">
        <f>IF(D5582="","",IFERROR(VLOOKUP(D5582,Projects!$A$2:$A$20000,1,FALSE),""))</f>
        <v/>
      </c>
      <c r="AF5582" s="2" t="str">
        <f>IF(D5582="","",IFERROR(MATCH(D5582,Projects!$A:$A,0),""))</f>
        <v/>
      </c>
    </row>
    <row r="5583" spans="31:32" x14ac:dyDescent="0.25">
      <c r="AE5583" s="39" t="str">
        <f>IF(D5583="","",IFERROR(VLOOKUP(D5583,Projects!$A$2:$A$20000,1,FALSE),""))</f>
        <v/>
      </c>
      <c r="AF5583" s="2" t="str">
        <f>IF(D5583="","",IFERROR(MATCH(D5583,Projects!$A:$A,0),""))</f>
        <v/>
      </c>
    </row>
    <row r="5584" spans="31:32" x14ac:dyDescent="0.25">
      <c r="AE5584" s="39" t="str">
        <f>IF(D5584="","",IFERROR(VLOOKUP(D5584,Projects!$A$2:$A$20000,1,FALSE),""))</f>
        <v/>
      </c>
      <c r="AF5584" s="2" t="str">
        <f>IF(D5584="","",IFERROR(MATCH(D5584,Projects!$A:$A,0),""))</f>
        <v/>
      </c>
    </row>
    <row r="5585" spans="31:32" x14ac:dyDescent="0.25">
      <c r="AE5585" s="39" t="str">
        <f>IF(D5585="","",IFERROR(VLOOKUP(D5585,Projects!$A$2:$A$20000,1,FALSE),""))</f>
        <v/>
      </c>
      <c r="AF5585" s="2" t="str">
        <f>IF(D5585="","",IFERROR(MATCH(D5585,Projects!$A:$A,0),""))</f>
        <v/>
      </c>
    </row>
    <row r="5586" spans="31:32" x14ac:dyDescent="0.25">
      <c r="AE5586" s="39" t="str">
        <f>IF(D5586="","",IFERROR(VLOOKUP(D5586,Projects!$A$2:$A$20000,1,FALSE),""))</f>
        <v/>
      </c>
      <c r="AF5586" s="2" t="str">
        <f>IF(D5586="","",IFERROR(MATCH(D5586,Projects!$A:$A,0),""))</f>
        <v/>
      </c>
    </row>
    <row r="5587" spans="31:32" x14ac:dyDescent="0.25">
      <c r="AE5587" s="39" t="str">
        <f>IF(D5587="","",IFERROR(VLOOKUP(D5587,Projects!$A$2:$A$20000,1,FALSE),""))</f>
        <v/>
      </c>
      <c r="AF5587" s="2" t="str">
        <f>IF(D5587="","",IFERROR(MATCH(D5587,Projects!$A:$A,0),""))</f>
        <v/>
      </c>
    </row>
    <row r="5588" spans="31:32" x14ac:dyDescent="0.25">
      <c r="AE5588" s="39" t="str">
        <f>IF(D5588="","",IFERROR(VLOOKUP(D5588,Projects!$A$2:$A$20000,1,FALSE),""))</f>
        <v/>
      </c>
      <c r="AF5588" s="2" t="str">
        <f>IF(D5588="","",IFERROR(MATCH(D5588,Projects!$A:$A,0),""))</f>
        <v/>
      </c>
    </row>
    <row r="5589" spans="31:32" x14ac:dyDescent="0.25">
      <c r="AE5589" s="39" t="str">
        <f>IF(D5589="","",IFERROR(VLOOKUP(D5589,Projects!$A$2:$A$20000,1,FALSE),""))</f>
        <v/>
      </c>
      <c r="AF5589" s="2" t="str">
        <f>IF(D5589="","",IFERROR(MATCH(D5589,Projects!$A:$A,0),""))</f>
        <v/>
      </c>
    </row>
    <row r="5590" spans="31:32" x14ac:dyDescent="0.25">
      <c r="AE5590" s="39" t="str">
        <f>IF(D5590="","",IFERROR(VLOOKUP(D5590,Projects!$A$2:$A$20000,1,FALSE),""))</f>
        <v/>
      </c>
      <c r="AF5590" s="2" t="str">
        <f>IF(D5590="","",IFERROR(MATCH(D5590,Projects!$A:$A,0),""))</f>
        <v/>
      </c>
    </row>
    <row r="5591" spans="31:32" x14ac:dyDescent="0.25">
      <c r="AE5591" s="39" t="str">
        <f>IF(D5591="","",IFERROR(VLOOKUP(D5591,Projects!$A$2:$A$20000,1,FALSE),""))</f>
        <v/>
      </c>
      <c r="AF5591" s="2" t="str">
        <f>IF(D5591="","",IFERROR(MATCH(D5591,Projects!$A:$A,0),""))</f>
        <v/>
      </c>
    </row>
    <row r="5592" spans="31:32" x14ac:dyDescent="0.25">
      <c r="AE5592" s="39" t="str">
        <f>IF(D5592="","",IFERROR(VLOOKUP(D5592,Projects!$A$2:$A$20000,1,FALSE),""))</f>
        <v/>
      </c>
      <c r="AF5592" s="2" t="str">
        <f>IF(D5592="","",IFERROR(MATCH(D5592,Projects!$A:$A,0),""))</f>
        <v/>
      </c>
    </row>
    <row r="5593" spans="31:32" x14ac:dyDescent="0.25">
      <c r="AE5593" s="39" t="str">
        <f>IF(D5593="","",IFERROR(VLOOKUP(D5593,Projects!$A$2:$A$20000,1,FALSE),""))</f>
        <v/>
      </c>
      <c r="AF5593" s="2" t="str">
        <f>IF(D5593="","",IFERROR(MATCH(D5593,Projects!$A:$A,0),""))</f>
        <v/>
      </c>
    </row>
    <row r="5594" spans="31:32" x14ac:dyDescent="0.25">
      <c r="AE5594" s="39" t="str">
        <f>IF(D5594="","",IFERROR(VLOOKUP(D5594,Projects!$A$2:$A$20000,1,FALSE),""))</f>
        <v/>
      </c>
      <c r="AF5594" s="2" t="str">
        <f>IF(D5594="","",IFERROR(MATCH(D5594,Projects!$A:$A,0),""))</f>
        <v/>
      </c>
    </row>
    <row r="5595" spans="31:32" x14ac:dyDescent="0.25">
      <c r="AE5595" s="39" t="str">
        <f>IF(D5595="","",IFERROR(VLOOKUP(D5595,Projects!$A$2:$A$20000,1,FALSE),""))</f>
        <v/>
      </c>
      <c r="AF5595" s="2" t="str">
        <f>IF(D5595="","",IFERROR(MATCH(D5595,Projects!$A:$A,0),""))</f>
        <v/>
      </c>
    </row>
    <row r="5596" spans="31:32" x14ac:dyDescent="0.25">
      <c r="AE5596" s="39" t="str">
        <f>IF(D5596="","",IFERROR(VLOOKUP(D5596,Projects!$A$2:$A$20000,1,FALSE),""))</f>
        <v/>
      </c>
      <c r="AF5596" s="2" t="str">
        <f>IF(D5596="","",IFERROR(MATCH(D5596,Projects!$A:$A,0),""))</f>
        <v/>
      </c>
    </row>
    <row r="5597" spans="31:32" x14ac:dyDescent="0.25">
      <c r="AE5597" s="39" t="str">
        <f>IF(D5597="","",IFERROR(VLOOKUP(D5597,Projects!$A$2:$A$20000,1,FALSE),""))</f>
        <v/>
      </c>
      <c r="AF5597" s="2" t="str">
        <f>IF(D5597="","",IFERROR(MATCH(D5597,Projects!$A:$A,0),""))</f>
        <v/>
      </c>
    </row>
    <row r="5598" spans="31:32" x14ac:dyDescent="0.25">
      <c r="AE5598" s="39" t="str">
        <f>IF(D5598="","",IFERROR(VLOOKUP(D5598,Projects!$A$2:$A$20000,1,FALSE),""))</f>
        <v/>
      </c>
      <c r="AF5598" s="2" t="str">
        <f>IF(D5598="","",IFERROR(MATCH(D5598,Projects!$A:$A,0),""))</f>
        <v/>
      </c>
    </row>
    <row r="5599" spans="31:32" x14ac:dyDescent="0.25">
      <c r="AE5599" s="39" t="str">
        <f>IF(D5599="","",IFERROR(VLOOKUP(D5599,Projects!$A$2:$A$20000,1,FALSE),""))</f>
        <v/>
      </c>
      <c r="AF5599" s="2" t="str">
        <f>IF(D5599="","",IFERROR(MATCH(D5599,Projects!$A:$A,0),""))</f>
        <v/>
      </c>
    </row>
    <row r="5600" spans="31:32" x14ac:dyDescent="0.25">
      <c r="AE5600" s="39" t="str">
        <f>IF(D5600="","",IFERROR(VLOOKUP(D5600,Projects!$A$2:$A$20000,1,FALSE),""))</f>
        <v/>
      </c>
      <c r="AF5600" s="2" t="str">
        <f>IF(D5600="","",IFERROR(MATCH(D5600,Projects!$A:$A,0),""))</f>
        <v/>
      </c>
    </row>
    <row r="5601" spans="31:32" x14ac:dyDescent="0.25">
      <c r="AE5601" s="39" t="str">
        <f>IF(D5601="","",IFERROR(VLOOKUP(D5601,Projects!$A$2:$A$20000,1,FALSE),""))</f>
        <v/>
      </c>
      <c r="AF5601" s="2" t="str">
        <f>IF(D5601="","",IFERROR(MATCH(D5601,Projects!$A:$A,0),""))</f>
        <v/>
      </c>
    </row>
    <row r="5602" spans="31:32" x14ac:dyDescent="0.25">
      <c r="AE5602" s="39" t="str">
        <f>IF(D5602="","",IFERROR(VLOOKUP(D5602,Projects!$A$2:$A$20000,1,FALSE),""))</f>
        <v/>
      </c>
      <c r="AF5602" s="2" t="str">
        <f>IF(D5602="","",IFERROR(MATCH(D5602,Projects!$A:$A,0),""))</f>
        <v/>
      </c>
    </row>
    <row r="5603" spans="31:32" x14ac:dyDescent="0.25">
      <c r="AE5603" s="39" t="str">
        <f>IF(D5603="","",IFERROR(VLOOKUP(D5603,Projects!$A$2:$A$20000,1,FALSE),""))</f>
        <v/>
      </c>
      <c r="AF5603" s="2" t="str">
        <f>IF(D5603="","",IFERROR(MATCH(D5603,Projects!$A:$A,0),""))</f>
        <v/>
      </c>
    </row>
    <row r="5604" spans="31:32" x14ac:dyDescent="0.25">
      <c r="AE5604" s="39" t="str">
        <f>IF(D5604="","",IFERROR(VLOOKUP(D5604,Projects!$A$2:$A$20000,1,FALSE),""))</f>
        <v/>
      </c>
      <c r="AF5604" s="2" t="str">
        <f>IF(D5604="","",IFERROR(MATCH(D5604,Projects!$A:$A,0),""))</f>
        <v/>
      </c>
    </row>
    <row r="5605" spans="31:32" x14ac:dyDescent="0.25">
      <c r="AE5605" s="39" t="str">
        <f>IF(D5605="","",IFERROR(VLOOKUP(D5605,Projects!$A$2:$A$20000,1,FALSE),""))</f>
        <v/>
      </c>
      <c r="AF5605" s="2" t="str">
        <f>IF(D5605="","",IFERROR(MATCH(D5605,Projects!$A:$A,0),""))</f>
        <v/>
      </c>
    </row>
    <row r="5606" spans="31:32" x14ac:dyDescent="0.25">
      <c r="AE5606" s="39" t="str">
        <f>IF(D5606="","",IFERROR(VLOOKUP(D5606,Projects!$A$2:$A$20000,1,FALSE),""))</f>
        <v/>
      </c>
      <c r="AF5606" s="2" t="str">
        <f>IF(D5606="","",IFERROR(MATCH(D5606,Projects!$A:$A,0),""))</f>
        <v/>
      </c>
    </row>
    <row r="5607" spans="31:32" x14ac:dyDescent="0.25">
      <c r="AE5607" s="39" t="str">
        <f>IF(D5607="","",IFERROR(VLOOKUP(D5607,Projects!$A$2:$A$20000,1,FALSE),""))</f>
        <v/>
      </c>
      <c r="AF5607" s="2" t="str">
        <f>IF(D5607="","",IFERROR(MATCH(D5607,Projects!$A:$A,0),""))</f>
        <v/>
      </c>
    </row>
    <row r="5608" spans="31:32" x14ac:dyDescent="0.25">
      <c r="AE5608" s="39" t="str">
        <f>IF(D5608="","",IFERROR(VLOOKUP(D5608,Projects!$A$2:$A$20000,1,FALSE),""))</f>
        <v/>
      </c>
      <c r="AF5608" s="2" t="str">
        <f>IF(D5608="","",IFERROR(MATCH(D5608,Projects!$A:$A,0),""))</f>
        <v/>
      </c>
    </row>
    <row r="5609" spans="31:32" x14ac:dyDescent="0.25">
      <c r="AE5609" s="39" t="str">
        <f>IF(D5609="","",IFERROR(VLOOKUP(D5609,Projects!$A$2:$A$20000,1,FALSE),""))</f>
        <v/>
      </c>
      <c r="AF5609" s="2" t="str">
        <f>IF(D5609="","",IFERROR(MATCH(D5609,Projects!$A:$A,0),""))</f>
        <v/>
      </c>
    </row>
    <row r="5610" spans="31:32" x14ac:dyDescent="0.25">
      <c r="AE5610" s="39" t="str">
        <f>IF(D5610="","",IFERROR(VLOOKUP(D5610,Projects!$A$2:$A$20000,1,FALSE),""))</f>
        <v/>
      </c>
      <c r="AF5610" s="2" t="str">
        <f>IF(D5610="","",IFERROR(MATCH(D5610,Projects!$A:$A,0),""))</f>
        <v/>
      </c>
    </row>
    <row r="5611" spans="31:32" x14ac:dyDescent="0.25">
      <c r="AE5611" s="39" t="str">
        <f>IF(D5611="","",IFERROR(VLOOKUP(D5611,Projects!$A$2:$A$20000,1,FALSE),""))</f>
        <v/>
      </c>
      <c r="AF5611" s="2" t="str">
        <f>IF(D5611="","",IFERROR(MATCH(D5611,Projects!$A:$A,0),""))</f>
        <v/>
      </c>
    </row>
    <row r="5612" spans="31:32" x14ac:dyDescent="0.25">
      <c r="AE5612" s="39" t="str">
        <f>IF(D5612="","",IFERROR(VLOOKUP(D5612,Projects!$A$2:$A$20000,1,FALSE),""))</f>
        <v/>
      </c>
      <c r="AF5612" s="2" t="str">
        <f>IF(D5612="","",IFERROR(MATCH(D5612,Projects!$A:$A,0),""))</f>
        <v/>
      </c>
    </row>
    <row r="5613" spans="31:32" x14ac:dyDescent="0.25">
      <c r="AE5613" s="39" t="str">
        <f>IF(D5613="","",IFERROR(VLOOKUP(D5613,Projects!$A$2:$A$20000,1,FALSE),""))</f>
        <v/>
      </c>
      <c r="AF5613" s="2" t="str">
        <f>IF(D5613="","",IFERROR(MATCH(D5613,Projects!$A:$A,0),""))</f>
        <v/>
      </c>
    </row>
    <row r="5614" spans="31:32" x14ac:dyDescent="0.25">
      <c r="AE5614" s="39" t="str">
        <f>IF(D5614="","",IFERROR(VLOOKUP(D5614,Projects!$A$2:$A$20000,1,FALSE),""))</f>
        <v/>
      </c>
      <c r="AF5614" s="2" t="str">
        <f>IF(D5614="","",IFERROR(MATCH(D5614,Projects!$A:$A,0),""))</f>
        <v/>
      </c>
    </row>
    <row r="5615" spans="31:32" x14ac:dyDescent="0.25">
      <c r="AE5615" s="39" t="str">
        <f>IF(D5615="","",IFERROR(VLOOKUP(D5615,Projects!$A$2:$A$20000,1,FALSE),""))</f>
        <v/>
      </c>
      <c r="AF5615" s="2" t="str">
        <f>IF(D5615="","",IFERROR(MATCH(D5615,Projects!$A:$A,0),""))</f>
        <v/>
      </c>
    </row>
    <row r="5616" spans="31:32" x14ac:dyDescent="0.25">
      <c r="AE5616" s="39" t="str">
        <f>IF(D5616="","",IFERROR(VLOOKUP(D5616,Projects!$A$2:$A$20000,1,FALSE),""))</f>
        <v/>
      </c>
      <c r="AF5616" s="2" t="str">
        <f>IF(D5616="","",IFERROR(MATCH(D5616,Projects!$A:$A,0),""))</f>
        <v/>
      </c>
    </row>
    <row r="5617" spans="31:32" x14ac:dyDescent="0.25">
      <c r="AE5617" s="39" t="str">
        <f>IF(D5617="","",IFERROR(VLOOKUP(D5617,Projects!$A$2:$A$20000,1,FALSE),""))</f>
        <v/>
      </c>
      <c r="AF5617" s="2" t="str">
        <f>IF(D5617="","",IFERROR(MATCH(D5617,Projects!$A:$A,0),""))</f>
        <v/>
      </c>
    </row>
    <row r="5618" spans="31:32" x14ac:dyDescent="0.25">
      <c r="AE5618" s="39" t="str">
        <f>IF(D5618="","",IFERROR(VLOOKUP(D5618,Projects!$A$2:$A$20000,1,FALSE),""))</f>
        <v/>
      </c>
      <c r="AF5618" s="2" t="str">
        <f>IF(D5618="","",IFERROR(MATCH(D5618,Projects!$A:$A,0),""))</f>
        <v/>
      </c>
    </row>
    <row r="5619" spans="31:32" x14ac:dyDescent="0.25">
      <c r="AE5619" s="39" t="str">
        <f>IF(D5619="","",IFERROR(VLOOKUP(D5619,Projects!$A$2:$A$20000,1,FALSE),""))</f>
        <v/>
      </c>
      <c r="AF5619" s="2" t="str">
        <f>IF(D5619="","",IFERROR(MATCH(D5619,Projects!$A:$A,0),""))</f>
        <v/>
      </c>
    </row>
    <row r="5620" spans="31:32" x14ac:dyDescent="0.25">
      <c r="AE5620" s="39" t="str">
        <f>IF(D5620="","",IFERROR(VLOOKUP(D5620,Projects!$A$2:$A$20000,1,FALSE),""))</f>
        <v/>
      </c>
      <c r="AF5620" s="2" t="str">
        <f>IF(D5620="","",IFERROR(MATCH(D5620,Projects!$A:$A,0),""))</f>
        <v/>
      </c>
    </row>
    <row r="5621" spans="31:32" x14ac:dyDescent="0.25">
      <c r="AE5621" s="39" t="str">
        <f>IF(D5621="","",IFERROR(VLOOKUP(D5621,Projects!$A$2:$A$20000,1,FALSE),""))</f>
        <v/>
      </c>
      <c r="AF5621" s="2" t="str">
        <f>IF(D5621="","",IFERROR(MATCH(D5621,Projects!$A:$A,0),""))</f>
        <v/>
      </c>
    </row>
    <row r="5622" spans="31:32" x14ac:dyDescent="0.25">
      <c r="AE5622" s="39" t="str">
        <f>IF(D5622="","",IFERROR(VLOOKUP(D5622,Projects!$A$2:$A$20000,1,FALSE),""))</f>
        <v/>
      </c>
      <c r="AF5622" s="2" t="str">
        <f>IF(D5622="","",IFERROR(MATCH(D5622,Projects!$A:$A,0),""))</f>
        <v/>
      </c>
    </row>
    <row r="5623" spans="31:32" x14ac:dyDescent="0.25">
      <c r="AE5623" s="39" t="str">
        <f>IF(D5623="","",IFERROR(VLOOKUP(D5623,Projects!$A$2:$A$20000,1,FALSE),""))</f>
        <v/>
      </c>
      <c r="AF5623" s="2" t="str">
        <f>IF(D5623="","",IFERROR(MATCH(D5623,Projects!$A:$A,0),""))</f>
        <v/>
      </c>
    </row>
    <row r="5624" spans="31:32" x14ac:dyDescent="0.25">
      <c r="AE5624" s="39" t="str">
        <f>IF(D5624="","",IFERROR(VLOOKUP(D5624,Projects!$A$2:$A$20000,1,FALSE),""))</f>
        <v/>
      </c>
      <c r="AF5624" s="2" t="str">
        <f>IF(D5624="","",IFERROR(MATCH(D5624,Projects!$A:$A,0),""))</f>
        <v/>
      </c>
    </row>
    <row r="5625" spans="31:32" x14ac:dyDescent="0.25">
      <c r="AE5625" s="39" t="str">
        <f>IF(D5625="","",IFERROR(VLOOKUP(D5625,Projects!$A$2:$A$20000,1,FALSE),""))</f>
        <v/>
      </c>
      <c r="AF5625" s="2" t="str">
        <f>IF(D5625="","",IFERROR(MATCH(D5625,Projects!$A:$A,0),""))</f>
        <v/>
      </c>
    </row>
    <row r="5626" spans="31:32" x14ac:dyDescent="0.25">
      <c r="AE5626" s="39" t="str">
        <f>IF(D5626="","",IFERROR(VLOOKUP(D5626,Projects!$A$2:$A$20000,1,FALSE),""))</f>
        <v/>
      </c>
      <c r="AF5626" s="2" t="str">
        <f>IF(D5626="","",IFERROR(MATCH(D5626,Projects!$A:$A,0),""))</f>
        <v/>
      </c>
    </row>
    <row r="5627" spans="31:32" x14ac:dyDescent="0.25">
      <c r="AE5627" s="39" t="str">
        <f>IF(D5627="","",IFERROR(VLOOKUP(D5627,Projects!$A$2:$A$20000,1,FALSE),""))</f>
        <v/>
      </c>
      <c r="AF5627" s="2" t="str">
        <f>IF(D5627="","",IFERROR(MATCH(D5627,Projects!$A:$A,0),""))</f>
        <v/>
      </c>
    </row>
    <row r="5628" spans="31:32" x14ac:dyDescent="0.25">
      <c r="AE5628" s="39" t="str">
        <f>IF(D5628="","",IFERROR(VLOOKUP(D5628,Projects!$A$2:$A$20000,1,FALSE),""))</f>
        <v/>
      </c>
      <c r="AF5628" s="2" t="str">
        <f>IF(D5628="","",IFERROR(MATCH(D5628,Projects!$A:$A,0),""))</f>
        <v/>
      </c>
    </row>
    <row r="5629" spans="31:32" x14ac:dyDescent="0.25">
      <c r="AE5629" s="39" t="str">
        <f>IF(D5629="","",IFERROR(VLOOKUP(D5629,Projects!$A$2:$A$20000,1,FALSE),""))</f>
        <v/>
      </c>
      <c r="AF5629" s="2" t="str">
        <f>IF(D5629="","",IFERROR(MATCH(D5629,Projects!$A:$A,0),""))</f>
        <v/>
      </c>
    </row>
    <row r="5630" spans="31:32" x14ac:dyDescent="0.25">
      <c r="AE5630" s="39" t="str">
        <f>IF(D5630="","",IFERROR(VLOOKUP(D5630,Projects!$A$2:$A$20000,1,FALSE),""))</f>
        <v/>
      </c>
      <c r="AF5630" s="2" t="str">
        <f>IF(D5630="","",IFERROR(MATCH(D5630,Projects!$A:$A,0),""))</f>
        <v/>
      </c>
    </row>
    <row r="5631" spans="31:32" x14ac:dyDescent="0.25">
      <c r="AE5631" s="39" t="str">
        <f>IF(D5631="","",IFERROR(VLOOKUP(D5631,Projects!$A$2:$A$20000,1,FALSE),""))</f>
        <v/>
      </c>
      <c r="AF5631" s="2" t="str">
        <f>IF(D5631="","",IFERROR(MATCH(D5631,Projects!$A:$A,0),""))</f>
        <v/>
      </c>
    </row>
    <row r="5632" spans="31:32" x14ac:dyDescent="0.25">
      <c r="AE5632" s="39" t="str">
        <f>IF(D5632="","",IFERROR(VLOOKUP(D5632,Projects!$A$2:$A$20000,1,FALSE),""))</f>
        <v/>
      </c>
      <c r="AF5632" s="2" t="str">
        <f>IF(D5632="","",IFERROR(MATCH(D5632,Projects!$A:$A,0),""))</f>
        <v/>
      </c>
    </row>
    <row r="5633" spans="31:32" x14ac:dyDescent="0.25">
      <c r="AE5633" s="39" t="str">
        <f>IF(D5633="","",IFERROR(VLOOKUP(D5633,Projects!$A$2:$A$20000,1,FALSE),""))</f>
        <v/>
      </c>
      <c r="AF5633" s="2" t="str">
        <f>IF(D5633="","",IFERROR(MATCH(D5633,Projects!$A:$A,0),""))</f>
        <v/>
      </c>
    </row>
    <row r="5634" spans="31:32" x14ac:dyDescent="0.25">
      <c r="AE5634" s="39" t="str">
        <f>IF(D5634="","",IFERROR(VLOOKUP(D5634,Projects!$A$2:$A$20000,1,FALSE),""))</f>
        <v/>
      </c>
      <c r="AF5634" s="2" t="str">
        <f>IF(D5634="","",IFERROR(MATCH(D5634,Projects!$A:$A,0),""))</f>
        <v/>
      </c>
    </row>
    <row r="5635" spans="31:32" x14ac:dyDescent="0.25">
      <c r="AE5635" s="39" t="str">
        <f>IF(D5635="","",IFERROR(VLOOKUP(D5635,Projects!$A$2:$A$20000,1,FALSE),""))</f>
        <v/>
      </c>
      <c r="AF5635" s="2" t="str">
        <f>IF(D5635="","",IFERROR(MATCH(D5635,Projects!$A:$A,0),""))</f>
        <v/>
      </c>
    </row>
    <row r="5636" spans="31:32" x14ac:dyDescent="0.25">
      <c r="AE5636" s="39" t="str">
        <f>IF(D5636="","",IFERROR(VLOOKUP(D5636,Projects!$A$2:$A$20000,1,FALSE),""))</f>
        <v/>
      </c>
      <c r="AF5636" s="2" t="str">
        <f>IF(D5636="","",IFERROR(MATCH(D5636,Projects!$A:$A,0),""))</f>
        <v/>
      </c>
    </row>
    <row r="5637" spans="31:32" x14ac:dyDescent="0.25">
      <c r="AE5637" s="39" t="str">
        <f>IF(D5637="","",IFERROR(VLOOKUP(D5637,Projects!$A$2:$A$20000,1,FALSE),""))</f>
        <v/>
      </c>
      <c r="AF5637" s="2" t="str">
        <f>IF(D5637="","",IFERROR(MATCH(D5637,Projects!$A:$A,0),""))</f>
        <v/>
      </c>
    </row>
    <row r="5638" spans="31:32" x14ac:dyDescent="0.25">
      <c r="AE5638" s="39" t="str">
        <f>IF(D5638="","",IFERROR(VLOOKUP(D5638,Projects!$A$2:$A$20000,1,FALSE),""))</f>
        <v/>
      </c>
      <c r="AF5638" s="2" t="str">
        <f>IF(D5638="","",IFERROR(MATCH(D5638,Projects!$A:$A,0),""))</f>
        <v/>
      </c>
    </row>
    <row r="5639" spans="31:32" x14ac:dyDescent="0.25">
      <c r="AE5639" s="39" t="str">
        <f>IF(D5639="","",IFERROR(VLOOKUP(D5639,Projects!$A$2:$A$20000,1,FALSE),""))</f>
        <v/>
      </c>
      <c r="AF5639" s="2" t="str">
        <f>IF(D5639="","",IFERROR(MATCH(D5639,Projects!$A:$A,0),""))</f>
        <v/>
      </c>
    </row>
    <row r="5640" spans="31:32" x14ac:dyDescent="0.25">
      <c r="AE5640" s="39" t="str">
        <f>IF(D5640="","",IFERROR(VLOOKUP(D5640,Projects!$A$2:$A$20000,1,FALSE),""))</f>
        <v/>
      </c>
      <c r="AF5640" s="2" t="str">
        <f>IF(D5640="","",IFERROR(MATCH(D5640,Projects!$A:$A,0),""))</f>
        <v/>
      </c>
    </row>
    <row r="5641" spans="31:32" x14ac:dyDescent="0.25">
      <c r="AE5641" s="39" t="str">
        <f>IF(D5641="","",IFERROR(VLOOKUP(D5641,Projects!$A$2:$A$20000,1,FALSE),""))</f>
        <v/>
      </c>
      <c r="AF5641" s="2" t="str">
        <f>IF(D5641="","",IFERROR(MATCH(D5641,Projects!$A:$A,0),""))</f>
        <v/>
      </c>
    </row>
    <row r="5642" spans="31:32" x14ac:dyDescent="0.25">
      <c r="AE5642" s="39" t="str">
        <f>IF(D5642="","",IFERROR(VLOOKUP(D5642,Projects!$A$2:$A$20000,1,FALSE),""))</f>
        <v/>
      </c>
      <c r="AF5642" s="2" t="str">
        <f>IF(D5642="","",IFERROR(MATCH(D5642,Projects!$A:$A,0),""))</f>
        <v/>
      </c>
    </row>
    <row r="5643" spans="31:32" x14ac:dyDescent="0.25">
      <c r="AE5643" s="39" t="str">
        <f>IF(D5643="","",IFERROR(VLOOKUP(D5643,Projects!$A$2:$A$20000,1,FALSE),""))</f>
        <v/>
      </c>
      <c r="AF5643" s="2" t="str">
        <f>IF(D5643="","",IFERROR(MATCH(D5643,Projects!$A:$A,0),""))</f>
        <v/>
      </c>
    </row>
    <row r="5644" spans="31:32" x14ac:dyDescent="0.25">
      <c r="AE5644" s="39" t="str">
        <f>IF(D5644="","",IFERROR(VLOOKUP(D5644,Projects!$A$2:$A$20000,1,FALSE),""))</f>
        <v/>
      </c>
      <c r="AF5644" s="2" t="str">
        <f>IF(D5644="","",IFERROR(MATCH(D5644,Projects!$A:$A,0),""))</f>
        <v/>
      </c>
    </row>
    <row r="5645" spans="31:32" x14ac:dyDescent="0.25">
      <c r="AE5645" s="39" t="str">
        <f>IF(D5645="","",IFERROR(VLOOKUP(D5645,Projects!$A$2:$A$20000,1,FALSE),""))</f>
        <v/>
      </c>
      <c r="AF5645" s="2" t="str">
        <f>IF(D5645="","",IFERROR(MATCH(D5645,Projects!$A:$A,0),""))</f>
        <v/>
      </c>
    </row>
    <row r="5646" spans="31:32" x14ac:dyDescent="0.25">
      <c r="AE5646" s="39" t="str">
        <f>IF(D5646="","",IFERROR(VLOOKUP(D5646,Projects!$A$2:$A$20000,1,FALSE),""))</f>
        <v/>
      </c>
      <c r="AF5646" s="2" t="str">
        <f>IF(D5646="","",IFERROR(MATCH(D5646,Projects!$A:$A,0),""))</f>
        <v/>
      </c>
    </row>
    <row r="5647" spans="31:32" x14ac:dyDescent="0.25">
      <c r="AE5647" s="39" t="str">
        <f>IF(D5647="","",IFERROR(VLOOKUP(D5647,Projects!$A$2:$A$20000,1,FALSE),""))</f>
        <v/>
      </c>
      <c r="AF5647" s="2" t="str">
        <f>IF(D5647="","",IFERROR(MATCH(D5647,Projects!$A:$A,0),""))</f>
        <v/>
      </c>
    </row>
    <row r="5648" spans="31:32" x14ac:dyDescent="0.25">
      <c r="AE5648" s="39" t="str">
        <f>IF(D5648="","",IFERROR(VLOOKUP(D5648,Projects!$A$2:$A$20000,1,FALSE),""))</f>
        <v/>
      </c>
      <c r="AF5648" s="2" t="str">
        <f>IF(D5648="","",IFERROR(MATCH(D5648,Projects!$A:$A,0),""))</f>
        <v/>
      </c>
    </row>
    <row r="5649" spans="31:32" x14ac:dyDescent="0.25">
      <c r="AE5649" s="39" t="str">
        <f>IF(D5649="","",IFERROR(VLOOKUP(D5649,Projects!$A$2:$A$20000,1,FALSE),""))</f>
        <v/>
      </c>
      <c r="AF5649" s="2" t="str">
        <f>IF(D5649="","",IFERROR(MATCH(D5649,Projects!$A:$A,0),""))</f>
        <v/>
      </c>
    </row>
    <row r="5650" spans="31:32" x14ac:dyDescent="0.25">
      <c r="AE5650" s="39" t="str">
        <f>IF(D5650="","",IFERROR(VLOOKUP(D5650,Projects!$A$2:$A$20000,1,FALSE),""))</f>
        <v/>
      </c>
      <c r="AF5650" s="2" t="str">
        <f>IF(D5650="","",IFERROR(MATCH(D5650,Projects!$A:$A,0),""))</f>
        <v/>
      </c>
    </row>
    <row r="5651" spans="31:32" x14ac:dyDescent="0.25">
      <c r="AE5651" s="39" t="str">
        <f>IF(D5651="","",IFERROR(VLOOKUP(D5651,Projects!$A$2:$A$20000,1,FALSE),""))</f>
        <v/>
      </c>
      <c r="AF5651" s="2" t="str">
        <f>IF(D5651="","",IFERROR(MATCH(D5651,Projects!$A:$A,0),""))</f>
        <v/>
      </c>
    </row>
    <row r="5652" spans="31:32" x14ac:dyDescent="0.25">
      <c r="AE5652" s="39" t="str">
        <f>IF(D5652="","",IFERROR(VLOOKUP(D5652,Projects!$A$2:$A$20000,1,FALSE),""))</f>
        <v/>
      </c>
      <c r="AF5652" s="2" t="str">
        <f>IF(D5652="","",IFERROR(MATCH(D5652,Projects!$A:$A,0),""))</f>
        <v/>
      </c>
    </row>
    <row r="5653" spans="31:32" x14ac:dyDescent="0.25">
      <c r="AE5653" s="39" t="str">
        <f>IF(D5653="","",IFERROR(VLOOKUP(D5653,Projects!$A$2:$A$20000,1,FALSE),""))</f>
        <v/>
      </c>
      <c r="AF5653" s="2" t="str">
        <f>IF(D5653="","",IFERROR(MATCH(D5653,Projects!$A:$A,0),""))</f>
        <v/>
      </c>
    </row>
    <row r="5654" spans="31:32" x14ac:dyDescent="0.25">
      <c r="AE5654" s="39" t="str">
        <f>IF(D5654="","",IFERROR(VLOOKUP(D5654,Projects!$A$2:$A$20000,1,FALSE),""))</f>
        <v/>
      </c>
      <c r="AF5654" s="2" t="str">
        <f>IF(D5654="","",IFERROR(MATCH(D5654,Projects!$A:$A,0),""))</f>
        <v/>
      </c>
    </row>
    <row r="5655" spans="31:32" x14ac:dyDescent="0.25">
      <c r="AE5655" s="39" t="str">
        <f>IF(D5655="","",IFERROR(VLOOKUP(D5655,Projects!$A$2:$A$20000,1,FALSE),""))</f>
        <v/>
      </c>
      <c r="AF5655" s="2" t="str">
        <f>IF(D5655="","",IFERROR(MATCH(D5655,Projects!$A:$A,0),""))</f>
        <v/>
      </c>
    </row>
    <row r="5656" spans="31:32" x14ac:dyDescent="0.25">
      <c r="AE5656" s="39" t="str">
        <f>IF(D5656="","",IFERROR(VLOOKUP(D5656,Projects!$A$2:$A$20000,1,FALSE),""))</f>
        <v/>
      </c>
      <c r="AF5656" s="2" t="str">
        <f>IF(D5656="","",IFERROR(MATCH(D5656,Projects!$A:$A,0),""))</f>
        <v/>
      </c>
    </row>
    <row r="5657" spans="31:32" x14ac:dyDescent="0.25">
      <c r="AE5657" s="39" t="str">
        <f>IF(D5657="","",IFERROR(VLOOKUP(D5657,Projects!$A$2:$A$20000,1,FALSE),""))</f>
        <v/>
      </c>
      <c r="AF5657" s="2" t="str">
        <f>IF(D5657="","",IFERROR(MATCH(D5657,Projects!$A:$A,0),""))</f>
        <v/>
      </c>
    </row>
    <row r="5658" spans="31:32" x14ac:dyDescent="0.25">
      <c r="AE5658" s="39" t="str">
        <f>IF(D5658="","",IFERROR(VLOOKUP(D5658,Projects!$A$2:$A$20000,1,FALSE),""))</f>
        <v/>
      </c>
      <c r="AF5658" s="2" t="str">
        <f>IF(D5658="","",IFERROR(MATCH(D5658,Projects!$A:$A,0),""))</f>
        <v/>
      </c>
    </row>
    <row r="5659" spans="31:32" x14ac:dyDescent="0.25">
      <c r="AE5659" s="39" t="str">
        <f>IF(D5659="","",IFERROR(VLOOKUP(D5659,Projects!$A$2:$A$20000,1,FALSE),""))</f>
        <v/>
      </c>
      <c r="AF5659" s="2" t="str">
        <f>IF(D5659="","",IFERROR(MATCH(D5659,Projects!$A:$A,0),""))</f>
        <v/>
      </c>
    </row>
    <row r="5660" spans="31:32" x14ac:dyDescent="0.25">
      <c r="AE5660" s="39" t="str">
        <f>IF(D5660="","",IFERROR(VLOOKUP(D5660,Projects!$A$2:$A$20000,1,FALSE),""))</f>
        <v/>
      </c>
      <c r="AF5660" s="2" t="str">
        <f>IF(D5660="","",IFERROR(MATCH(D5660,Projects!$A:$A,0),""))</f>
        <v/>
      </c>
    </row>
    <row r="5661" spans="31:32" x14ac:dyDescent="0.25">
      <c r="AE5661" s="39" t="str">
        <f>IF(D5661="","",IFERROR(VLOOKUP(D5661,Projects!$A$2:$A$20000,1,FALSE),""))</f>
        <v/>
      </c>
      <c r="AF5661" s="2" t="str">
        <f>IF(D5661="","",IFERROR(MATCH(D5661,Projects!$A:$A,0),""))</f>
        <v/>
      </c>
    </row>
    <row r="5662" spans="31:32" x14ac:dyDescent="0.25">
      <c r="AE5662" s="39" t="str">
        <f>IF(D5662="","",IFERROR(VLOOKUP(D5662,Projects!$A$2:$A$20000,1,FALSE),""))</f>
        <v/>
      </c>
      <c r="AF5662" s="2" t="str">
        <f>IF(D5662="","",IFERROR(MATCH(D5662,Projects!$A:$A,0),""))</f>
        <v/>
      </c>
    </row>
    <row r="5663" spans="31:32" x14ac:dyDescent="0.25">
      <c r="AE5663" s="39" t="str">
        <f>IF(D5663="","",IFERROR(VLOOKUP(D5663,Projects!$A$2:$A$20000,1,FALSE),""))</f>
        <v/>
      </c>
      <c r="AF5663" s="2" t="str">
        <f>IF(D5663="","",IFERROR(MATCH(D5663,Projects!$A:$A,0),""))</f>
        <v/>
      </c>
    </row>
    <row r="5664" spans="31:32" x14ac:dyDescent="0.25">
      <c r="AE5664" s="39" t="str">
        <f>IF(D5664="","",IFERROR(VLOOKUP(D5664,Projects!$A$2:$A$20000,1,FALSE),""))</f>
        <v/>
      </c>
      <c r="AF5664" s="2" t="str">
        <f>IF(D5664="","",IFERROR(MATCH(D5664,Projects!$A:$A,0),""))</f>
        <v/>
      </c>
    </row>
    <row r="5665" spans="31:32" x14ac:dyDescent="0.25">
      <c r="AE5665" s="39" t="str">
        <f>IF(D5665="","",IFERROR(VLOOKUP(D5665,Projects!$A$2:$A$20000,1,FALSE),""))</f>
        <v/>
      </c>
      <c r="AF5665" s="2" t="str">
        <f>IF(D5665="","",IFERROR(MATCH(D5665,Projects!$A:$A,0),""))</f>
        <v/>
      </c>
    </row>
    <row r="5666" spans="31:32" x14ac:dyDescent="0.25">
      <c r="AE5666" s="39" t="str">
        <f>IF(D5666="","",IFERROR(VLOOKUP(D5666,Projects!$A$2:$A$20000,1,FALSE),""))</f>
        <v/>
      </c>
      <c r="AF5666" s="2" t="str">
        <f>IF(D5666="","",IFERROR(MATCH(D5666,Projects!$A:$A,0),""))</f>
        <v/>
      </c>
    </row>
    <row r="5667" spans="31:32" x14ac:dyDescent="0.25">
      <c r="AE5667" s="39" t="str">
        <f>IF(D5667="","",IFERROR(VLOOKUP(D5667,Projects!$A$2:$A$20000,1,FALSE),""))</f>
        <v/>
      </c>
      <c r="AF5667" s="2" t="str">
        <f>IF(D5667="","",IFERROR(MATCH(D5667,Projects!$A:$A,0),""))</f>
        <v/>
      </c>
    </row>
    <row r="5668" spans="31:32" x14ac:dyDescent="0.25">
      <c r="AE5668" s="39" t="str">
        <f>IF(D5668="","",IFERROR(VLOOKUP(D5668,Projects!$A$2:$A$20000,1,FALSE),""))</f>
        <v/>
      </c>
      <c r="AF5668" s="2" t="str">
        <f>IF(D5668="","",IFERROR(MATCH(D5668,Projects!$A:$A,0),""))</f>
        <v/>
      </c>
    </row>
    <row r="5669" spans="31:32" x14ac:dyDescent="0.25">
      <c r="AE5669" s="39" t="str">
        <f>IF(D5669="","",IFERROR(VLOOKUP(D5669,Projects!$A$2:$A$20000,1,FALSE),""))</f>
        <v/>
      </c>
      <c r="AF5669" s="2" t="str">
        <f>IF(D5669="","",IFERROR(MATCH(D5669,Projects!$A:$A,0),""))</f>
        <v/>
      </c>
    </row>
    <row r="5670" spans="31:32" x14ac:dyDescent="0.25">
      <c r="AE5670" s="39" t="str">
        <f>IF(D5670="","",IFERROR(VLOOKUP(D5670,Projects!$A$2:$A$20000,1,FALSE),""))</f>
        <v/>
      </c>
      <c r="AF5670" s="2" t="str">
        <f>IF(D5670="","",IFERROR(MATCH(D5670,Projects!$A:$A,0),""))</f>
        <v/>
      </c>
    </row>
    <row r="5671" spans="31:32" x14ac:dyDescent="0.25">
      <c r="AE5671" s="39" t="str">
        <f>IF(D5671="","",IFERROR(VLOOKUP(D5671,Projects!$A$2:$A$20000,1,FALSE),""))</f>
        <v/>
      </c>
      <c r="AF5671" s="2" t="str">
        <f>IF(D5671="","",IFERROR(MATCH(D5671,Projects!$A:$A,0),""))</f>
        <v/>
      </c>
    </row>
    <row r="5672" spans="31:32" x14ac:dyDescent="0.25">
      <c r="AE5672" s="39" t="str">
        <f>IF(D5672="","",IFERROR(VLOOKUP(D5672,Projects!$A$2:$A$20000,1,FALSE),""))</f>
        <v/>
      </c>
      <c r="AF5672" s="2" t="str">
        <f>IF(D5672="","",IFERROR(MATCH(D5672,Projects!$A:$A,0),""))</f>
        <v/>
      </c>
    </row>
    <row r="5673" spans="31:32" x14ac:dyDescent="0.25">
      <c r="AE5673" s="39" t="str">
        <f>IF(D5673="","",IFERROR(VLOOKUP(D5673,Projects!$A$2:$A$20000,1,FALSE),""))</f>
        <v/>
      </c>
      <c r="AF5673" s="2" t="str">
        <f>IF(D5673="","",IFERROR(MATCH(D5673,Projects!$A:$A,0),""))</f>
        <v/>
      </c>
    </row>
    <row r="5674" spans="31:32" x14ac:dyDescent="0.25">
      <c r="AE5674" s="39" t="str">
        <f>IF(D5674="","",IFERROR(VLOOKUP(D5674,Projects!$A$2:$A$20000,1,FALSE),""))</f>
        <v/>
      </c>
      <c r="AF5674" s="2" t="str">
        <f>IF(D5674="","",IFERROR(MATCH(D5674,Projects!$A:$A,0),""))</f>
        <v/>
      </c>
    </row>
    <row r="5675" spans="31:32" x14ac:dyDescent="0.25">
      <c r="AE5675" s="39" t="str">
        <f>IF(D5675="","",IFERROR(VLOOKUP(D5675,Projects!$A$2:$A$20000,1,FALSE),""))</f>
        <v/>
      </c>
      <c r="AF5675" s="2" t="str">
        <f>IF(D5675="","",IFERROR(MATCH(D5675,Projects!$A:$A,0),""))</f>
        <v/>
      </c>
    </row>
    <row r="5676" spans="31:32" x14ac:dyDescent="0.25">
      <c r="AE5676" s="39" t="str">
        <f>IF(D5676="","",IFERROR(VLOOKUP(D5676,Projects!$A$2:$A$20000,1,FALSE),""))</f>
        <v/>
      </c>
      <c r="AF5676" s="2" t="str">
        <f>IF(D5676="","",IFERROR(MATCH(D5676,Projects!$A:$A,0),""))</f>
        <v/>
      </c>
    </row>
    <row r="5677" spans="31:32" x14ac:dyDescent="0.25">
      <c r="AE5677" s="39" t="str">
        <f>IF(D5677="","",IFERROR(VLOOKUP(D5677,Projects!$A$2:$A$20000,1,FALSE),""))</f>
        <v/>
      </c>
      <c r="AF5677" s="2" t="str">
        <f>IF(D5677="","",IFERROR(MATCH(D5677,Projects!$A:$A,0),""))</f>
        <v/>
      </c>
    </row>
    <row r="5678" spans="31:32" x14ac:dyDescent="0.25">
      <c r="AE5678" s="39" t="str">
        <f>IF(D5678="","",IFERROR(VLOOKUP(D5678,Projects!$A$2:$A$20000,1,FALSE),""))</f>
        <v/>
      </c>
      <c r="AF5678" s="2" t="str">
        <f>IF(D5678="","",IFERROR(MATCH(D5678,Projects!$A:$A,0),""))</f>
        <v/>
      </c>
    </row>
    <row r="5679" spans="31:32" x14ac:dyDescent="0.25">
      <c r="AE5679" s="39" t="str">
        <f>IF(D5679="","",IFERROR(VLOOKUP(D5679,Projects!$A$2:$A$20000,1,FALSE),""))</f>
        <v/>
      </c>
      <c r="AF5679" s="2" t="str">
        <f>IF(D5679="","",IFERROR(MATCH(D5679,Projects!$A:$A,0),""))</f>
        <v/>
      </c>
    </row>
    <row r="5680" spans="31:32" x14ac:dyDescent="0.25">
      <c r="AE5680" s="39" t="str">
        <f>IF(D5680="","",IFERROR(VLOOKUP(D5680,Projects!$A$2:$A$20000,1,FALSE),""))</f>
        <v/>
      </c>
      <c r="AF5680" s="2" t="str">
        <f>IF(D5680="","",IFERROR(MATCH(D5680,Projects!$A:$A,0),""))</f>
        <v/>
      </c>
    </row>
    <row r="5681" spans="31:32" x14ac:dyDescent="0.25">
      <c r="AE5681" s="39" t="str">
        <f>IF(D5681="","",IFERROR(VLOOKUP(D5681,Projects!$A$2:$A$20000,1,FALSE),""))</f>
        <v/>
      </c>
      <c r="AF5681" s="2" t="str">
        <f>IF(D5681="","",IFERROR(MATCH(D5681,Projects!$A:$A,0),""))</f>
        <v/>
      </c>
    </row>
    <row r="5682" spans="31:32" x14ac:dyDescent="0.25">
      <c r="AE5682" s="39" t="str">
        <f>IF(D5682="","",IFERROR(VLOOKUP(D5682,Projects!$A$2:$A$20000,1,FALSE),""))</f>
        <v/>
      </c>
      <c r="AF5682" s="2" t="str">
        <f>IF(D5682="","",IFERROR(MATCH(D5682,Projects!$A:$A,0),""))</f>
        <v/>
      </c>
    </row>
    <row r="5683" spans="31:32" x14ac:dyDescent="0.25">
      <c r="AE5683" s="39" t="str">
        <f>IF(D5683="","",IFERROR(VLOOKUP(D5683,Projects!$A$2:$A$20000,1,FALSE),""))</f>
        <v/>
      </c>
      <c r="AF5683" s="2" t="str">
        <f>IF(D5683="","",IFERROR(MATCH(D5683,Projects!$A:$A,0),""))</f>
        <v/>
      </c>
    </row>
    <row r="5684" spans="31:32" x14ac:dyDescent="0.25">
      <c r="AE5684" s="39" t="str">
        <f>IF(D5684="","",IFERROR(VLOOKUP(D5684,Projects!$A$2:$A$20000,1,FALSE),""))</f>
        <v/>
      </c>
      <c r="AF5684" s="2" t="str">
        <f>IF(D5684="","",IFERROR(MATCH(D5684,Projects!$A:$A,0),""))</f>
        <v/>
      </c>
    </row>
    <row r="5685" spans="31:32" x14ac:dyDescent="0.25">
      <c r="AE5685" s="39" t="str">
        <f>IF(D5685="","",IFERROR(VLOOKUP(D5685,Projects!$A$2:$A$20000,1,FALSE),""))</f>
        <v/>
      </c>
      <c r="AF5685" s="2" t="str">
        <f>IF(D5685="","",IFERROR(MATCH(D5685,Projects!$A:$A,0),""))</f>
        <v/>
      </c>
    </row>
    <row r="5686" spans="31:32" x14ac:dyDescent="0.25">
      <c r="AE5686" s="39" t="str">
        <f>IF(D5686="","",IFERROR(VLOOKUP(D5686,Projects!$A$2:$A$20000,1,FALSE),""))</f>
        <v/>
      </c>
      <c r="AF5686" s="2" t="str">
        <f>IF(D5686="","",IFERROR(MATCH(D5686,Projects!$A:$A,0),""))</f>
        <v/>
      </c>
    </row>
    <row r="5687" spans="31:32" x14ac:dyDescent="0.25">
      <c r="AE5687" s="39" t="str">
        <f>IF(D5687="","",IFERROR(VLOOKUP(D5687,Projects!$A$2:$A$20000,1,FALSE),""))</f>
        <v/>
      </c>
      <c r="AF5687" s="2" t="str">
        <f>IF(D5687="","",IFERROR(MATCH(D5687,Projects!$A:$A,0),""))</f>
        <v/>
      </c>
    </row>
    <row r="5688" spans="31:32" x14ac:dyDescent="0.25">
      <c r="AE5688" s="39" t="str">
        <f>IF(D5688="","",IFERROR(VLOOKUP(D5688,Projects!$A$2:$A$20000,1,FALSE),""))</f>
        <v/>
      </c>
      <c r="AF5688" s="2" t="str">
        <f>IF(D5688="","",IFERROR(MATCH(D5688,Projects!$A:$A,0),""))</f>
        <v/>
      </c>
    </row>
    <row r="5689" spans="31:32" x14ac:dyDescent="0.25">
      <c r="AE5689" s="39" t="str">
        <f>IF(D5689="","",IFERROR(VLOOKUP(D5689,Projects!$A$2:$A$20000,1,FALSE),""))</f>
        <v/>
      </c>
      <c r="AF5689" s="2" t="str">
        <f>IF(D5689="","",IFERROR(MATCH(D5689,Projects!$A:$A,0),""))</f>
        <v/>
      </c>
    </row>
    <row r="5690" spans="31:32" x14ac:dyDescent="0.25">
      <c r="AE5690" s="39" t="str">
        <f>IF(D5690="","",IFERROR(VLOOKUP(D5690,Projects!$A$2:$A$20000,1,FALSE),""))</f>
        <v/>
      </c>
      <c r="AF5690" s="2" t="str">
        <f>IF(D5690="","",IFERROR(MATCH(D5690,Projects!$A:$A,0),""))</f>
        <v/>
      </c>
    </row>
    <row r="5691" spans="31:32" x14ac:dyDescent="0.25">
      <c r="AE5691" s="39" t="str">
        <f>IF(D5691="","",IFERROR(VLOOKUP(D5691,Projects!$A$2:$A$20000,1,FALSE),""))</f>
        <v/>
      </c>
      <c r="AF5691" s="2" t="str">
        <f>IF(D5691="","",IFERROR(MATCH(D5691,Projects!$A:$A,0),""))</f>
        <v/>
      </c>
    </row>
    <row r="5692" spans="31:32" x14ac:dyDescent="0.25">
      <c r="AE5692" s="39" t="str">
        <f>IF(D5692="","",IFERROR(VLOOKUP(D5692,Projects!$A$2:$A$20000,1,FALSE),""))</f>
        <v/>
      </c>
      <c r="AF5692" s="2" t="str">
        <f>IF(D5692="","",IFERROR(MATCH(D5692,Projects!$A:$A,0),""))</f>
        <v/>
      </c>
    </row>
    <row r="5693" spans="31:32" x14ac:dyDescent="0.25">
      <c r="AE5693" s="39" t="str">
        <f>IF(D5693="","",IFERROR(VLOOKUP(D5693,Projects!$A$2:$A$20000,1,FALSE),""))</f>
        <v/>
      </c>
      <c r="AF5693" s="2" t="str">
        <f>IF(D5693="","",IFERROR(MATCH(D5693,Projects!$A:$A,0),""))</f>
        <v/>
      </c>
    </row>
    <row r="5694" spans="31:32" x14ac:dyDescent="0.25">
      <c r="AE5694" s="39" t="str">
        <f>IF(D5694="","",IFERROR(VLOOKUP(D5694,Projects!$A$2:$A$20000,1,FALSE),""))</f>
        <v/>
      </c>
      <c r="AF5694" s="2" t="str">
        <f>IF(D5694="","",IFERROR(MATCH(D5694,Projects!$A:$A,0),""))</f>
        <v/>
      </c>
    </row>
    <row r="5695" spans="31:32" x14ac:dyDescent="0.25">
      <c r="AE5695" s="39" t="str">
        <f>IF(D5695="","",IFERROR(VLOOKUP(D5695,Projects!$A$2:$A$20000,1,FALSE),""))</f>
        <v/>
      </c>
      <c r="AF5695" s="2" t="str">
        <f>IF(D5695="","",IFERROR(MATCH(D5695,Projects!$A:$A,0),""))</f>
        <v/>
      </c>
    </row>
    <row r="5696" spans="31:32" x14ac:dyDescent="0.25">
      <c r="AE5696" s="39" t="str">
        <f>IF(D5696="","",IFERROR(VLOOKUP(D5696,Projects!$A$2:$A$20000,1,FALSE),""))</f>
        <v/>
      </c>
      <c r="AF5696" s="2" t="str">
        <f>IF(D5696="","",IFERROR(MATCH(D5696,Projects!$A:$A,0),""))</f>
        <v/>
      </c>
    </row>
    <row r="5697" spans="31:32" x14ac:dyDescent="0.25">
      <c r="AE5697" s="39" t="str">
        <f>IF(D5697="","",IFERROR(VLOOKUP(D5697,Projects!$A$2:$A$20000,1,FALSE),""))</f>
        <v/>
      </c>
      <c r="AF5697" s="2" t="str">
        <f>IF(D5697="","",IFERROR(MATCH(D5697,Projects!$A:$A,0),""))</f>
        <v/>
      </c>
    </row>
    <row r="5698" spans="31:32" x14ac:dyDescent="0.25">
      <c r="AE5698" s="39" t="str">
        <f>IF(D5698="","",IFERROR(VLOOKUP(D5698,Projects!$A$2:$A$20000,1,FALSE),""))</f>
        <v/>
      </c>
      <c r="AF5698" s="2" t="str">
        <f>IF(D5698="","",IFERROR(MATCH(D5698,Projects!$A:$A,0),""))</f>
        <v/>
      </c>
    </row>
    <row r="5699" spans="31:32" x14ac:dyDescent="0.25">
      <c r="AE5699" s="39" t="str">
        <f>IF(D5699="","",IFERROR(VLOOKUP(D5699,Projects!$A$2:$A$20000,1,FALSE),""))</f>
        <v/>
      </c>
      <c r="AF5699" s="2" t="str">
        <f>IF(D5699="","",IFERROR(MATCH(D5699,Projects!$A:$A,0),""))</f>
        <v/>
      </c>
    </row>
    <row r="5700" spans="31:32" x14ac:dyDescent="0.25">
      <c r="AE5700" s="39" t="str">
        <f>IF(D5700="","",IFERROR(VLOOKUP(D5700,Projects!$A$2:$A$20000,1,FALSE),""))</f>
        <v/>
      </c>
      <c r="AF5700" s="2" t="str">
        <f>IF(D5700="","",IFERROR(MATCH(D5700,Projects!$A:$A,0),""))</f>
        <v/>
      </c>
    </row>
    <row r="5701" spans="31:32" x14ac:dyDescent="0.25">
      <c r="AE5701" s="39" t="str">
        <f>IF(D5701="","",IFERROR(VLOOKUP(D5701,Projects!$A$2:$A$20000,1,FALSE),""))</f>
        <v/>
      </c>
      <c r="AF5701" s="2" t="str">
        <f>IF(D5701="","",IFERROR(MATCH(D5701,Projects!$A:$A,0),""))</f>
        <v/>
      </c>
    </row>
    <row r="5702" spans="31:32" x14ac:dyDescent="0.25">
      <c r="AE5702" s="39" t="str">
        <f>IF(D5702="","",IFERROR(VLOOKUP(D5702,Projects!$A$2:$A$20000,1,FALSE),""))</f>
        <v/>
      </c>
      <c r="AF5702" s="2" t="str">
        <f>IF(D5702="","",IFERROR(MATCH(D5702,Projects!$A:$A,0),""))</f>
        <v/>
      </c>
    </row>
    <row r="5703" spans="31:32" x14ac:dyDescent="0.25">
      <c r="AE5703" s="39" t="str">
        <f>IF(D5703="","",IFERROR(VLOOKUP(D5703,Projects!$A$2:$A$20000,1,FALSE),""))</f>
        <v/>
      </c>
      <c r="AF5703" s="2" t="str">
        <f>IF(D5703="","",IFERROR(MATCH(D5703,Projects!$A:$A,0),""))</f>
        <v/>
      </c>
    </row>
    <row r="5704" spans="31:32" x14ac:dyDescent="0.25">
      <c r="AE5704" s="39" t="str">
        <f>IF(D5704="","",IFERROR(VLOOKUP(D5704,Projects!$A$2:$A$20000,1,FALSE),""))</f>
        <v/>
      </c>
      <c r="AF5704" s="2" t="str">
        <f>IF(D5704="","",IFERROR(MATCH(D5704,Projects!$A:$A,0),""))</f>
        <v/>
      </c>
    </row>
    <row r="5705" spans="31:32" x14ac:dyDescent="0.25">
      <c r="AE5705" s="39" t="str">
        <f>IF(D5705="","",IFERROR(VLOOKUP(D5705,Projects!$A$2:$A$20000,1,FALSE),""))</f>
        <v/>
      </c>
      <c r="AF5705" s="2" t="str">
        <f>IF(D5705="","",IFERROR(MATCH(D5705,Projects!$A:$A,0),""))</f>
        <v/>
      </c>
    </row>
    <row r="5706" spans="31:32" x14ac:dyDescent="0.25">
      <c r="AE5706" s="39" t="str">
        <f>IF(D5706="","",IFERROR(VLOOKUP(D5706,Projects!$A$2:$A$20000,1,FALSE),""))</f>
        <v/>
      </c>
      <c r="AF5706" s="2" t="str">
        <f>IF(D5706="","",IFERROR(MATCH(D5706,Projects!$A:$A,0),""))</f>
        <v/>
      </c>
    </row>
    <row r="5707" spans="31:32" x14ac:dyDescent="0.25">
      <c r="AE5707" s="39" t="str">
        <f>IF(D5707="","",IFERROR(VLOOKUP(D5707,Projects!$A$2:$A$20000,1,FALSE),""))</f>
        <v/>
      </c>
      <c r="AF5707" s="2" t="str">
        <f>IF(D5707="","",IFERROR(MATCH(D5707,Projects!$A:$A,0),""))</f>
        <v/>
      </c>
    </row>
    <row r="5708" spans="31:32" x14ac:dyDescent="0.25">
      <c r="AE5708" s="39" t="str">
        <f>IF(D5708="","",IFERROR(VLOOKUP(D5708,Projects!$A$2:$A$20000,1,FALSE),""))</f>
        <v/>
      </c>
      <c r="AF5708" s="2" t="str">
        <f>IF(D5708="","",IFERROR(MATCH(D5708,Projects!$A:$A,0),""))</f>
        <v/>
      </c>
    </row>
    <row r="5709" spans="31:32" x14ac:dyDescent="0.25">
      <c r="AE5709" s="39" t="str">
        <f>IF(D5709="","",IFERROR(VLOOKUP(D5709,Projects!$A$2:$A$20000,1,FALSE),""))</f>
        <v/>
      </c>
      <c r="AF5709" s="2" t="str">
        <f>IF(D5709="","",IFERROR(MATCH(D5709,Projects!$A:$A,0),""))</f>
        <v/>
      </c>
    </row>
    <row r="5710" spans="31:32" x14ac:dyDescent="0.25">
      <c r="AE5710" s="39" t="str">
        <f>IF(D5710="","",IFERROR(VLOOKUP(D5710,Projects!$A$2:$A$20000,1,FALSE),""))</f>
        <v/>
      </c>
      <c r="AF5710" s="2" t="str">
        <f>IF(D5710="","",IFERROR(MATCH(D5710,Projects!$A:$A,0),""))</f>
        <v/>
      </c>
    </row>
    <row r="5711" spans="31:32" x14ac:dyDescent="0.25">
      <c r="AE5711" s="39" t="str">
        <f>IF(D5711="","",IFERROR(VLOOKUP(D5711,Projects!$A$2:$A$20000,1,FALSE),""))</f>
        <v/>
      </c>
      <c r="AF5711" s="2" t="str">
        <f>IF(D5711="","",IFERROR(MATCH(D5711,Projects!$A:$A,0),""))</f>
        <v/>
      </c>
    </row>
    <row r="5712" spans="31:32" x14ac:dyDescent="0.25">
      <c r="AE5712" s="39" t="str">
        <f>IF(D5712="","",IFERROR(VLOOKUP(D5712,Projects!$A$2:$A$20000,1,FALSE),""))</f>
        <v/>
      </c>
      <c r="AF5712" s="2" t="str">
        <f>IF(D5712="","",IFERROR(MATCH(D5712,Projects!$A:$A,0),""))</f>
        <v/>
      </c>
    </row>
    <row r="5713" spans="31:32" x14ac:dyDescent="0.25">
      <c r="AE5713" s="39" t="str">
        <f>IF(D5713="","",IFERROR(VLOOKUP(D5713,Projects!$A$2:$A$20000,1,FALSE),""))</f>
        <v/>
      </c>
      <c r="AF5713" s="2" t="str">
        <f>IF(D5713="","",IFERROR(MATCH(D5713,Projects!$A:$A,0),""))</f>
        <v/>
      </c>
    </row>
    <row r="5714" spans="31:32" x14ac:dyDescent="0.25">
      <c r="AE5714" s="39" t="str">
        <f>IF(D5714="","",IFERROR(VLOOKUP(D5714,Projects!$A$2:$A$20000,1,FALSE),""))</f>
        <v/>
      </c>
      <c r="AF5714" s="2" t="str">
        <f>IF(D5714="","",IFERROR(MATCH(D5714,Projects!$A:$A,0),""))</f>
        <v/>
      </c>
    </row>
    <row r="5715" spans="31:32" x14ac:dyDescent="0.25">
      <c r="AE5715" s="39" t="str">
        <f>IF(D5715="","",IFERROR(VLOOKUP(D5715,Projects!$A$2:$A$20000,1,FALSE),""))</f>
        <v/>
      </c>
      <c r="AF5715" s="2" t="str">
        <f>IF(D5715="","",IFERROR(MATCH(D5715,Projects!$A:$A,0),""))</f>
        <v/>
      </c>
    </row>
    <row r="5716" spans="31:32" x14ac:dyDescent="0.25">
      <c r="AE5716" s="39" t="str">
        <f>IF(D5716="","",IFERROR(VLOOKUP(D5716,Projects!$A$2:$A$20000,1,FALSE),""))</f>
        <v/>
      </c>
      <c r="AF5716" s="2" t="str">
        <f>IF(D5716="","",IFERROR(MATCH(D5716,Projects!$A:$A,0),""))</f>
        <v/>
      </c>
    </row>
    <row r="5717" spans="31:32" x14ac:dyDescent="0.25">
      <c r="AE5717" s="39" t="str">
        <f>IF(D5717="","",IFERROR(VLOOKUP(D5717,Projects!$A$2:$A$20000,1,FALSE),""))</f>
        <v/>
      </c>
      <c r="AF5717" s="2" t="str">
        <f>IF(D5717="","",IFERROR(MATCH(D5717,Projects!$A:$A,0),""))</f>
        <v/>
      </c>
    </row>
    <row r="5718" spans="31:32" x14ac:dyDescent="0.25">
      <c r="AE5718" s="39" t="str">
        <f>IF(D5718="","",IFERROR(VLOOKUP(D5718,Projects!$A$2:$A$20000,1,FALSE),""))</f>
        <v/>
      </c>
      <c r="AF5718" s="2" t="str">
        <f>IF(D5718="","",IFERROR(MATCH(D5718,Projects!$A:$A,0),""))</f>
        <v/>
      </c>
    </row>
    <row r="5719" spans="31:32" x14ac:dyDescent="0.25">
      <c r="AE5719" s="39" t="str">
        <f>IF(D5719="","",IFERROR(VLOOKUP(D5719,Projects!$A$2:$A$20000,1,FALSE),""))</f>
        <v/>
      </c>
      <c r="AF5719" s="2" t="str">
        <f>IF(D5719="","",IFERROR(MATCH(D5719,Projects!$A:$A,0),""))</f>
        <v/>
      </c>
    </row>
    <row r="5720" spans="31:32" x14ac:dyDescent="0.25">
      <c r="AE5720" s="39" t="str">
        <f>IF(D5720="","",IFERROR(VLOOKUP(D5720,Projects!$A$2:$A$20000,1,FALSE),""))</f>
        <v/>
      </c>
      <c r="AF5720" s="2" t="str">
        <f>IF(D5720="","",IFERROR(MATCH(D5720,Projects!$A:$A,0),""))</f>
        <v/>
      </c>
    </row>
    <row r="5721" spans="31:32" x14ac:dyDescent="0.25">
      <c r="AE5721" s="39" t="str">
        <f>IF(D5721="","",IFERROR(VLOOKUP(D5721,Projects!$A$2:$A$20000,1,FALSE),""))</f>
        <v/>
      </c>
      <c r="AF5721" s="2" t="str">
        <f>IF(D5721="","",IFERROR(MATCH(D5721,Projects!$A:$A,0),""))</f>
        <v/>
      </c>
    </row>
    <row r="5722" spans="31:32" x14ac:dyDescent="0.25">
      <c r="AE5722" s="39" t="str">
        <f>IF(D5722="","",IFERROR(VLOOKUP(D5722,Projects!$A$2:$A$20000,1,FALSE),""))</f>
        <v/>
      </c>
      <c r="AF5722" s="2" t="str">
        <f>IF(D5722="","",IFERROR(MATCH(D5722,Projects!$A:$A,0),""))</f>
        <v/>
      </c>
    </row>
    <row r="5723" spans="31:32" x14ac:dyDescent="0.25">
      <c r="AE5723" s="39" t="str">
        <f>IF(D5723="","",IFERROR(VLOOKUP(D5723,Projects!$A$2:$A$20000,1,FALSE),""))</f>
        <v/>
      </c>
      <c r="AF5723" s="2" t="str">
        <f>IF(D5723="","",IFERROR(MATCH(D5723,Projects!$A:$A,0),""))</f>
        <v/>
      </c>
    </row>
    <row r="5724" spans="31:32" x14ac:dyDescent="0.25">
      <c r="AE5724" s="39" t="str">
        <f>IF(D5724="","",IFERROR(VLOOKUP(D5724,Projects!$A$2:$A$20000,1,FALSE),""))</f>
        <v/>
      </c>
      <c r="AF5724" s="2" t="str">
        <f>IF(D5724="","",IFERROR(MATCH(D5724,Projects!$A:$A,0),""))</f>
        <v/>
      </c>
    </row>
    <row r="5725" spans="31:32" x14ac:dyDescent="0.25">
      <c r="AE5725" s="39" t="str">
        <f>IF(D5725="","",IFERROR(VLOOKUP(D5725,Projects!$A$2:$A$20000,1,FALSE),""))</f>
        <v/>
      </c>
      <c r="AF5725" s="2" t="str">
        <f>IF(D5725="","",IFERROR(MATCH(D5725,Projects!$A:$A,0),""))</f>
        <v/>
      </c>
    </row>
    <row r="5726" spans="31:32" x14ac:dyDescent="0.25">
      <c r="AE5726" s="39" t="str">
        <f>IF(D5726="","",IFERROR(VLOOKUP(D5726,Projects!$A$2:$A$20000,1,FALSE),""))</f>
        <v/>
      </c>
      <c r="AF5726" s="2" t="str">
        <f>IF(D5726="","",IFERROR(MATCH(D5726,Projects!$A:$A,0),""))</f>
        <v/>
      </c>
    </row>
    <row r="5727" spans="31:32" x14ac:dyDescent="0.25">
      <c r="AE5727" s="39" t="str">
        <f>IF(D5727="","",IFERROR(VLOOKUP(D5727,Projects!$A$2:$A$20000,1,FALSE),""))</f>
        <v/>
      </c>
      <c r="AF5727" s="2" t="str">
        <f>IF(D5727="","",IFERROR(MATCH(D5727,Projects!$A:$A,0),""))</f>
        <v/>
      </c>
    </row>
    <row r="5728" spans="31:32" x14ac:dyDescent="0.25">
      <c r="AE5728" s="39" t="str">
        <f>IF(D5728="","",IFERROR(VLOOKUP(D5728,Projects!$A$2:$A$20000,1,FALSE),""))</f>
        <v/>
      </c>
      <c r="AF5728" s="2" t="str">
        <f>IF(D5728="","",IFERROR(MATCH(D5728,Projects!$A:$A,0),""))</f>
        <v/>
      </c>
    </row>
    <row r="5729" spans="31:32" x14ac:dyDescent="0.25">
      <c r="AE5729" s="39" t="str">
        <f>IF(D5729="","",IFERROR(VLOOKUP(D5729,Projects!$A$2:$A$20000,1,FALSE),""))</f>
        <v/>
      </c>
      <c r="AF5729" s="2" t="str">
        <f>IF(D5729="","",IFERROR(MATCH(D5729,Projects!$A:$A,0),""))</f>
        <v/>
      </c>
    </row>
    <row r="5730" spans="31:32" x14ac:dyDescent="0.25">
      <c r="AE5730" s="39" t="str">
        <f>IF(D5730="","",IFERROR(VLOOKUP(D5730,Projects!$A$2:$A$20000,1,FALSE),""))</f>
        <v/>
      </c>
      <c r="AF5730" s="2" t="str">
        <f>IF(D5730="","",IFERROR(MATCH(D5730,Projects!$A:$A,0),""))</f>
        <v/>
      </c>
    </row>
    <row r="5731" spans="31:32" x14ac:dyDescent="0.25">
      <c r="AE5731" s="39" t="str">
        <f>IF(D5731="","",IFERROR(VLOOKUP(D5731,Projects!$A$2:$A$20000,1,FALSE),""))</f>
        <v/>
      </c>
      <c r="AF5731" s="2" t="str">
        <f>IF(D5731="","",IFERROR(MATCH(D5731,Projects!$A:$A,0),""))</f>
        <v/>
      </c>
    </row>
    <row r="5732" spans="31:32" x14ac:dyDescent="0.25">
      <c r="AE5732" s="39" t="str">
        <f>IF(D5732="","",IFERROR(VLOOKUP(D5732,Projects!$A$2:$A$20000,1,FALSE),""))</f>
        <v/>
      </c>
      <c r="AF5732" s="2" t="str">
        <f>IF(D5732="","",IFERROR(MATCH(D5732,Projects!$A:$A,0),""))</f>
        <v/>
      </c>
    </row>
    <row r="5733" spans="31:32" x14ac:dyDescent="0.25">
      <c r="AE5733" s="39" t="str">
        <f>IF(D5733="","",IFERROR(VLOOKUP(D5733,Projects!$A$2:$A$20000,1,FALSE),""))</f>
        <v/>
      </c>
      <c r="AF5733" s="2" t="str">
        <f>IF(D5733="","",IFERROR(MATCH(D5733,Projects!$A:$A,0),""))</f>
        <v/>
      </c>
    </row>
    <row r="5734" spans="31:32" x14ac:dyDescent="0.25">
      <c r="AE5734" s="39" t="str">
        <f>IF(D5734="","",IFERROR(VLOOKUP(D5734,Projects!$A$2:$A$20000,1,FALSE),""))</f>
        <v/>
      </c>
      <c r="AF5734" s="2" t="str">
        <f>IF(D5734="","",IFERROR(MATCH(D5734,Projects!$A:$A,0),""))</f>
        <v/>
      </c>
    </row>
    <row r="5735" spans="31:32" x14ac:dyDescent="0.25">
      <c r="AE5735" s="39" t="str">
        <f>IF(D5735="","",IFERROR(VLOOKUP(D5735,Projects!$A$2:$A$20000,1,FALSE),""))</f>
        <v/>
      </c>
      <c r="AF5735" s="2" t="str">
        <f>IF(D5735="","",IFERROR(MATCH(D5735,Projects!$A:$A,0),""))</f>
        <v/>
      </c>
    </row>
    <row r="5736" spans="31:32" x14ac:dyDescent="0.25">
      <c r="AE5736" s="39" t="str">
        <f>IF(D5736="","",IFERROR(VLOOKUP(D5736,Projects!$A$2:$A$20000,1,FALSE),""))</f>
        <v/>
      </c>
      <c r="AF5736" s="2" t="str">
        <f>IF(D5736="","",IFERROR(MATCH(D5736,Projects!$A:$A,0),""))</f>
        <v/>
      </c>
    </row>
    <row r="5737" spans="31:32" x14ac:dyDescent="0.25">
      <c r="AE5737" s="39" t="str">
        <f>IF(D5737="","",IFERROR(VLOOKUP(D5737,Projects!$A$2:$A$20000,1,FALSE),""))</f>
        <v/>
      </c>
      <c r="AF5737" s="2" t="str">
        <f>IF(D5737="","",IFERROR(MATCH(D5737,Projects!$A:$A,0),""))</f>
        <v/>
      </c>
    </row>
    <row r="5738" spans="31:32" x14ac:dyDescent="0.25">
      <c r="AE5738" s="39" t="str">
        <f>IF(D5738="","",IFERROR(VLOOKUP(D5738,Projects!$A$2:$A$20000,1,FALSE),""))</f>
        <v/>
      </c>
      <c r="AF5738" s="2" t="str">
        <f>IF(D5738="","",IFERROR(MATCH(D5738,Projects!$A:$A,0),""))</f>
        <v/>
      </c>
    </row>
    <row r="5739" spans="31:32" x14ac:dyDescent="0.25">
      <c r="AE5739" s="39" t="str">
        <f>IF(D5739="","",IFERROR(VLOOKUP(D5739,Projects!$A$2:$A$20000,1,FALSE),""))</f>
        <v/>
      </c>
      <c r="AF5739" s="2" t="str">
        <f>IF(D5739="","",IFERROR(MATCH(D5739,Projects!$A:$A,0),""))</f>
        <v/>
      </c>
    </row>
    <row r="5740" spans="31:32" x14ac:dyDescent="0.25">
      <c r="AE5740" s="39" t="str">
        <f>IF(D5740="","",IFERROR(VLOOKUP(D5740,Projects!$A$2:$A$20000,1,FALSE),""))</f>
        <v/>
      </c>
      <c r="AF5740" s="2" t="str">
        <f>IF(D5740="","",IFERROR(MATCH(D5740,Projects!$A:$A,0),""))</f>
        <v/>
      </c>
    </row>
    <row r="5741" spans="31:32" x14ac:dyDescent="0.25">
      <c r="AE5741" s="39" t="str">
        <f>IF(D5741="","",IFERROR(VLOOKUP(D5741,Projects!$A$2:$A$20000,1,FALSE),""))</f>
        <v/>
      </c>
      <c r="AF5741" s="2" t="str">
        <f>IF(D5741="","",IFERROR(MATCH(D5741,Projects!$A:$A,0),""))</f>
        <v/>
      </c>
    </row>
    <row r="5742" spans="31:32" x14ac:dyDescent="0.25">
      <c r="AE5742" s="39" t="str">
        <f>IF(D5742="","",IFERROR(VLOOKUP(D5742,Projects!$A$2:$A$20000,1,FALSE),""))</f>
        <v/>
      </c>
      <c r="AF5742" s="2" t="str">
        <f>IF(D5742="","",IFERROR(MATCH(D5742,Projects!$A:$A,0),""))</f>
        <v/>
      </c>
    </row>
    <row r="5743" spans="31:32" x14ac:dyDescent="0.25">
      <c r="AE5743" s="39" t="str">
        <f>IF(D5743="","",IFERROR(VLOOKUP(D5743,Projects!$A$2:$A$20000,1,FALSE),""))</f>
        <v/>
      </c>
      <c r="AF5743" s="2" t="str">
        <f>IF(D5743="","",IFERROR(MATCH(D5743,Projects!$A:$A,0),""))</f>
        <v/>
      </c>
    </row>
    <row r="5744" spans="31:32" x14ac:dyDescent="0.25">
      <c r="AE5744" s="39" t="str">
        <f>IF(D5744="","",IFERROR(VLOOKUP(D5744,Projects!$A$2:$A$20000,1,FALSE),""))</f>
        <v/>
      </c>
      <c r="AF5744" s="2" t="str">
        <f>IF(D5744="","",IFERROR(MATCH(D5744,Projects!$A:$A,0),""))</f>
        <v/>
      </c>
    </row>
    <row r="5745" spans="31:32" x14ac:dyDescent="0.25">
      <c r="AE5745" s="39" t="str">
        <f>IF(D5745="","",IFERROR(VLOOKUP(D5745,Projects!$A$2:$A$20000,1,FALSE),""))</f>
        <v/>
      </c>
      <c r="AF5745" s="2" t="str">
        <f>IF(D5745="","",IFERROR(MATCH(D5745,Projects!$A:$A,0),""))</f>
        <v/>
      </c>
    </row>
    <row r="5746" spans="31:32" x14ac:dyDescent="0.25">
      <c r="AE5746" s="39" t="str">
        <f>IF(D5746="","",IFERROR(VLOOKUP(D5746,Projects!$A$2:$A$20000,1,FALSE),""))</f>
        <v/>
      </c>
      <c r="AF5746" s="2" t="str">
        <f>IF(D5746="","",IFERROR(MATCH(D5746,Projects!$A:$A,0),""))</f>
        <v/>
      </c>
    </row>
    <row r="5747" spans="31:32" x14ac:dyDescent="0.25">
      <c r="AE5747" s="39" t="str">
        <f>IF(D5747="","",IFERROR(VLOOKUP(D5747,Projects!$A$2:$A$20000,1,FALSE),""))</f>
        <v/>
      </c>
      <c r="AF5747" s="2" t="str">
        <f>IF(D5747="","",IFERROR(MATCH(D5747,Projects!$A:$A,0),""))</f>
        <v/>
      </c>
    </row>
    <row r="5748" spans="31:32" x14ac:dyDescent="0.25">
      <c r="AE5748" s="39" t="str">
        <f>IF(D5748="","",IFERROR(VLOOKUP(D5748,Projects!$A$2:$A$20000,1,FALSE),""))</f>
        <v/>
      </c>
      <c r="AF5748" s="2" t="str">
        <f>IF(D5748="","",IFERROR(MATCH(D5748,Projects!$A:$A,0),""))</f>
        <v/>
      </c>
    </row>
    <row r="5749" spans="31:32" x14ac:dyDescent="0.25">
      <c r="AE5749" s="39" t="str">
        <f>IF(D5749="","",IFERROR(VLOOKUP(D5749,Projects!$A$2:$A$20000,1,FALSE),""))</f>
        <v/>
      </c>
      <c r="AF5749" s="2" t="str">
        <f>IF(D5749="","",IFERROR(MATCH(D5749,Projects!$A:$A,0),""))</f>
        <v/>
      </c>
    </row>
    <row r="5750" spans="31:32" x14ac:dyDescent="0.25">
      <c r="AE5750" s="39" t="str">
        <f>IF(D5750="","",IFERROR(VLOOKUP(D5750,Projects!$A$2:$A$20000,1,FALSE),""))</f>
        <v/>
      </c>
      <c r="AF5750" s="2" t="str">
        <f>IF(D5750="","",IFERROR(MATCH(D5750,Projects!$A:$A,0),""))</f>
        <v/>
      </c>
    </row>
    <row r="5751" spans="31:32" x14ac:dyDescent="0.25">
      <c r="AE5751" s="39" t="str">
        <f>IF(D5751="","",IFERROR(VLOOKUP(D5751,Projects!$A$2:$A$20000,1,FALSE),""))</f>
        <v/>
      </c>
      <c r="AF5751" s="2" t="str">
        <f>IF(D5751="","",IFERROR(MATCH(D5751,Projects!$A:$A,0),""))</f>
        <v/>
      </c>
    </row>
    <row r="5752" spans="31:32" x14ac:dyDescent="0.25">
      <c r="AE5752" s="39" t="str">
        <f>IF(D5752="","",IFERROR(VLOOKUP(D5752,Projects!$A$2:$A$20000,1,FALSE),""))</f>
        <v/>
      </c>
      <c r="AF5752" s="2" t="str">
        <f>IF(D5752="","",IFERROR(MATCH(D5752,Projects!$A:$A,0),""))</f>
        <v/>
      </c>
    </row>
    <row r="5753" spans="31:32" x14ac:dyDescent="0.25">
      <c r="AE5753" s="39" t="str">
        <f>IF(D5753="","",IFERROR(VLOOKUP(D5753,Projects!$A$2:$A$20000,1,FALSE),""))</f>
        <v/>
      </c>
      <c r="AF5753" s="2" t="str">
        <f>IF(D5753="","",IFERROR(MATCH(D5753,Projects!$A:$A,0),""))</f>
        <v/>
      </c>
    </row>
    <row r="5754" spans="31:32" x14ac:dyDescent="0.25">
      <c r="AE5754" s="39" t="str">
        <f>IF(D5754="","",IFERROR(VLOOKUP(D5754,Projects!$A$2:$A$20000,1,FALSE),""))</f>
        <v/>
      </c>
      <c r="AF5754" s="2" t="str">
        <f>IF(D5754="","",IFERROR(MATCH(D5754,Projects!$A:$A,0),""))</f>
        <v/>
      </c>
    </row>
    <row r="5755" spans="31:32" x14ac:dyDescent="0.25">
      <c r="AE5755" s="39" t="str">
        <f>IF(D5755="","",IFERROR(VLOOKUP(D5755,Projects!$A$2:$A$20000,1,FALSE),""))</f>
        <v/>
      </c>
      <c r="AF5755" s="2" t="str">
        <f>IF(D5755="","",IFERROR(MATCH(D5755,Projects!$A:$A,0),""))</f>
        <v/>
      </c>
    </row>
    <row r="5756" spans="31:32" x14ac:dyDescent="0.25">
      <c r="AE5756" s="39" t="str">
        <f>IF(D5756="","",IFERROR(VLOOKUP(D5756,Projects!$A$2:$A$20000,1,FALSE),""))</f>
        <v/>
      </c>
      <c r="AF5756" s="2" t="str">
        <f>IF(D5756="","",IFERROR(MATCH(D5756,Projects!$A:$A,0),""))</f>
        <v/>
      </c>
    </row>
    <row r="5757" spans="31:32" x14ac:dyDescent="0.25">
      <c r="AE5757" s="39" t="str">
        <f>IF(D5757="","",IFERROR(VLOOKUP(D5757,Projects!$A$2:$A$20000,1,FALSE),""))</f>
        <v/>
      </c>
      <c r="AF5757" s="2" t="str">
        <f>IF(D5757="","",IFERROR(MATCH(D5757,Projects!$A:$A,0),""))</f>
        <v/>
      </c>
    </row>
    <row r="5758" spans="31:32" x14ac:dyDescent="0.25">
      <c r="AE5758" s="39" t="str">
        <f>IF(D5758="","",IFERROR(VLOOKUP(D5758,Projects!$A$2:$A$20000,1,FALSE),""))</f>
        <v/>
      </c>
      <c r="AF5758" s="2" t="str">
        <f>IF(D5758="","",IFERROR(MATCH(D5758,Projects!$A:$A,0),""))</f>
        <v/>
      </c>
    </row>
    <row r="5759" spans="31:32" x14ac:dyDescent="0.25">
      <c r="AE5759" s="39" t="str">
        <f>IF(D5759="","",IFERROR(VLOOKUP(D5759,Projects!$A$2:$A$20000,1,FALSE),""))</f>
        <v/>
      </c>
      <c r="AF5759" s="2" t="str">
        <f>IF(D5759="","",IFERROR(MATCH(D5759,Projects!$A:$A,0),""))</f>
        <v/>
      </c>
    </row>
    <row r="5760" spans="31:32" x14ac:dyDescent="0.25">
      <c r="AE5760" s="39" t="str">
        <f>IF(D5760="","",IFERROR(VLOOKUP(D5760,Projects!$A$2:$A$20000,1,FALSE),""))</f>
        <v/>
      </c>
      <c r="AF5760" s="2" t="str">
        <f>IF(D5760="","",IFERROR(MATCH(D5760,Projects!$A:$A,0),""))</f>
        <v/>
      </c>
    </row>
    <row r="5761" spans="31:32" x14ac:dyDescent="0.25">
      <c r="AE5761" s="39" t="str">
        <f>IF(D5761="","",IFERROR(VLOOKUP(D5761,Projects!$A$2:$A$20000,1,FALSE),""))</f>
        <v/>
      </c>
      <c r="AF5761" s="2" t="str">
        <f>IF(D5761="","",IFERROR(MATCH(D5761,Projects!$A:$A,0),""))</f>
        <v/>
      </c>
    </row>
    <row r="5762" spans="31:32" x14ac:dyDescent="0.25">
      <c r="AE5762" s="39" t="str">
        <f>IF(D5762="","",IFERROR(VLOOKUP(D5762,Projects!$A$2:$A$20000,1,FALSE),""))</f>
        <v/>
      </c>
      <c r="AF5762" s="2" t="str">
        <f>IF(D5762="","",IFERROR(MATCH(D5762,Projects!$A:$A,0),""))</f>
        <v/>
      </c>
    </row>
    <row r="5763" spans="31:32" x14ac:dyDescent="0.25">
      <c r="AE5763" s="39" t="str">
        <f>IF(D5763="","",IFERROR(VLOOKUP(D5763,Projects!$A$2:$A$20000,1,FALSE),""))</f>
        <v/>
      </c>
      <c r="AF5763" s="2" t="str">
        <f>IF(D5763="","",IFERROR(MATCH(D5763,Projects!$A:$A,0),""))</f>
        <v/>
      </c>
    </row>
    <row r="5764" spans="31:32" x14ac:dyDescent="0.25">
      <c r="AE5764" s="39" t="str">
        <f>IF(D5764="","",IFERROR(VLOOKUP(D5764,Projects!$A$2:$A$20000,1,FALSE),""))</f>
        <v/>
      </c>
      <c r="AF5764" s="2" t="str">
        <f>IF(D5764="","",IFERROR(MATCH(D5764,Projects!$A:$A,0),""))</f>
        <v/>
      </c>
    </row>
    <row r="5765" spans="31:32" x14ac:dyDescent="0.25">
      <c r="AE5765" s="39" t="str">
        <f>IF(D5765="","",IFERROR(VLOOKUP(D5765,Projects!$A$2:$A$20000,1,FALSE),""))</f>
        <v/>
      </c>
      <c r="AF5765" s="2" t="str">
        <f>IF(D5765="","",IFERROR(MATCH(D5765,Projects!$A:$A,0),""))</f>
        <v/>
      </c>
    </row>
    <row r="5766" spans="31:32" x14ac:dyDescent="0.25">
      <c r="AE5766" s="39" t="str">
        <f>IF(D5766="","",IFERROR(VLOOKUP(D5766,Projects!$A$2:$A$20000,1,FALSE),""))</f>
        <v/>
      </c>
      <c r="AF5766" s="2" t="str">
        <f>IF(D5766="","",IFERROR(MATCH(D5766,Projects!$A:$A,0),""))</f>
        <v/>
      </c>
    </row>
    <row r="5767" spans="31:32" x14ac:dyDescent="0.25">
      <c r="AE5767" s="39" t="str">
        <f>IF(D5767="","",IFERROR(VLOOKUP(D5767,Projects!$A$2:$A$20000,1,FALSE),""))</f>
        <v/>
      </c>
      <c r="AF5767" s="2" t="str">
        <f>IF(D5767="","",IFERROR(MATCH(D5767,Projects!$A:$A,0),""))</f>
        <v/>
      </c>
    </row>
    <row r="5768" spans="31:32" x14ac:dyDescent="0.25">
      <c r="AE5768" s="39" t="str">
        <f>IF(D5768="","",IFERROR(VLOOKUP(D5768,Projects!$A$2:$A$20000,1,FALSE),""))</f>
        <v/>
      </c>
      <c r="AF5768" s="2" t="str">
        <f>IF(D5768="","",IFERROR(MATCH(D5768,Projects!$A:$A,0),""))</f>
        <v/>
      </c>
    </row>
    <row r="5769" spans="31:32" x14ac:dyDescent="0.25">
      <c r="AE5769" s="39" t="str">
        <f>IF(D5769="","",IFERROR(VLOOKUP(D5769,Projects!$A$2:$A$20000,1,FALSE),""))</f>
        <v/>
      </c>
      <c r="AF5769" s="2" t="str">
        <f>IF(D5769="","",IFERROR(MATCH(D5769,Projects!$A:$A,0),""))</f>
        <v/>
      </c>
    </row>
    <row r="5770" spans="31:32" x14ac:dyDescent="0.25">
      <c r="AE5770" s="39" t="str">
        <f>IF(D5770="","",IFERROR(VLOOKUP(D5770,Projects!$A$2:$A$20000,1,FALSE),""))</f>
        <v/>
      </c>
      <c r="AF5770" s="2" t="str">
        <f>IF(D5770="","",IFERROR(MATCH(D5770,Projects!$A:$A,0),""))</f>
        <v/>
      </c>
    </row>
    <row r="5771" spans="31:32" x14ac:dyDescent="0.25">
      <c r="AE5771" s="39" t="str">
        <f>IF(D5771="","",IFERROR(VLOOKUP(D5771,Projects!$A$2:$A$20000,1,FALSE),""))</f>
        <v/>
      </c>
      <c r="AF5771" s="2" t="str">
        <f>IF(D5771="","",IFERROR(MATCH(D5771,Projects!$A:$A,0),""))</f>
        <v/>
      </c>
    </row>
    <row r="5772" spans="31:32" x14ac:dyDescent="0.25">
      <c r="AE5772" s="39" t="str">
        <f>IF(D5772="","",IFERROR(VLOOKUP(D5772,Projects!$A$2:$A$20000,1,FALSE),""))</f>
        <v/>
      </c>
      <c r="AF5772" s="2" t="str">
        <f>IF(D5772="","",IFERROR(MATCH(D5772,Projects!$A:$A,0),""))</f>
        <v/>
      </c>
    </row>
    <row r="5773" spans="31:32" x14ac:dyDescent="0.25">
      <c r="AE5773" s="39" t="str">
        <f>IF(D5773="","",IFERROR(VLOOKUP(D5773,Projects!$A$2:$A$20000,1,FALSE),""))</f>
        <v/>
      </c>
      <c r="AF5773" s="2" t="str">
        <f>IF(D5773="","",IFERROR(MATCH(D5773,Projects!$A:$A,0),""))</f>
        <v/>
      </c>
    </row>
    <row r="5774" spans="31:32" x14ac:dyDescent="0.25">
      <c r="AE5774" s="39" t="str">
        <f>IF(D5774="","",IFERROR(VLOOKUP(D5774,Projects!$A$2:$A$20000,1,FALSE),""))</f>
        <v/>
      </c>
      <c r="AF5774" s="2" t="str">
        <f>IF(D5774="","",IFERROR(MATCH(D5774,Projects!$A:$A,0),""))</f>
        <v/>
      </c>
    </row>
    <row r="5775" spans="31:32" x14ac:dyDescent="0.25">
      <c r="AE5775" s="39" t="str">
        <f>IF(D5775="","",IFERROR(VLOOKUP(D5775,Projects!$A$2:$A$20000,1,FALSE),""))</f>
        <v/>
      </c>
      <c r="AF5775" s="2" t="str">
        <f>IF(D5775="","",IFERROR(MATCH(D5775,Projects!$A:$A,0),""))</f>
        <v/>
      </c>
    </row>
    <row r="5776" spans="31:32" x14ac:dyDescent="0.25">
      <c r="AE5776" s="39" t="str">
        <f>IF(D5776="","",IFERROR(VLOOKUP(D5776,Projects!$A$2:$A$20000,1,FALSE),""))</f>
        <v/>
      </c>
      <c r="AF5776" s="2" t="str">
        <f>IF(D5776="","",IFERROR(MATCH(D5776,Projects!$A:$A,0),""))</f>
        <v/>
      </c>
    </row>
    <row r="5777" spans="31:32" x14ac:dyDescent="0.25">
      <c r="AE5777" s="39" t="str">
        <f>IF(D5777="","",IFERROR(VLOOKUP(D5777,Projects!$A$2:$A$20000,1,FALSE),""))</f>
        <v/>
      </c>
      <c r="AF5777" s="2" t="str">
        <f>IF(D5777="","",IFERROR(MATCH(D5777,Projects!$A:$A,0),""))</f>
        <v/>
      </c>
    </row>
    <row r="5778" spans="31:32" x14ac:dyDescent="0.25">
      <c r="AE5778" s="39" t="str">
        <f>IF(D5778="","",IFERROR(VLOOKUP(D5778,Projects!$A$2:$A$20000,1,FALSE),""))</f>
        <v/>
      </c>
      <c r="AF5778" s="2" t="str">
        <f>IF(D5778="","",IFERROR(MATCH(D5778,Projects!$A:$A,0),""))</f>
        <v/>
      </c>
    </row>
    <row r="5779" spans="31:32" x14ac:dyDescent="0.25">
      <c r="AE5779" s="39" t="str">
        <f>IF(D5779="","",IFERROR(VLOOKUP(D5779,Projects!$A$2:$A$20000,1,FALSE),""))</f>
        <v/>
      </c>
      <c r="AF5779" s="2" t="str">
        <f>IF(D5779="","",IFERROR(MATCH(D5779,Projects!$A:$A,0),""))</f>
        <v/>
      </c>
    </row>
    <row r="5780" spans="31:32" x14ac:dyDescent="0.25">
      <c r="AE5780" s="39" t="str">
        <f>IF(D5780="","",IFERROR(VLOOKUP(D5780,Projects!$A$2:$A$20000,1,FALSE),""))</f>
        <v/>
      </c>
      <c r="AF5780" s="2" t="str">
        <f>IF(D5780="","",IFERROR(MATCH(D5780,Projects!$A:$A,0),""))</f>
        <v/>
      </c>
    </row>
    <row r="5781" spans="31:32" x14ac:dyDescent="0.25">
      <c r="AE5781" s="39" t="str">
        <f>IF(D5781="","",IFERROR(VLOOKUP(D5781,Projects!$A$2:$A$20000,1,FALSE),""))</f>
        <v/>
      </c>
      <c r="AF5781" s="2" t="str">
        <f>IF(D5781="","",IFERROR(MATCH(D5781,Projects!$A:$A,0),""))</f>
        <v/>
      </c>
    </row>
    <row r="5782" spans="31:32" x14ac:dyDescent="0.25">
      <c r="AE5782" s="39" t="str">
        <f>IF(D5782="","",IFERROR(VLOOKUP(D5782,Projects!$A$2:$A$20000,1,FALSE),""))</f>
        <v/>
      </c>
      <c r="AF5782" s="2" t="str">
        <f>IF(D5782="","",IFERROR(MATCH(D5782,Projects!$A:$A,0),""))</f>
        <v/>
      </c>
    </row>
    <row r="5783" spans="31:32" x14ac:dyDescent="0.25">
      <c r="AE5783" s="39" t="str">
        <f>IF(D5783="","",IFERROR(VLOOKUP(D5783,Projects!$A$2:$A$20000,1,FALSE),""))</f>
        <v/>
      </c>
      <c r="AF5783" s="2" t="str">
        <f>IF(D5783="","",IFERROR(MATCH(D5783,Projects!$A:$A,0),""))</f>
        <v/>
      </c>
    </row>
    <row r="5784" spans="31:32" x14ac:dyDescent="0.25">
      <c r="AE5784" s="39" t="str">
        <f>IF(D5784="","",IFERROR(VLOOKUP(D5784,Projects!$A$2:$A$20000,1,FALSE),""))</f>
        <v/>
      </c>
      <c r="AF5784" s="2" t="str">
        <f>IF(D5784="","",IFERROR(MATCH(D5784,Projects!$A:$A,0),""))</f>
        <v/>
      </c>
    </row>
    <row r="5785" spans="31:32" x14ac:dyDescent="0.25">
      <c r="AE5785" s="39" t="str">
        <f>IF(D5785="","",IFERROR(VLOOKUP(D5785,Projects!$A$2:$A$20000,1,FALSE),""))</f>
        <v/>
      </c>
      <c r="AF5785" s="2" t="str">
        <f>IF(D5785="","",IFERROR(MATCH(D5785,Projects!$A:$A,0),""))</f>
        <v/>
      </c>
    </row>
    <row r="5786" spans="31:32" x14ac:dyDescent="0.25">
      <c r="AE5786" s="39" t="str">
        <f>IF(D5786="","",IFERROR(VLOOKUP(D5786,Projects!$A$2:$A$20000,1,FALSE),""))</f>
        <v/>
      </c>
      <c r="AF5786" s="2" t="str">
        <f>IF(D5786="","",IFERROR(MATCH(D5786,Projects!$A:$A,0),""))</f>
        <v/>
      </c>
    </row>
    <row r="5787" spans="31:32" x14ac:dyDescent="0.25">
      <c r="AE5787" s="39" t="str">
        <f>IF(D5787="","",IFERROR(VLOOKUP(D5787,Projects!$A$2:$A$20000,1,FALSE),""))</f>
        <v/>
      </c>
      <c r="AF5787" s="2" t="str">
        <f>IF(D5787="","",IFERROR(MATCH(D5787,Projects!$A:$A,0),""))</f>
        <v/>
      </c>
    </row>
    <row r="5788" spans="31:32" x14ac:dyDescent="0.25">
      <c r="AE5788" s="39" t="str">
        <f>IF(D5788="","",IFERROR(VLOOKUP(D5788,Projects!$A$2:$A$20000,1,FALSE),""))</f>
        <v/>
      </c>
      <c r="AF5788" s="2" t="str">
        <f>IF(D5788="","",IFERROR(MATCH(D5788,Projects!$A:$A,0),""))</f>
        <v/>
      </c>
    </row>
    <row r="5789" spans="31:32" x14ac:dyDescent="0.25">
      <c r="AE5789" s="39" t="str">
        <f>IF(D5789="","",IFERROR(VLOOKUP(D5789,Projects!$A$2:$A$20000,1,FALSE),""))</f>
        <v/>
      </c>
      <c r="AF5789" s="2" t="str">
        <f>IF(D5789="","",IFERROR(MATCH(D5789,Projects!$A:$A,0),""))</f>
        <v/>
      </c>
    </row>
    <row r="5790" spans="31:32" x14ac:dyDescent="0.25">
      <c r="AE5790" s="39" t="str">
        <f>IF(D5790="","",IFERROR(VLOOKUP(D5790,Projects!$A$2:$A$20000,1,FALSE),""))</f>
        <v/>
      </c>
      <c r="AF5790" s="2" t="str">
        <f>IF(D5790="","",IFERROR(MATCH(D5790,Projects!$A:$A,0),""))</f>
        <v/>
      </c>
    </row>
    <row r="5791" spans="31:32" x14ac:dyDescent="0.25">
      <c r="AE5791" s="39" t="str">
        <f>IF(D5791="","",IFERROR(VLOOKUP(D5791,Projects!$A$2:$A$20000,1,FALSE),""))</f>
        <v/>
      </c>
      <c r="AF5791" s="2" t="str">
        <f>IF(D5791="","",IFERROR(MATCH(D5791,Projects!$A:$A,0),""))</f>
        <v/>
      </c>
    </row>
    <row r="5792" spans="31:32" x14ac:dyDescent="0.25">
      <c r="AE5792" s="39" t="str">
        <f>IF(D5792="","",IFERROR(VLOOKUP(D5792,Projects!$A$2:$A$20000,1,FALSE),""))</f>
        <v/>
      </c>
      <c r="AF5792" s="2" t="str">
        <f>IF(D5792="","",IFERROR(MATCH(D5792,Projects!$A:$A,0),""))</f>
        <v/>
      </c>
    </row>
    <row r="5793" spans="31:32" x14ac:dyDescent="0.25">
      <c r="AE5793" s="39" t="str">
        <f>IF(D5793="","",IFERROR(VLOOKUP(D5793,Projects!$A$2:$A$20000,1,FALSE),""))</f>
        <v/>
      </c>
      <c r="AF5793" s="2" t="str">
        <f>IF(D5793="","",IFERROR(MATCH(D5793,Projects!$A:$A,0),""))</f>
        <v/>
      </c>
    </row>
    <row r="5794" spans="31:32" x14ac:dyDescent="0.25">
      <c r="AE5794" s="39" t="str">
        <f>IF(D5794="","",IFERROR(VLOOKUP(D5794,Projects!$A$2:$A$20000,1,FALSE),""))</f>
        <v/>
      </c>
      <c r="AF5794" s="2" t="str">
        <f>IF(D5794="","",IFERROR(MATCH(D5794,Projects!$A:$A,0),""))</f>
        <v/>
      </c>
    </row>
    <row r="5795" spans="31:32" x14ac:dyDescent="0.25">
      <c r="AE5795" s="39" t="str">
        <f>IF(D5795="","",IFERROR(VLOOKUP(D5795,Projects!$A$2:$A$20000,1,FALSE),""))</f>
        <v/>
      </c>
      <c r="AF5795" s="2" t="str">
        <f>IF(D5795="","",IFERROR(MATCH(D5795,Projects!$A:$A,0),""))</f>
        <v/>
      </c>
    </row>
    <row r="5796" spans="31:32" x14ac:dyDescent="0.25">
      <c r="AE5796" s="39" t="str">
        <f>IF(D5796="","",IFERROR(VLOOKUP(D5796,Projects!$A$2:$A$20000,1,FALSE),""))</f>
        <v/>
      </c>
      <c r="AF5796" s="2" t="str">
        <f>IF(D5796="","",IFERROR(MATCH(D5796,Projects!$A:$A,0),""))</f>
        <v/>
      </c>
    </row>
    <row r="5797" spans="31:32" x14ac:dyDescent="0.25">
      <c r="AE5797" s="39" t="str">
        <f>IF(D5797="","",IFERROR(VLOOKUP(D5797,Projects!$A$2:$A$20000,1,FALSE),""))</f>
        <v/>
      </c>
      <c r="AF5797" s="2" t="str">
        <f>IF(D5797="","",IFERROR(MATCH(D5797,Projects!$A:$A,0),""))</f>
        <v/>
      </c>
    </row>
    <row r="5798" spans="31:32" x14ac:dyDescent="0.25">
      <c r="AE5798" s="39" t="str">
        <f>IF(D5798="","",IFERROR(VLOOKUP(D5798,Projects!$A$2:$A$20000,1,FALSE),""))</f>
        <v/>
      </c>
      <c r="AF5798" s="2" t="str">
        <f>IF(D5798="","",IFERROR(MATCH(D5798,Projects!$A:$A,0),""))</f>
        <v/>
      </c>
    </row>
    <row r="5799" spans="31:32" x14ac:dyDescent="0.25">
      <c r="AE5799" s="39" t="str">
        <f>IF(D5799="","",IFERROR(VLOOKUP(D5799,Projects!$A$2:$A$20000,1,FALSE),""))</f>
        <v/>
      </c>
      <c r="AF5799" s="2" t="str">
        <f>IF(D5799="","",IFERROR(MATCH(D5799,Projects!$A:$A,0),""))</f>
        <v/>
      </c>
    </row>
    <row r="5800" spans="31:32" x14ac:dyDescent="0.25">
      <c r="AE5800" s="39" t="str">
        <f>IF(D5800="","",IFERROR(VLOOKUP(D5800,Projects!$A$2:$A$20000,1,FALSE),""))</f>
        <v/>
      </c>
      <c r="AF5800" s="2" t="str">
        <f>IF(D5800="","",IFERROR(MATCH(D5800,Projects!$A:$A,0),""))</f>
        <v/>
      </c>
    </row>
    <row r="5801" spans="31:32" x14ac:dyDescent="0.25">
      <c r="AE5801" s="39" t="str">
        <f>IF(D5801="","",IFERROR(VLOOKUP(D5801,Projects!$A$2:$A$20000,1,FALSE),""))</f>
        <v/>
      </c>
      <c r="AF5801" s="2" t="str">
        <f>IF(D5801="","",IFERROR(MATCH(D5801,Projects!$A:$A,0),""))</f>
        <v/>
      </c>
    </row>
    <row r="5802" spans="31:32" x14ac:dyDescent="0.25">
      <c r="AE5802" s="39" t="str">
        <f>IF(D5802="","",IFERROR(VLOOKUP(D5802,Projects!$A$2:$A$20000,1,FALSE),""))</f>
        <v/>
      </c>
      <c r="AF5802" s="2" t="str">
        <f>IF(D5802="","",IFERROR(MATCH(D5802,Projects!$A:$A,0),""))</f>
        <v/>
      </c>
    </row>
    <row r="5803" spans="31:32" x14ac:dyDescent="0.25">
      <c r="AE5803" s="39" t="str">
        <f>IF(D5803="","",IFERROR(VLOOKUP(D5803,Projects!$A$2:$A$20000,1,FALSE),""))</f>
        <v/>
      </c>
      <c r="AF5803" s="2" t="str">
        <f>IF(D5803="","",IFERROR(MATCH(D5803,Projects!$A:$A,0),""))</f>
        <v/>
      </c>
    </row>
    <row r="5804" spans="31:32" x14ac:dyDescent="0.25">
      <c r="AE5804" s="39" t="str">
        <f>IF(D5804="","",IFERROR(VLOOKUP(D5804,Projects!$A$2:$A$20000,1,FALSE),""))</f>
        <v/>
      </c>
      <c r="AF5804" s="2" t="str">
        <f>IF(D5804="","",IFERROR(MATCH(D5804,Projects!$A:$A,0),""))</f>
        <v/>
      </c>
    </row>
    <row r="5805" spans="31:32" x14ac:dyDescent="0.25">
      <c r="AE5805" s="39" t="str">
        <f>IF(D5805="","",IFERROR(VLOOKUP(D5805,Projects!$A$2:$A$20000,1,FALSE),""))</f>
        <v/>
      </c>
      <c r="AF5805" s="2" t="str">
        <f>IF(D5805="","",IFERROR(MATCH(D5805,Projects!$A:$A,0),""))</f>
        <v/>
      </c>
    </row>
    <row r="5806" spans="31:32" x14ac:dyDescent="0.25">
      <c r="AE5806" s="39" t="str">
        <f>IF(D5806="","",IFERROR(VLOOKUP(D5806,Projects!$A$2:$A$20000,1,FALSE),""))</f>
        <v/>
      </c>
      <c r="AF5806" s="2" t="str">
        <f>IF(D5806="","",IFERROR(MATCH(D5806,Projects!$A:$A,0),""))</f>
        <v/>
      </c>
    </row>
    <row r="5807" spans="31:32" x14ac:dyDescent="0.25">
      <c r="AE5807" s="39" t="str">
        <f>IF(D5807="","",IFERROR(VLOOKUP(D5807,Projects!$A$2:$A$20000,1,FALSE),""))</f>
        <v/>
      </c>
      <c r="AF5807" s="2" t="str">
        <f>IF(D5807="","",IFERROR(MATCH(D5807,Projects!$A:$A,0),""))</f>
        <v/>
      </c>
    </row>
    <row r="5808" spans="31:32" x14ac:dyDescent="0.25">
      <c r="AE5808" s="39" t="str">
        <f>IF(D5808="","",IFERROR(VLOOKUP(D5808,Projects!$A$2:$A$20000,1,FALSE),""))</f>
        <v/>
      </c>
      <c r="AF5808" s="2" t="str">
        <f>IF(D5808="","",IFERROR(MATCH(D5808,Projects!$A:$A,0),""))</f>
        <v/>
      </c>
    </row>
    <row r="5809" spans="31:32" x14ac:dyDescent="0.25">
      <c r="AE5809" s="39" t="str">
        <f>IF(D5809="","",IFERROR(VLOOKUP(D5809,Projects!$A$2:$A$20000,1,FALSE),""))</f>
        <v/>
      </c>
      <c r="AF5809" s="2" t="str">
        <f>IF(D5809="","",IFERROR(MATCH(D5809,Projects!$A:$A,0),""))</f>
        <v/>
      </c>
    </row>
    <row r="5810" spans="31:32" x14ac:dyDescent="0.25">
      <c r="AE5810" s="39" t="str">
        <f>IF(D5810="","",IFERROR(VLOOKUP(D5810,Projects!$A$2:$A$20000,1,FALSE),""))</f>
        <v/>
      </c>
      <c r="AF5810" s="2" t="str">
        <f>IF(D5810="","",IFERROR(MATCH(D5810,Projects!$A:$A,0),""))</f>
        <v/>
      </c>
    </row>
    <row r="5811" spans="31:32" x14ac:dyDescent="0.25">
      <c r="AE5811" s="39" t="str">
        <f>IF(D5811="","",IFERROR(VLOOKUP(D5811,Projects!$A$2:$A$20000,1,FALSE),""))</f>
        <v/>
      </c>
      <c r="AF5811" s="2" t="str">
        <f>IF(D5811="","",IFERROR(MATCH(D5811,Projects!$A:$A,0),""))</f>
        <v/>
      </c>
    </row>
    <row r="5812" spans="31:32" x14ac:dyDescent="0.25">
      <c r="AE5812" s="39" t="str">
        <f>IF(D5812="","",IFERROR(VLOOKUP(D5812,Projects!$A$2:$A$20000,1,FALSE),""))</f>
        <v/>
      </c>
      <c r="AF5812" s="2" t="str">
        <f>IF(D5812="","",IFERROR(MATCH(D5812,Projects!$A:$A,0),""))</f>
        <v/>
      </c>
    </row>
    <row r="5813" spans="31:32" x14ac:dyDescent="0.25">
      <c r="AE5813" s="39" t="str">
        <f>IF(D5813="","",IFERROR(VLOOKUP(D5813,Projects!$A$2:$A$20000,1,FALSE),""))</f>
        <v/>
      </c>
      <c r="AF5813" s="2" t="str">
        <f>IF(D5813="","",IFERROR(MATCH(D5813,Projects!$A:$A,0),""))</f>
        <v/>
      </c>
    </row>
    <row r="5814" spans="31:32" x14ac:dyDescent="0.25">
      <c r="AE5814" s="39" t="str">
        <f>IF(D5814="","",IFERROR(VLOOKUP(D5814,Projects!$A$2:$A$20000,1,FALSE),""))</f>
        <v/>
      </c>
      <c r="AF5814" s="2" t="str">
        <f>IF(D5814="","",IFERROR(MATCH(D5814,Projects!$A:$A,0),""))</f>
        <v/>
      </c>
    </row>
    <row r="5815" spans="31:32" x14ac:dyDescent="0.25">
      <c r="AE5815" s="39" t="str">
        <f>IF(D5815="","",IFERROR(VLOOKUP(D5815,Projects!$A$2:$A$20000,1,FALSE),""))</f>
        <v/>
      </c>
      <c r="AF5815" s="2" t="str">
        <f>IF(D5815="","",IFERROR(MATCH(D5815,Projects!$A:$A,0),""))</f>
        <v/>
      </c>
    </row>
    <row r="5816" spans="31:32" x14ac:dyDescent="0.25">
      <c r="AE5816" s="39" t="str">
        <f>IF(D5816="","",IFERROR(VLOOKUP(D5816,Projects!$A$2:$A$20000,1,FALSE),""))</f>
        <v/>
      </c>
      <c r="AF5816" s="2" t="str">
        <f>IF(D5816="","",IFERROR(MATCH(D5816,Projects!$A:$A,0),""))</f>
        <v/>
      </c>
    </row>
    <row r="5817" spans="31:32" x14ac:dyDescent="0.25">
      <c r="AE5817" s="39" t="str">
        <f>IF(D5817="","",IFERROR(VLOOKUP(D5817,Projects!$A$2:$A$20000,1,FALSE),""))</f>
        <v/>
      </c>
      <c r="AF5817" s="2" t="str">
        <f>IF(D5817="","",IFERROR(MATCH(D5817,Projects!$A:$A,0),""))</f>
        <v/>
      </c>
    </row>
    <row r="5818" spans="31:32" x14ac:dyDescent="0.25">
      <c r="AE5818" s="39" t="str">
        <f>IF(D5818="","",IFERROR(VLOOKUP(D5818,Projects!$A$2:$A$20000,1,FALSE),""))</f>
        <v/>
      </c>
      <c r="AF5818" s="2" t="str">
        <f>IF(D5818="","",IFERROR(MATCH(D5818,Projects!$A:$A,0),""))</f>
        <v/>
      </c>
    </row>
    <row r="5819" spans="31:32" x14ac:dyDescent="0.25">
      <c r="AE5819" s="39" t="str">
        <f>IF(D5819="","",IFERROR(VLOOKUP(D5819,Projects!$A$2:$A$20000,1,FALSE),""))</f>
        <v/>
      </c>
      <c r="AF5819" s="2" t="str">
        <f>IF(D5819="","",IFERROR(MATCH(D5819,Projects!$A:$A,0),""))</f>
        <v/>
      </c>
    </row>
    <row r="5820" spans="31:32" x14ac:dyDescent="0.25">
      <c r="AE5820" s="39" t="str">
        <f>IF(D5820="","",IFERROR(VLOOKUP(D5820,Projects!$A$2:$A$20000,1,FALSE),""))</f>
        <v/>
      </c>
      <c r="AF5820" s="2" t="str">
        <f>IF(D5820="","",IFERROR(MATCH(D5820,Projects!$A:$A,0),""))</f>
        <v/>
      </c>
    </row>
    <row r="5821" spans="31:32" x14ac:dyDescent="0.25">
      <c r="AE5821" s="39" t="str">
        <f>IF(D5821="","",IFERROR(VLOOKUP(D5821,Projects!$A$2:$A$20000,1,FALSE),""))</f>
        <v/>
      </c>
      <c r="AF5821" s="2" t="str">
        <f>IF(D5821="","",IFERROR(MATCH(D5821,Projects!$A:$A,0),""))</f>
        <v/>
      </c>
    </row>
    <row r="5822" spans="31:32" x14ac:dyDescent="0.25">
      <c r="AE5822" s="39" t="str">
        <f>IF(D5822="","",IFERROR(VLOOKUP(D5822,Projects!$A$2:$A$20000,1,FALSE),""))</f>
        <v/>
      </c>
      <c r="AF5822" s="2" t="str">
        <f>IF(D5822="","",IFERROR(MATCH(D5822,Projects!$A:$A,0),""))</f>
        <v/>
      </c>
    </row>
    <row r="5823" spans="31:32" x14ac:dyDescent="0.25">
      <c r="AE5823" s="39" t="str">
        <f>IF(D5823="","",IFERROR(VLOOKUP(D5823,Projects!$A$2:$A$20000,1,FALSE),""))</f>
        <v/>
      </c>
      <c r="AF5823" s="2" t="str">
        <f>IF(D5823="","",IFERROR(MATCH(D5823,Projects!$A:$A,0),""))</f>
        <v/>
      </c>
    </row>
    <row r="5824" spans="31:32" x14ac:dyDescent="0.25">
      <c r="AE5824" s="39" t="str">
        <f>IF(D5824="","",IFERROR(VLOOKUP(D5824,Projects!$A$2:$A$20000,1,FALSE),""))</f>
        <v/>
      </c>
      <c r="AF5824" s="2" t="str">
        <f>IF(D5824="","",IFERROR(MATCH(D5824,Projects!$A:$A,0),""))</f>
        <v/>
      </c>
    </row>
    <row r="5825" spans="31:32" x14ac:dyDescent="0.25">
      <c r="AE5825" s="39" t="str">
        <f>IF(D5825="","",IFERROR(VLOOKUP(D5825,Projects!$A$2:$A$20000,1,FALSE),""))</f>
        <v/>
      </c>
      <c r="AF5825" s="2" t="str">
        <f>IF(D5825="","",IFERROR(MATCH(D5825,Projects!$A:$A,0),""))</f>
        <v/>
      </c>
    </row>
    <row r="5826" spans="31:32" x14ac:dyDescent="0.25">
      <c r="AE5826" s="39" t="str">
        <f>IF(D5826="","",IFERROR(VLOOKUP(D5826,Projects!$A$2:$A$20000,1,FALSE),""))</f>
        <v/>
      </c>
      <c r="AF5826" s="2" t="str">
        <f>IF(D5826="","",IFERROR(MATCH(D5826,Projects!$A:$A,0),""))</f>
        <v/>
      </c>
    </row>
    <row r="5827" spans="31:32" x14ac:dyDescent="0.25">
      <c r="AE5827" s="39" t="str">
        <f>IF(D5827="","",IFERROR(VLOOKUP(D5827,Projects!$A$2:$A$20000,1,FALSE),""))</f>
        <v/>
      </c>
      <c r="AF5827" s="2" t="str">
        <f>IF(D5827="","",IFERROR(MATCH(D5827,Projects!$A:$A,0),""))</f>
        <v/>
      </c>
    </row>
    <row r="5828" spans="31:32" x14ac:dyDescent="0.25">
      <c r="AE5828" s="39" t="str">
        <f>IF(D5828="","",IFERROR(VLOOKUP(D5828,Projects!$A$2:$A$20000,1,FALSE),""))</f>
        <v/>
      </c>
      <c r="AF5828" s="2" t="str">
        <f>IF(D5828="","",IFERROR(MATCH(D5828,Projects!$A:$A,0),""))</f>
        <v/>
      </c>
    </row>
    <row r="5829" spans="31:32" x14ac:dyDescent="0.25">
      <c r="AE5829" s="39" t="str">
        <f>IF(D5829="","",IFERROR(VLOOKUP(D5829,Projects!$A$2:$A$20000,1,FALSE),""))</f>
        <v/>
      </c>
      <c r="AF5829" s="2" t="str">
        <f>IF(D5829="","",IFERROR(MATCH(D5829,Projects!$A:$A,0),""))</f>
        <v/>
      </c>
    </row>
    <row r="5830" spans="31:32" x14ac:dyDescent="0.25">
      <c r="AE5830" s="39" t="str">
        <f>IF(D5830="","",IFERROR(VLOOKUP(D5830,Projects!$A$2:$A$20000,1,FALSE),""))</f>
        <v/>
      </c>
      <c r="AF5830" s="2" t="str">
        <f>IF(D5830="","",IFERROR(MATCH(D5830,Projects!$A:$A,0),""))</f>
        <v/>
      </c>
    </row>
    <row r="5831" spans="31:32" x14ac:dyDescent="0.25">
      <c r="AE5831" s="39" t="str">
        <f>IF(D5831="","",IFERROR(VLOOKUP(D5831,Projects!$A$2:$A$20000,1,FALSE),""))</f>
        <v/>
      </c>
      <c r="AF5831" s="2" t="str">
        <f>IF(D5831="","",IFERROR(MATCH(D5831,Projects!$A:$A,0),""))</f>
        <v/>
      </c>
    </row>
    <row r="5832" spans="31:32" x14ac:dyDescent="0.25">
      <c r="AE5832" s="39" t="str">
        <f>IF(D5832="","",IFERROR(VLOOKUP(D5832,Projects!$A$2:$A$20000,1,FALSE),""))</f>
        <v/>
      </c>
      <c r="AF5832" s="2" t="str">
        <f>IF(D5832="","",IFERROR(MATCH(D5832,Projects!$A:$A,0),""))</f>
        <v/>
      </c>
    </row>
    <row r="5833" spans="31:32" x14ac:dyDescent="0.25">
      <c r="AE5833" s="39" t="str">
        <f>IF(D5833="","",IFERROR(VLOOKUP(D5833,Projects!$A$2:$A$20000,1,FALSE),""))</f>
        <v/>
      </c>
      <c r="AF5833" s="2" t="str">
        <f>IF(D5833="","",IFERROR(MATCH(D5833,Projects!$A:$A,0),""))</f>
        <v/>
      </c>
    </row>
    <row r="5834" spans="31:32" x14ac:dyDescent="0.25">
      <c r="AE5834" s="39" t="str">
        <f>IF(D5834="","",IFERROR(VLOOKUP(D5834,Projects!$A$2:$A$20000,1,FALSE),""))</f>
        <v/>
      </c>
      <c r="AF5834" s="2" t="str">
        <f>IF(D5834="","",IFERROR(MATCH(D5834,Projects!$A:$A,0),""))</f>
        <v/>
      </c>
    </row>
    <row r="5835" spans="31:32" x14ac:dyDescent="0.25">
      <c r="AE5835" s="39" t="str">
        <f>IF(D5835="","",IFERROR(VLOOKUP(D5835,Projects!$A$2:$A$20000,1,FALSE),""))</f>
        <v/>
      </c>
      <c r="AF5835" s="2" t="str">
        <f>IF(D5835="","",IFERROR(MATCH(D5835,Projects!$A:$A,0),""))</f>
        <v/>
      </c>
    </row>
    <row r="5836" spans="31:32" x14ac:dyDescent="0.25">
      <c r="AE5836" s="39" t="str">
        <f>IF(D5836="","",IFERROR(VLOOKUP(D5836,Projects!$A$2:$A$20000,1,FALSE),""))</f>
        <v/>
      </c>
      <c r="AF5836" s="2" t="str">
        <f>IF(D5836="","",IFERROR(MATCH(D5836,Projects!$A:$A,0),""))</f>
        <v/>
      </c>
    </row>
    <row r="5837" spans="31:32" x14ac:dyDescent="0.25">
      <c r="AE5837" s="39" t="str">
        <f>IF(D5837="","",IFERROR(VLOOKUP(D5837,Projects!$A$2:$A$20000,1,FALSE),""))</f>
        <v/>
      </c>
      <c r="AF5837" s="2" t="str">
        <f>IF(D5837="","",IFERROR(MATCH(D5837,Projects!$A:$A,0),""))</f>
        <v/>
      </c>
    </row>
    <row r="5838" spans="31:32" x14ac:dyDescent="0.25">
      <c r="AE5838" s="39" t="str">
        <f>IF(D5838="","",IFERROR(VLOOKUP(D5838,Projects!$A$2:$A$20000,1,FALSE),""))</f>
        <v/>
      </c>
      <c r="AF5838" s="2" t="str">
        <f>IF(D5838="","",IFERROR(MATCH(D5838,Projects!$A:$A,0),""))</f>
        <v/>
      </c>
    </row>
    <row r="5839" spans="31:32" x14ac:dyDescent="0.25">
      <c r="AE5839" s="39" t="str">
        <f>IF(D5839="","",IFERROR(VLOOKUP(D5839,Projects!$A$2:$A$20000,1,FALSE),""))</f>
        <v/>
      </c>
      <c r="AF5839" s="2" t="str">
        <f>IF(D5839="","",IFERROR(MATCH(D5839,Projects!$A:$A,0),""))</f>
        <v/>
      </c>
    </row>
    <row r="5840" spans="31:32" x14ac:dyDescent="0.25">
      <c r="AE5840" s="39" t="str">
        <f>IF(D5840="","",IFERROR(VLOOKUP(D5840,Projects!$A$2:$A$20000,1,FALSE),""))</f>
        <v/>
      </c>
      <c r="AF5840" s="2" t="str">
        <f>IF(D5840="","",IFERROR(MATCH(D5840,Projects!$A:$A,0),""))</f>
        <v/>
      </c>
    </row>
    <row r="5841" spans="31:32" x14ac:dyDescent="0.25">
      <c r="AE5841" s="39" t="str">
        <f>IF(D5841="","",IFERROR(VLOOKUP(D5841,Projects!$A$2:$A$20000,1,FALSE),""))</f>
        <v/>
      </c>
      <c r="AF5841" s="2" t="str">
        <f>IF(D5841="","",IFERROR(MATCH(D5841,Projects!$A:$A,0),""))</f>
        <v/>
      </c>
    </row>
    <row r="5842" spans="31:32" x14ac:dyDescent="0.25">
      <c r="AE5842" s="39" t="str">
        <f>IF(D5842="","",IFERROR(VLOOKUP(D5842,Projects!$A$2:$A$20000,1,FALSE),""))</f>
        <v/>
      </c>
      <c r="AF5842" s="2" t="str">
        <f>IF(D5842="","",IFERROR(MATCH(D5842,Projects!$A:$A,0),""))</f>
        <v/>
      </c>
    </row>
    <row r="5843" spans="31:32" x14ac:dyDescent="0.25">
      <c r="AE5843" s="39" t="str">
        <f>IF(D5843="","",IFERROR(VLOOKUP(D5843,Projects!$A$2:$A$20000,1,FALSE),""))</f>
        <v/>
      </c>
      <c r="AF5843" s="2" t="str">
        <f>IF(D5843="","",IFERROR(MATCH(D5843,Projects!$A:$A,0),""))</f>
        <v/>
      </c>
    </row>
    <row r="5844" spans="31:32" x14ac:dyDescent="0.25">
      <c r="AE5844" s="39" t="str">
        <f>IF(D5844="","",IFERROR(VLOOKUP(D5844,Projects!$A$2:$A$20000,1,FALSE),""))</f>
        <v/>
      </c>
      <c r="AF5844" s="2" t="str">
        <f>IF(D5844="","",IFERROR(MATCH(D5844,Projects!$A:$A,0),""))</f>
        <v/>
      </c>
    </row>
    <row r="5845" spans="31:32" x14ac:dyDescent="0.25">
      <c r="AE5845" s="39" t="str">
        <f>IF(D5845="","",IFERROR(VLOOKUP(D5845,Projects!$A$2:$A$20000,1,FALSE),""))</f>
        <v/>
      </c>
      <c r="AF5845" s="2" t="str">
        <f>IF(D5845="","",IFERROR(MATCH(D5845,Projects!$A:$A,0),""))</f>
        <v/>
      </c>
    </row>
    <row r="5846" spans="31:32" x14ac:dyDescent="0.25">
      <c r="AE5846" s="39" t="str">
        <f>IF(D5846="","",IFERROR(VLOOKUP(D5846,Projects!$A$2:$A$20000,1,FALSE),""))</f>
        <v/>
      </c>
      <c r="AF5846" s="2" t="str">
        <f>IF(D5846="","",IFERROR(MATCH(D5846,Projects!$A:$A,0),""))</f>
        <v/>
      </c>
    </row>
    <row r="5847" spans="31:32" x14ac:dyDescent="0.25">
      <c r="AE5847" s="39" t="str">
        <f>IF(D5847="","",IFERROR(VLOOKUP(D5847,Projects!$A$2:$A$20000,1,FALSE),""))</f>
        <v/>
      </c>
      <c r="AF5847" s="2" t="str">
        <f>IF(D5847="","",IFERROR(MATCH(D5847,Projects!$A:$A,0),""))</f>
        <v/>
      </c>
    </row>
    <row r="5848" spans="31:32" x14ac:dyDescent="0.25">
      <c r="AE5848" s="39" t="str">
        <f>IF(D5848="","",IFERROR(VLOOKUP(D5848,Projects!$A$2:$A$20000,1,FALSE),""))</f>
        <v/>
      </c>
      <c r="AF5848" s="2" t="str">
        <f>IF(D5848="","",IFERROR(MATCH(D5848,Projects!$A:$A,0),""))</f>
        <v/>
      </c>
    </row>
    <row r="5849" spans="31:32" x14ac:dyDescent="0.25">
      <c r="AE5849" s="39" t="str">
        <f>IF(D5849="","",IFERROR(VLOOKUP(D5849,Projects!$A$2:$A$20000,1,FALSE),""))</f>
        <v/>
      </c>
      <c r="AF5849" s="2" t="str">
        <f>IF(D5849="","",IFERROR(MATCH(D5849,Projects!$A:$A,0),""))</f>
        <v/>
      </c>
    </row>
    <row r="5850" spans="31:32" x14ac:dyDescent="0.25">
      <c r="AE5850" s="39" t="str">
        <f>IF(D5850="","",IFERROR(VLOOKUP(D5850,Projects!$A$2:$A$20000,1,FALSE),""))</f>
        <v/>
      </c>
      <c r="AF5850" s="2" t="str">
        <f>IF(D5850="","",IFERROR(MATCH(D5850,Projects!$A:$A,0),""))</f>
        <v/>
      </c>
    </row>
    <row r="5851" spans="31:32" x14ac:dyDescent="0.25">
      <c r="AE5851" s="39" t="str">
        <f>IF(D5851="","",IFERROR(VLOOKUP(D5851,Projects!$A$2:$A$20000,1,FALSE),""))</f>
        <v/>
      </c>
      <c r="AF5851" s="2" t="str">
        <f>IF(D5851="","",IFERROR(MATCH(D5851,Projects!$A:$A,0),""))</f>
        <v/>
      </c>
    </row>
    <row r="5852" spans="31:32" x14ac:dyDescent="0.25">
      <c r="AE5852" s="39" t="str">
        <f>IF(D5852="","",IFERROR(VLOOKUP(D5852,Projects!$A$2:$A$20000,1,FALSE),""))</f>
        <v/>
      </c>
      <c r="AF5852" s="2" t="str">
        <f>IF(D5852="","",IFERROR(MATCH(D5852,Projects!$A:$A,0),""))</f>
        <v/>
      </c>
    </row>
    <row r="5853" spans="31:32" x14ac:dyDescent="0.25">
      <c r="AE5853" s="39" t="str">
        <f>IF(D5853="","",IFERROR(VLOOKUP(D5853,Projects!$A$2:$A$20000,1,FALSE),""))</f>
        <v/>
      </c>
      <c r="AF5853" s="2" t="str">
        <f>IF(D5853="","",IFERROR(MATCH(D5853,Projects!$A:$A,0),""))</f>
        <v/>
      </c>
    </row>
    <row r="5854" spans="31:32" x14ac:dyDescent="0.25">
      <c r="AE5854" s="39" t="str">
        <f>IF(D5854="","",IFERROR(VLOOKUP(D5854,Projects!$A$2:$A$20000,1,FALSE),""))</f>
        <v/>
      </c>
      <c r="AF5854" s="2" t="str">
        <f>IF(D5854="","",IFERROR(MATCH(D5854,Projects!$A:$A,0),""))</f>
        <v/>
      </c>
    </row>
    <row r="5855" spans="31:32" x14ac:dyDescent="0.25">
      <c r="AE5855" s="39" t="str">
        <f>IF(D5855="","",IFERROR(VLOOKUP(D5855,Projects!$A$2:$A$20000,1,FALSE),""))</f>
        <v/>
      </c>
      <c r="AF5855" s="2" t="str">
        <f>IF(D5855="","",IFERROR(MATCH(D5855,Projects!$A:$A,0),""))</f>
        <v/>
      </c>
    </row>
    <row r="5856" spans="31:32" x14ac:dyDescent="0.25">
      <c r="AE5856" s="39" t="str">
        <f>IF(D5856="","",IFERROR(VLOOKUP(D5856,Projects!$A$2:$A$20000,1,FALSE),""))</f>
        <v/>
      </c>
      <c r="AF5856" s="2" t="str">
        <f>IF(D5856="","",IFERROR(MATCH(D5856,Projects!$A:$A,0),""))</f>
        <v/>
      </c>
    </row>
    <row r="5857" spans="31:32" x14ac:dyDescent="0.25">
      <c r="AE5857" s="39" t="str">
        <f>IF(D5857="","",IFERROR(VLOOKUP(D5857,Projects!$A$2:$A$20000,1,FALSE),""))</f>
        <v/>
      </c>
      <c r="AF5857" s="2" t="str">
        <f>IF(D5857="","",IFERROR(MATCH(D5857,Projects!$A:$A,0),""))</f>
        <v/>
      </c>
    </row>
    <row r="5858" spans="31:32" x14ac:dyDescent="0.25">
      <c r="AE5858" s="39" t="str">
        <f>IF(D5858="","",IFERROR(VLOOKUP(D5858,Projects!$A$2:$A$20000,1,FALSE),""))</f>
        <v/>
      </c>
      <c r="AF5858" s="2" t="str">
        <f>IF(D5858="","",IFERROR(MATCH(D5858,Projects!$A:$A,0),""))</f>
        <v/>
      </c>
    </row>
    <row r="5859" spans="31:32" x14ac:dyDescent="0.25">
      <c r="AE5859" s="39" t="str">
        <f>IF(D5859="","",IFERROR(VLOOKUP(D5859,Projects!$A$2:$A$20000,1,FALSE),""))</f>
        <v/>
      </c>
      <c r="AF5859" s="2" t="str">
        <f>IF(D5859="","",IFERROR(MATCH(D5859,Projects!$A:$A,0),""))</f>
        <v/>
      </c>
    </row>
    <row r="5860" spans="31:32" x14ac:dyDescent="0.25">
      <c r="AE5860" s="39" t="str">
        <f>IF(D5860="","",IFERROR(VLOOKUP(D5860,Projects!$A$2:$A$20000,1,FALSE),""))</f>
        <v/>
      </c>
      <c r="AF5860" s="2" t="str">
        <f>IF(D5860="","",IFERROR(MATCH(D5860,Projects!$A:$A,0),""))</f>
        <v/>
      </c>
    </row>
    <row r="5861" spans="31:32" x14ac:dyDescent="0.25">
      <c r="AE5861" s="39" t="str">
        <f>IF(D5861="","",IFERROR(VLOOKUP(D5861,Projects!$A$2:$A$20000,1,FALSE),""))</f>
        <v/>
      </c>
      <c r="AF5861" s="2" t="str">
        <f>IF(D5861="","",IFERROR(MATCH(D5861,Projects!$A:$A,0),""))</f>
        <v/>
      </c>
    </row>
    <row r="5862" spans="31:32" x14ac:dyDescent="0.25">
      <c r="AE5862" s="39" t="str">
        <f>IF(D5862="","",IFERROR(VLOOKUP(D5862,Projects!$A$2:$A$20000,1,FALSE),""))</f>
        <v/>
      </c>
      <c r="AF5862" s="2" t="str">
        <f>IF(D5862="","",IFERROR(MATCH(D5862,Projects!$A:$A,0),""))</f>
        <v/>
      </c>
    </row>
    <row r="5863" spans="31:32" x14ac:dyDescent="0.25">
      <c r="AE5863" s="39" t="str">
        <f>IF(D5863="","",IFERROR(VLOOKUP(D5863,Projects!$A$2:$A$20000,1,FALSE),""))</f>
        <v/>
      </c>
      <c r="AF5863" s="2" t="str">
        <f>IF(D5863="","",IFERROR(MATCH(D5863,Projects!$A:$A,0),""))</f>
        <v/>
      </c>
    </row>
    <row r="5864" spans="31:32" x14ac:dyDescent="0.25">
      <c r="AE5864" s="39" t="str">
        <f>IF(D5864="","",IFERROR(VLOOKUP(D5864,Projects!$A$2:$A$20000,1,FALSE),""))</f>
        <v/>
      </c>
      <c r="AF5864" s="2" t="str">
        <f>IF(D5864="","",IFERROR(MATCH(D5864,Projects!$A:$A,0),""))</f>
        <v/>
      </c>
    </row>
    <row r="5865" spans="31:32" x14ac:dyDescent="0.25">
      <c r="AE5865" s="39" t="str">
        <f>IF(D5865="","",IFERROR(VLOOKUP(D5865,Projects!$A$2:$A$20000,1,FALSE),""))</f>
        <v/>
      </c>
      <c r="AF5865" s="2" t="str">
        <f>IF(D5865="","",IFERROR(MATCH(D5865,Projects!$A:$A,0),""))</f>
        <v/>
      </c>
    </row>
    <row r="5866" spans="31:32" x14ac:dyDescent="0.25">
      <c r="AE5866" s="39" t="str">
        <f>IF(D5866="","",IFERROR(VLOOKUP(D5866,Projects!$A$2:$A$20000,1,FALSE),""))</f>
        <v/>
      </c>
      <c r="AF5866" s="2" t="str">
        <f>IF(D5866="","",IFERROR(MATCH(D5866,Projects!$A:$A,0),""))</f>
        <v/>
      </c>
    </row>
    <row r="5867" spans="31:32" x14ac:dyDescent="0.25">
      <c r="AE5867" s="39" t="str">
        <f>IF(D5867="","",IFERROR(VLOOKUP(D5867,Projects!$A$2:$A$20000,1,FALSE),""))</f>
        <v/>
      </c>
      <c r="AF5867" s="2" t="str">
        <f>IF(D5867="","",IFERROR(MATCH(D5867,Projects!$A:$A,0),""))</f>
        <v/>
      </c>
    </row>
    <row r="5868" spans="31:32" x14ac:dyDescent="0.25">
      <c r="AE5868" s="39" t="str">
        <f>IF(D5868="","",IFERROR(VLOOKUP(D5868,Projects!$A$2:$A$20000,1,FALSE),""))</f>
        <v/>
      </c>
      <c r="AF5868" s="2" t="str">
        <f>IF(D5868="","",IFERROR(MATCH(D5868,Projects!$A:$A,0),""))</f>
        <v/>
      </c>
    </row>
    <row r="5869" spans="31:32" x14ac:dyDescent="0.25">
      <c r="AE5869" s="39" t="str">
        <f>IF(D5869="","",IFERROR(VLOOKUP(D5869,Projects!$A$2:$A$20000,1,FALSE),""))</f>
        <v/>
      </c>
      <c r="AF5869" s="2" t="str">
        <f>IF(D5869="","",IFERROR(MATCH(D5869,Projects!$A:$A,0),""))</f>
        <v/>
      </c>
    </row>
    <row r="5870" spans="31:32" x14ac:dyDescent="0.25">
      <c r="AE5870" s="39" t="str">
        <f>IF(D5870="","",IFERROR(VLOOKUP(D5870,Projects!$A$2:$A$20000,1,FALSE),""))</f>
        <v/>
      </c>
      <c r="AF5870" s="2" t="str">
        <f>IF(D5870="","",IFERROR(MATCH(D5870,Projects!$A:$A,0),""))</f>
        <v/>
      </c>
    </row>
    <row r="5871" spans="31:32" x14ac:dyDescent="0.25">
      <c r="AE5871" s="39" t="str">
        <f>IF(D5871="","",IFERROR(VLOOKUP(D5871,Projects!$A$2:$A$20000,1,FALSE),""))</f>
        <v/>
      </c>
      <c r="AF5871" s="2" t="str">
        <f>IF(D5871="","",IFERROR(MATCH(D5871,Projects!$A:$A,0),""))</f>
        <v/>
      </c>
    </row>
    <row r="5872" spans="31:32" x14ac:dyDescent="0.25">
      <c r="AE5872" s="39" t="str">
        <f>IF(D5872="","",IFERROR(VLOOKUP(D5872,Projects!$A$2:$A$20000,1,FALSE),""))</f>
        <v/>
      </c>
      <c r="AF5872" s="2" t="str">
        <f>IF(D5872="","",IFERROR(MATCH(D5872,Projects!$A:$A,0),""))</f>
        <v/>
      </c>
    </row>
    <row r="5873" spans="31:32" x14ac:dyDescent="0.25">
      <c r="AE5873" s="39" t="str">
        <f>IF(D5873="","",IFERROR(VLOOKUP(D5873,Projects!$A$2:$A$20000,1,FALSE),""))</f>
        <v/>
      </c>
      <c r="AF5873" s="2" t="str">
        <f>IF(D5873="","",IFERROR(MATCH(D5873,Projects!$A:$A,0),""))</f>
        <v/>
      </c>
    </row>
    <row r="5874" spans="31:32" x14ac:dyDescent="0.25">
      <c r="AE5874" s="39" t="str">
        <f>IF(D5874="","",IFERROR(VLOOKUP(D5874,Projects!$A$2:$A$20000,1,FALSE),""))</f>
        <v/>
      </c>
      <c r="AF5874" s="2" t="str">
        <f>IF(D5874="","",IFERROR(MATCH(D5874,Projects!$A:$A,0),""))</f>
        <v/>
      </c>
    </row>
    <row r="5875" spans="31:32" x14ac:dyDescent="0.25">
      <c r="AE5875" s="39" t="str">
        <f>IF(D5875="","",IFERROR(VLOOKUP(D5875,Projects!$A$2:$A$20000,1,FALSE),""))</f>
        <v/>
      </c>
      <c r="AF5875" s="2" t="str">
        <f>IF(D5875="","",IFERROR(MATCH(D5875,Projects!$A:$A,0),""))</f>
        <v/>
      </c>
    </row>
    <row r="5876" spans="31:32" x14ac:dyDescent="0.25">
      <c r="AE5876" s="39" t="str">
        <f>IF(D5876="","",IFERROR(VLOOKUP(D5876,Projects!$A$2:$A$20000,1,FALSE),""))</f>
        <v/>
      </c>
      <c r="AF5876" s="2" t="str">
        <f>IF(D5876="","",IFERROR(MATCH(D5876,Projects!$A:$A,0),""))</f>
        <v/>
      </c>
    </row>
    <row r="5877" spans="31:32" x14ac:dyDescent="0.25">
      <c r="AE5877" s="39" t="str">
        <f>IF(D5877="","",IFERROR(VLOOKUP(D5877,Projects!$A$2:$A$20000,1,FALSE),""))</f>
        <v/>
      </c>
      <c r="AF5877" s="2" t="str">
        <f>IF(D5877="","",IFERROR(MATCH(D5877,Projects!$A:$A,0),""))</f>
        <v/>
      </c>
    </row>
    <row r="5878" spans="31:32" x14ac:dyDescent="0.25">
      <c r="AE5878" s="39" t="str">
        <f>IF(D5878="","",IFERROR(VLOOKUP(D5878,Projects!$A$2:$A$20000,1,FALSE),""))</f>
        <v/>
      </c>
      <c r="AF5878" s="2" t="str">
        <f>IF(D5878="","",IFERROR(MATCH(D5878,Projects!$A:$A,0),""))</f>
        <v/>
      </c>
    </row>
    <row r="5879" spans="31:32" x14ac:dyDescent="0.25">
      <c r="AE5879" s="39" t="str">
        <f>IF(D5879="","",IFERROR(VLOOKUP(D5879,Projects!$A$2:$A$20000,1,FALSE),""))</f>
        <v/>
      </c>
      <c r="AF5879" s="2" t="str">
        <f>IF(D5879="","",IFERROR(MATCH(D5879,Projects!$A:$A,0),""))</f>
        <v/>
      </c>
    </row>
    <row r="5880" spans="31:32" x14ac:dyDescent="0.25">
      <c r="AE5880" s="39" t="str">
        <f>IF(D5880="","",IFERROR(VLOOKUP(D5880,Projects!$A$2:$A$20000,1,FALSE),""))</f>
        <v/>
      </c>
      <c r="AF5880" s="2" t="str">
        <f>IF(D5880="","",IFERROR(MATCH(D5880,Projects!$A:$A,0),""))</f>
        <v/>
      </c>
    </row>
    <row r="5881" spans="31:32" x14ac:dyDescent="0.25">
      <c r="AE5881" s="39" t="str">
        <f>IF(D5881="","",IFERROR(VLOOKUP(D5881,Projects!$A$2:$A$20000,1,FALSE),""))</f>
        <v/>
      </c>
      <c r="AF5881" s="2" t="str">
        <f>IF(D5881="","",IFERROR(MATCH(D5881,Projects!$A:$A,0),""))</f>
        <v/>
      </c>
    </row>
    <row r="5882" spans="31:32" x14ac:dyDescent="0.25">
      <c r="AE5882" s="39" t="str">
        <f>IF(D5882="","",IFERROR(VLOOKUP(D5882,Projects!$A$2:$A$20000,1,FALSE),""))</f>
        <v/>
      </c>
      <c r="AF5882" s="2" t="str">
        <f>IF(D5882="","",IFERROR(MATCH(D5882,Projects!$A:$A,0),""))</f>
        <v/>
      </c>
    </row>
    <row r="5883" spans="31:32" x14ac:dyDescent="0.25">
      <c r="AE5883" s="39" t="str">
        <f>IF(D5883="","",IFERROR(VLOOKUP(D5883,Projects!$A$2:$A$20000,1,FALSE),""))</f>
        <v/>
      </c>
      <c r="AF5883" s="2" t="str">
        <f>IF(D5883="","",IFERROR(MATCH(D5883,Projects!$A:$A,0),""))</f>
        <v/>
      </c>
    </row>
    <row r="5884" spans="31:32" x14ac:dyDescent="0.25">
      <c r="AE5884" s="39" t="str">
        <f>IF(D5884="","",IFERROR(VLOOKUP(D5884,Projects!$A$2:$A$20000,1,FALSE),""))</f>
        <v/>
      </c>
      <c r="AF5884" s="2" t="str">
        <f>IF(D5884="","",IFERROR(MATCH(D5884,Projects!$A:$A,0),""))</f>
        <v/>
      </c>
    </row>
    <row r="5885" spans="31:32" x14ac:dyDescent="0.25">
      <c r="AE5885" s="39" t="str">
        <f>IF(D5885="","",IFERROR(VLOOKUP(D5885,Projects!$A$2:$A$20000,1,FALSE),""))</f>
        <v/>
      </c>
      <c r="AF5885" s="2" t="str">
        <f>IF(D5885="","",IFERROR(MATCH(D5885,Projects!$A:$A,0),""))</f>
        <v/>
      </c>
    </row>
    <row r="5886" spans="31:32" x14ac:dyDescent="0.25">
      <c r="AE5886" s="39" t="str">
        <f>IF(D5886="","",IFERROR(VLOOKUP(D5886,Projects!$A$2:$A$20000,1,FALSE),""))</f>
        <v/>
      </c>
      <c r="AF5886" s="2" t="str">
        <f>IF(D5886="","",IFERROR(MATCH(D5886,Projects!$A:$A,0),""))</f>
        <v/>
      </c>
    </row>
    <row r="5887" spans="31:32" x14ac:dyDescent="0.25">
      <c r="AE5887" s="39" t="str">
        <f>IF(D5887="","",IFERROR(VLOOKUP(D5887,Projects!$A$2:$A$20000,1,FALSE),""))</f>
        <v/>
      </c>
      <c r="AF5887" s="2" t="str">
        <f>IF(D5887="","",IFERROR(MATCH(D5887,Projects!$A:$A,0),""))</f>
        <v/>
      </c>
    </row>
    <row r="5888" spans="31:32" x14ac:dyDescent="0.25">
      <c r="AE5888" s="39" t="str">
        <f>IF(D5888="","",IFERROR(VLOOKUP(D5888,Projects!$A$2:$A$20000,1,FALSE),""))</f>
        <v/>
      </c>
      <c r="AF5888" s="2" t="str">
        <f>IF(D5888="","",IFERROR(MATCH(D5888,Projects!$A:$A,0),""))</f>
        <v/>
      </c>
    </row>
    <row r="5889" spans="31:32" x14ac:dyDescent="0.25">
      <c r="AE5889" s="39" t="str">
        <f>IF(D5889="","",IFERROR(VLOOKUP(D5889,Projects!$A$2:$A$20000,1,FALSE),""))</f>
        <v/>
      </c>
      <c r="AF5889" s="2" t="str">
        <f>IF(D5889="","",IFERROR(MATCH(D5889,Projects!$A:$A,0),""))</f>
        <v/>
      </c>
    </row>
    <row r="5890" spans="31:32" x14ac:dyDescent="0.25">
      <c r="AE5890" s="39" t="str">
        <f>IF(D5890="","",IFERROR(VLOOKUP(D5890,Projects!$A$2:$A$20000,1,FALSE),""))</f>
        <v/>
      </c>
      <c r="AF5890" s="2" t="str">
        <f>IF(D5890="","",IFERROR(MATCH(D5890,Projects!$A:$A,0),""))</f>
        <v/>
      </c>
    </row>
    <row r="5891" spans="31:32" x14ac:dyDescent="0.25">
      <c r="AE5891" s="39" t="str">
        <f>IF(D5891="","",IFERROR(VLOOKUP(D5891,Projects!$A$2:$A$20000,1,FALSE),""))</f>
        <v/>
      </c>
      <c r="AF5891" s="2" t="str">
        <f>IF(D5891="","",IFERROR(MATCH(D5891,Projects!$A:$A,0),""))</f>
        <v/>
      </c>
    </row>
    <row r="5892" spans="31:32" x14ac:dyDescent="0.25">
      <c r="AE5892" s="39" t="str">
        <f>IF(D5892="","",IFERROR(VLOOKUP(D5892,Projects!$A$2:$A$20000,1,FALSE),""))</f>
        <v/>
      </c>
      <c r="AF5892" s="2" t="str">
        <f>IF(D5892="","",IFERROR(MATCH(D5892,Projects!$A:$A,0),""))</f>
        <v/>
      </c>
    </row>
    <row r="5893" spans="31:32" x14ac:dyDescent="0.25">
      <c r="AE5893" s="39" t="str">
        <f>IF(D5893="","",IFERROR(VLOOKUP(D5893,Projects!$A$2:$A$20000,1,FALSE),""))</f>
        <v/>
      </c>
      <c r="AF5893" s="2" t="str">
        <f>IF(D5893="","",IFERROR(MATCH(D5893,Projects!$A:$A,0),""))</f>
        <v/>
      </c>
    </row>
    <row r="5894" spans="31:32" x14ac:dyDescent="0.25">
      <c r="AE5894" s="39" t="str">
        <f>IF(D5894="","",IFERROR(VLOOKUP(D5894,Projects!$A$2:$A$20000,1,FALSE),""))</f>
        <v/>
      </c>
      <c r="AF5894" s="2" t="str">
        <f>IF(D5894="","",IFERROR(MATCH(D5894,Projects!$A:$A,0),""))</f>
        <v/>
      </c>
    </row>
    <row r="5895" spans="31:32" x14ac:dyDescent="0.25">
      <c r="AE5895" s="39" t="str">
        <f>IF(D5895="","",IFERROR(VLOOKUP(D5895,Projects!$A$2:$A$20000,1,FALSE),""))</f>
        <v/>
      </c>
      <c r="AF5895" s="2" t="str">
        <f>IF(D5895="","",IFERROR(MATCH(D5895,Projects!$A:$A,0),""))</f>
        <v/>
      </c>
    </row>
    <row r="5896" spans="31:32" x14ac:dyDescent="0.25">
      <c r="AE5896" s="39" t="str">
        <f>IF(D5896="","",IFERROR(VLOOKUP(D5896,Projects!$A$2:$A$20000,1,FALSE),""))</f>
        <v/>
      </c>
      <c r="AF5896" s="2" t="str">
        <f>IF(D5896="","",IFERROR(MATCH(D5896,Projects!$A:$A,0),""))</f>
        <v/>
      </c>
    </row>
    <row r="5897" spans="31:32" x14ac:dyDescent="0.25">
      <c r="AE5897" s="39" t="str">
        <f>IF(D5897="","",IFERROR(VLOOKUP(D5897,Projects!$A$2:$A$20000,1,FALSE),""))</f>
        <v/>
      </c>
      <c r="AF5897" s="2" t="str">
        <f>IF(D5897="","",IFERROR(MATCH(D5897,Projects!$A:$A,0),""))</f>
        <v/>
      </c>
    </row>
    <row r="5898" spans="31:32" x14ac:dyDescent="0.25">
      <c r="AE5898" s="39" t="str">
        <f>IF(D5898="","",IFERROR(VLOOKUP(D5898,Projects!$A$2:$A$20000,1,FALSE),""))</f>
        <v/>
      </c>
      <c r="AF5898" s="2" t="str">
        <f>IF(D5898="","",IFERROR(MATCH(D5898,Projects!$A:$A,0),""))</f>
        <v/>
      </c>
    </row>
    <row r="5899" spans="31:32" x14ac:dyDescent="0.25">
      <c r="AE5899" s="39" t="str">
        <f>IF(D5899="","",IFERROR(VLOOKUP(D5899,Projects!$A$2:$A$20000,1,FALSE),""))</f>
        <v/>
      </c>
      <c r="AF5899" s="2" t="str">
        <f>IF(D5899="","",IFERROR(MATCH(D5899,Projects!$A:$A,0),""))</f>
        <v/>
      </c>
    </row>
    <row r="5900" spans="31:32" x14ac:dyDescent="0.25">
      <c r="AE5900" s="39" t="str">
        <f>IF(D5900="","",IFERROR(VLOOKUP(D5900,Projects!$A$2:$A$20000,1,FALSE),""))</f>
        <v/>
      </c>
      <c r="AF5900" s="2" t="str">
        <f>IF(D5900="","",IFERROR(MATCH(D5900,Projects!$A:$A,0),""))</f>
        <v/>
      </c>
    </row>
    <row r="5901" spans="31:32" x14ac:dyDescent="0.25">
      <c r="AE5901" s="39" t="str">
        <f>IF(D5901="","",IFERROR(VLOOKUP(D5901,Projects!$A$2:$A$20000,1,FALSE),""))</f>
        <v/>
      </c>
      <c r="AF5901" s="2" t="str">
        <f>IF(D5901="","",IFERROR(MATCH(D5901,Projects!$A:$A,0),""))</f>
        <v/>
      </c>
    </row>
    <row r="5902" spans="31:32" x14ac:dyDescent="0.25">
      <c r="AE5902" s="39" t="str">
        <f>IF(D5902="","",IFERROR(VLOOKUP(D5902,Projects!$A$2:$A$20000,1,FALSE),""))</f>
        <v/>
      </c>
      <c r="AF5902" s="2" t="str">
        <f>IF(D5902="","",IFERROR(MATCH(D5902,Projects!$A:$A,0),""))</f>
        <v/>
      </c>
    </row>
    <row r="5903" spans="31:32" x14ac:dyDescent="0.25">
      <c r="AE5903" s="39" t="str">
        <f>IF(D5903="","",IFERROR(VLOOKUP(D5903,Projects!$A$2:$A$20000,1,FALSE),""))</f>
        <v/>
      </c>
      <c r="AF5903" s="2" t="str">
        <f>IF(D5903="","",IFERROR(MATCH(D5903,Projects!$A:$A,0),""))</f>
        <v/>
      </c>
    </row>
    <row r="5904" spans="31:32" x14ac:dyDescent="0.25">
      <c r="AE5904" s="39" t="str">
        <f>IF(D5904="","",IFERROR(VLOOKUP(D5904,Projects!$A$2:$A$20000,1,FALSE),""))</f>
        <v/>
      </c>
      <c r="AF5904" s="2" t="str">
        <f>IF(D5904="","",IFERROR(MATCH(D5904,Projects!$A:$A,0),""))</f>
        <v/>
      </c>
    </row>
    <row r="5905" spans="31:32" x14ac:dyDescent="0.25">
      <c r="AE5905" s="39" t="str">
        <f>IF(D5905="","",IFERROR(VLOOKUP(D5905,Projects!$A$2:$A$20000,1,FALSE),""))</f>
        <v/>
      </c>
      <c r="AF5905" s="2" t="str">
        <f>IF(D5905="","",IFERROR(MATCH(D5905,Projects!$A:$A,0),""))</f>
        <v/>
      </c>
    </row>
    <row r="5906" spans="31:32" x14ac:dyDescent="0.25">
      <c r="AE5906" s="39" t="str">
        <f>IF(D5906="","",IFERROR(VLOOKUP(D5906,Projects!$A$2:$A$20000,1,FALSE),""))</f>
        <v/>
      </c>
      <c r="AF5906" s="2" t="str">
        <f>IF(D5906="","",IFERROR(MATCH(D5906,Projects!$A:$A,0),""))</f>
        <v/>
      </c>
    </row>
    <row r="5907" spans="31:32" x14ac:dyDescent="0.25">
      <c r="AE5907" s="39" t="str">
        <f>IF(D5907="","",IFERROR(VLOOKUP(D5907,Projects!$A$2:$A$20000,1,FALSE),""))</f>
        <v/>
      </c>
      <c r="AF5907" s="2" t="str">
        <f>IF(D5907="","",IFERROR(MATCH(D5907,Projects!$A:$A,0),""))</f>
        <v/>
      </c>
    </row>
    <row r="5908" spans="31:32" x14ac:dyDescent="0.25">
      <c r="AE5908" s="39" t="str">
        <f>IF(D5908="","",IFERROR(VLOOKUP(D5908,Projects!$A$2:$A$20000,1,FALSE),""))</f>
        <v/>
      </c>
      <c r="AF5908" s="2" t="str">
        <f>IF(D5908="","",IFERROR(MATCH(D5908,Projects!$A:$A,0),""))</f>
        <v/>
      </c>
    </row>
    <row r="5909" spans="31:32" x14ac:dyDescent="0.25">
      <c r="AE5909" s="39" t="str">
        <f>IF(D5909="","",IFERROR(VLOOKUP(D5909,Projects!$A$2:$A$20000,1,FALSE),""))</f>
        <v/>
      </c>
      <c r="AF5909" s="2" t="str">
        <f>IF(D5909="","",IFERROR(MATCH(D5909,Projects!$A:$A,0),""))</f>
        <v/>
      </c>
    </row>
    <row r="5910" spans="31:32" x14ac:dyDescent="0.25">
      <c r="AE5910" s="39" t="str">
        <f>IF(D5910="","",IFERROR(VLOOKUP(D5910,Projects!$A$2:$A$20000,1,FALSE),""))</f>
        <v/>
      </c>
      <c r="AF5910" s="2" t="str">
        <f>IF(D5910="","",IFERROR(MATCH(D5910,Projects!$A:$A,0),""))</f>
        <v/>
      </c>
    </row>
    <row r="5911" spans="31:32" x14ac:dyDescent="0.25">
      <c r="AE5911" s="39" t="str">
        <f>IF(D5911="","",IFERROR(VLOOKUP(D5911,Projects!$A$2:$A$20000,1,FALSE),""))</f>
        <v/>
      </c>
      <c r="AF5911" s="2" t="str">
        <f>IF(D5911="","",IFERROR(MATCH(D5911,Projects!$A:$A,0),""))</f>
        <v/>
      </c>
    </row>
    <row r="5912" spans="31:32" x14ac:dyDescent="0.25">
      <c r="AE5912" s="39" t="str">
        <f>IF(D5912="","",IFERROR(VLOOKUP(D5912,Projects!$A$2:$A$20000,1,FALSE),""))</f>
        <v/>
      </c>
      <c r="AF5912" s="2" t="str">
        <f>IF(D5912="","",IFERROR(MATCH(D5912,Projects!$A:$A,0),""))</f>
        <v/>
      </c>
    </row>
    <row r="5913" spans="31:32" x14ac:dyDescent="0.25">
      <c r="AE5913" s="39" t="str">
        <f>IF(D5913="","",IFERROR(VLOOKUP(D5913,Projects!$A$2:$A$20000,1,FALSE),""))</f>
        <v/>
      </c>
      <c r="AF5913" s="2" t="str">
        <f>IF(D5913="","",IFERROR(MATCH(D5913,Projects!$A:$A,0),""))</f>
        <v/>
      </c>
    </row>
    <row r="5914" spans="31:32" x14ac:dyDescent="0.25">
      <c r="AE5914" s="39" t="str">
        <f>IF(D5914="","",IFERROR(VLOOKUP(D5914,Projects!$A$2:$A$20000,1,FALSE),""))</f>
        <v/>
      </c>
      <c r="AF5914" s="2" t="str">
        <f>IF(D5914="","",IFERROR(MATCH(D5914,Projects!$A:$A,0),""))</f>
        <v/>
      </c>
    </row>
    <row r="5915" spans="31:32" x14ac:dyDescent="0.25">
      <c r="AE5915" s="39" t="str">
        <f>IF(D5915="","",IFERROR(VLOOKUP(D5915,Projects!$A$2:$A$20000,1,FALSE),""))</f>
        <v/>
      </c>
      <c r="AF5915" s="2" t="str">
        <f>IF(D5915="","",IFERROR(MATCH(D5915,Projects!$A:$A,0),""))</f>
        <v/>
      </c>
    </row>
    <row r="5916" spans="31:32" x14ac:dyDescent="0.25">
      <c r="AE5916" s="39" t="str">
        <f>IF(D5916="","",IFERROR(VLOOKUP(D5916,Projects!$A$2:$A$20000,1,FALSE),""))</f>
        <v/>
      </c>
      <c r="AF5916" s="2" t="str">
        <f>IF(D5916="","",IFERROR(MATCH(D5916,Projects!$A:$A,0),""))</f>
        <v/>
      </c>
    </row>
    <row r="5917" spans="31:32" x14ac:dyDescent="0.25">
      <c r="AE5917" s="39" t="str">
        <f>IF(D5917="","",IFERROR(VLOOKUP(D5917,Projects!$A$2:$A$20000,1,FALSE),""))</f>
        <v/>
      </c>
      <c r="AF5917" s="2" t="str">
        <f>IF(D5917="","",IFERROR(MATCH(D5917,Projects!$A:$A,0),""))</f>
        <v/>
      </c>
    </row>
    <row r="5918" spans="31:32" x14ac:dyDescent="0.25">
      <c r="AE5918" s="39" t="str">
        <f>IF(D5918="","",IFERROR(VLOOKUP(D5918,Projects!$A$2:$A$20000,1,FALSE),""))</f>
        <v/>
      </c>
      <c r="AF5918" s="2" t="str">
        <f>IF(D5918="","",IFERROR(MATCH(D5918,Projects!$A:$A,0),""))</f>
        <v/>
      </c>
    </row>
    <row r="5919" spans="31:32" x14ac:dyDescent="0.25">
      <c r="AE5919" s="39" t="str">
        <f>IF(D5919="","",IFERROR(VLOOKUP(D5919,Projects!$A$2:$A$20000,1,FALSE),""))</f>
        <v/>
      </c>
      <c r="AF5919" s="2" t="str">
        <f>IF(D5919="","",IFERROR(MATCH(D5919,Projects!$A:$A,0),""))</f>
        <v/>
      </c>
    </row>
    <row r="5920" spans="31:32" x14ac:dyDescent="0.25">
      <c r="AE5920" s="39" t="str">
        <f>IF(D5920="","",IFERROR(VLOOKUP(D5920,Projects!$A$2:$A$20000,1,FALSE),""))</f>
        <v/>
      </c>
      <c r="AF5920" s="2" t="str">
        <f>IF(D5920="","",IFERROR(MATCH(D5920,Projects!$A:$A,0),""))</f>
        <v/>
      </c>
    </row>
    <row r="5921" spans="31:32" x14ac:dyDescent="0.25">
      <c r="AE5921" s="39" t="str">
        <f>IF(D5921="","",IFERROR(VLOOKUP(D5921,Projects!$A$2:$A$20000,1,FALSE),""))</f>
        <v/>
      </c>
      <c r="AF5921" s="2" t="str">
        <f>IF(D5921="","",IFERROR(MATCH(D5921,Projects!$A:$A,0),""))</f>
        <v/>
      </c>
    </row>
    <row r="5922" spans="31:32" x14ac:dyDescent="0.25">
      <c r="AE5922" s="39" t="str">
        <f>IF(D5922="","",IFERROR(VLOOKUP(D5922,Projects!$A$2:$A$20000,1,FALSE),""))</f>
        <v/>
      </c>
      <c r="AF5922" s="2" t="str">
        <f>IF(D5922="","",IFERROR(MATCH(D5922,Projects!$A:$A,0),""))</f>
        <v/>
      </c>
    </row>
    <row r="5923" spans="31:32" x14ac:dyDescent="0.25">
      <c r="AE5923" s="39" t="str">
        <f>IF(D5923="","",IFERROR(VLOOKUP(D5923,Projects!$A$2:$A$20000,1,FALSE),""))</f>
        <v/>
      </c>
      <c r="AF5923" s="2" t="str">
        <f>IF(D5923="","",IFERROR(MATCH(D5923,Projects!$A:$A,0),""))</f>
        <v/>
      </c>
    </row>
    <row r="5924" spans="31:32" x14ac:dyDescent="0.25">
      <c r="AE5924" s="39" t="str">
        <f>IF(D5924="","",IFERROR(VLOOKUP(D5924,Projects!$A$2:$A$20000,1,FALSE),""))</f>
        <v/>
      </c>
      <c r="AF5924" s="2" t="str">
        <f>IF(D5924="","",IFERROR(MATCH(D5924,Projects!$A:$A,0),""))</f>
        <v/>
      </c>
    </row>
    <row r="5925" spans="31:32" x14ac:dyDescent="0.25">
      <c r="AE5925" s="39" t="str">
        <f>IF(D5925="","",IFERROR(VLOOKUP(D5925,Projects!$A$2:$A$20000,1,FALSE),""))</f>
        <v/>
      </c>
      <c r="AF5925" s="2" t="str">
        <f>IF(D5925="","",IFERROR(MATCH(D5925,Projects!$A:$A,0),""))</f>
        <v/>
      </c>
    </row>
    <row r="5926" spans="31:32" x14ac:dyDescent="0.25">
      <c r="AE5926" s="39" t="str">
        <f>IF(D5926="","",IFERROR(VLOOKUP(D5926,Projects!$A$2:$A$20000,1,FALSE),""))</f>
        <v/>
      </c>
      <c r="AF5926" s="2" t="str">
        <f>IF(D5926="","",IFERROR(MATCH(D5926,Projects!$A:$A,0),""))</f>
        <v/>
      </c>
    </row>
    <row r="5927" spans="31:32" x14ac:dyDescent="0.25">
      <c r="AE5927" s="39" t="str">
        <f>IF(D5927="","",IFERROR(VLOOKUP(D5927,Projects!$A$2:$A$20000,1,FALSE),""))</f>
        <v/>
      </c>
      <c r="AF5927" s="2" t="str">
        <f>IF(D5927="","",IFERROR(MATCH(D5927,Projects!$A:$A,0),""))</f>
        <v/>
      </c>
    </row>
    <row r="5928" spans="31:32" x14ac:dyDescent="0.25">
      <c r="AE5928" s="39" t="str">
        <f>IF(D5928="","",IFERROR(VLOOKUP(D5928,Projects!$A$2:$A$20000,1,FALSE),""))</f>
        <v/>
      </c>
      <c r="AF5928" s="2" t="str">
        <f>IF(D5928="","",IFERROR(MATCH(D5928,Projects!$A:$A,0),""))</f>
        <v/>
      </c>
    </row>
    <row r="5929" spans="31:32" x14ac:dyDescent="0.25">
      <c r="AE5929" s="39" t="str">
        <f>IF(D5929="","",IFERROR(VLOOKUP(D5929,Projects!$A$2:$A$20000,1,FALSE),""))</f>
        <v/>
      </c>
      <c r="AF5929" s="2" t="str">
        <f>IF(D5929="","",IFERROR(MATCH(D5929,Projects!$A:$A,0),""))</f>
        <v/>
      </c>
    </row>
    <row r="5930" spans="31:32" x14ac:dyDescent="0.25">
      <c r="AE5930" s="39" t="str">
        <f>IF(D5930="","",IFERROR(VLOOKUP(D5930,Projects!$A$2:$A$20000,1,FALSE),""))</f>
        <v/>
      </c>
      <c r="AF5930" s="2" t="str">
        <f>IF(D5930="","",IFERROR(MATCH(D5930,Projects!$A:$A,0),""))</f>
        <v/>
      </c>
    </row>
    <row r="5931" spans="31:32" x14ac:dyDescent="0.25">
      <c r="AE5931" s="39" t="str">
        <f>IF(D5931="","",IFERROR(VLOOKUP(D5931,Projects!$A$2:$A$20000,1,FALSE),""))</f>
        <v/>
      </c>
      <c r="AF5931" s="2" t="str">
        <f>IF(D5931="","",IFERROR(MATCH(D5931,Projects!$A:$A,0),""))</f>
        <v/>
      </c>
    </row>
    <row r="5932" spans="31:32" x14ac:dyDescent="0.25">
      <c r="AE5932" s="39" t="str">
        <f>IF(D5932="","",IFERROR(VLOOKUP(D5932,Projects!$A$2:$A$20000,1,FALSE),""))</f>
        <v/>
      </c>
      <c r="AF5932" s="2" t="str">
        <f>IF(D5932="","",IFERROR(MATCH(D5932,Projects!$A:$A,0),""))</f>
        <v/>
      </c>
    </row>
    <row r="5933" spans="31:32" x14ac:dyDescent="0.25">
      <c r="AE5933" s="39" t="str">
        <f>IF(D5933="","",IFERROR(VLOOKUP(D5933,Projects!$A$2:$A$20000,1,FALSE),""))</f>
        <v/>
      </c>
      <c r="AF5933" s="2" t="str">
        <f>IF(D5933="","",IFERROR(MATCH(D5933,Projects!$A:$A,0),""))</f>
        <v/>
      </c>
    </row>
    <row r="5934" spans="31:32" x14ac:dyDescent="0.25">
      <c r="AE5934" s="39" t="str">
        <f>IF(D5934="","",IFERROR(VLOOKUP(D5934,Projects!$A$2:$A$20000,1,FALSE),""))</f>
        <v/>
      </c>
      <c r="AF5934" s="2" t="str">
        <f>IF(D5934="","",IFERROR(MATCH(D5934,Projects!$A:$A,0),""))</f>
        <v/>
      </c>
    </row>
    <row r="5935" spans="31:32" x14ac:dyDescent="0.25">
      <c r="AE5935" s="39" t="str">
        <f>IF(D5935="","",IFERROR(VLOOKUP(D5935,Projects!$A$2:$A$20000,1,FALSE),""))</f>
        <v/>
      </c>
      <c r="AF5935" s="2" t="str">
        <f>IF(D5935="","",IFERROR(MATCH(D5935,Projects!$A:$A,0),""))</f>
        <v/>
      </c>
    </row>
    <row r="5936" spans="31:32" x14ac:dyDescent="0.25">
      <c r="AE5936" s="39" t="str">
        <f>IF(D5936="","",IFERROR(VLOOKUP(D5936,Projects!$A$2:$A$20000,1,FALSE),""))</f>
        <v/>
      </c>
      <c r="AF5936" s="2" t="str">
        <f>IF(D5936="","",IFERROR(MATCH(D5936,Projects!$A:$A,0),""))</f>
        <v/>
      </c>
    </row>
    <row r="5937" spans="31:32" x14ac:dyDescent="0.25">
      <c r="AE5937" s="39" t="str">
        <f>IF(D5937="","",IFERROR(VLOOKUP(D5937,Projects!$A$2:$A$20000,1,FALSE),""))</f>
        <v/>
      </c>
      <c r="AF5937" s="2" t="str">
        <f>IF(D5937="","",IFERROR(MATCH(D5937,Projects!$A:$A,0),""))</f>
        <v/>
      </c>
    </row>
    <row r="5938" spans="31:32" x14ac:dyDescent="0.25">
      <c r="AE5938" s="39" t="str">
        <f>IF(D5938="","",IFERROR(VLOOKUP(D5938,Projects!$A$2:$A$20000,1,FALSE),""))</f>
        <v/>
      </c>
      <c r="AF5938" s="2" t="str">
        <f>IF(D5938="","",IFERROR(MATCH(D5938,Projects!$A:$A,0),""))</f>
        <v/>
      </c>
    </row>
    <row r="5939" spans="31:32" x14ac:dyDescent="0.25">
      <c r="AE5939" s="39" t="str">
        <f>IF(D5939="","",IFERROR(VLOOKUP(D5939,Projects!$A$2:$A$20000,1,FALSE),""))</f>
        <v/>
      </c>
      <c r="AF5939" s="2" t="str">
        <f>IF(D5939="","",IFERROR(MATCH(D5939,Projects!$A:$A,0),""))</f>
        <v/>
      </c>
    </row>
    <row r="5940" spans="31:32" x14ac:dyDescent="0.25">
      <c r="AE5940" s="39" t="str">
        <f>IF(D5940="","",IFERROR(VLOOKUP(D5940,Projects!$A$2:$A$20000,1,FALSE),""))</f>
        <v/>
      </c>
      <c r="AF5940" s="2" t="str">
        <f>IF(D5940="","",IFERROR(MATCH(D5940,Projects!$A:$A,0),""))</f>
        <v/>
      </c>
    </row>
    <row r="5941" spans="31:32" x14ac:dyDescent="0.25">
      <c r="AE5941" s="39" t="str">
        <f>IF(D5941="","",IFERROR(VLOOKUP(D5941,Projects!$A$2:$A$20000,1,FALSE),""))</f>
        <v/>
      </c>
      <c r="AF5941" s="2" t="str">
        <f>IF(D5941="","",IFERROR(MATCH(D5941,Projects!$A:$A,0),""))</f>
        <v/>
      </c>
    </row>
    <row r="5942" spans="31:32" x14ac:dyDescent="0.25">
      <c r="AE5942" s="39" t="str">
        <f>IF(D5942="","",IFERROR(VLOOKUP(D5942,Projects!$A$2:$A$20000,1,FALSE),""))</f>
        <v/>
      </c>
      <c r="AF5942" s="2" t="str">
        <f>IF(D5942="","",IFERROR(MATCH(D5942,Projects!$A:$A,0),""))</f>
        <v/>
      </c>
    </row>
    <row r="5943" spans="31:32" x14ac:dyDescent="0.25">
      <c r="AE5943" s="39" t="str">
        <f>IF(D5943="","",IFERROR(VLOOKUP(D5943,Projects!$A$2:$A$20000,1,FALSE),""))</f>
        <v/>
      </c>
      <c r="AF5943" s="2" t="str">
        <f>IF(D5943="","",IFERROR(MATCH(D5943,Projects!$A:$A,0),""))</f>
        <v/>
      </c>
    </row>
    <row r="5944" spans="31:32" x14ac:dyDescent="0.25">
      <c r="AE5944" s="39" t="str">
        <f>IF(D5944="","",IFERROR(VLOOKUP(D5944,Projects!$A$2:$A$20000,1,FALSE),""))</f>
        <v/>
      </c>
      <c r="AF5944" s="2" t="str">
        <f>IF(D5944="","",IFERROR(MATCH(D5944,Projects!$A:$A,0),""))</f>
        <v/>
      </c>
    </row>
    <row r="5945" spans="31:32" x14ac:dyDescent="0.25">
      <c r="AE5945" s="39" t="str">
        <f>IF(D5945="","",IFERROR(VLOOKUP(D5945,Projects!$A$2:$A$20000,1,FALSE),""))</f>
        <v/>
      </c>
      <c r="AF5945" s="2" t="str">
        <f>IF(D5945="","",IFERROR(MATCH(D5945,Projects!$A:$A,0),""))</f>
        <v/>
      </c>
    </row>
    <row r="5946" spans="31:32" x14ac:dyDescent="0.25">
      <c r="AE5946" s="39" t="str">
        <f>IF(D5946="","",IFERROR(VLOOKUP(D5946,Projects!$A$2:$A$20000,1,FALSE),""))</f>
        <v/>
      </c>
      <c r="AF5946" s="2" t="str">
        <f>IF(D5946="","",IFERROR(MATCH(D5946,Projects!$A:$A,0),""))</f>
        <v/>
      </c>
    </row>
    <row r="5947" spans="31:32" x14ac:dyDescent="0.25">
      <c r="AE5947" s="39" t="str">
        <f>IF(D5947="","",IFERROR(VLOOKUP(D5947,Projects!$A$2:$A$20000,1,FALSE),""))</f>
        <v/>
      </c>
      <c r="AF5947" s="2" t="str">
        <f>IF(D5947="","",IFERROR(MATCH(D5947,Projects!$A:$A,0),""))</f>
        <v/>
      </c>
    </row>
    <row r="5948" spans="31:32" x14ac:dyDescent="0.25">
      <c r="AE5948" s="39" t="str">
        <f>IF(D5948="","",IFERROR(VLOOKUP(D5948,Projects!$A$2:$A$20000,1,FALSE),""))</f>
        <v/>
      </c>
      <c r="AF5948" s="2" t="str">
        <f>IF(D5948="","",IFERROR(MATCH(D5948,Projects!$A:$A,0),""))</f>
        <v/>
      </c>
    </row>
    <row r="5949" spans="31:32" x14ac:dyDescent="0.25">
      <c r="AE5949" s="39" t="str">
        <f>IF(D5949="","",IFERROR(VLOOKUP(D5949,Projects!$A$2:$A$20000,1,FALSE),""))</f>
        <v/>
      </c>
      <c r="AF5949" s="2" t="str">
        <f>IF(D5949="","",IFERROR(MATCH(D5949,Projects!$A:$A,0),""))</f>
        <v/>
      </c>
    </row>
    <row r="5950" spans="31:32" x14ac:dyDescent="0.25">
      <c r="AE5950" s="39" t="str">
        <f>IF(D5950="","",IFERROR(VLOOKUP(D5950,Projects!$A$2:$A$20000,1,FALSE),""))</f>
        <v/>
      </c>
      <c r="AF5950" s="2" t="str">
        <f>IF(D5950="","",IFERROR(MATCH(D5950,Projects!$A:$A,0),""))</f>
        <v/>
      </c>
    </row>
    <row r="5951" spans="31:32" x14ac:dyDescent="0.25">
      <c r="AE5951" s="39" t="str">
        <f>IF(D5951="","",IFERROR(VLOOKUP(D5951,Projects!$A$2:$A$20000,1,FALSE),""))</f>
        <v/>
      </c>
      <c r="AF5951" s="2" t="str">
        <f>IF(D5951="","",IFERROR(MATCH(D5951,Projects!$A:$A,0),""))</f>
        <v/>
      </c>
    </row>
    <row r="5952" spans="31:32" x14ac:dyDescent="0.25">
      <c r="AE5952" s="39" t="str">
        <f>IF(D5952="","",IFERROR(VLOOKUP(D5952,Projects!$A$2:$A$20000,1,FALSE),""))</f>
        <v/>
      </c>
      <c r="AF5952" s="2" t="str">
        <f>IF(D5952="","",IFERROR(MATCH(D5952,Projects!$A:$A,0),""))</f>
        <v/>
      </c>
    </row>
    <row r="5953" spans="31:32" x14ac:dyDescent="0.25">
      <c r="AE5953" s="39" t="str">
        <f>IF(D5953="","",IFERROR(VLOOKUP(D5953,Projects!$A$2:$A$20000,1,FALSE),""))</f>
        <v/>
      </c>
      <c r="AF5953" s="2" t="str">
        <f>IF(D5953="","",IFERROR(MATCH(D5953,Projects!$A:$A,0),""))</f>
        <v/>
      </c>
    </row>
    <row r="5954" spans="31:32" x14ac:dyDescent="0.25">
      <c r="AE5954" s="39" t="str">
        <f>IF(D5954="","",IFERROR(VLOOKUP(D5954,Projects!$A$2:$A$20000,1,FALSE),""))</f>
        <v/>
      </c>
      <c r="AF5954" s="2" t="str">
        <f>IF(D5954="","",IFERROR(MATCH(D5954,Projects!$A:$A,0),""))</f>
        <v/>
      </c>
    </row>
    <row r="5955" spans="31:32" x14ac:dyDescent="0.25">
      <c r="AE5955" s="39" t="str">
        <f>IF(D5955="","",IFERROR(VLOOKUP(D5955,Projects!$A$2:$A$20000,1,FALSE),""))</f>
        <v/>
      </c>
      <c r="AF5955" s="2" t="str">
        <f>IF(D5955="","",IFERROR(MATCH(D5955,Projects!$A:$A,0),""))</f>
        <v/>
      </c>
    </row>
    <row r="5956" spans="31:32" x14ac:dyDescent="0.25">
      <c r="AE5956" s="39" t="str">
        <f>IF(D5956="","",IFERROR(VLOOKUP(D5956,Projects!$A$2:$A$20000,1,FALSE),""))</f>
        <v/>
      </c>
      <c r="AF5956" s="2" t="str">
        <f>IF(D5956="","",IFERROR(MATCH(D5956,Projects!$A:$A,0),""))</f>
        <v/>
      </c>
    </row>
    <row r="5957" spans="31:32" x14ac:dyDescent="0.25">
      <c r="AE5957" s="39" t="str">
        <f>IF(D5957="","",IFERROR(VLOOKUP(D5957,Projects!$A$2:$A$20000,1,FALSE),""))</f>
        <v/>
      </c>
      <c r="AF5957" s="2" t="str">
        <f>IF(D5957="","",IFERROR(MATCH(D5957,Projects!$A:$A,0),""))</f>
        <v/>
      </c>
    </row>
    <row r="5958" spans="31:32" x14ac:dyDescent="0.25">
      <c r="AE5958" s="39" t="str">
        <f>IF(D5958="","",IFERROR(VLOOKUP(D5958,Projects!$A$2:$A$20000,1,FALSE),""))</f>
        <v/>
      </c>
      <c r="AF5958" s="2" t="str">
        <f>IF(D5958="","",IFERROR(MATCH(D5958,Projects!$A:$A,0),""))</f>
        <v/>
      </c>
    </row>
    <row r="5959" spans="31:32" x14ac:dyDescent="0.25">
      <c r="AE5959" s="39" t="str">
        <f>IF(D5959="","",IFERROR(VLOOKUP(D5959,Projects!$A$2:$A$20000,1,FALSE),""))</f>
        <v/>
      </c>
      <c r="AF5959" s="2" t="str">
        <f>IF(D5959="","",IFERROR(MATCH(D5959,Projects!$A:$A,0),""))</f>
        <v/>
      </c>
    </row>
    <row r="5960" spans="31:32" x14ac:dyDescent="0.25">
      <c r="AE5960" s="39" t="str">
        <f>IF(D5960="","",IFERROR(VLOOKUP(D5960,Projects!$A$2:$A$20000,1,FALSE),""))</f>
        <v/>
      </c>
      <c r="AF5960" s="2" t="str">
        <f>IF(D5960="","",IFERROR(MATCH(D5960,Projects!$A:$A,0),""))</f>
        <v/>
      </c>
    </row>
    <row r="5961" spans="31:32" x14ac:dyDescent="0.25">
      <c r="AE5961" s="39" t="str">
        <f>IF(D5961="","",IFERROR(VLOOKUP(D5961,Projects!$A$2:$A$20000,1,FALSE),""))</f>
        <v/>
      </c>
      <c r="AF5961" s="2" t="str">
        <f>IF(D5961="","",IFERROR(MATCH(D5961,Projects!$A:$A,0),""))</f>
        <v/>
      </c>
    </row>
    <row r="5962" spans="31:32" x14ac:dyDescent="0.25">
      <c r="AE5962" s="39" t="str">
        <f>IF(D5962="","",IFERROR(VLOOKUP(D5962,Projects!$A$2:$A$20000,1,FALSE),""))</f>
        <v/>
      </c>
      <c r="AF5962" s="2" t="str">
        <f>IF(D5962="","",IFERROR(MATCH(D5962,Projects!$A:$A,0),""))</f>
        <v/>
      </c>
    </row>
    <row r="5963" spans="31:32" x14ac:dyDescent="0.25">
      <c r="AE5963" s="39" t="str">
        <f>IF(D5963="","",IFERROR(VLOOKUP(D5963,Projects!$A$2:$A$20000,1,FALSE),""))</f>
        <v/>
      </c>
      <c r="AF5963" s="2" t="str">
        <f>IF(D5963="","",IFERROR(MATCH(D5963,Projects!$A:$A,0),""))</f>
        <v/>
      </c>
    </row>
    <row r="5964" spans="31:32" x14ac:dyDescent="0.25">
      <c r="AE5964" s="39" t="str">
        <f>IF(D5964="","",IFERROR(VLOOKUP(D5964,Projects!$A$2:$A$20000,1,FALSE),""))</f>
        <v/>
      </c>
      <c r="AF5964" s="2" t="str">
        <f>IF(D5964="","",IFERROR(MATCH(D5964,Projects!$A:$A,0),""))</f>
        <v/>
      </c>
    </row>
    <row r="5965" spans="31:32" x14ac:dyDescent="0.25">
      <c r="AE5965" s="39" t="str">
        <f>IF(D5965="","",IFERROR(VLOOKUP(D5965,Projects!$A$2:$A$20000,1,FALSE),""))</f>
        <v/>
      </c>
      <c r="AF5965" s="2" t="str">
        <f>IF(D5965="","",IFERROR(MATCH(D5965,Projects!$A:$A,0),""))</f>
        <v/>
      </c>
    </row>
    <row r="5966" spans="31:32" x14ac:dyDescent="0.25">
      <c r="AE5966" s="39" t="str">
        <f>IF(D5966="","",IFERROR(VLOOKUP(D5966,Projects!$A$2:$A$20000,1,FALSE),""))</f>
        <v/>
      </c>
      <c r="AF5966" s="2" t="str">
        <f>IF(D5966="","",IFERROR(MATCH(D5966,Projects!$A:$A,0),""))</f>
        <v/>
      </c>
    </row>
    <row r="5967" spans="31:32" x14ac:dyDescent="0.25">
      <c r="AE5967" s="39" t="str">
        <f>IF(D5967="","",IFERROR(VLOOKUP(D5967,Projects!$A$2:$A$20000,1,FALSE),""))</f>
        <v/>
      </c>
      <c r="AF5967" s="2" t="str">
        <f>IF(D5967="","",IFERROR(MATCH(D5967,Projects!$A:$A,0),""))</f>
        <v/>
      </c>
    </row>
    <row r="5968" spans="31:32" x14ac:dyDescent="0.25">
      <c r="AE5968" s="39" t="str">
        <f>IF(D5968="","",IFERROR(VLOOKUP(D5968,Projects!$A$2:$A$20000,1,FALSE),""))</f>
        <v/>
      </c>
      <c r="AF5968" s="2" t="str">
        <f>IF(D5968="","",IFERROR(MATCH(D5968,Projects!$A:$A,0),""))</f>
        <v/>
      </c>
    </row>
    <row r="5969" spans="31:32" x14ac:dyDescent="0.25">
      <c r="AE5969" s="39" t="str">
        <f>IF(D5969="","",IFERROR(VLOOKUP(D5969,Projects!$A$2:$A$20000,1,FALSE),""))</f>
        <v/>
      </c>
      <c r="AF5969" s="2" t="str">
        <f>IF(D5969="","",IFERROR(MATCH(D5969,Projects!$A:$A,0),""))</f>
        <v/>
      </c>
    </row>
    <row r="5970" spans="31:32" x14ac:dyDescent="0.25">
      <c r="AE5970" s="39" t="str">
        <f>IF(D5970="","",IFERROR(VLOOKUP(D5970,Projects!$A$2:$A$20000,1,FALSE),""))</f>
        <v/>
      </c>
      <c r="AF5970" s="2" t="str">
        <f>IF(D5970="","",IFERROR(MATCH(D5970,Projects!$A:$A,0),""))</f>
        <v/>
      </c>
    </row>
    <row r="5971" spans="31:32" x14ac:dyDescent="0.25">
      <c r="AE5971" s="39" t="str">
        <f>IF(D5971="","",IFERROR(VLOOKUP(D5971,Projects!$A$2:$A$20000,1,FALSE),""))</f>
        <v/>
      </c>
      <c r="AF5971" s="2" t="str">
        <f>IF(D5971="","",IFERROR(MATCH(D5971,Projects!$A:$A,0),""))</f>
        <v/>
      </c>
    </row>
    <row r="5972" spans="31:32" x14ac:dyDescent="0.25">
      <c r="AE5972" s="39" t="str">
        <f>IF(D5972="","",IFERROR(VLOOKUP(D5972,Projects!$A$2:$A$20000,1,FALSE),""))</f>
        <v/>
      </c>
      <c r="AF5972" s="2" t="str">
        <f>IF(D5972="","",IFERROR(MATCH(D5972,Projects!$A:$A,0),""))</f>
        <v/>
      </c>
    </row>
    <row r="5973" spans="31:32" x14ac:dyDescent="0.25">
      <c r="AE5973" s="39" t="str">
        <f>IF(D5973="","",IFERROR(VLOOKUP(D5973,Projects!$A$2:$A$20000,1,FALSE),""))</f>
        <v/>
      </c>
      <c r="AF5973" s="2" t="str">
        <f>IF(D5973="","",IFERROR(MATCH(D5973,Projects!$A:$A,0),""))</f>
        <v/>
      </c>
    </row>
    <row r="5974" spans="31:32" x14ac:dyDescent="0.25">
      <c r="AE5974" s="39" t="str">
        <f>IF(D5974="","",IFERROR(VLOOKUP(D5974,Projects!$A$2:$A$20000,1,FALSE),""))</f>
        <v/>
      </c>
      <c r="AF5974" s="2" t="str">
        <f>IF(D5974="","",IFERROR(MATCH(D5974,Projects!$A:$A,0),""))</f>
        <v/>
      </c>
    </row>
    <row r="5975" spans="31:32" x14ac:dyDescent="0.25">
      <c r="AE5975" s="39" t="str">
        <f>IF(D5975="","",IFERROR(VLOOKUP(D5975,Projects!$A$2:$A$20000,1,FALSE),""))</f>
        <v/>
      </c>
      <c r="AF5975" s="2" t="str">
        <f>IF(D5975="","",IFERROR(MATCH(D5975,Projects!$A:$A,0),""))</f>
        <v/>
      </c>
    </row>
    <row r="5976" spans="31:32" x14ac:dyDescent="0.25">
      <c r="AE5976" s="39" t="str">
        <f>IF(D5976="","",IFERROR(VLOOKUP(D5976,Projects!$A$2:$A$20000,1,FALSE),""))</f>
        <v/>
      </c>
      <c r="AF5976" s="2" t="str">
        <f>IF(D5976="","",IFERROR(MATCH(D5976,Projects!$A:$A,0),""))</f>
        <v/>
      </c>
    </row>
    <row r="5977" spans="31:32" x14ac:dyDescent="0.25">
      <c r="AE5977" s="39" t="str">
        <f>IF(D5977="","",IFERROR(VLOOKUP(D5977,Projects!$A$2:$A$20000,1,FALSE),""))</f>
        <v/>
      </c>
      <c r="AF5977" s="2" t="str">
        <f>IF(D5977="","",IFERROR(MATCH(D5977,Projects!$A:$A,0),""))</f>
        <v/>
      </c>
    </row>
    <row r="5978" spans="31:32" x14ac:dyDescent="0.25">
      <c r="AE5978" s="39" t="str">
        <f>IF(D5978="","",IFERROR(VLOOKUP(D5978,Projects!$A$2:$A$20000,1,FALSE),""))</f>
        <v/>
      </c>
      <c r="AF5978" s="2" t="str">
        <f>IF(D5978="","",IFERROR(MATCH(D5978,Projects!$A:$A,0),""))</f>
        <v/>
      </c>
    </row>
    <row r="5979" spans="31:32" x14ac:dyDescent="0.25">
      <c r="AE5979" s="39" t="str">
        <f>IF(D5979="","",IFERROR(VLOOKUP(D5979,Projects!$A$2:$A$20000,1,FALSE),""))</f>
        <v/>
      </c>
      <c r="AF5979" s="2" t="str">
        <f>IF(D5979="","",IFERROR(MATCH(D5979,Projects!$A:$A,0),""))</f>
        <v/>
      </c>
    </row>
    <row r="5980" spans="31:32" x14ac:dyDescent="0.25">
      <c r="AE5980" s="39" t="str">
        <f>IF(D5980="","",IFERROR(VLOOKUP(D5980,Projects!$A$2:$A$20000,1,FALSE),""))</f>
        <v/>
      </c>
      <c r="AF5980" s="2" t="str">
        <f>IF(D5980="","",IFERROR(MATCH(D5980,Projects!$A:$A,0),""))</f>
        <v/>
      </c>
    </row>
    <row r="5981" spans="31:32" x14ac:dyDescent="0.25">
      <c r="AE5981" s="39" t="str">
        <f>IF(D5981="","",IFERROR(VLOOKUP(D5981,Projects!$A$2:$A$20000,1,FALSE),""))</f>
        <v/>
      </c>
      <c r="AF5981" s="2" t="str">
        <f>IF(D5981="","",IFERROR(MATCH(D5981,Projects!$A:$A,0),""))</f>
        <v/>
      </c>
    </row>
    <row r="5982" spans="31:32" x14ac:dyDescent="0.25">
      <c r="AE5982" s="39" t="str">
        <f>IF(D5982="","",IFERROR(VLOOKUP(D5982,Projects!$A$2:$A$20000,1,FALSE),""))</f>
        <v/>
      </c>
      <c r="AF5982" s="2" t="str">
        <f>IF(D5982="","",IFERROR(MATCH(D5982,Projects!$A:$A,0),""))</f>
        <v/>
      </c>
    </row>
    <row r="5983" spans="31:32" x14ac:dyDescent="0.25">
      <c r="AE5983" s="39" t="str">
        <f>IF(D5983="","",IFERROR(VLOOKUP(D5983,Projects!$A$2:$A$20000,1,FALSE),""))</f>
        <v/>
      </c>
      <c r="AF5983" s="2" t="str">
        <f>IF(D5983="","",IFERROR(MATCH(D5983,Projects!$A:$A,0),""))</f>
        <v/>
      </c>
    </row>
    <row r="5984" spans="31:32" x14ac:dyDescent="0.25">
      <c r="AE5984" s="39" t="str">
        <f>IF(D5984="","",IFERROR(VLOOKUP(D5984,Projects!$A$2:$A$20000,1,FALSE),""))</f>
        <v/>
      </c>
      <c r="AF5984" s="2" t="str">
        <f>IF(D5984="","",IFERROR(MATCH(D5984,Projects!$A:$A,0),""))</f>
        <v/>
      </c>
    </row>
    <row r="5985" spans="31:32" x14ac:dyDescent="0.25">
      <c r="AE5985" s="39" t="str">
        <f>IF(D5985="","",IFERROR(VLOOKUP(D5985,Projects!$A$2:$A$20000,1,FALSE),""))</f>
        <v/>
      </c>
      <c r="AF5985" s="2" t="str">
        <f>IF(D5985="","",IFERROR(MATCH(D5985,Projects!$A:$A,0),""))</f>
        <v/>
      </c>
    </row>
    <row r="5986" spans="31:32" x14ac:dyDescent="0.25">
      <c r="AE5986" s="39" t="str">
        <f>IF(D5986="","",IFERROR(VLOOKUP(D5986,Projects!$A$2:$A$20000,1,FALSE),""))</f>
        <v/>
      </c>
      <c r="AF5986" s="2" t="str">
        <f>IF(D5986="","",IFERROR(MATCH(D5986,Projects!$A:$A,0),""))</f>
        <v/>
      </c>
    </row>
    <row r="5987" spans="31:32" x14ac:dyDescent="0.25">
      <c r="AE5987" s="39" t="str">
        <f>IF(D5987="","",IFERROR(VLOOKUP(D5987,Projects!$A$2:$A$20000,1,FALSE),""))</f>
        <v/>
      </c>
      <c r="AF5987" s="2" t="str">
        <f>IF(D5987="","",IFERROR(MATCH(D5987,Projects!$A:$A,0),""))</f>
        <v/>
      </c>
    </row>
    <row r="5988" spans="31:32" x14ac:dyDescent="0.25">
      <c r="AE5988" s="39" t="str">
        <f>IF(D5988="","",IFERROR(VLOOKUP(D5988,Projects!$A$2:$A$20000,1,FALSE),""))</f>
        <v/>
      </c>
      <c r="AF5988" s="2" t="str">
        <f>IF(D5988="","",IFERROR(MATCH(D5988,Projects!$A:$A,0),""))</f>
        <v/>
      </c>
    </row>
    <row r="5989" spans="31:32" x14ac:dyDescent="0.25">
      <c r="AE5989" s="39" t="str">
        <f>IF(D5989="","",IFERROR(VLOOKUP(D5989,Projects!$A$2:$A$20000,1,FALSE),""))</f>
        <v/>
      </c>
      <c r="AF5989" s="2" t="str">
        <f>IF(D5989="","",IFERROR(MATCH(D5989,Projects!$A:$A,0),""))</f>
        <v/>
      </c>
    </row>
    <row r="5990" spans="31:32" x14ac:dyDescent="0.25">
      <c r="AE5990" s="39" t="str">
        <f>IF(D5990="","",IFERROR(VLOOKUP(D5990,Projects!$A$2:$A$20000,1,FALSE),""))</f>
        <v/>
      </c>
      <c r="AF5990" s="2" t="str">
        <f>IF(D5990="","",IFERROR(MATCH(D5990,Projects!$A:$A,0),""))</f>
        <v/>
      </c>
    </row>
    <row r="5991" spans="31:32" x14ac:dyDescent="0.25">
      <c r="AE5991" s="39" t="str">
        <f>IF(D5991="","",IFERROR(VLOOKUP(D5991,Projects!$A$2:$A$20000,1,FALSE),""))</f>
        <v/>
      </c>
      <c r="AF5991" s="2" t="str">
        <f>IF(D5991="","",IFERROR(MATCH(D5991,Projects!$A:$A,0),""))</f>
        <v/>
      </c>
    </row>
    <row r="5992" spans="31:32" x14ac:dyDescent="0.25">
      <c r="AE5992" s="39" t="str">
        <f>IF(D5992="","",IFERROR(VLOOKUP(D5992,Projects!$A$2:$A$20000,1,FALSE),""))</f>
        <v/>
      </c>
      <c r="AF5992" s="2" t="str">
        <f>IF(D5992="","",IFERROR(MATCH(D5992,Projects!$A:$A,0),""))</f>
        <v/>
      </c>
    </row>
    <row r="5993" spans="31:32" x14ac:dyDescent="0.25">
      <c r="AE5993" s="39" t="str">
        <f>IF(D5993="","",IFERROR(VLOOKUP(D5993,Projects!$A$2:$A$20000,1,FALSE),""))</f>
        <v/>
      </c>
      <c r="AF5993" s="2" t="str">
        <f>IF(D5993="","",IFERROR(MATCH(D5993,Projects!$A:$A,0),""))</f>
        <v/>
      </c>
    </row>
    <row r="5994" spans="31:32" x14ac:dyDescent="0.25">
      <c r="AE5994" s="39" t="str">
        <f>IF(D5994="","",IFERROR(VLOOKUP(D5994,Projects!$A$2:$A$20000,1,FALSE),""))</f>
        <v/>
      </c>
      <c r="AF5994" s="2" t="str">
        <f>IF(D5994="","",IFERROR(MATCH(D5994,Projects!$A:$A,0),""))</f>
        <v/>
      </c>
    </row>
    <row r="5995" spans="31:32" x14ac:dyDescent="0.25">
      <c r="AE5995" s="39" t="str">
        <f>IF(D5995="","",IFERROR(VLOOKUP(D5995,Projects!$A$2:$A$20000,1,FALSE),""))</f>
        <v/>
      </c>
      <c r="AF5995" s="2" t="str">
        <f>IF(D5995="","",IFERROR(MATCH(D5995,Projects!$A:$A,0),""))</f>
        <v/>
      </c>
    </row>
    <row r="5996" spans="31:32" x14ac:dyDescent="0.25">
      <c r="AE5996" s="39" t="str">
        <f>IF(D5996="","",IFERROR(VLOOKUP(D5996,Projects!$A$2:$A$20000,1,FALSE),""))</f>
        <v/>
      </c>
      <c r="AF5996" s="2" t="str">
        <f>IF(D5996="","",IFERROR(MATCH(D5996,Projects!$A:$A,0),""))</f>
        <v/>
      </c>
    </row>
    <row r="5997" spans="31:32" x14ac:dyDescent="0.25">
      <c r="AE5997" s="39" t="str">
        <f>IF(D5997="","",IFERROR(VLOOKUP(D5997,Projects!$A$2:$A$20000,1,FALSE),""))</f>
        <v/>
      </c>
      <c r="AF5997" s="2" t="str">
        <f>IF(D5997="","",IFERROR(MATCH(D5997,Projects!$A:$A,0),""))</f>
        <v/>
      </c>
    </row>
    <row r="5998" spans="31:32" x14ac:dyDescent="0.25">
      <c r="AE5998" s="39" t="str">
        <f>IF(D5998="","",IFERROR(VLOOKUP(D5998,Projects!$A$2:$A$20000,1,FALSE),""))</f>
        <v/>
      </c>
      <c r="AF5998" s="2" t="str">
        <f>IF(D5998="","",IFERROR(MATCH(D5998,Projects!$A:$A,0),""))</f>
        <v/>
      </c>
    </row>
    <row r="5999" spans="31:32" x14ac:dyDescent="0.25">
      <c r="AE5999" s="39" t="str">
        <f>IF(D5999="","",IFERROR(VLOOKUP(D5999,Projects!$A$2:$A$20000,1,FALSE),""))</f>
        <v/>
      </c>
      <c r="AF5999" s="2" t="str">
        <f>IF(D5999="","",IFERROR(MATCH(D5999,Projects!$A:$A,0),""))</f>
        <v/>
      </c>
    </row>
    <row r="6000" spans="31:32" x14ac:dyDescent="0.25">
      <c r="AE6000" s="39" t="str">
        <f>IF(D6000="","",IFERROR(VLOOKUP(D6000,Projects!$A$2:$A$20000,1,FALSE),""))</f>
        <v/>
      </c>
      <c r="AF6000" s="2" t="str">
        <f>IF(D6000="","",IFERROR(MATCH(D6000,Projects!$A:$A,0),""))</f>
        <v/>
      </c>
    </row>
    <row r="6001" spans="31:32" x14ac:dyDescent="0.25">
      <c r="AE6001" s="39" t="str">
        <f>IF(D6001="","",IFERROR(VLOOKUP(D6001,Projects!$A$2:$A$20000,1,FALSE),""))</f>
        <v/>
      </c>
      <c r="AF6001" s="2" t="str">
        <f>IF(D6001="","",IFERROR(MATCH(D6001,Projects!$A:$A,0),""))</f>
        <v/>
      </c>
    </row>
    <row r="6002" spans="31:32" x14ac:dyDescent="0.25">
      <c r="AE6002" s="39" t="str">
        <f>IF(D6002="","",IFERROR(VLOOKUP(D6002,Projects!$A$2:$A$20000,1,FALSE),""))</f>
        <v/>
      </c>
      <c r="AF6002" s="2" t="str">
        <f>IF(D6002="","",IFERROR(MATCH(D6002,Projects!$A:$A,0),""))</f>
        <v/>
      </c>
    </row>
    <row r="6003" spans="31:32" x14ac:dyDescent="0.25">
      <c r="AE6003" s="39" t="str">
        <f>IF(D6003="","",IFERROR(VLOOKUP(D6003,Projects!$A$2:$A$20000,1,FALSE),""))</f>
        <v/>
      </c>
      <c r="AF6003" s="2" t="str">
        <f>IF(D6003="","",IFERROR(MATCH(D6003,Projects!$A:$A,0),""))</f>
        <v/>
      </c>
    </row>
    <row r="6004" spans="31:32" x14ac:dyDescent="0.25">
      <c r="AE6004" s="39" t="str">
        <f>IF(D6004="","",IFERROR(VLOOKUP(D6004,Projects!$A$2:$A$20000,1,FALSE),""))</f>
        <v/>
      </c>
      <c r="AF6004" s="2" t="str">
        <f>IF(D6004="","",IFERROR(MATCH(D6004,Projects!$A:$A,0),""))</f>
        <v/>
      </c>
    </row>
    <row r="6005" spans="31:32" x14ac:dyDescent="0.25">
      <c r="AE6005" s="39" t="str">
        <f>IF(D6005="","",IFERROR(VLOOKUP(D6005,Projects!$A$2:$A$20000,1,FALSE),""))</f>
        <v/>
      </c>
      <c r="AF6005" s="2" t="str">
        <f>IF(D6005="","",IFERROR(MATCH(D6005,Projects!$A:$A,0),""))</f>
        <v/>
      </c>
    </row>
    <row r="6006" spans="31:32" x14ac:dyDescent="0.25">
      <c r="AE6006" s="39" t="str">
        <f>IF(D6006="","",IFERROR(VLOOKUP(D6006,Projects!$A$2:$A$20000,1,FALSE),""))</f>
        <v/>
      </c>
      <c r="AF6006" s="2" t="str">
        <f>IF(D6006="","",IFERROR(MATCH(D6006,Projects!$A:$A,0),""))</f>
        <v/>
      </c>
    </row>
    <row r="6007" spans="31:32" x14ac:dyDescent="0.25">
      <c r="AE6007" s="39" t="str">
        <f>IF(D6007="","",IFERROR(VLOOKUP(D6007,Projects!$A$2:$A$20000,1,FALSE),""))</f>
        <v/>
      </c>
      <c r="AF6007" s="2" t="str">
        <f>IF(D6007="","",IFERROR(MATCH(D6007,Projects!$A:$A,0),""))</f>
        <v/>
      </c>
    </row>
    <row r="6008" spans="31:32" x14ac:dyDescent="0.25">
      <c r="AE6008" s="39" t="str">
        <f>IF(D6008="","",IFERROR(VLOOKUP(D6008,Projects!$A$2:$A$20000,1,FALSE),""))</f>
        <v/>
      </c>
      <c r="AF6008" s="2" t="str">
        <f>IF(D6008="","",IFERROR(MATCH(D6008,Projects!$A:$A,0),""))</f>
        <v/>
      </c>
    </row>
    <row r="6009" spans="31:32" x14ac:dyDescent="0.25">
      <c r="AE6009" s="39" t="str">
        <f>IF(D6009="","",IFERROR(VLOOKUP(D6009,Projects!$A$2:$A$20000,1,FALSE),""))</f>
        <v/>
      </c>
      <c r="AF6009" s="2" t="str">
        <f>IF(D6009="","",IFERROR(MATCH(D6009,Projects!$A:$A,0),""))</f>
        <v/>
      </c>
    </row>
    <row r="6010" spans="31:32" x14ac:dyDescent="0.25">
      <c r="AE6010" s="39" t="str">
        <f>IF(D6010="","",IFERROR(VLOOKUP(D6010,Projects!$A$2:$A$20000,1,FALSE),""))</f>
        <v/>
      </c>
      <c r="AF6010" s="2" t="str">
        <f>IF(D6010="","",IFERROR(MATCH(D6010,Projects!$A:$A,0),""))</f>
        <v/>
      </c>
    </row>
    <row r="6011" spans="31:32" x14ac:dyDescent="0.25">
      <c r="AE6011" s="39" t="str">
        <f>IF(D6011="","",IFERROR(VLOOKUP(D6011,Projects!$A$2:$A$20000,1,FALSE),""))</f>
        <v/>
      </c>
      <c r="AF6011" s="2" t="str">
        <f>IF(D6011="","",IFERROR(MATCH(D6011,Projects!$A:$A,0),""))</f>
        <v/>
      </c>
    </row>
    <row r="6012" spans="31:32" x14ac:dyDescent="0.25">
      <c r="AE6012" s="39" t="str">
        <f>IF(D6012="","",IFERROR(VLOOKUP(D6012,Projects!$A$2:$A$20000,1,FALSE),""))</f>
        <v/>
      </c>
      <c r="AF6012" s="2" t="str">
        <f>IF(D6012="","",IFERROR(MATCH(D6012,Projects!$A:$A,0),""))</f>
        <v/>
      </c>
    </row>
    <row r="6013" spans="31:32" x14ac:dyDescent="0.25">
      <c r="AE6013" s="39" t="str">
        <f>IF(D6013="","",IFERROR(VLOOKUP(D6013,Projects!$A$2:$A$20000,1,FALSE),""))</f>
        <v/>
      </c>
      <c r="AF6013" s="2" t="str">
        <f>IF(D6013="","",IFERROR(MATCH(D6013,Projects!$A:$A,0),""))</f>
        <v/>
      </c>
    </row>
    <row r="6014" spans="31:32" x14ac:dyDescent="0.25">
      <c r="AE6014" s="39" t="str">
        <f>IF(D6014="","",IFERROR(VLOOKUP(D6014,Projects!$A$2:$A$20000,1,FALSE),""))</f>
        <v/>
      </c>
      <c r="AF6014" s="2" t="str">
        <f>IF(D6014="","",IFERROR(MATCH(D6014,Projects!$A:$A,0),""))</f>
        <v/>
      </c>
    </row>
    <row r="6015" spans="31:32" x14ac:dyDescent="0.25">
      <c r="AE6015" s="39" t="str">
        <f>IF(D6015="","",IFERROR(VLOOKUP(D6015,Projects!$A$2:$A$20000,1,FALSE),""))</f>
        <v/>
      </c>
      <c r="AF6015" s="2" t="str">
        <f>IF(D6015="","",IFERROR(MATCH(D6015,Projects!$A:$A,0),""))</f>
        <v/>
      </c>
    </row>
    <row r="6016" spans="31:32" x14ac:dyDescent="0.25">
      <c r="AE6016" s="39" t="str">
        <f>IF(D6016="","",IFERROR(VLOOKUP(D6016,Projects!$A$2:$A$20000,1,FALSE),""))</f>
        <v/>
      </c>
      <c r="AF6016" s="2" t="str">
        <f>IF(D6016="","",IFERROR(MATCH(D6016,Projects!$A:$A,0),""))</f>
        <v/>
      </c>
    </row>
    <row r="6017" spans="31:32" x14ac:dyDescent="0.25">
      <c r="AE6017" s="39" t="str">
        <f>IF(D6017="","",IFERROR(VLOOKUP(D6017,Projects!$A$2:$A$20000,1,FALSE),""))</f>
        <v/>
      </c>
      <c r="AF6017" s="2" t="str">
        <f>IF(D6017="","",IFERROR(MATCH(D6017,Projects!$A:$A,0),""))</f>
        <v/>
      </c>
    </row>
    <row r="6018" spans="31:32" x14ac:dyDescent="0.25">
      <c r="AE6018" s="39" t="str">
        <f>IF(D6018="","",IFERROR(VLOOKUP(D6018,Projects!$A$2:$A$20000,1,FALSE),""))</f>
        <v/>
      </c>
      <c r="AF6018" s="2" t="str">
        <f>IF(D6018="","",IFERROR(MATCH(D6018,Projects!$A:$A,0),""))</f>
        <v/>
      </c>
    </row>
    <row r="6019" spans="31:32" x14ac:dyDescent="0.25">
      <c r="AE6019" s="39" t="str">
        <f>IF(D6019="","",IFERROR(VLOOKUP(D6019,Projects!$A$2:$A$20000,1,FALSE),""))</f>
        <v/>
      </c>
      <c r="AF6019" s="2" t="str">
        <f>IF(D6019="","",IFERROR(MATCH(D6019,Projects!$A:$A,0),""))</f>
        <v/>
      </c>
    </row>
    <row r="6020" spans="31:32" x14ac:dyDescent="0.25">
      <c r="AE6020" s="39" t="str">
        <f>IF(D6020="","",IFERROR(VLOOKUP(D6020,Projects!$A$2:$A$20000,1,FALSE),""))</f>
        <v/>
      </c>
      <c r="AF6020" s="2" t="str">
        <f>IF(D6020="","",IFERROR(MATCH(D6020,Projects!$A:$A,0),""))</f>
        <v/>
      </c>
    </row>
    <row r="6021" spans="31:32" x14ac:dyDescent="0.25">
      <c r="AE6021" s="39" t="str">
        <f>IF(D6021="","",IFERROR(VLOOKUP(D6021,Projects!$A$2:$A$20000,1,FALSE),""))</f>
        <v/>
      </c>
      <c r="AF6021" s="2" t="str">
        <f>IF(D6021="","",IFERROR(MATCH(D6021,Projects!$A:$A,0),""))</f>
        <v/>
      </c>
    </row>
    <row r="6022" spans="31:32" x14ac:dyDescent="0.25">
      <c r="AE6022" s="39" t="str">
        <f>IF(D6022="","",IFERROR(VLOOKUP(D6022,Projects!$A$2:$A$20000,1,FALSE),""))</f>
        <v/>
      </c>
      <c r="AF6022" s="2" t="str">
        <f>IF(D6022="","",IFERROR(MATCH(D6022,Projects!$A:$A,0),""))</f>
        <v/>
      </c>
    </row>
    <row r="6023" spans="31:32" x14ac:dyDescent="0.25">
      <c r="AE6023" s="39" t="str">
        <f>IF(D6023="","",IFERROR(VLOOKUP(D6023,Projects!$A$2:$A$20000,1,FALSE),""))</f>
        <v/>
      </c>
      <c r="AF6023" s="2" t="str">
        <f>IF(D6023="","",IFERROR(MATCH(D6023,Projects!$A:$A,0),""))</f>
        <v/>
      </c>
    </row>
    <row r="6024" spans="31:32" x14ac:dyDescent="0.25">
      <c r="AE6024" s="39" t="str">
        <f>IF(D6024="","",IFERROR(VLOOKUP(D6024,Projects!$A$2:$A$20000,1,FALSE),""))</f>
        <v/>
      </c>
      <c r="AF6024" s="2" t="str">
        <f>IF(D6024="","",IFERROR(MATCH(D6024,Projects!$A:$A,0),""))</f>
        <v/>
      </c>
    </row>
    <row r="6025" spans="31:32" x14ac:dyDescent="0.25">
      <c r="AE6025" s="39" t="str">
        <f>IF(D6025="","",IFERROR(VLOOKUP(D6025,Projects!$A$2:$A$20000,1,FALSE),""))</f>
        <v/>
      </c>
      <c r="AF6025" s="2" t="str">
        <f>IF(D6025="","",IFERROR(MATCH(D6025,Projects!$A:$A,0),""))</f>
        <v/>
      </c>
    </row>
    <row r="6026" spans="31:32" x14ac:dyDescent="0.25">
      <c r="AE6026" s="39" t="str">
        <f>IF(D6026="","",IFERROR(VLOOKUP(D6026,Projects!$A$2:$A$20000,1,FALSE),""))</f>
        <v/>
      </c>
      <c r="AF6026" s="2" t="str">
        <f>IF(D6026="","",IFERROR(MATCH(D6026,Projects!$A:$A,0),""))</f>
        <v/>
      </c>
    </row>
    <row r="6027" spans="31:32" x14ac:dyDescent="0.25">
      <c r="AE6027" s="39" t="str">
        <f>IF(D6027="","",IFERROR(VLOOKUP(D6027,Projects!$A$2:$A$20000,1,FALSE),""))</f>
        <v/>
      </c>
      <c r="AF6027" s="2" t="str">
        <f>IF(D6027="","",IFERROR(MATCH(D6027,Projects!$A:$A,0),""))</f>
        <v/>
      </c>
    </row>
    <row r="6028" spans="31:32" x14ac:dyDescent="0.25">
      <c r="AE6028" s="39" t="str">
        <f>IF(D6028="","",IFERROR(VLOOKUP(D6028,Projects!$A$2:$A$20000,1,FALSE),""))</f>
        <v/>
      </c>
      <c r="AF6028" s="2" t="str">
        <f>IF(D6028="","",IFERROR(MATCH(D6028,Projects!$A:$A,0),""))</f>
        <v/>
      </c>
    </row>
    <row r="6029" spans="31:32" x14ac:dyDescent="0.25">
      <c r="AE6029" s="39" t="str">
        <f>IF(D6029="","",IFERROR(VLOOKUP(D6029,Projects!$A$2:$A$20000,1,FALSE),""))</f>
        <v/>
      </c>
      <c r="AF6029" s="2" t="str">
        <f>IF(D6029="","",IFERROR(MATCH(D6029,Projects!$A:$A,0),""))</f>
        <v/>
      </c>
    </row>
    <row r="6030" spans="31:32" x14ac:dyDescent="0.25">
      <c r="AE6030" s="39" t="str">
        <f>IF(D6030="","",IFERROR(VLOOKUP(D6030,Projects!$A$2:$A$20000,1,FALSE),""))</f>
        <v/>
      </c>
      <c r="AF6030" s="2" t="str">
        <f>IF(D6030="","",IFERROR(MATCH(D6030,Projects!$A:$A,0),""))</f>
        <v/>
      </c>
    </row>
    <row r="6031" spans="31:32" x14ac:dyDescent="0.25">
      <c r="AE6031" s="39" t="str">
        <f>IF(D6031="","",IFERROR(VLOOKUP(D6031,Projects!$A$2:$A$20000,1,FALSE),""))</f>
        <v/>
      </c>
      <c r="AF6031" s="2" t="str">
        <f>IF(D6031="","",IFERROR(MATCH(D6031,Projects!$A:$A,0),""))</f>
        <v/>
      </c>
    </row>
    <row r="6032" spans="31:32" x14ac:dyDescent="0.25">
      <c r="AE6032" s="39" t="str">
        <f>IF(D6032="","",IFERROR(VLOOKUP(D6032,Projects!$A$2:$A$20000,1,FALSE),""))</f>
        <v/>
      </c>
      <c r="AF6032" s="2" t="str">
        <f>IF(D6032="","",IFERROR(MATCH(D6032,Projects!$A:$A,0),""))</f>
        <v/>
      </c>
    </row>
    <row r="6033" spans="31:32" x14ac:dyDescent="0.25">
      <c r="AE6033" s="39" t="str">
        <f>IF(D6033="","",IFERROR(VLOOKUP(D6033,Projects!$A$2:$A$20000,1,FALSE),""))</f>
        <v/>
      </c>
      <c r="AF6033" s="2" t="str">
        <f>IF(D6033="","",IFERROR(MATCH(D6033,Projects!$A:$A,0),""))</f>
        <v/>
      </c>
    </row>
    <row r="6034" spans="31:32" x14ac:dyDescent="0.25">
      <c r="AE6034" s="39" t="str">
        <f>IF(D6034="","",IFERROR(VLOOKUP(D6034,Projects!$A$2:$A$20000,1,FALSE),""))</f>
        <v/>
      </c>
      <c r="AF6034" s="2" t="str">
        <f>IF(D6034="","",IFERROR(MATCH(D6034,Projects!$A:$A,0),""))</f>
        <v/>
      </c>
    </row>
    <row r="6035" spans="31:32" x14ac:dyDescent="0.25">
      <c r="AE6035" s="39" t="str">
        <f>IF(D6035="","",IFERROR(VLOOKUP(D6035,Projects!$A$2:$A$20000,1,FALSE),""))</f>
        <v/>
      </c>
      <c r="AF6035" s="2" t="str">
        <f>IF(D6035="","",IFERROR(MATCH(D6035,Projects!$A:$A,0),""))</f>
        <v/>
      </c>
    </row>
    <row r="6036" spans="31:32" x14ac:dyDescent="0.25">
      <c r="AE6036" s="39" t="str">
        <f>IF(D6036="","",IFERROR(VLOOKUP(D6036,Projects!$A$2:$A$20000,1,FALSE),""))</f>
        <v/>
      </c>
      <c r="AF6036" s="2" t="str">
        <f>IF(D6036="","",IFERROR(MATCH(D6036,Projects!$A:$A,0),""))</f>
        <v/>
      </c>
    </row>
    <row r="6037" spans="31:32" x14ac:dyDescent="0.25">
      <c r="AE6037" s="39" t="str">
        <f>IF(D6037="","",IFERROR(VLOOKUP(D6037,Projects!$A$2:$A$20000,1,FALSE),""))</f>
        <v/>
      </c>
      <c r="AF6037" s="2" t="str">
        <f>IF(D6037="","",IFERROR(MATCH(D6037,Projects!$A:$A,0),""))</f>
        <v/>
      </c>
    </row>
    <row r="6038" spans="31:32" x14ac:dyDescent="0.25">
      <c r="AE6038" s="39" t="str">
        <f>IF(D6038="","",IFERROR(VLOOKUP(D6038,Projects!$A$2:$A$20000,1,FALSE),""))</f>
        <v/>
      </c>
      <c r="AF6038" s="2" t="str">
        <f>IF(D6038="","",IFERROR(MATCH(D6038,Projects!$A:$A,0),""))</f>
        <v/>
      </c>
    </row>
    <row r="6039" spans="31:32" x14ac:dyDescent="0.25">
      <c r="AE6039" s="39" t="str">
        <f>IF(D6039="","",IFERROR(VLOOKUP(D6039,Projects!$A$2:$A$20000,1,FALSE),""))</f>
        <v/>
      </c>
      <c r="AF6039" s="2" t="str">
        <f>IF(D6039="","",IFERROR(MATCH(D6039,Projects!$A:$A,0),""))</f>
        <v/>
      </c>
    </row>
    <row r="6040" spans="31:32" x14ac:dyDescent="0.25">
      <c r="AE6040" s="39" t="str">
        <f>IF(D6040="","",IFERROR(VLOOKUP(D6040,Projects!$A$2:$A$20000,1,FALSE),""))</f>
        <v/>
      </c>
      <c r="AF6040" s="2" t="str">
        <f>IF(D6040="","",IFERROR(MATCH(D6040,Projects!$A:$A,0),""))</f>
        <v/>
      </c>
    </row>
    <row r="6041" spans="31:32" x14ac:dyDescent="0.25">
      <c r="AE6041" s="39" t="str">
        <f>IF(D6041="","",IFERROR(VLOOKUP(D6041,Projects!$A$2:$A$20000,1,FALSE),""))</f>
        <v/>
      </c>
      <c r="AF6041" s="2" t="str">
        <f>IF(D6041="","",IFERROR(MATCH(D6041,Projects!$A:$A,0),""))</f>
        <v/>
      </c>
    </row>
    <row r="6042" spans="31:32" x14ac:dyDescent="0.25">
      <c r="AE6042" s="39" t="str">
        <f>IF(D6042="","",IFERROR(VLOOKUP(D6042,Projects!$A$2:$A$20000,1,FALSE),""))</f>
        <v/>
      </c>
      <c r="AF6042" s="2" t="str">
        <f>IF(D6042="","",IFERROR(MATCH(D6042,Projects!$A:$A,0),""))</f>
        <v/>
      </c>
    </row>
    <row r="6043" spans="31:32" x14ac:dyDescent="0.25">
      <c r="AE6043" s="39" t="str">
        <f>IF(D6043="","",IFERROR(VLOOKUP(D6043,Projects!$A$2:$A$20000,1,FALSE),""))</f>
        <v/>
      </c>
      <c r="AF6043" s="2" t="str">
        <f>IF(D6043="","",IFERROR(MATCH(D6043,Projects!$A:$A,0),""))</f>
        <v/>
      </c>
    </row>
    <row r="6044" spans="31:32" x14ac:dyDescent="0.25">
      <c r="AE6044" s="39" t="str">
        <f>IF(D6044="","",IFERROR(VLOOKUP(D6044,Projects!$A$2:$A$20000,1,FALSE),""))</f>
        <v/>
      </c>
      <c r="AF6044" s="2" t="str">
        <f>IF(D6044="","",IFERROR(MATCH(D6044,Projects!$A:$A,0),""))</f>
        <v/>
      </c>
    </row>
    <row r="6045" spans="31:32" x14ac:dyDescent="0.25">
      <c r="AE6045" s="39" t="str">
        <f>IF(D6045="","",IFERROR(VLOOKUP(D6045,Projects!$A$2:$A$20000,1,FALSE),""))</f>
        <v/>
      </c>
      <c r="AF6045" s="2" t="str">
        <f>IF(D6045="","",IFERROR(MATCH(D6045,Projects!$A:$A,0),""))</f>
        <v/>
      </c>
    </row>
    <row r="6046" spans="31:32" x14ac:dyDescent="0.25">
      <c r="AE6046" s="39" t="str">
        <f>IF(D6046="","",IFERROR(VLOOKUP(D6046,Projects!$A$2:$A$20000,1,FALSE),""))</f>
        <v/>
      </c>
      <c r="AF6046" s="2" t="str">
        <f>IF(D6046="","",IFERROR(MATCH(D6046,Projects!$A:$A,0),""))</f>
        <v/>
      </c>
    </row>
    <row r="6047" spans="31:32" x14ac:dyDescent="0.25">
      <c r="AE6047" s="39" t="str">
        <f>IF(D6047="","",IFERROR(VLOOKUP(D6047,Projects!$A$2:$A$20000,1,FALSE),""))</f>
        <v/>
      </c>
      <c r="AF6047" s="2" t="str">
        <f>IF(D6047="","",IFERROR(MATCH(D6047,Projects!$A:$A,0),""))</f>
        <v/>
      </c>
    </row>
    <row r="6048" spans="31:32" x14ac:dyDescent="0.25">
      <c r="AE6048" s="39" t="str">
        <f>IF(D6048="","",IFERROR(VLOOKUP(D6048,Projects!$A$2:$A$20000,1,FALSE),""))</f>
        <v/>
      </c>
      <c r="AF6048" s="2" t="str">
        <f>IF(D6048="","",IFERROR(MATCH(D6048,Projects!$A:$A,0),""))</f>
        <v/>
      </c>
    </row>
    <row r="6049" spans="31:32" x14ac:dyDescent="0.25">
      <c r="AE6049" s="39" t="str">
        <f>IF(D6049="","",IFERROR(VLOOKUP(D6049,Projects!$A$2:$A$20000,1,FALSE),""))</f>
        <v/>
      </c>
      <c r="AF6049" s="2" t="str">
        <f>IF(D6049="","",IFERROR(MATCH(D6049,Projects!$A:$A,0),""))</f>
        <v/>
      </c>
    </row>
    <row r="6050" spans="31:32" x14ac:dyDescent="0.25">
      <c r="AE6050" s="39" t="str">
        <f>IF(D6050="","",IFERROR(VLOOKUP(D6050,Projects!$A$2:$A$20000,1,FALSE),""))</f>
        <v/>
      </c>
      <c r="AF6050" s="2" t="str">
        <f>IF(D6050="","",IFERROR(MATCH(D6050,Projects!$A:$A,0),""))</f>
        <v/>
      </c>
    </row>
    <row r="6051" spans="31:32" x14ac:dyDescent="0.25">
      <c r="AE6051" s="39" t="str">
        <f>IF(D6051="","",IFERROR(VLOOKUP(D6051,Projects!$A$2:$A$20000,1,FALSE),""))</f>
        <v/>
      </c>
      <c r="AF6051" s="2" t="str">
        <f>IF(D6051="","",IFERROR(MATCH(D6051,Projects!$A:$A,0),""))</f>
        <v/>
      </c>
    </row>
    <row r="6052" spans="31:32" x14ac:dyDescent="0.25">
      <c r="AE6052" s="39" t="str">
        <f>IF(D6052="","",IFERROR(VLOOKUP(D6052,Projects!$A$2:$A$20000,1,FALSE),""))</f>
        <v/>
      </c>
      <c r="AF6052" s="2" t="str">
        <f>IF(D6052="","",IFERROR(MATCH(D6052,Projects!$A:$A,0),""))</f>
        <v/>
      </c>
    </row>
    <row r="6053" spans="31:32" x14ac:dyDescent="0.25">
      <c r="AE6053" s="39" t="str">
        <f>IF(D6053="","",IFERROR(VLOOKUP(D6053,Projects!$A$2:$A$20000,1,FALSE),""))</f>
        <v/>
      </c>
      <c r="AF6053" s="2" t="str">
        <f>IF(D6053="","",IFERROR(MATCH(D6053,Projects!$A:$A,0),""))</f>
        <v/>
      </c>
    </row>
    <row r="6054" spans="31:32" x14ac:dyDescent="0.25">
      <c r="AE6054" s="39" t="str">
        <f>IF(D6054="","",IFERROR(VLOOKUP(D6054,Projects!$A$2:$A$20000,1,FALSE),""))</f>
        <v/>
      </c>
      <c r="AF6054" s="2" t="str">
        <f>IF(D6054="","",IFERROR(MATCH(D6054,Projects!$A:$A,0),""))</f>
        <v/>
      </c>
    </row>
    <row r="6055" spans="31:32" x14ac:dyDescent="0.25">
      <c r="AE6055" s="39" t="str">
        <f>IF(D6055="","",IFERROR(VLOOKUP(D6055,Projects!$A$2:$A$20000,1,FALSE),""))</f>
        <v/>
      </c>
      <c r="AF6055" s="2" t="str">
        <f>IF(D6055="","",IFERROR(MATCH(D6055,Projects!$A:$A,0),""))</f>
        <v/>
      </c>
    </row>
    <row r="6056" spans="31:32" x14ac:dyDescent="0.25">
      <c r="AE6056" s="39" t="str">
        <f>IF(D6056="","",IFERROR(VLOOKUP(D6056,Projects!$A$2:$A$20000,1,FALSE),""))</f>
        <v/>
      </c>
      <c r="AF6056" s="2" t="str">
        <f>IF(D6056="","",IFERROR(MATCH(D6056,Projects!$A:$A,0),""))</f>
        <v/>
      </c>
    </row>
    <row r="6057" spans="31:32" x14ac:dyDescent="0.25">
      <c r="AE6057" s="39" t="str">
        <f>IF(D6057="","",IFERROR(VLOOKUP(D6057,Projects!$A$2:$A$20000,1,FALSE),""))</f>
        <v/>
      </c>
      <c r="AF6057" s="2" t="str">
        <f>IF(D6057="","",IFERROR(MATCH(D6057,Projects!$A:$A,0),""))</f>
        <v/>
      </c>
    </row>
    <row r="6058" spans="31:32" x14ac:dyDescent="0.25">
      <c r="AE6058" s="39" t="str">
        <f>IF(D6058="","",IFERROR(VLOOKUP(D6058,Projects!$A$2:$A$20000,1,FALSE),""))</f>
        <v/>
      </c>
      <c r="AF6058" s="2" t="str">
        <f>IF(D6058="","",IFERROR(MATCH(D6058,Projects!$A:$A,0),""))</f>
        <v/>
      </c>
    </row>
    <row r="6059" spans="31:32" x14ac:dyDescent="0.25">
      <c r="AE6059" s="39" t="str">
        <f>IF(D6059="","",IFERROR(VLOOKUP(D6059,Projects!$A$2:$A$20000,1,FALSE),""))</f>
        <v/>
      </c>
      <c r="AF6059" s="2" t="str">
        <f>IF(D6059="","",IFERROR(MATCH(D6059,Projects!$A:$A,0),""))</f>
        <v/>
      </c>
    </row>
    <row r="6060" spans="31:32" x14ac:dyDescent="0.25">
      <c r="AE6060" s="39" t="str">
        <f>IF(D6060="","",IFERROR(VLOOKUP(D6060,Projects!$A$2:$A$20000,1,FALSE),""))</f>
        <v/>
      </c>
      <c r="AF6060" s="2" t="str">
        <f>IF(D6060="","",IFERROR(MATCH(D6060,Projects!$A:$A,0),""))</f>
        <v/>
      </c>
    </row>
    <row r="6061" spans="31:32" x14ac:dyDescent="0.25">
      <c r="AE6061" s="39" t="str">
        <f>IF(D6061="","",IFERROR(VLOOKUP(D6061,Projects!$A$2:$A$20000,1,FALSE),""))</f>
        <v/>
      </c>
      <c r="AF6061" s="2" t="str">
        <f>IF(D6061="","",IFERROR(MATCH(D6061,Projects!$A:$A,0),""))</f>
        <v/>
      </c>
    </row>
    <row r="6062" spans="31:32" x14ac:dyDescent="0.25">
      <c r="AE6062" s="39" t="str">
        <f>IF(D6062="","",IFERROR(VLOOKUP(D6062,Projects!$A$2:$A$20000,1,FALSE),""))</f>
        <v/>
      </c>
      <c r="AF6062" s="2" t="str">
        <f>IF(D6062="","",IFERROR(MATCH(D6062,Projects!$A:$A,0),""))</f>
        <v/>
      </c>
    </row>
    <row r="6063" spans="31:32" x14ac:dyDescent="0.25">
      <c r="AE6063" s="39" t="str">
        <f>IF(D6063="","",IFERROR(VLOOKUP(D6063,Projects!$A$2:$A$20000,1,FALSE),""))</f>
        <v/>
      </c>
      <c r="AF6063" s="2" t="str">
        <f>IF(D6063="","",IFERROR(MATCH(D6063,Projects!$A:$A,0),""))</f>
        <v/>
      </c>
    </row>
    <row r="6064" spans="31:32" x14ac:dyDescent="0.25">
      <c r="AE6064" s="39" t="str">
        <f>IF(D6064="","",IFERROR(VLOOKUP(D6064,Projects!$A$2:$A$20000,1,FALSE),""))</f>
        <v/>
      </c>
      <c r="AF6064" s="2" t="str">
        <f>IF(D6064="","",IFERROR(MATCH(D6064,Projects!$A:$A,0),""))</f>
        <v/>
      </c>
    </row>
    <row r="6065" spans="31:32" x14ac:dyDescent="0.25">
      <c r="AE6065" s="39" t="str">
        <f>IF(D6065="","",IFERROR(VLOOKUP(D6065,Projects!$A$2:$A$20000,1,FALSE),""))</f>
        <v/>
      </c>
      <c r="AF6065" s="2" t="str">
        <f>IF(D6065="","",IFERROR(MATCH(D6065,Projects!$A:$A,0),""))</f>
        <v/>
      </c>
    </row>
    <row r="6066" spans="31:32" x14ac:dyDescent="0.25">
      <c r="AE6066" s="39" t="str">
        <f>IF(D6066="","",IFERROR(VLOOKUP(D6066,Projects!$A$2:$A$20000,1,FALSE),""))</f>
        <v/>
      </c>
      <c r="AF6066" s="2" t="str">
        <f>IF(D6066="","",IFERROR(MATCH(D6066,Projects!$A:$A,0),""))</f>
        <v/>
      </c>
    </row>
    <row r="6067" spans="31:32" x14ac:dyDescent="0.25">
      <c r="AE6067" s="39" t="str">
        <f>IF(D6067="","",IFERROR(VLOOKUP(D6067,Projects!$A$2:$A$20000,1,FALSE),""))</f>
        <v/>
      </c>
      <c r="AF6067" s="2" t="str">
        <f>IF(D6067="","",IFERROR(MATCH(D6067,Projects!$A:$A,0),""))</f>
        <v/>
      </c>
    </row>
    <row r="6068" spans="31:32" x14ac:dyDescent="0.25">
      <c r="AE6068" s="39" t="str">
        <f>IF(D6068="","",IFERROR(VLOOKUP(D6068,Projects!$A$2:$A$20000,1,FALSE),""))</f>
        <v/>
      </c>
      <c r="AF6068" s="2" t="str">
        <f>IF(D6068="","",IFERROR(MATCH(D6068,Projects!$A:$A,0),""))</f>
        <v/>
      </c>
    </row>
    <row r="6069" spans="31:32" x14ac:dyDescent="0.25">
      <c r="AE6069" s="39" t="str">
        <f>IF(D6069="","",IFERROR(VLOOKUP(D6069,Projects!$A$2:$A$20000,1,FALSE),""))</f>
        <v/>
      </c>
      <c r="AF6069" s="2" t="str">
        <f>IF(D6069="","",IFERROR(MATCH(D6069,Projects!$A:$A,0),""))</f>
        <v/>
      </c>
    </row>
    <row r="6070" spans="31:32" x14ac:dyDescent="0.25">
      <c r="AE6070" s="39" t="str">
        <f>IF(D6070="","",IFERROR(VLOOKUP(D6070,Projects!$A$2:$A$20000,1,FALSE),""))</f>
        <v/>
      </c>
      <c r="AF6070" s="2" t="str">
        <f>IF(D6070="","",IFERROR(MATCH(D6070,Projects!$A:$A,0),""))</f>
        <v/>
      </c>
    </row>
    <row r="6071" spans="31:32" x14ac:dyDescent="0.25">
      <c r="AE6071" s="39" t="str">
        <f>IF(D6071="","",IFERROR(VLOOKUP(D6071,Projects!$A$2:$A$20000,1,FALSE),""))</f>
        <v/>
      </c>
      <c r="AF6071" s="2" t="str">
        <f>IF(D6071="","",IFERROR(MATCH(D6071,Projects!$A:$A,0),""))</f>
        <v/>
      </c>
    </row>
    <row r="6072" spans="31:32" x14ac:dyDescent="0.25">
      <c r="AE6072" s="39" t="str">
        <f>IF(D6072="","",IFERROR(VLOOKUP(D6072,Projects!$A$2:$A$20000,1,FALSE),""))</f>
        <v/>
      </c>
      <c r="AF6072" s="2" t="str">
        <f>IF(D6072="","",IFERROR(MATCH(D6072,Projects!$A:$A,0),""))</f>
        <v/>
      </c>
    </row>
    <row r="6073" spans="31:32" x14ac:dyDescent="0.25">
      <c r="AE6073" s="39" t="str">
        <f>IF(D6073="","",IFERROR(VLOOKUP(D6073,Projects!$A$2:$A$20000,1,FALSE),""))</f>
        <v/>
      </c>
      <c r="AF6073" s="2" t="str">
        <f>IF(D6073="","",IFERROR(MATCH(D6073,Projects!$A:$A,0),""))</f>
        <v/>
      </c>
    </row>
    <row r="6074" spans="31:32" x14ac:dyDescent="0.25">
      <c r="AE6074" s="39" t="str">
        <f>IF(D6074="","",IFERROR(VLOOKUP(D6074,Projects!$A$2:$A$20000,1,FALSE),""))</f>
        <v/>
      </c>
      <c r="AF6074" s="2" t="str">
        <f>IF(D6074="","",IFERROR(MATCH(D6074,Projects!$A:$A,0),""))</f>
        <v/>
      </c>
    </row>
    <row r="6075" spans="31:32" x14ac:dyDescent="0.25">
      <c r="AE6075" s="39" t="str">
        <f>IF(D6075="","",IFERROR(VLOOKUP(D6075,Projects!$A$2:$A$20000,1,FALSE),""))</f>
        <v/>
      </c>
      <c r="AF6075" s="2" t="str">
        <f>IF(D6075="","",IFERROR(MATCH(D6075,Projects!$A:$A,0),""))</f>
        <v/>
      </c>
    </row>
    <row r="6076" spans="31:32" x14ac:dyDescent="0.25">
      <c r="AE6076" s="39" t="str">
        <f>IF(D6076="","",IFERROR(VLOOKUP(D6076,Projects!$A$2:$A$20000,1,FALSE),""))</f>
        <v/>
      </c>
      <c r="AF6076" s="2" t="str">
        <f>IF(D6076="","",IFERROR(MATCH(D6076,Projects!$A:$A,0),""))</f>
        <v/>
      </c>
    </row>
    <row r="6077" spans="31:32" x14ac:dyDescent="0.25">
      <c r="AE6077" s="39" t="str">
        <f>IF(D6077="","",IFERROR(VLOOKUP(D6077,Projects!$A$2:$A$20000,1,FALSE),""))</f>
        <v/>
      </c>
      <c r="AF6077" s="2" t="str">
        <f>IF(D6077="","",IFERROR(MATCH(D6077,Projects!$A:$A,0),""))</f>
        <v/>
      </c>
    </row>
    <row r="6078" spans="31:32" x14ac:dyDescent="0.25">
      <c r="AE6078" s="39" t="str">
        <f>IF(D6078="","",IFERROR(VLOOKUP(D6078,Projects!$A$2:$A$20000,1,FALSE),""))</f>
        <v/>
      </c>
      <c r="AF6078" s="2" t="str">
        <f>IF(D6078="","",IFERROR(MATCH(D6078,Projects!$A:$A,0),""))</f>
        <v/>
      </c>
    </row>
    <row r="6079" spans="31:32" x14ac:dyDescent="0.25">
      <c r="AE6079" s="39" t="str">
        <f>IF(D6079="","",IFERROR(VLOOKUP(D6079,Projects!$A$2:$A$20000,1,FALSE),""))</f>
        <v/>
      </c>
      <c r="AF6079" s="2" t="str">
        <f>IF(D6079="","",IFERROR(MATCH(D6079,Projects!$A:$A,0),""))</f>
        <v/>
      </c>
    </row>
    <row r="6080" spans="31:32" x14ac:dyDescent="0.25">
      <c r="AE6080" s="39" t="str">
        <f>IF(D6080="","",IFERROR(VLOOKUP(D6080,Projects!$A$2:$A$20000,1,FALSE),""))</f>
        <v/>
      </c>
      <c r="AF6080" s="2" t="str">
        <f>IF(D6080="","",IFERROR(MATCH(D6080,Projects!$A:$A,0),""))</f>
        <v/>
      </c>
    </row>
    <row r="6081" spans="31:32" x14ac:dyDescent="0.25">
      <c r="AE6081" s="39" t="str">
        <f>IF(D6081="","",IFERROR(VLOOKUP(D6081,Projects!$A$2:$A$20000,1,FALSE),""))</f>
        <v/>
      </c>
      <c r="AF6081" s="2" t="str">
        <f>IF(D6081="","",IFERROR(MATCH(D6081,Projects!$A:$A,0),""))</f>
        <v/>
      </c>
    </row>
    <row r="6082" spans="31:32" x14ac:dyDescent="0.25">
      <c r="AE6082" s="39" t="str">
        <f>IF(D6082="","",IFERROR(VLOOKUP(D6082,Projects!$A$2:$A$20000,1,FALSE),""))</f>
        <v/>
      </c>
      <c r="AF6082" s="2" t="str">
        <f>IF(D6082="","",IFERROR(MATCH(D6082,Projects!$A:$A,0),""))</f>
        <v/>
      </c>
    </row>
    <row r="6083" spans="31:32" x14ac:dyDescent="0.25">
      <c r="AE6083" s="39" t="str">
        <f>IF(D6083="","",IFERROR(VLOOKUP(D6083,Projects!$A$2:$A$20000,1,FALSE),""))</f>
        <v/>
      </c>
      <c r="AF6083" s="2" t="str">
        <f>IF(D6083="","",IFERROR(MATCH(D6083,Projects!$A:$A,0),""))</f>
        <v/>
      </c>
    </row>
    <row r="6084" spans="31:32" x14ac:dyDescent="0.25">
      <c r="AE6084" s="39" t="str">
        <f>IF(D6084="","",IFERROR(VLOOKUP(D6084,Projects!$A$2:$A$20000,1,FALSE),""))</f>
        <v/>
      </c>
      <c r="AF6084" s="2" t="str">
        <f>IF(D6084="","",IFERROR(MATCH(D6084,Projects!$A:$A,0),""))</f>
        <v/>
      </c>
    </row>
    <row r="6085" spans="31:32" x14ac:dyDescent="0.25">
      <c r="AE6085" s="39" t="str">
        <f>IF(D6085="","",IFERROR(VLOOKUP(D6085,Projects!$A$2:$A$20000,1,FALSE),""))</f>
        <v/>
      </c>
      <c r="AF6085" s="2" t="str">
        <f>IF(D6085="","",IFERROR(MATCH(D6085,Projects!$A:$A,0),""))</f>
        <v/>
      </c>
    </row>
    <row r="6086" spans="31:32" x14ac:dyDescent="0.25">
      <c r="AE6086" s="39" t="str">
        <f>IF(D6086="","",IFERROR(VLOOKUP(D6086,Projects!$A$2:$A$20000,1,FALSE),""))</f>
        <v/>
      </c>
      <c r="AF6086" s="2" t="str">
        <f>IF(D6086="","",IFERROR(MATCH(D6086,Projects!$A:$A,0),""))</f>
        <v/>
      </c>
    </row>
    <row r="6087" spans="31:32" x14ac:dyDescent="0.25">
      <c r="AE6087" s="39" t="str">
        <f>IF(D6087="","",IFERROR(VLOOKUP(D6087,Projects!$A$2:$A$20000,1,FALSE),""))</f>
        <v/>
      </c>
      <c r="AF6087" s="2" t="str">
        <f>IF(D6087="","",IFERROR(MATCH(D6087,Projects!$A:$A,0),""))</f>
        <v/>
      </c>
    </row>
    <row r="6088" spans="31:32" x14ac:dyDescent="0.25">
      <c r="AE6088" s="39" t="str">
        <f>IF(D6088="","",IFERROR(VLOOKUP(D6088,Projects!$A$2:$A$20000,1,FALSE),""))</f>
        <v/>
      </c>
      <c r="AF6088" s="2" t="str">
        <f>IF(D6088="","",IFERROR(MATCH(D6088,Projects!$A:$A,0),""))</f>
        <v/>
      </c>
    </row>
    <row r="6089" spans="31:32" x14ac:dyDescent="0.25">
      <c r="AE6089" s="39" t="str">
        <f>IF(D6089="","",IFERROR(VLOOKUP(D6089,Projects!$A$2:$A$20000,1,FALSE),""))</f>
        <v/>
      </c>
      <c r="AF6089" s="2" t="str">
        <f>IF(D6089="","",IFERROR(MATCH(D6089,Projects!$A:$A,0),""))</f>
        <v/>
      </c>
    </row>
    <row r="6090" spans="31:32" x14ac:dyDescent="0.25">
      <c r="AE6090" s="39" t="str">
        <f>IF(D6090="","",IFERROR(VLOOKUP(D6090,Projects!$A$2:$A$20000,1,FALSE),""))</f>
        <v/>
      </c>
      <c r="AF6090" s="2" t="str">
        <f>IF(D6090="","",IFERROR(MATCH(D6090,Projects!$A:$A,0),""))</f>
        <v/>
      </c>
    </row>
    <row r="6091" spans="31:32" x14ac:dyDescent="0.25">
      <c r="AE6091" s="39" t="str">
        <f>IF(D6091="","",IFERROR(VLOOKUP(D6091,Projects!$A$2:$A$20000,1,FALSE),""))</f>
        <v/>
      </c>
      <c r="AF6091" s="2" t="str">
        <f>IF(D6091="","",IFERROR(MATCH(D6091,Projects!$A:$A,0),""))</f>
        <v/>
      </c>
    </row>
    <row r="6092" spans="31:32" x14ac:dyDescent="0.25">
      <c r="AE6092" s="39" t="str">
        <f>IF(D6092="","",IFERROR(VLOOKUP(D6092,Projects!$A$2:$A$20000,1,FALSE),""))</f>
        <v/>
      </c>
      <c r="AF6092" s="2" t="str">
        <f>IF(D6092="","",IFERROR(MATCH(D6092,Projects!$A:$A,0),""))</f>
        <v/>
      </c>
    </row>
    <row r="6093" spans="31:32" x14ac:dyDescent="0.25">
      <c r="AE6093" s="39" t="str">
        <f>IF(D6093="","",IFERROR(VLOOKUP(D6093,Projects!$A$2:$A$20000,1,FALSE),""))</f>
        <v/>
      </c>
      <c r="AF6093" s="2" t="str">
        <f>IF(D6093="","",IFERROR(MATCH(D6093,Projects!$A:$A,0),""))</f>
        <v/>
      </c>
    </row>
    <row r="6094" spans="31:32" x14ac:dyDescent="0.25">
      <c r="AE6094" s="39" t="str">
        <f>IF(D6094="","",IFERROR(VLOOKUP(D6094,Projects!$A$2:$A$20000,1,FALSE),""))</f>
        <v/>
      </c>
      <c r="AF6094" s="2" t="str">
        <f>IF(D6094="","",IFERROR(MATCH(D6094,Projects!$A:$A,0),""))</f>
        <v/>
      </c>
    </row>
    <row r="6095" spans="31:32" x14ac:dyDescent="0.25">
      <c r="AE6095" s="39" t="str">
        <f>IF(D6095="","",IFERROR(VLOOKUP(D6095,Projects!$A$2:$A$20000,1,FALSE),""))</f>
        <v/>
      </c>
      <c r="AF6095" s="2" t="str">
        <f>IF(D6095="","",IFERROR(MATCH(D6095,Projects!$A:$A,0),""))</f>
        <v/>
      </c>
    </row>
    <row r="6096" spans="31:32" x14ac:dyDescent="0.25">
      <c r="AE6096" s="39" t="str">
        <f>IF(D6096="","",IFERROR(VLOOKUP(D6096,Projects!$A$2:$A$20000,1,FALSE),""))</f>
        <v/>
      </c>
      <c r="AF6096" s="2" t="str">
        <f>IF(D6096="","",IFERROR(MATCH(D6096,Projects!$A:$A,0),""))</f>
        <v/>
      </c>
    </row>
    <row r="6097" spans="31:32" x14ac:dyDescent="0.25">
      <c r="AE6097" s="39" t="str">
        <f>IF(D6097="","",IFERROR(VLOOKUP(D6097,Projects!$A$2:$A$20000,1,FALSE),""))</f>
        <v/>
      </c>
      <c r="AF6097" s="2" t="str">
        <f>IF(D6097="","",IFERROR(MATCH(D6097,Projects!$A:$A,0),""))</f>
        <v/>
      </c>
    </row>
    <row r="6098" spans="31:32" x14ac:dyDescent="0.25">
      <c r="AE6098" s="39" t="str">
        <f>IF(D6098="","",IFERROR(VLOOKUP(D6098,Projects!$A$2:$A$20000,1,FALSE),""))</f>
        <v/>
      </c>
      <c r="AF6098" s="2" t="str">
        <f>IF(D6098="","",IFERROR(MATCH(D6098,Projects!$A:$A,0),""))</f>
        <v/>
      </c>
    </row>
    <row r="6099" spans="31:32" x14ac:dyDescent="0.25">
      <c r="AE6099" s="39" t="str">
        <f>IF(D6099="","",IFERROR(VLOOKUP(D6099,Projects!$A$2:$A$20000,1,FALSE),""))</f>
        <v/>
      </c>
      <c r="AF6099" s="2" t="str">
        <f>IF(D6099="","",IFERROR(MATCH(D6099,Projects!$A:$A,0),""))</f>
        <v/>
      </c>
    </row>
    <row r="6100" spans="31:32" x14ac:dyDescent="0.25">
      <c r="AE6100" s="39" t="str">
        <f>IF(D6100="","",IFERROR(VLOOKUP(D6100,Projects!$A$2:$A$20000,1,FALSE),""))</f>
        <v/>
      </c>
      <c r="AF6100" s="2" t="str">
        <f>IF(D6100="","",IFERROR(MATCH(D6100,Projects!$A:$A,0),""))</f>
        <v/>
      </c>
    </row>
    <row r="6101" spans="31:32" x14ac:dyDescent="0.25">
      <c r="AE6101" s="39" t="str">
        <f>IF(D6101="","",IFERROR(VLOOKUP(D6101,Projects!$A$2:$A$20000,1,FALSE),""))</f>
        <v/>
      </c>
      <c r="AF6101" s="2" t="str">
        <f>IF(D6101="","",IFERROR(MATCH(D6101,Projects!$A:$A,0),""))</f>
        <v/>
      </c>
    </row>
    <row r="6102" spans="31:32" x14ac:dyDescent="0.25">
      <c r="AE6102" s="39" t="str">
        <f>IF(D6102="","",IFERROR(VLOOKUP(D6102,Projects!$A$2:$A$20000,1,FALSE),""))</f>
        <v/>
      </c>
      <c r="AF6102" s="2" t="str">
        <f>IF(D6102="","",IFERROR(MATCH(D6102,Projects!$A:$A,0),""))</f>
        <v/>
      </c>
    </row>
    <row r="6103" spans="31:32" x14ac:dyDescent="0.25">
      <c r="AE6103" s="39" t="str">
        <f>IF(D6103="","",IFERROR(VLOOKUP(D6103,Projects!$A$2:$A$20000,1,FALSE),""))</f>
        <v/>
      </c>
      <c r="AF6103" s="2" t="str">
        <f>IF(D6103="","",IFERROR(MATCH(D6103,Projects!$A:$A,0),""))</f>
        <v/>
      </c>
    </row>
    <row r="6104" spans="31:32" x14ac:dyDescent="0.25">
      <c r="AE6104" s="39" t="str">
        <f>IF(D6104="","",IFERROR(VLOOKUP(D6104,Projects!$A$2:$A$20000,1,FALSE),""))</f>
        <v/>
      </c>
      <c r="AF6104" s="2" t="str">
        <f>IF(D6104="","",IFERROR(MATCH(D6104,Projects!$A:$A,0),""))</f>
        <v/>
      </c>
    </row>
    <row r="6105" spans="31:32" x14ac:dyDescent="0.25">
      <c r="AE6105" s="39" t="str">
        <f>IF(D6105="","",IFERROR(VLOOKUP(D6105,Projects!$A$2:$A$20000,1,FALSE),""))</f>
        <v/>
      </c>
      <c r="AF6105" s="2" t="str">
        <f>IF(D6105="","",IFERROR(MATCH(D6105,Projects!$A:$A,0),""))</f>
        <v/>
      </c>
    </row>
    <row r="6106" spans="31:32" x14ac:dyDescent="0.25">
      <c r="AE6106" s="39" t="str">
        <f>IF(D6106="","",IFERROR(VLOOKUP(D6106,Projects!$A$2:$A$20000,1,FALSE),""))</f>
        <v/>
      </c>
      <c r="AF6106" s="2" t="str">
        <f>IF(D6106="","",IFERROR(MATCH(D6106,Projects!$A:$A,0),""))</f>
        <v/>
      </c>
    </row>
    <row r="6107" spans="31:32" x14ac:dyDescent="0.25">
      <c r="AE6107" s="39" t="str">
        <f>IF(D6107="","",IFERROR(VLOOKUP(D6107,Projects!$A$2:$A$20000,1,FALSE),""))</f>
        <v/>
      </c>
      <c r="AF6107" s="2" t="str">
        <f>IF(D6107="","",IFERROR(MATCH(D6107,Projects!$A:$A,0),""))</f>
        <v/>
      </c>
    </row>
    <row r="6108" spans="31:32" x14ac:dyDescent="0.25">
      <c r="AE6108" s="39" t="str">
        <f>IF(D6108="","",IFERROR(VLOOKUP(D6108,Projects!$A$2:$A$20000,1,FALSE),""))</f>
        <v/>
      </c>
      <c r="AF6108" s="2" t="str">
        <f>IF(D6108="","",IFERROR(MATCH(D6108,Projects!$A:$A,0),""))</f>
        <v/>
      </c>
    </row>
    <row r="6109" spans="31:32" x14ac:dyDescent="0.25">
      <c r="AE6109" s="39" t="str">
        <f>IF(D6109="","",IFERROR(VLOOKUP(D6109,Projects!$A$2:$A$20000,1,FALSE),""))</f>
        <v/>
      </c>
      <c r="AF6109" s="2" t="str">
        <f>IF(D6109="","",IFERROR(MATCH(D6109,Projects!$A:$A,0),""))</f>
        <v/>
      </c>
    </row>
    <row r="6110" spans="31:32" x14ac:dyDescent="0.25">
      <c r="AE6110" s="39" t="str">
        <f>IF(D6110="","",IFERROR(VLOOKUP(D6110,Projects!$A$2:$A$20000,1,FALSE),""))</f>
        <v/>
      </c>
      <c r="AF6110" s="2" t="str">
        <f>IF(D6110="","",IFERROR(MATCH(D6110,Projects!$A:$A,0),""))</f>
        <v/>
      </c>
    </row>
    <row r="6111" spans="31:32" x14ac:dyDescent="0.25">
      <c r="AE6111" s="39" t="str">
        <f>IF(D6111="","",IFERROR(VLOOKUP(D6111,Projects!$A$2:$A$20000,1,FALSE),""))</f>
        <v/>
      </c>
      <c r="AF6111" s="2" t="str">
        <f>IF(D6111="","",IFERROR(MATCH(D6111,Projects!$A:$A,0),""))</f>
        <v/>
      </c>
    </row>
    <row r="6112" spans="31:32" x14ac:dyDescent="0.25">
      <c r="AE6112" s="39" t="str">
        <f>IF(D6112="","",IFERROR(VLOOKUP(D6112,Projects!$A$2:$A$20000,1,FALSE),""))</f>
        <v/>
      </c>
      <c r="AF6112" s="2" t="str">
        <f>IF(D6112="","",IFERROR(MATCH(D6112,Projects!$A:$A,0),""))</f>
        <v/>
      </c>
    </row>
    <row r="6113" spans="31:32" x14ac:dyDescent="0.25">
      <c r="AE6113" s="39" t="str">
        <f>IF(D6113="","",IFERROR(VLOOKUP(D6113,Projects!$A$2:$A$20000,1,FALSE),""))</f>
        <v/>
      </c>
      <c r="AF6113" s="2" t="str">
        <f>IF(D6113="","",IFERROR(MATCH(D6113,Projects!$A:$A,0),""))</f>
        <v/>
      </c>
    </row>
    <row r="6114" spans="31:32" x14ac:dyDescent="0.25">
      <c r="AE6114" s="39" t="str">
        <f>IF(D6114="","",IFERROR(VLOOKUP(D6114,Projects!$A$2:$A$20000,1,FALSE),""))</f>
        <v/>
      </c>
      <c r="AF6114" s="2" t="str">
        <f>IF(D6114="","",IFERROR(MATCH(D6114,Projects!$A:$A,0),""))</f>
        <v/>
      </c>
    </row>
    <row r="6115" spans="31:32" x14ac:dyDescent="0.25">
      <c r="AE6115" s="39" t="str">
        <f>IF(D6115="","",IFERROR(VLOOKUP(D6115,Projects!$A$2:$A$20000,1,FALSE),""))</f>
        <v/>
      </c>
      <c r="AF6115" s="2" t="str">
        <f>IF(D6115="","",IFERROR(MATCH(D6115,Projects!$A:$A,0),""))</f>
        <v/>
      </c>
    </row>
    <row r="6116" spans="31:32" x14ac:dyDescent="0.25">
      <c r="AE6116" s="39" t="str">
        <f>IF(D6116="","",IFERROR(VLOOKUP(D6116,Projects!$A$2:$A$20000,1,FALSE),""))</f>
        <v/>
      </c>
      <c r="AF6116" s="2" t="str">
        <f>IF(D6116="","",IFERROR(MATCH(D6116,Projects!$A:$A,0),""))</f>
        <v/>
      </c>
    </row>
    <row r="6117" spans="31:32" x14ac:dyDescent="0.25">
      <c r="AE6117" s="39" t="str">
        <f>IF(D6117="","",IFERROR(VLOOKUP(D6117,Projects!$A$2:$A$20000,1,FALSE),""))</f>
        <v/>
      </c>
      <c r="AF6117" s="2" t="str">
        <f>IF(D6117="","",IFERROR(MATCH(D6117,Projects!$A:$A,0),""))</f>
        <v/>
      </c>
    </row>
    <row r="6118" spans="31:32" x14ac:dyDescent="0.25">
      <c r="AE6118" s="39" t="str">
        <f>IF(D6118="","",IFERROR(VLOOKUP(D6118,Projects!$A$2:$A$20000,1,FALSE),""))</f>
        <v/>
      </c>
      <c r="AF6118" s="2" t="str">
        <f>IF(D6118="","",IFERROR(MATCH(D6118,Projects!$A:$A,0),""))</f>
        <v/>
      </c>
    </row>
    <row r="6119" spans="31:32" x14ac:dyDescent="0.25">
      <c r="AE6119" s="39" t="str">
        <f>IF(D6119="","",IFERROR(VLOOKUP(D6119,Projects!$A$2:$A$20000,1,FALSE),""))</f>
        <v/>
      </c>
      <c r="AF6119" s="2" t="str">
        <f>IF(D6119="","",IFERROR(MATCH(D6119,Projects!$A:$A,0),""))</f>
        <v/>
      </c>
    </row>
    <row r="6120" spans="31:32" x14ac:dyDescent="0.25">
      <c r="AE6120" s="39" t="str">
        <f>IF(D6120="","",IFERROR(VLOOKUP(D6120,Projects!$A$2:$A$20000,1,FALSE),""))</f>
        <v/>
      </c>
      <c r="AF6120" s="2" t="str">
        <f>IF(D6120="","",IFERROR(MATCH(D6120,Projects!$A:$A,0),""))</f>
        <v/>
      </c>
    </row>
    <row r="6121" spans="31:32" x14ac:dyDescent="0.25">
      <c r="AE6121" s="39" t="str">
        <f>IF(D6121="","",IFERROR(VLOOKUP(D6121,Projects!$A$2:$A$20000,1,FALSE),""))</f>
        <v/>
      </c>
      <c r="AF6121" s="2" t="str">
        <f>IF(D6121="","",IFERROR(MATCH(D6121,Projects!$A:$A,0),""))</f>
        <v/>
      </c>
    </row>
    <row r="6122" spans="31:32" x14ac:dyDescent="0.25">
      <c r="AE6122" s="39" t="str">
        <f>IF(D6122="","",IFERROR(VLOOKUP(D6122,Projects!$A$2:$A$20000,1,FALSE),""))</f>
        <v/>
      </c>
      <c r="AF6122" s="2" t="str">
        <f>IF(D6122="","",IFERROR(MATCH(D6122,Projects!$A:$A,0),""))</f>
        <v/>
      </c>
    </row>
    <row r="6123" spans="31:32" x14ac:dyDescent="0.25">
      <c r="AE6123" s="39" t="str">
        <f>IF(D6123="","",IFERROR(VLOOKUP(D6123,Projects!$A$2:$A$20000,1,FALSE),""))</f>
        <v/>
      </c>
      <c r="AF6123" s="2" t="str">
        <f>IF(D6123="","",IFERROR(MATCH(D6123,Projects!$A:$A,0),""))</f>
        <v/>
      </c>
    </row>
    <row r="6124" spans="31:32" x14ac:dyDescent="0.25">
      <c r="AE6124" s="39" t="str">
        <f>IF(D6124="","",IFERROR(VLOOKUP(D6124,Projects!$A$2:$A$20000,1,FALSE),""))</f>
        <v/>
      </c>
      <c r="AF6124" s="2" t="str">
        <f>IF(D6124="","",IFERROR(MATCH(D6124,Projects!$A:$A,0),""))</f>
        <v/>
      </c>
    </row>
    <row r="6125" spans="31:32" x14ac:dyDescent="0.25">
      <c r="AE6125" s="39" t="str">
        <f>IF(D6125="","",IFERROR(VLOOKUP(D6125,Projects!$A$2:$A$20000,1,FALSE),""))</f>
        <v/>
      </c>
      <c r="AF6125" s="2" t="str">
        <f>IF(D6125="","",IFERROR(MATCH(D6125,Projects!$A:$A,0),""))</f>
        <v/>
      </c>
    </row>
    <row r="6126" spans="31:32" x14ac:dyDescent="0.25">
      <c r="AE6126" s="39" t="str">
        <f>IF(D6126="","",IFERROR(VLOOKUP(D6126,Projects!$A$2:$A$20000,1,FALSE),""))</f>
        <v/>
      </c>
      <c r="AF6126" s="2" t="str">
        <f>IF(D6126="","",IFERROR(MATCH(D6126,Projects!$A:$A,0),""))</f>
        <v/>
      </c>
    </row>
    <row r="6127" spans="31:32" x14ac:dyDescent="0.25">
      <c r="AE6127" s="39" t="str">
        <f>IF(D6127="","",IFERROR(VLOOKUP(D6127,Projects!$A$2:$A$20000,1,FALSE),""))</f>
        <v/>
      </c>
      <c r="AF6127" s="2" t="str">
        <f>IF(D6127="","",IFERROR(MATCH(D6127,Projects!$A:$A,0),""))</f>
        <v/>
      </c>
    </row>
    <row r="6128" spans="31:32" x14ac:dyDescent="0.25">
      <c r="AE6128" s="39" t="str">
        <f>IF(D6128="","",IFERROR(VLOOKUP(D6128,Projects!$A$2:$A$20000,1,FALSE),""))</f>
        <v/>
      </c>
      <c r="AF6128" s="2" t="str">
        <f>IF(D6128="","",IFERROR(MATCH(D6128,Projects!$A:$A,0),""))</f>
        <v/>
      </c>
    </row>
    <row r="6129" spans="31:32" x14ac:dyDescent="0.25">
      <c r="AE6129" s="39" t="str">
        <f>IF(D6129="","",IFERROR(VLOOKUP(D6129,Projects!$A$2:$A$20000,1,FALSE),""))</f>
        <v/>
      </c>
      <c r="AF6129" s="2" t="str">
        <f>IF(D6129="","",IFERROR(MATCH(D6129,Projects!$A:$A,0),""))</f>
        <v/>
      </c>
    </row>
    <row r="6130" spans="31:32" x14ac:dyDescent="0.25">
      <c r="AE6130" s="39" t="str">
        <f>IF(D6130="","",IFERROR(VLOOKUP(D6130,Projects!$A$2:$A$20000,1,FALSE),""))</f>
        <v/>
      </c>
      <c r="AF6130" s="2" t="str">
        <f>IF(D6130="","",IFERROR(MATCH(D6130,Projects!$A:$A,0),""))</f>
        <v/>
      </c>
    </row>
    <row r="6131" spans="31:32" x14ac:dyDescent="0.25">
      <c r="AE6131" s="39" t="str">
        <f>IF(D6131="","",IFERROR(VLOOKUP(D6131,Projects!$A$2:$A$20000,1,FALSE),""))</f>
        <v/>
      </c>
      <c r="AF6131" s="2" t="str">
        <f>IF(D6131="","",IFERROR(MATCH(D6131,Projects!$A:$A,0),""))</f>
        <v/>
      </c>
    </row>
    <row r="6132" spans="31:32" x14ac:dyDescent="0.25">
      <c r="AE6132" s="39" t="str">
        <f>IF(D6132="","",IFERROR(VLOOKUP(D6132,Projects!$A$2:$A$20000,1,FALSE),""))</f>
        <v/>
      </c>
      <c r="AF6132" s="2" t="str">
        <f>IF(D6132="","",IFERROR(MATCH(D6132,Projects!$A:$A,0),""))</f>
        <v/>
      </c>
    </row>
    <row r="6133" spans="31:32" x14ac:dyDescent="0.25">
      <c r="AE6133" s="39" t="str">
        <f>IF(D6133="","",IFERROR(VLOOKUP(D6133,Projects!$A$2:$A$20000,1,FALSE),""))</f>
        <v/>
      </c>
      <c r="AF6133" s="2" t="str">
        <f>IF(D6133="","",IFERROR(MATCH(D6133,Projects!$A:$A,0),""))</f>
        <v/>
      </c>
    </row>
    <row r="6134" spans="31:32" x14ac:dyDescent="0.25">
      <c r="AE6134" s="39" t="str">
        <f>IF(D6134="","",IFERROR(VLOOKUP(D6134,Projects!$A$2:$A$20000,1,FALSE),""))</f>
        <v/>
      </c>
      <c r="AF6134" s="2" t="str">
        <f>IF(D6134="","",IFERROR(MATCH(D6134,Projects!$A:$A,0),""))</f>
        <v/>
      </c>
    </row>
    <row r="6135" spans="31:32" x14ac:dyDescent="0.25">
      <c r="AE6135" s="39" t="str">
        <f>IF(D6135="","",IFERROR(VLOOKUP(D6135,Projects!$A$2:$A$20000,1,FALSE),""))</f>
        <v/>
      </c>
      <c r="AF6135" s="2" t="str">
        <f>IF(D6135="","",IFERROR(MATCH(D6135,Projects!$A:$A,0),""))</f>
        <v/>
      </c>
    </row>
    <row r="6136" spans="31:32" x14ac:dyDescent="0.25">
      <c r="AE6136" s="39" t="str">
        <f>IF(D6136="","",IFERROR(VLOOKUP(D6136,Projects!$A$2:$A$20000,1,FALSE),""))</f>
        <v/>
      </c>
      <c r="AF6136" s="2" t="str">
        <f>IF(D6136="","",IFERROR(MATCH(D6136,Projects!$A:$A,0),""))</f>
        <v/>
      </c>
    </row>
    <row r="6137" spans="31:32" x14ac:dyDescent="0.25">
      <c r="AE6137" s="39" t="str">
        <f>IF(D6137="","",IFERROR(VLOOKUP(D6137,Projects!$A$2:$A$20000,1,FALSE),""))</f>
        <v/>
      </c>
      <c r="AF6137" s="2" t="str">
        <f>IF(D6137="","",IFERROR(MATCH(D6137,Projects!$A:$A,0),""))</f>
        <v/>
      </c>
    </row>
    <row r="6138" spans="31:32" x14ac:dyDescent="0.25">
      <c r="AE6138" s="39" t="str">
        <f>IF(D6138="","",IFERROR(VLOOKUP(D6138,Projects!$A$2:$A$20000,1,FALSE),""))</f>
        <v/>
      </c>
      <c r="AF6138" s="2" t="str">
        <f>IF(D6138="","",IFERROR(MATCH(D6138,Projects!$A:$A,0),""))</f>
        <v/>
      </c>
    </row>
    <row r="6139" spans="31:32" x14ac:dyDescent="0.25">
      <c r="AE6139" s="39" t="str">
        <f>IF(D6139="","",IFERROR(VLOOKUP(D6139,Projects!$A$2:$A$20000,1,FALSE),""))</f>
        <v/>
      </c>
      <c r="AF6139" s="2" t="str">
        <f>IF(D6139="","",IFERROR(MATCH(D6139,Projects!$A:$A,0),""))</f>
        <v/>
      </c>
    </row>
    <row r="6140" spans="31:32" x14ac:dyDescent="0.25">
      <c r="AE6140" s="39" t="str">
        <f>IF(D6140="","",IFERROR(VLOOKUP(D6140,Projects!$A$2:$A$20000,1,FALSE),""))</f>
        <v/>
      </c>
      <c r="AF6140" s="2" t="str">
        <f>IF(D6140="","",IFERROR(MATCH(D6140,Projects!$A:$A,0),""))</f>
        <v/>
      </c>
    </row>
    <row r="6141" spans="31:32" x14ac:dyDescent="0.25">
      <c r="AE6141" s="39" t="str">
        <f>IF(D6141="","",IFERROR(VLOOKUP(D6141,Projects!$A$2:$A$20000,1,FALSE),""))</f>
        <v/>
      </c>
      <c r="AF6141" s="2" t="str">
        <f>IF(D6141="","",IFERROR(MATCH(D6141,Projects!$A:$A,0),""))</f>
        <v/>
      </c>
    </row>
    <row r="6142" spans="31:32" x14ac:dyDescent="0.25">
      <c r="AE6142" s="39" t="str">
        <f>IF(D6142="","",IFERROR(VLOOKUP(D6142,Projects!$A$2:$A$20000,1,FALSE),""))</f>
        <v/>
      </c>
      <c r="AF6142" s="2" t="str">
        <f>IF(D6142="","",IFERROR(MATCH(D6142,Projects!$A:$A,0),""))</f>
        <v/>
      </c>
    </row>
    <row r="6143" spans="31:32" x14ac:dyDescent="0.25">
      <c r="AE6143" s="39" t="str">
        <f>IF(D6143="","",IFERROR(VLOOKUP(D6143,Projects!$A$2:$A$20000,1,FALSE),""))</f>
        <v/>
      </c>
      <c r="AF6143" s="2" t="str">
        <f>IF(D6143="","",IFERROR(MATCH(D6143,Projects!$A:$A,0),""))</f>
        <v/>
      </c>
    </row>
    <row r="6144" spans="31:32" x14ac:dyDescent="0.25">
      <c r="AE6144" s="39" t="str">
        <f>IF(D6144="","",IFERROR(VLOOKUP(D6144,Projects!$A$2:$A$20000,1,FALSE),""))</f>
        <v/>
      </c>
      <c r="AF6144" s="2" t="str">
        <f>IF(D6144="","",IFERROR(MATCH(D6144,Projects!$A:$A,0),""))</f>
        <v/>
      </c>
    </row>
    <row r="6145" spans="31:32" x14ac:dyDescent="0.25">
      <c r="AE6145" s="39" t="str">
        <f>IF(D6145="","",IFERROR(VLOOKUP(D6145,Projects!$A$2:$A$20000,1,FALSE),""))</f>
        <v/>
      </c>
      <c r="AF6145" s="2" t="str">
        <f>IF(D6145="","",IFERROR(MATCH(D6145,Projects!$A:$A,0),""))</f>
        <v/>
      </c>
    </row>
    <row r="6146" spans="31:32" x14ac:dyDescent="0.25">
      <c r="AE6146" s="39" t="str">
        <f>IF(D6146="","",IFERROR(VLOOKUP(D6146,Projects!$A$2:$A$20000,1,FALSE),""))</f>
        <v/>
      </c>
      <c r="AF6146" s="2" t="str">
        <f>IF(D6146="","",IFERROR(MATCH(D6146,Projects!$A:$A,0),""))</f>
        <v/>
      </c>
    </row>
    <row r="6147" spans="31:32" x14ac:dyDescent="0.25">
      <c r="AE6147" s="39" t="str">
        <f>IF(D6147="","",IFERROR(VLOOKUP(D6147,Projects!$A$2:$A$20000,1,FALSE),""))</f>
        <v/>
      </c>
      <c r="AF6147" s="2" t="str">
        <f>IF(D6147="","",IFERROR(MATCH(D6147,Projects!$A:$A,0),""))</f>
        <v/>
      </c>
    </row>
    <row r="6148" spans="31:32" x14ac:dyDescent="0.25">
      <c r="AE6148" s="39" t="str">
        <f>IF(D6148="","",IFERROR(VLOOKUP(D6148,Projects!$A$2:$A$20000,1,FALSE),""))</f>
        <v/>
      </c>
      <c r="AF6148" s="2" t="str">
        <f>IF(D6148="","",IFERROR(MATCH(D6148,Projects!$A:$A,0),""))</f>
        <v/>
      </c>
    </row>
    <row r="6149" spans="31:32" x14ac:dyDescent="0.25">
      <c r="AE6149" s="39" t="str">
        <f>IF(D6149="","",IFERROR(VLOOKUP(D6149,Projects!$A$2:$A$20000,1,FALSE),""))</f>
        <v/>
      </c>
      <c r="AF6149" s="2" t="str">
        <f>IF(D6149="","",IFERROR(MATCH(D6149,Projects!$A:$A,0),""))</f>
        <v/>
      </c>
    </row>
    <row r="6150" spans="31:32" x14ac:dyDescent="0.25">
      <c r="AE6150" s="39" t="str">
        <f>IF(D6150="","",IFERROR(VLOOKUP(D6150,Projects!$A$2:$A$20000,1,FALSE),""))</f>
        <v/>
      </c>
      <c r="AF6150" s="2" t="str">
        <f>IF(D6150="","",IFERROR(MATCH(D6150,Projects!$A:$A,0),""))</f>
        <v/>
      </c>
    </row>
    <row r="6151" spans="31:32" x14ac:dyDescent="0.25">
      <c r="AE6151" s="39" t="str">
        <f>IF(D6151="","",IFERROR(VLOOKUP(D6151,Projects!$A$2:$A$20000,1,FALSE),""))</f>
        <v/>
      </c>
      <c r="AF6151" s="2" t="str">
        <f>IF(D6151="","",IFERROR(MATCH(D6151,Projects!$A:$A,0),""))</f>
        <v/>
      </c>
    </row>
    <row r="6152" spans="31:32" x14ac:dyDescent="0.25">
      <c r="AE6152" s="39" t="str">
        <f>IF(D6152="","",IFERROR(VLOOKUP(D6152,Projects!$A$2:$A$20000,1,FALSE),""))</f>
        <v/>
      </c>
      <c r="AF6152" s="2" t="str">
        <f>IF(D6152="","",IFERROR(MATCH(D6152,Projects!$A:$A,0),""))</f>
        <v/>
      </c>
    </row>
    <row r="6153" spans="31:32" x14ac:dyDescent="0.25">
      <c r="AE6153" s="39" t="str">
        <f>IF(D6153="","",IFERROR(VLOOKUP(D6153,Projects!$A$2:$A$20000,1,FALSE),""))</f>
        <v/>
      </c>
      <c r="AF6153" s="2" t="str">
        <f>IF(D6153="","",IFERROR(MATCH(D6153,Projects!$A:$A,0),""))</f>
        <v/>
      </c>
    </row>
    <row r="6154" spans="31:32" x14ac:dyDescent="0.25">
      <c r="AE6154" s="39" t="str">
        <f>IF(D6154="","",IFERROR(VLOOKUP(D6154,Projects!$A$2:$A$20000,1,FALSE),""))</f>
        <v/>
      </c>
      <c r="AF6154" s="2" t="str">
        <f>IF(D6154="","",IFERROR(MATCH(D6154,Projects!$A:$A,0),""))</f>
        <v/>
      </c>
    </row>
    <row r="6155" spans="31:32" x14ac:dyDescent="0.25">
      <c r="AE6155" s="39" t="str">
        <f>IF(D6155="","",IFERROR(VLOOKUP(D6155,Projects!$A$2:$A$20000,1,FALSE),""))</f>
        <v/>
      </c>
      <c r="AF6155" s="2" t="str">
        <f>IF(D6155="","",IFERROR(MATCH(D6155,Projects!$A:$A,0),""))</f>
        <v/>
      </c>
    </row>
    <row r="6156" spans="31:32" x14ac:dyDescent="0.25">
      <c r="AE6156" s="39" t="str">
        <f>IF(D6156="","",IFERROR(VLOOKUP(D6156,Projects!$A$2:$A$20000,1,FALSE),""))</f>
        <v/>
      </c>
      <c r="AF6156" s="2" t="str">
        <f>IF(D6156="","",IFERROR(MATCH(D6156,Projects!$A:$A,0),""))</f>
        <v/>
      </c>
    </row>
    <row r="6157" spans="31:32" x14ac:dyDescent="0.25">
      <c r="AE6157" s="39" t="str">
        <f>IF(D6157="","",IFERROR(VLOOKUP(D6157,Projects!$A$2:$A$20000,1,FALSE),""))</f>
        <v/>
      </c>
      <c r="AF6157" s="2" t="str">
        <f>IF(D6157="","",IFERROR(MATCH(D6157,Projects!$A:$A,0),""))</f>
        <v/>
      </c>
    </row>
    <row r="6158" spans="31:32" x14ac:dyDescent="0.25">
      <c r="AE6158" s="39" t="str">
        <f>IF(D6158="","",IFERROR(VLOOKUP(D6158,Projects!$A$2:$A$20000,1,FALSE),""))</f>
        <v/>
      </c>
      <c r="AF6158" s="2" t="str">
        <f>IF(D6158="","",IFERROR(MATCH(D6158,Projects!$A:$A,0),""))</f>
        <v/>
      </c>
    </row>
    <row r="6159" spans="31:32" x14ac:dyDescent="0.25">
      <c r="AE6159" s="39" t="str">
        <f>IF(D6159="","",IFERROR(VLOOKUP(D6159,Projects!$A$2:$A$20000,1,FALSE),""))</f>
        <v/>
      </c>
      <c r="AF6159" s="2" t="str">
        <f>IF(D6159="","",IFERROR(MATCH(D6159,Projects!$A:$A,0),""))</f>
        <v/>
      </c>
    </row>
    <row r="6160" spans="31:32" x14ac:dyDescent="0.25">
      <c r="AE6160" s="39" t="str">
        <f>IF(D6160="","",IFERROR(VLOOKUP(D6160,Projects!$A$2:$A$20000,1,FALSE),""))</f>
        <v/>
      </c>
      <c r="AF6160" s="2" t="str">
        <f>IF(D6160="","",IFERROR(MATCH(D6160,Projects!$A:$A,0),""))</f>
        <v/>
      </c>
    </row>
    <row r="6161" spans="31:32" x14ac:dyDescent="0.25">
      <c r="AE6161" s="39" t="str">
        <f>IF(D6161="","",IFERROR(VLOOKUP(D6161,Projects!$A$2:$A$20000,1,FALSE),""))</f>
        <v/>
      </c>
      <c r="AF6161" s="2" t="str">
        <f>IF(D6161="","",IFERROR(MATCH(D6161,Projects!$A:$A,0),""))</f>
        <v/>
      </c>
    </row>
    <row r="6162" spans="31:32" x14ac:dyDescent="0.25">
      <c r="AE6162" s="39" t="str">
        <f>IF(D6162="","",IFERROR(VLOOKUP(D6162,Projects!$A$2:$A$20000,1,FALSE),""))</f>
        <v/>
      </c>
      <c r="AF6162" s="2" t="str">
        <f>IF(D6162="","",IFERROR(MATCH(D6162,Projects!$A:$A,0),""))</f>
        <v/>
      </c>
    </row>
    <row r="6163" spans="31:32" x14ac:dyDescent="0.25">
      <c r="AE6163" s="39" t="str">
        <f>IF(D6163="","",IFERROR(VLOOKUP(D6163,Projects!$A$2:$A$20000,1,FALSE),""))</f>
        <v/>
      </c>
      <c r="AF6163" s="2" t="str">
        <f>IF(D6163="","",IFERROR(MATCH(D6163,Projects!$A:$A,0),""))</f>
        <v/>
      </c>
    </row>
    <row r="6164" spans="31:32" x14ac:dyDescent="0.25">
      <c r="AE6164" s="39" t="str">
        <f>IF(D6164="","",IFERROR(VLOOKUP(D6164,Projects!$A$2:$A$20000,1,FALSE),""))</f>
        <v/>
      </c>
      <c r="AF6164" s="2" t="str">
        <f>IF(D6164="","",IFERROR(MATCH(D6164,Projects!$A:$A,0),""))</f>
        <v/>
      </c>
    </row>
    <row r="6165" spans="31:32" x14ac:dyDescent="0.25">
      <c r="AE6165" s="39" t="str">
        <f>IF(D6165="","",IFERROR(VLOOKUP(D6165,Projects!$A$2:$A$20000,1,FALSE),""))</f>
        <v/>
      </c>
      <c r="AF6165" s="2" t="str">
        <f>IF(D6165="","",IFERROR(MATCH(D6165,Projects!$A:$A,0),""))</f>
        <v/>
      </c>
    </row>
    <row r="6166" spans="31:32" x14ac:dyDescent="0.25">
      <c r="AE6166" s="39" t="str">
        <f>IF(D6166="","",IFERROR(VLOOKUP(D6166,Projects!$A$2:$A$20000,1,FALSE),""))</f>
        <v/>
      </c>
      <c r="AF6166" s="2" t="str">
        <f>IF(D6166="","",IFERROR(MATCH(D6166,Projects!$A:$A,0),""))</f>
        <v/>
      </c>
    </row>
    <row r="6167" spans="31:32" x14ac:dyDescent="0.25">
      <c r="AE6167" s="39" t="str">
        <f>IF(D6167="","",IFERROR(VLOOKUP(D6167,Projects!$A$2:$A$20000,1,FALSE),""))</f>
        <v/>
      </c>
      <c r="AF6167" s="2" t="str">
        <f>IF(D6167="","",IFERROR(MATCH(D6167,Projects!$A:$A,0),""))</f>
        <v/>
      </c>
    </row>
    <row r="6168" spans="31:32" x14ac:dyDescent="0.25">
      <c r="AE6168" s="39" t="str">
        <f>IF(D6168="","",IFERROR(VLOOKUP(D6168,Projects!$A$2:$A$20000,1,FALSE),""))</f>
        <v/>
      </c>
      <c r="AF6168" s="2" t="str">
        <f>IF(D6168="","",IFERROR(MATCH(D6168,Projects!$A:$A,0),""))</f>
        <v/>
      </c>
    </row>
    <row r="6169" spans="31:32" x14ac:dyDescent="0.25">
      <c r="AE6169" s="39" t="str">
        <f>IF(D6169="","",IFERROR(VLOOKUP(D6169,Projects!$A$2:$A$20000,1,FALSE),""))</f>
        <v/>
      </c>
      <c r="AF6169" s="2" t="str">
        <f>IF(D6169="","",IFERROR(MATCH(D6169,Projects!$A:$A,0),""))</f>
        <v/>
      </c>
    </row>
    <row r="6170" spans="31:32" x14ac:dyDescent="0.25">
      <c r="AE6170" s="39" t="str">
        <f>IF(D6170="","",IFERROR(VLOOKUP(D6170,Projects!$A$2:$A$20000,1,FALSE),""))</f>
        <v/>
      </c>
      <c r="AF6170" s="2" t="str">
        <f>IF(D6170="","",IFERROR(MATCH(D6170,Projects!$A:$A,0),""))</f>
        <v/>
      </c>
    </row>
    <row r="6171" spans="31:32" x14ac:dyDescent="0.25">
      <c r="AE6171" s="39" t="str">
        <f>IF(D6171="","",IFERROR(VLOOKUP(D6171,Projects!$A$2:$A$20000,1,FALSE),""))</f>
        <v/>
      </c>
      <c r="AF6171" s="2" t="str">
        <f>IF(D6171="","",IFERROR(MATCH(D6171,Projects!$A:$A,0),""))</f>
        <v/>
      </c>
    </row>
    <row r="6172" spans="31:32" x14ac:dyDescent="0.25">
      <c r="AE6172" s="39" t="str">
        <f>IF(D6172="","",IFERROR(VLOOKUP(D6172,Projects!$A$2:$A$20000,1,FALSE),""))</f>
        <v/>
      </c>
      <c r="AF6172" s="2" t="str">
        <f>IF(D6172="","",IFERROR(MATCH(D6172,Projects!$A:$A,0),""))</f>
        <v/>
      </c>
    </row>
    <row r="6173" spans="31:32" x14ac:dyDescent="0.25">
      <c r="AE6173" s="39" t="str">
        <f>IF(D6173="","",IFERROR(VLOOKUP(D6173,Projects!$A$2:$A$20000,1,FALSE),""))</f>
        <v/>
      </c>
      <c r="AF6173" s="2" t="str">
        <f>IF(D6173="","",IFERROR(MATCH(D6173,Projects!$A:$A,0),""))</f>
        <v/>
      </c>
    </row>
    <row r="6174" spans="31:32" x14ac:dyDescent="0.25">
      <c r="AE6174" s="39" t="str">
        <f>IF(D6174="","",IFERROR(VLOOKUP(D6174,Projects!$A$2:$A$20000,1,FALSE),""))</f>
        <v/>
      </c>
      <c r="AF6174" s="2" t="str">
        <f>IF(D6174="","",IFERROR(MATCH(D6174,Projects!$A:$A,0),""))</f>
        <v/>
      </c>
    </row>
    <row r="6175" spans="31:32" x14ac:dyDescent="0.25">
      <c r="AE6175" s="39" t="str">
        <f>IF(D6175="","",IFERROR(VLOOKUP(D6175,Projects!$A$2:$A$20000,1,FALSE),""))</f>
        <v/>
      </c>
      <c r="AF6175" s="2" t="str">
        <f>IF(D6175="","",IFERROR(MATCH(D6175,Projects!$A:$A,0),""))</f>
        <v/>
      </c>
    </row>
    <row r="6176" spans="31:32" x14ac:dyDescent="0.25">
      <c r="AE6176" s="39" t="str">
        <f>IF(D6176="","",IFERROR(VLOOKUP(D6176,Projects!$A$2:$A$20000,1,FALSE),""))</f>
        <v/>
      </c>
      <c r="AF6176" s="2" t="str">
        <f>IF(D6176="","",IFERROR(MATCH(D6176,Projects!$A:$A,0),""))</f>
        <v/>
      </c>
    </row>
    <row r="6177" spans="31:32" x14ac:dyDescent="0.25">
      <c r="AE6177" s="39" t="str">
        <f>IF(D6177="","",IFERROR(VLOOKUP(D6177,Projects!$A$2:$A$20000,1,FALSE),""))</f>
        <v/>
      </c>
      <c r="AF6177" s="2" t="str">
        <f>IF(D6177="","",IFERROR(MATCH(D6177,Projects!$A:$A,0),""))</f>
        <v/>
      </c>
    </row>
    <row r="6178" spans="31:32" x14ac:dyDescent="0.25">
      <c r="AE6178" s="39" t="str">
        <f>IF(D6178="","",IFERROR(VLOOKUP(D6178,Projects!$A$2:$A$20000,1,FALSE),""))</f>
        <v/>
      </c>
      <c r="AF6178" s="2" t="str">
        <f>IF(D6178="","",IFERROR(MATCH(D6178,Projects!$A:$A,0),""))</f>
        <v/>
      </c>
    </row>
    <row r="6179" spans="31:32" x14ac:dyDescent="0.25">
      <c r="AE6179" s="39" t="str">
        <f>IF(D6179="","",IFERROR(VLOOKUP(D6179,Projects!$A$2:$A$20000,1,FALSE),""))</f>
        <v/>
      </c>
      <c r="AF6179" s="2" t="str">
        <f>IF(D6179="","",IFERROR(MATCH(D6179,Projects!$A:$A,0),""))</f>
        <v/>
      </c>
    </row>
    <row r="6180" spans="31:32" x14ac:dyDescent="0.25">
      <c r="AE6180" s="39" t="str">
        <f>IF(D6180="","",IFERROR(VLOOKUP(D6180,Projects!$A$2:$A$20000,1,FALSE),""))</f>
        <v/>
      </c>
      <c r="AF6180" s="2" t="str">
        <f>IF(D6180="","",IFERROR(MATCH(D6180,Projects!$A:$A,0),""))</f>
        <v/>
      </c>
    </row>
    <row r="6181" spans="31:32" x14ac:dyDescent="0.25">
      <c r="AE6181" s="39" t="str">
        <f>IF(D6181="","",IFERROR(VLOOKUP(D6181,Projects!$A$2:$A$20000,1,FALSE),""))</f>
        <v/>
      </c>
      <c r="AF6181" s="2" t="str">
        <f>IF(D6181="","",IFERROR(MATCH(D6181,Projects!$A:$A,0),""))</f>
        <v/>
      </c>
    </row>
    <row r="6182" spans="31:32" x14ac:dyDescent="0.25">
      <c r="AE6182" s="39" t="str">
        <f>IF(D6182="","",IFERROR(VLOOKUP(D6182,Projects!$A$2:$A$20000,1,FALSE),""))</f>
        <v/>
      </c>
      <c r="AF6182" s="2" t="str">
        <f>IF(D6182="","",IFERROR(MATCH(D6182,Projects!$A:$A,0),""))</f>
        <v/>
      </c>
    </row>
    <row r="6183" spans="31:32" x14ac:dyDescent="0.25">
      <c r="AE6183" s="39" t="str">
        <f>IF(D6183="","",IFERROR(VLOOKUP(D6183,Projects!$A$2:$A$20000,1,FALSE),""))</f>
        <v/>
      </c>
      <c r="AF6183" s="2" t="str">
        <f>IF(D6183="","",IFERROR(MATCH(D6183,Projects!$A:$A,0),""))</f>
        <v/>
      </c>
    </row>
    <row r="6184" spans="31:32" x14ac:dyDescent="0.25">
      <c r="AE6184" s="39" t="str">
        <f>IF(D6184="","",IFERROR(VLOOKUP(D6184,Projects!$A$2:$A$20000,1,FALSE),""))</f>
        <v/>
      </c>
      <c r="AF6184" s="2" t="str">
        <f>IF(D6184="","",IFERROR(MATCH(D6184,Projects!$A:$A,0),""))</f>
        <v/>
      </c>
    </row>
    <row r="6185" spans="31:32" x14ac:dyDescent="0.25">
      <c r="AE6185" s="39" t="str">
        <f>IF(D6185="","",IFERROR(VLOOKUP(D6185,Projects!$A$2:$A$20000,1,FALSE),""))</f>
        <v/>
      </c>
      <c r="AF6185" s="2" t="str">
        <f>IF(D6185="","",IFERROR(MATCH(D6185,Projects!$A:$A,0),""))</f>
        <v/>
      </c>
    </row>
    <row r="6186" spans="31:32" x14ac:dyDescent="0.25">
      <c r="AE6186" s="39" t="str">
        <f>IF(D6186="","",IFERROR(VLOOKUP(D6186,Projects!$A$2:$A$20000,1,FALSE),""))</f>
        <v/>
      </c>
      <c r="AF6186" s="2" t="str">
        <f>IF(D6186="","",IFERROR(MATCH(D6186,Projects!$A:$A,0),""))</f>
        <v/>
      </c>
    </row>
    <row r="6187" spans="31:32" x14ac:dyDescent="0.25">
      <c r="AE6187" s="39" t="str">
        <f>IF(D6187="","",IFERROR(VLOOKUP(D6187,Projects!$A$2:$A$20000,1,FALSE),""))</f>
        <v/>
      </c>
      <c r="AF6187" s="2" t="str">
        <f>IF(D6187="","",IFERROR(MATCH(D6187,Projects!$A:$A,0),""))</f>
        <v/>
      </c>
    </row>
    <row r="6188" spans="31:32" x14ac:dyDescent="0.25">
      <c r="AE6188" s="39" t="str">
        <f>IF(D6188="","",IFERROR(VLOOKUP(D6188,Projects!$A$2:$A$20000,1,FALSE),""))</f>
        <v/>
      </c>
      <c r="AF6188" s="2" t="str">
        <f>IF(D6188="","",IFERROR(MATCH(D6188,Projects!$A:$A,0),""))</f>
        <v/>
      </c>
    </row>
    <row r="6189" spans="31:32" x14ac:dyDescent="0.25">
      <c r="AE6189" s="39" t="str">
        <f>IF(D6189="","",IFERROR(VLOOKUP(D6189,Projects!$A$2:$A$20000,1,FALSE),""))</f>
        <v/>
      </c>
      <c r="AF6189" s="2" t="str">
        <f>IF(D6189="","",IFERROR(MATCH(D6189,Projects!$A:$A,0),""))</f>
        <v/>
      </c>
    </row>
    <row r="6190" spans="31:32" x14ac:dyDescent="0.25">
      <c r="AE6190" s="39" t="str">
        <f>IF(D6190="","",IFERROR(VLOOKUP(D6190,Projects!$A$2:$A$20000,1,FALSE),""))</f>
        <v/>
      </c>
      <c r="AF6190" s="2" t="str">
        <f>IF(D6190="","",IFERROR(MATCH(D6190,Projects!$A:$A,0),""))</f>
        <v/>
      </c>
    </row>
    <row r="6191" spans="31:32" x14ac:dyDescent="0.25">
      <c r="AE6191" s="39" t="str">
        <f>IF(D6191="","",IFERROR(VLOOKUP(D6191,Projects!$A$2:$A$20000,1,FALSE),""))</f>
        <v/>
      </c>
      <c r="AF6191" s="2" t="str">
        <f>IF(D6191="","",IFERROR(MATCH(D6191,Projects!$A:$A,0),""))</f>
        <v/>
      </c>
    </row>
    <row r="6192" spans="31:32" x14ac:dyDescent="0.25">
      <c r="AE6192" s="39" t="str">
        <f>IF(D6192="","",IFERROR(VLOOKUP(D6192,Projects!$A$2:$A$20000,1,FALSE),""))</f>
        <v/>
      </c>
      <c r="AF6192" s="2" t="str">
        <f>IF(D6192="","",IFERROR(MATCH(D6192,Projects!$A:$A,0),""))</f>
        <v/>
      </c>
    </row>
    <row r="6193" spans="31:32" x14ac:dyDescent="0.25">
      <c r="AE6193" s="39" t="str">
        <f>IF(D6193="","",IFERROR(VLOOKUP(D6193,Projects!$A$2:$A$20000,1,FALSE),""))</f>
        <v/>
      </c>
      <c r="AF6193" s="2" t="str">
        <f>IF(D6193="","",IFERROR(MATCH(D6193,Projects!$A:$A,0),""))</f>
        <v/>
      </c>
    </row>
    <row r="6194" spans="31:32" x14ac:dyDescent="0.25">
      <c r="AE6194" s="39" t="str">
        <f>IF(D6194="","",IFERROR(VLOOKUP(D6194,Projects!$A$2:$A$20000,1,FALSE),""))</f>
        <v/>
      </c>
      <c r="AF6194" s="2" t="str">
        <f>IF(D6194="","",IFERROR(MATCH(D6194,Projects!$A:$A,0),""))</f>
        <v/>
      </c>
    </row>
    <row r="6195" spans="31:32" x14ac:dyDescent="0.25">
      <c r="AE6195" s="39" t="str">
        <f>IF(D6195="","",IFERROR(VLOOKUP(D6195,Projects!$A$2:$A$20000,1,FALSE),""))</f>
        <v/>
      </c>
      <c r="AF6195" s="2" t="str">
        <f>IF(D6195="","",IFERROR(MATCH(D6195,Projects!$A:$A,0),""))</f>
        <v/>
      </c>
    </row>
    <row r="6196" spans="31:32" x14ac:dyDescent="0.25">
      <c r="AE6196" s="39" t="str">
        <f>IF(D6196="","",IFERROR(VLOOKUP(D6196,Projects!$A$2:$A$20000,1,FALSE),""))</f>
        <v/>
      </c>
      <c r="AF6196" s="2" t="str">
        <f>IF(D6196="","",IFERROR(MATCH(D6196,Projects!$A:$A,0),""))</f>
        <v/>
      </c>
    </row>
    <row r="6197" spans="31:32" x14ac:dyDescent="0.25">
      <c r="AE6197" s="39" t="str">
        <f>IF(D6197="","",IFERROR(VLOOKUP(D6197,Projects!$A$2:$A$20000,1,FALSE),""))</f>
        <v/>
      </c>
      <c r="AF6197" s="2" t="str">
        <f>IF(D6197="","",IFERROR(MATCH(D6197,Projects!$A:$A,0),""))</f>
        <v/>
      </c>
    </row>
    <row r="6198" spans="31:32" x14ac:dyDescent="0.25">
      <c r="AE6198" s="39" t="str">
        <f>IF(D6198="","",IFERROR(VLOOKUP(D6198,Projects!$A$2:$A$20000,1,FALSE),""))</f>
        <v/>
      </c>
      <c r="AF6198" s="2" t="str">
        <f>IF(D6198="","",IFERROR(MATCH(D6198,Projects!$A:$A,0),""))</f>
        <v/>
      </c>
    </row>
    <row r="6199" spans="31:32" x14ac:dyDescent="0.25">
      <c r="AE6199" s="39" t="str">
        <f>IF(D6199="","",IFERROR(VLOOKUP(D6199,Projects!$A$2:$A$20000,1,FALSE),""))</f>
        <v/>
      </c>
      <c r="AF6199" s="2" t="str">
        <f>IF(D6199="","",IFERROR(MATCH(D6199,Projects!$A:$A,0),""))</f>
        <v/>
      </c>
    </row>
    <row r="6200" spans="31:32" x14ac:dyDescent="0.25">
      <c r="AE6200" s="39" t="str">
        <f>IF(D6200="","",IFERROR(VLOOKUP(D6200,Projects!$A$2:$A$20000,1,FALSE),""))</f>
        <v/>
      </c>
      <c r="AF6200" s="2" t="str">
        <f>IF(D6200="","",IFERROR(MATCH(D6200,Projects!$A:$A,0),""))</f>
        <v/>
      </c>
    </row>
    <row r="6201" spans="31:32" x14ac:dyDescent="0.25">
      <c r="AE6201" s="39" t="str">
        <f>IF(D6201="","",IFERROR(VLOOKUP(D6201,Projects!$A$2:$A$20000,1,FALSE),""))</f>
        <v/>
      </c>
      <c r="AF6201" s="2" t="str">
        <f>IF(D6201="","",IFERROR(MATCH(D6201,Projects!$A:$A,0),""))</f>
        <v/>
      </c>
    </row>
    <row r="6202" spans="31:32" x14ac:dyDescent="0.25">
      <c r="AE6202" s="39" t="str">
        <f>IF(D6202="","",IFERROR(VLOOKUP(D6202,Projects!$A$2:$A$20000,1,FALSE),""))</f>
        <v/>
      </c>
      <c r="AF6202" s="2" t="str">
        <f>IF(D6202="","",IFERROR(MATCH(D6202,Projects!$A:$A,0),""))</f>
        <v/>
      </c>
    </row>
    <row r="6203" spans="31:32" x14ac:dyDescent="0.25">
      <c r="AE6203" s="39" t="str">
        <f>IF(D6203="","",IFERROR(VLOOKUP(D6203,Projects!$A$2:$A$20000,1,FALSE),""))</f>
        <v/>
      </c>
      <c r="AF6203" s="2" t="str">
        <f>IF(D6203="","",IFERROR(MATCH(D6203,Projects!$A:$A,0),""))</f>
        <v/>
      </c>
    </row>
    <row r="6204" spans="31:32" x14ac:dyDescent="0.25">
      <c r="AE6204" s="39" t="str">
        <f>IF(D6204="","",IFERROR(VLOOKUP(D6204,Projects!$A$2:$A$20000,1,FALSE),""))</f>
        <v/>
      </c>
      <c r="AF6204" s="2" t="str">
        <f>IF(D6204="","",IFERROR(MATCH(D6204,Projects!$A:$A,0),""))</f>
        <v/>
      </c>
    </row>
    <row r="6205" spans="31:32" x14ac:dyDescent="0.25">
      <c r="AE6205" s="39" t="str">
        <f>IF(D6205="","",IFERROR(VLOOKUP(D6205,Projects!$A$2:$A$20000,1,FALSE),""))</f>
        <v/>
      </c>
      <c r="AF6205" s="2" t="str">
        <f>IF(D6205="","",IFERROR(MATCH(D6205,Projects!$A:$A,0),""))</f>
        <v/>
      </c>
    </row>
    <row r="6206" spans="31:32" x14ac:dyDescent="0.25">
      <c r="AE6206" s="39" t="str">
        <f>IF(D6206="","",IFERROR(VLOOKUP(D6206,Projects!$A$2:$A$20000,1,FALSE),""))</f>
        <v/>
      </c>
      <c r="AF6206" s="2" t="str">
        <f>IF(D6206="","",IFERROR(MATCH(D6206,Projects!$A:$A,0),""))</f>
        <v/>
      </c>
    </row>
    <row r="6207" spans="31:32" x14ac:dyDescent="0.25">
      <c r="AE6207" s="39" t="str">
        <f>IF(D6207="","",IFERROR(VLOOKUP(D6207,Projects!$A$2:$A$20000,1,FALSE),""))</f>
        <v/>
      </c>
      <c r="AF6207" s="2" t="str">
        <f>IF(D6207="","",IFERROR(MATCH(D6207,Projects!$A:$A,0),""))</f>
        <v/>
      </c>
    </row>
    <row r="6208" spans="31:32" x14ac:dyDescent="0.25">
      <c r="AE6208" s="39" t="str">
        <f>IF(D6208="","",IFERROR(VLOOKUP(D6208,Projects!$A$2:$A$20000,1,FALSE),""))</f>
        <v/>
      </c>
      <c r="AF6208" s="2" t="str">
        <f>IF(D6208="","",IFERROR(MATCH(D6208,Projects!$A:$A,0),""))</f>
        <v/>
      </c>
    </row>
    <row r="6209" spans="31:32" x14ac:dyDescent="0.25">
      <c r="AE6209" s="39" t="str">
        <f>IF(D6209="","",IFERROR(VLOOKUP(D6209,Projects!$A$2:$A$20000,1,FALSE),""))</f>
        <v/>
      </c>
      <c r="AF6209" s="2" t="str">
        <f>IF(D6209="","",IFERROR(MATCH(D6209,Projects!$A:$A,0),""))</f>
        <v/>
      </c>
    </row>
    <row r="6210" spans="31:32" x14ac:dyDescent="0.25">
      <c r="AE6210" s="39" t="str">
        <f>IF(D6210="","",IFERROR(VLOOKUP(D6210,Projects!$A$2:$A$20000,1,FALSE),""))</f>
        <v/>
      </c>
      <c r="AF6210" s="2" t="str">
        <f>IF(D6210="","",IFERROR(MATCH(D6210,Projects!$A:$A,0),""))</f>
        <v/>
      </c>
    </row>
    <row r="6211" spans="31:32" x14ac:dyDescent="0.25">
      <c r="AE6211" s="39" t="str">
        <f>IF(D6211="","",IFERROR(VLOOKUP(D6211,Projects!$A$2:$A$20000,1,FALSE),""))</f>
        <v/>
      </c>
      <c r="AF6211" s="2" t="str">
        <f>IF(D6211="","",IFERROR(MATCH(D6211,Projects!$A:$A,0),""))</f>
        <v/>
      </c>
    </row>
    <row r="6212" spans="31:32" x14ac:dyDescent="0.25">
      <c r="AE6212" s="39" t="str">
        <f>IF(D6212="","",IFERROR(VLOOKUP(D6212,Projects!$A$2:$A$20000,1,FALSE),""))</f>
        <v/>
      </c>
      <c r="AF6212" s="2" t="str">
        <f>IF(D6212="","",IFERROR(MATCH(D6212,Projects!$A:$A,0),""))</f>
        <v/>
      </c>
    </row>
    <row r="6213" spans="31:32" x14ac:dyDescent="0.25">
      <c r="AE6213" s="39" t="str">
        <f>IF(D6213="","",IFERROR(VLOOKUP(D6213,Projects!$A$2:$A$20000,1,FALSE),""))</f>
        <v/>
      </c>
      <c r="AF6213" s="2" t="str">
        <f>IF(D6213="","",IFERROR(MATCH(D6213,Projects!$A:$A,0),""))</f>
        <v/>
      </c>
    </row>
    <row r="6214" spans="31:32" x14ac:dyDescent="0.25">
      <c r="AE6214" s="39" t="str">
        <f>IF(D6214="","",IFERROR(VLOOKUP(D6214,Projects!$A$2:$A$20000,1,FALSE),""))</f>
        <v/>
      </c>
      <c r="AF6214" s="2" t="str">
        <f>IF(D6214="","",IFERROR(MATCH(D6214,Projects!$A:$A,0),""))</f>
        <v/>
      </c>
    </row>
    <row r="6215" spans="31:32" x14ac:dyDescent="0.25">
      <c r="AE6215" s="39" t="str">
        <f>IF(D6215="","",IFERROR(VLOOKUP(D6215,Projects!$A$2:$A$20000,1,FALSE),""))</f>
        <v/>
      </c>
      <c r="AF6215" s="2" t="str">
        <f>IF(D6215="","",IFERROR(MATCH(D6215,Projects!$A:$A,0),""))</f>
        <v/>
      </c>
    </row>
    <row r="6216" spans="31:32" x14ac:dyDescent="0.25">
      <c r="AE6216" s="39" t="str">
        <f>IF(D6216="","",IFERROR(VLOOKUP(D6216,Projects!$A$2:$A$20000,1,FALSE),""))</f>
        <v/>
      </c>
      <c r="AF6216" s="2" t="str">
        <f>IF(D6216="","",IFERROR(MATCH(D6216,Projects!$A:$A,0),""))</f>
        <v/>
      </c>
    </row>
    <row r="6217" spans="31:32" x14ac:dyDescent="0.25">
      <c r="AE6217" s="39" t="str">
        <f>IF(D6217="","",IFERROR(VLOOKUP(D6217,Projects!$A$2:$A$20000,1,FALSE),""))</f>
        <v/>
      </c>
      <c r="AF6217" s="2" t="str">
        <f>IF(D6217="","",IFERROR(MATCH(D6217,Projects!$A:$A,0),""))</f>
        <v/>
      </c>
    </row>
    <row r="6218" spans="31:32" x14ac:dyDescent="0.25">
      <c r="AE6218" s="39" t="str">
        <f>IF(D6218="","",IFERROR(VLOOKUP(D6218,Projects!$A$2:$A$20000,1,FALSE),""))</f>
        <v/>
      </c>
      <c r="AF6218" s="2" t="str">
        <f>IF(D6218="","",IFERROR(MATCH(D6218,Projects!$A:$A,0),""))</f>
        <v/>
      </c>
    </row>
    <row r="6219" spans="31:32" x14ac:dyDescent="0.25">
      <c r="AE6219" s="39" t="str">
        <f>IF(D6219="","",IFERROR(VLOOKUP(D6219,Projects!$A$2:$A$20000,1,FALSE),""))</f>
        <v/>
      </c>
      <c r="AF6219" s="2" t="str">
        <f>IF(D6219="","",IFERROR(MATCH(D6219,Projects!$A:$A,0),""))</f>
        <v/>
      </c>
    </row>
    <row r="6220" spans="31:32" x14ac:dyDescent="0.25">
      <c r="AE6220" s="39" t="str">
        <f>IF(D6220="","",IFERROR(VLOOKUP(D6220,Projects!$A$2:$A$20000,1,FALSE),""))</f>
        <v/>
      </c>
      <c r="AF6220" s="2" t="str">
        <f>IF(D6220="","",IFERROR(MATCH(D6220,Projects!$A:$A,0),""))</f>
        <v/>
      </c>
    </row>
    <row r="6221" spans="31:32" x14ac:dyDescent="0.25">
      <c r="AE6221" s="39" t="str">
        <f>IF(D6221="","",IFERROR(VLOOKUP(D6221,Projects!$A$2:$A$20000,1,FALSE),""))</f>
        <v/>
      </c>
      <c r="AF6221" s="2" t="str">
        <f>IF(D6221="","",IFERROR(MATCH(D6221,Projects!$A:$A,0),""))</f>
        <v/>
      </c>
    </row>
    <row r="6222" spans="31:32" x14ac:dyDescent="0.25">
      <c r="AE6222" s="39" t="str">
        <f>IF(D6222="","",IFERROR(VLOOKUP(D6222,Projects!$A$2:$A$20000,1,FALSE),""))</f>
        <v/>
      </c>
      <c r="AF6222" s="2" t="str">
        <f>IF(D6222="","",IFERROR(MATCH(D6222,Projects!$A:$A,0),""))</f>
        <v/>
      </c>
    </row>
    <row r="6223" spans="31:32" x14ac:dyDescent="0.25">
      <c r="AE6223" s="39" t="str">
        <f>IF(D6223="","",IFERROR(VLOOKUP(D6223,Projects!$A$2:$A$20000,1,FALSE),""))</f>
        <v/>
      </c>
      <c r="AF6223" s="2" t="str">
        <f>IF(D6223="","",IFERROR(MATCH(D6223,Projects!$A:$A,0),""))</f>
        <v/>
      </c>
    </row>
    <row r="6224" spans="31:32" x14ac:dyDescent="0.25">
      <c r="AE6224" s="39" t="str">
        <f>IF(D6224="","",IFERROR(VLOOKUP(D6224,Projects!$A$2:$A$20000,1,FALSE),""))</f>
        <v/>
      </c>
      <c r="AF6224" s="2" t="str">
        <f>IF(D6224="","",IFERROR(MATCH(D6224,Projects!$A:$A,0),""))</f>
        <v/>
      </c>
    </row>
    <row r="6225" spans="31:32" x14ac:dyDescent="0.25">
      <c r="AE6225" s="39" t="str">
        <f>IF(D6225="","",IFERROR(VLOOKUP(D6225,Projects!$A$2:$A$20000,1,FALSE),""))</f>
        <v/>
      </c>
      <c r="AF6225" s="2" t="str">
        <f>IF(D6225="","",IFERROR(MATCH(D6225,Projects!$A:$A,0),""))</f>
        <v/>
      </c>
    </row>
    <row r="6226" spans="31:32" x14ac:dyDescent="0.25">
      <c r="AE6226" s="39" t="str">
        <f>IF(D6226="","",IFERROR(VLOOKUP(D6226,Projects!$A$2:$A$20000,1,FALSE),""))</f>
        <v/>
      </c>
      <c r="AF6226" s="2" t="str">
        <f>IF(D6226="","",IFERROR(MATCH(D6226,Projects!$A:$A,0),""))</f>
        <v/>
      </c>
    </row>
    <row r="6227" spans="31:32" x14ac:dyDescent="0.25">
      <c r="AE6227" s="39" t="str">
        <f>IF(D6227="","",IFERROR(VLOOKUP(D6227,Projects!$A$2:$A$20000,1,FALSE),""))</f>
        <v/>
      </c>
      <c r="AF6227" s="2" t="str">
        <f>IF(D6227="","",IFERROR(MATCH(D6227,Projects!$A:$A,0),""))</f>
        <v/>
      </c>
    </row>
    <row r="6228" spans="31:32" x14ac:dyDescent="0.25">
      <c r="AE6228" s="39" t="str">
        <f>IF(D6228="","",IFERROR(VLOOKUP(D6228,Projects!$A$2:$A$20000,1,FALSE),""))</f>
        <v/>
      </c>
      <c r="AF6228" s="2" t="str">
        <f>IF(D6228="","",IFERROR(MATCH(D6228,Projects!$A:$A,0),""))</f>
        <v/>
      </c>
    </row>
    <row r="6229" spans="31:32" x14ac:dyDescent="0.25">
      <c r="AE6229" s="39" t="str">
        <f>IF(D6229="","",IFERROR(VLOOKUP(D6229,Projects!$A$2:$A$20000,1,FALSE),""))</f>
        <v/>
      </c>
      <c r="AF6229" s="2" t="str">
        <f>IF(D6229="","",IFERROR(MATCH(D6229,Projects!$A:$A,0),""))</f>
        <v/>
      </c>
    </row>
    <row r="6230" spans="31:32" x14ac:dyDescent="0.25">
      <c r="AE6230" s="39" t="str">
        <f>IF(D6230="","",IFERROR(VLOOKUP(D6230,Projects!$A$2:$A$20000,1,FALSE),""))</f>
        <v/>
      </c>
      <c r="AF6230" s="2" t="str">
        <f>IF(D6230="","",IFERROR(MATCH(D6230,Projects!$A:$A,0),""))</f>
        <v/>
      </c>
    </row>
    <row r="6231" spans="31:32" x14ac:dyDescent="0.25">
      <c r="AE6231" s="39" t="str">
        <f>IF(D6231="","",IFERROR(VLOOKUP(D6231,Projects!$A$2:$A$20000,1,FALSE),""))</f>
        <v/>
      </c>
      <c r="AF6231" s="2" t="str">
        <f>IF(D6231="","",IFERROR(MATCH(D6231,Projects!$A:$A,0),""))</f>
        <v/>
      </c>
    </row>
    <row r="6232" spans="31:32" x14ac:dyDescent="0.25">
      <c r="AE6232" s="39" t="str">
        <f>IF(D6232="","",IFERROR(VLOOKUP(D6232,Projects!$A$2:$A$20000,1,FALSE),""))</f>
        <v/>
      </c>
      <c r="AF6232" s="2" t="str">
        <f>IF(D6232="","",IFERROR(MATCH(D6232,Projects!$A:$A,0),""))</f>
        <v/>
      </c>
    </row>
    <row r="6233" spans="31:32" x14ac:dyDescent="0.25">
      <c r="AE6233" s="39" t="str">
        <f>IF(D6233="","",IFERROR(VLOOKUP(D6233,Projects!$A$2:$A$20000,1,FALSE),""))</f>
        <v/>
      </c>
      <c r="AF6233" s="2" t="str">
        <f>IF(D6233="","",IFERROR(MATCH(D6233,Projects!$A:$A,0),""))</f>
        <v/>
      </c>
    </row>
    <row r="6234" spans="31:32" x14ac:dyDescent="0.25">
      <c r="AE6234" s="39" t="str">
        <f>IF(D6234="","",IFERROR(VLOOKUP(D6234,Projects!$A$2:$A$20000,1,FALSE),""))</f>
        <v/>
      </c>
      <c r="AF6234" s="2" t="str">
        <f>IF(D6234="","",IFERROR(MATCH(D6234,Projects!$A:$A,0),""))</f>
        <v/>
      </c>
    </row>
    <row r="6235" spans="31:32" x14ac:dyDescent="0.25">
      <c r="AE6235" s="39" t="str">
        <f>IF(D6235="","",IFERROR(VLOOKUP(D6235,Projects!$A$2:$A$20000,1,FALSE),""))</f>
        <v/>
      </c>
      <c r="AF6235" s="2" t="str">
        <f>IF(D6235="","",IFERROR(MATCH(D6235,Projects!$A:$A,0),""))</f>
        <v/>
      </c>
    </row>
    <row r="6236" spans="31:32" x14ac:dyDescent="0.25">
      <c r="AE6236" s="39" t="str">
        <f>IF(D6236="","",IFERROR(VLOOKUP(D6236,Projects!$A$2:$A$20000,1,FALSE),""))</f>
        <v/>
      </c>
      <c r="AF6236" s="2" t="str">
        <f>IF(D6236="","",IFERROR(MATCH(D6236,Projects!$A:$A,0),""))</f>
        <v/>
      </c>
    </row>
    <row r="6237" spans="31:32" x14ac:dyDescent="0.25">
      <c r="AE6237" s="39" t="str">
        <f>IF(D6237="","",IFERROR(VLOOKUP(D6237,Projects!$A$2:$A$20000,1,FALSE),""))</f>
        <v/>
      </c>
      <c r="AF6237" s="2" t="str">
        <f>IF(D6237="","",IFERROR(MATCH(D6237,Projects!$A:$A,0),""))</f>
        <v/>
      </c>
    </row>
    <row r="6238" spans="31:32" x14ac:dyDescent="0.25">
      <c r="AE6238" s="39" t="str">
        <f>IF(D6238="","",IFERROR(VLOOKUP(D6238,Projects!$A$2:$A$20000,1,FALSE),""))</f>
        <v/>
      </c>
      <c r="AF6238" s="2" t="str">
        <f>IF(D6238="","",IFERROR(MATCH(D6238,Projects!$A:$A,0),""))</f>
        <v/>
      </c>
    </row>
    <row r="6239" spans="31:32" x14ac:dyDescent="0.25">
      <c r="AE6239" s="39" t="str">
        <f>IF(D6239="","",IFERROR(VLOOKUP(D6239,Projects!$A$2:$A$20000,1,FALSE),""))</f>
        <v/>
      </c>
      <c r="AF6239" s="2" t="str">
        <f>IF(D6239="","",IFERROR(MATCH(D6239,Projects!$A:$A,0),""))</f>
        <v/>
      </c>
    </row>
    <row r="6240" spans="31:32" x14ac:dyDescent="0.25">
      <c r="AE6240" s="39" t="str">
        <f>IF(D6240="","",IFERROR(VLOOKUP(D6240,Projects!$A$2:$A$20000,1,FALSE),""))</f>
        <v/>
      </c>
      <c r="AF6240" s="2" t="str">
        <f>IF(D6240="","",IFERROR(MATCH(D6240,Projects!$A:$A,0),""))</f>
        <v/>
      </c>
    </row>
    <row r="6241" spans="31:32" x14ac:dyDescent="0.25">
      <c r="AE6241" s="39" t="str">
        <f>IF(D6241="","",IFERROR(VLOOKUP(D6241,Projects!$A$2:$A$20000,1,FALSE),""))</f>
        <v/>
      </c>
      <c r="AF6241" s="2" t="str">
        <f>IF(D6241="","",IFERROR(MATCH(D6241,Projects!$A:$A,0),""))</f>
        <v/>
      </c>
    </row>
    <row r="6242" spans="31:32" x14ac:dyDescent="0.25">
      <c r="AE6242" s="39" t="str">
        <f>IF(D6242="","",IFERROR(VLOOKUP(D6242,Projects!$A$2:$A$20000,1,FALSE),""))</f>
        <v/>
      </c>
      <c r="AF6242" s="2" t="str">
        <f>IF(D6242="","",IFERROR(MATCH(D6242,Projects!$A:$A,0),""))</f>
        <v/>
      </c>
    </row>
    <row r="6243" spans="31:32" x14ac:dyDescent="0.25">
      <c r="AE6243" s="39" t="str">
        <f>IF(D6243="","",IFERROR(VLOOKUP(D6243,Projects!$A$2:$A$20000,1,FALSE),""))</f>
        <v/>
      </c>
      <c r="AF6243" s="2" t="str">
        <f>IF(D6243="","",IFERROR(MATCH(D6243,Projects!$A:$A,0),""))</f>
        <v/>
      </c>
    </row>
    <row r="6244" spans="31:32" x14ac:dyDescent="0.25">
      <c r="AE6244" s="39" t="str">
        <f>IF(D6244="","",IFERROR(VLOOKUP(D6244,Projects!$A$2:$A$20000,1,FALSE),""))</f>
        <v/>
      </c>
      <c r="AF6244" s="2" t="str">
        <f>IF(D6244="","",IFERROR(MATCH(D6244,Projects!$A:$A,0),""))</f>
        <v/>
      </c>
    </row>
    <row r="6245" spans="31:32" x14ac:dyDescent="0.25">
      <c r="AE6245" s="39" t="str">
        <f>IF(D6245="","",IFERROR(VLOOKUP(D6245,Projects!$A$2:$A$20000,1,FALSE),""))</f>
        <v/>
      </c>
      <c r="AF6245" s="2" t="str">
        <f>IF(D6245="","",IFERROR(MATCH(D6245,Projects!$A:$A,0),""))</f>
        <v/>
      </c>
    </row>
    <row r="6246" spans="31:32" x14ac:dyDescent="0.25">
      <c r="AE6246" s="39" t="str">
        <f>IF(D6246="","",IFERROR(VLOOKUP(D6246,Projects!$A$2:$A$20000,1,FALSE),""))</f>
        <v/>
      </c>
      <c r="AF6246" s="2" t="str">
        <f>IF(D6246="","",IFERROR(MATCH(D6246,Projects!$A:$A,0),""))</f>
        <v/>
      </c>
    </row>
    <row r="6247" spans="31:32" x14ac:dyDescent="0.25">
      <c r="AE6247" s="39" t="str">
        <f>IF(D6247="","",IFERROR(VLOOKUP(D6247,Projects!$A$2:$A$20000,1,FALSE),""))</f>
        <v/>
      </c>
      <c r="AF6247" s="2" t="str">
        <f>IF(D6247="","",IFERROR(MATCH(D6247,Projects!$A:$A,0),""))</f>
        <v/>
      </c>
    </row>
    <row r="6248" spans="31:32" x14ac:dyDescent="0.25">
      <c r="AE6248" s="39" t="str">
        <f>IF(D6248="","",IFERROR(VLOOKUP(D6248,Projects!$A$2:$A$20000,1,FALSE),""))</f>
        <v/>
      </c>
      <c r="AF6248" s="2" t="str">
        <f>IF(D6248="","",IFERROR(MATCH(D6248,Projects!$A:$A,0),""))</f>
        <v/>
      </c>
    </row>
    <row r="6249" spans="31:32" x14ac:dyDescent="0.25">
      <c r="AE6249" s="39" t="str">
        <f>IF(D6249="","",IFERROR(VLOOKUP(D6249,Projects!$A$2:$A$20000,1,FALSE),""))</f>
        <v/>
      </c>
      <c r="AF6249" s="2" t="str">
        <f>IF(D6249="","",IFERROR(MATCH(D6249,Projects!$A:$A,0),""))</f>
        <v/>
      </c>
    </row>
    <row r="6250" spans="31:32" x14ac:dyDescent="0.25">
      <c r="AE6250" s="39" t="str">
        <f>IF(D6250="","",IFERROR(VLOOKUP(D6250,Projects!$A$2:$A$20000,1,FALSE),""))</f>
        <v/>
      </c>
      <c r="AF6250" s="2" t="str">
        <f>IF(D6250="","",IFERROR(MATCH(D6250,Projects!$A:$A,0),""))</f>
        <v/>
      </c>
    </row>
    <row r="6251" spans="31:32" x14ac:dyDescent="0.25">
      <c r="AE6251" s="39" t="str">
        <f>IF(D6251="","",IFERROR(VLOOKUP(D6251,Projects!$A$2:$A$20000,1,FALSE),""))</f>
        <v/>
      </c>
      <c r="AF6251" s="2" t="str">
        <f>IF(D6251="","",IFERROR(MATCH(D6251,Projects!$A:$A,0),""))</f>
        <v/>
      </c>
    </row>
    <row r="6252" spans="31:32" x14ac:dyDescent="0.25">
      <c r="AE6252" s="39" t="str">
        <f>IF(D6252="","",IFERROR(VLOOKUP(D6252,Projects!$A$2:$A$20000,1,FALSE),""))</f>
        <v/>
      </c>
      <c r="AF6252" s="2" t="str">
        <f>IF(D6252="","",IFERROR(MATCH(D6252,Projects!$A:$A,0),""))</f>
        <v/>
      </c>
    </row>
    <row r="6253" spans="31:32" x14ac:dyDescent="0.25">
      <c r="AE6253" s="39" t="str">
        <f>IF(D6253="","",IFERROR(VLOOKUP(D6253,Projects!$A$2:$A$20000,1,FALSE),""))</f>
        <v/>
      </c>
      <c r="AF6253" s="2" t="str">
        <f>IF(D6253="","",IFERROR(MATCH(D6253,Projects!$A:$A,0),""))</f>
        <v/>
      </c>
    </row>
    <row r="6254" spans="31:32" x14ac:dyDescent="0.25">
      <c r="AE6254" s="39" t="str">
        <f>IF(D6254="","",IFERROR(VLOOKUP(D6254,Projects!$A$2:$A$20000,1,FALSE),""))</f>
        <v/>
      </c>
      <c r="AF6254" s="2" t="str">
        <f>IF(D6254="","",IFERROR(MATCH(D6254,Projects!$A:$A,0),""))</f>
        <v/>
      </c>
    </row>
    <row r="6255" spans="31:32" x14ac:dyDescent="0.25">
      <c r="AE6255" s="39" t="str">
        <f>IF(D6255="","",IFERROR(VLOOKUP(D6255,Projects!$A$2:$A$20000,1,FALSE),""))</f>
        <v/>
      </c>
      <c r="AF6255" s="2" t="str">
        <f>IF(D6255="","",IFERROR(MATCH(D6255,Projects!$A:$A,0),""))</f>
        <v/>
      </c>
    </row>
    <row r="6256" spans="31:32" x14ac:dyDescent="0.25">
      <c r="AE6256" s="39" t="str">
        <f>IF(D6256="","",IFERROR(VLOOKUP(D6256,Projects!$A$2:$A$20000,1,FALSE),""))</f>
        <v/>
      </c>
      <c r="AF6256" s="2" t="str">
        <f>IF(D6256="","",IFERROR(MATCH(D6256,Projects!$A:$A,0),""))</f>
        <v/>
      </c>
    </row>
    <row r="6257" spans="31:32" x14ac:dyDescent="0.25">
      <c r="AE6257" s="39" t="str">
        <f>IF(D6257="","",IFERROR(VLOOKUP(D6257,Projects!$A$2:$A$20000,1,FALSE),""))</f>
        <v/>
      </c>
      <c r="AF6257" s="2" t="str">
        <f>IF(D6257="","",IFERROR(MATCH(D6257,Projects!$A:$A,0),""))</f>
        <v/>
      </c>
    </row>
    <row r="6258" spans="31:32" x14ac:dyDescent="0.25">
      <c r="AE6258" s="39" t="str">
        <f>IF(D6258="","",IFERROR(VLOOKUP(D6258,Projects!$A$2:$A$20000,1,FALSE),""))</f>
        <v/>
      </c>
      <c r="AF6258" s="2" t="str">
        <f>IF(D6258="","",IFERROR(MATCH(D6258,Projects!$A:$A,0),""))</f>
        <v/>
      </c>
    </row>
    <row r="6259" spans="31:32" x14ac:dyDescent="0.25">
      <c r="AE6259" s="39" t="str">
        <f>IF(D6259="","",IFERROR(VLOOKUP(D6259,Projects!$A$2:$A$20000,1,FALSE),""))</f>
        <v/>
      </c>
      <c r="AF6259" s="2" t="str">
        <f>IF(D6259="","",IFERROR(MATCH(D6259,Projects!$A:$A,0),""))</f>
        <v/>
      </c>
    </row>
    <row r="6260" spans="31:32" x14ac:dyDescent="0.25">
      <c r="AE6260" s="39" t="str">
        <f>IF(D6260="","",IFERROR(VLOOKUP(D6260,Projects!$A$2:$A$20000,1,FALSE),""))</f>
        <v/>
      </c>
      <c r="AF6260" s="2" t="str">
        <f>IF(D6260="","",IFERROR(MATCH(D6260,Projects!$A:$A,0),""))</f>
        <v/>
      </c>
    </row>
    <row r="6261" spans="31:32" x14ac:dyDescent="0.25">
      <c r="AE6261" s="39" t="str">
        <f>IF(D6261="","",IFERROR(VLOOKUP(D6261,Projects!$A$2:$A$20000,1,FALSE),""))</f>
        <v/>
      </c>
      <c r="AF6261" s="2" t="str">
        <f>IF(D6261="","",IFERROR(MATCH(D6261,Projects!$A:$A,0),""))</f>
        <v/>
      </c>
    </row>
    <row r="6262" spans="31:32" x14ac:dyDescent="0.25">
      <c r="AE6262" s="39" t="str">
        <f>IF(D6262="","",IFERROR(VLOOKUP(D6262,Projects!$A$2:$A$20000,1,FALSE),""))</f>
        <v/>
      </c>
      <c r="AF6262" s="2" t="str">
        <f>IF(D6262="","",IFERROR(MATCH(D6262,Projects!$A:$A,0),""))</f>
        <v/>
      </c>
    </row>
    <row r="6263" spans="31:32" x14ac:dyDescent="0.25">
      <c r="AE6263" s="39" t="str">
        <f>IF(D6263="","",IFERROR(VLOOKUP(D6263,Projects!$A$2:$A$20000,1,FALSE),""))</f>
        <v/>
      </c>
      <c r="AF6263" s="2" t="str">
        <f>IF(D6263="","",IFERROR(MATCH(D6263,Projects!$A:$A,0),""))</f>
        <v/>
      </c>
    </row>
    <row r="6264" spans="31:32" x14ac:dyDescent="0.25">
      <c r="AE6264" s="39" t="str">
        <f>IF(D6264="","",IFERROR(VLOOKUP(D6264,Projects!$A$2:$A$20000,1,FALSE),""))</f>
        <v/>
      </c>
      <c r="AF6264" s="2" t="str">
        <f>IF(D6264="","",IFERROR(MATCH(D6264,Projects!$A:$A,0),""))</f>
        <v/>
      </c>
    </row>
    <row r="6265" spans="31:32" x14ac:dyDescent="0.25">
      <c r="AE6265" s="39" t="str">
        <f>IF(D6265="","",IFERROR(VLOOKUP(D6265,Projects!$A$2:$A$20000,1,FALSE),""))</f>
        <v/>
      </c>
      <c r="AF6265" s="2" t="str">
        <f>IF(D6265="","",IFERROR(MATCH(D6265,Projects!$A:$A,0),""))</f>
        <v/>
      </c>
    </row>
    <row r="6266" spans="31:32" x14ac:dyDescent="0.25">
      <c r="AE6266" s="39" t="str">
        <f>IF(D6266="","",IFERROR(VLOOKUP(D6266,Projects!$A$2:$A$20000,1,FALSE),""))</f>
        <v/>
      </c>
      <c r="AF6266" s="2" t="str">
        <f>IF(D6266="","",IFERROR(MATCH(D6266,Projects!$A:$A,0),""))</f>
        <v/>
      </c>
    </row>
    <row r="6267" spans="31:32" x14ac:dyDescent="0.25">
      <c r="AE6267" s="39" t="str">
        <f>IF(D6267="","",IFERROR(VLOOKUP(D6267,Projects!$A$2:$A$20000,1,FALSE),""))</f>
        <v/>
      </c>
      <c r="AF6267" s="2" t="str">
        <f>IF(D6267="","",IFERROR(MATCH(D6267,Projects!$A:$A,0),""))</f>
        <v/>
      </c>
    </row>
    <row r="6268" spans="31:32" x14ac:dyDescent="0.25">
      <c r="AE6268" s="39" t="str">
        <f>IF(D6268="","",IFERROR(VLOOKUP(D6268,Projects!$A$2:$A$20000,1,FALSE),""))</f>
        <v/>
      </c>
      <c r="AF6268" s="2" t="str">
        <f>IF(D6268="","",IFERROR(MATCH(D6268,Projects!$A:$A,0),""))</f>
        <v/>
      </c>
    </row>
    <row r="6269" spans="31:32" x14ac:dyDescent="0.25">
      <c r="AE6269" s="39" t="str">
        <f>IF(D6269="","",IFERROR(VLOOKUP(D6269,Projects!$A$2:$A$20000,1,FALSE),""))</f>
        <v/>
      </c>
      <c r="AF6269" s="2" t="str">
        <f>IF(D6269="","",IFERROR(MATCH(D6269,Projects!$A:$A,0),""))</f>
        <v/>
      </c>
    </row>
    <row r="6270" spans="31:32" x14ac:dyDescent="0.25">
      <c r="AE6270" s="39" t="str">
        <f>IF(D6270="","",IFERROR(VLOOKUP(D6270,Projects!$A$2:$A$20000,1,FALSE),""))</f>
        <v/>
      </c>
      <c r="AF6270" s="2" t="str">
        <f>IF(D6270="","",IFERROR(MATCH(D6270,Projects!$A:$A,0),""))</f>
        <v/>
      </c>
    </row>
    <row r="6271" spans="31:32" x14ac:dyDescent="0.25">
      <c r="AE6271" s="39" t="str">
        <f>IF(D6271="","",IFERROR(VLOOKUP(D6271,Projects!$A$2:$A$20000,1,FALSE),""))</f>
        <v/>
      </c>
      <c r="AF6271" s="2" t="str">
        <f>IF(D6271="","",IFERROR(MATCH(D6271,Projects!$A:$A,0),""))</f>
        <v/>
      </c>
    </row>
    <row r="6272" spans="31:32" x14ac:dyDescent="0.25">
      <c r="AE6272" s="39" t="str">
        <f>IF(D6272="","",IFERROR(VLOOKUP(D6272,Projects!$A$2:$A$20000,1,FALSE),""))</f>
        <v/>
      </c>
      <c r="AF6272" s="2" t="str">
        <f>IF(D6272="","",IFERROR(MATCH(D6272,Projects!$A:$A,0),""))</f>
        <v/>
      </c>
    </row>
    <row r="6273" spans="31:32" x14ac:dyDescent="0.25">
      <c r="AE6273" s="39" t="str">
        <f>IF(D6273="","",IFERROR(VLOOKUP(D6273,Projects!$A$2:$A$20000,1,FALSE),""))</f>
        <v/>
      </c>
      <c r="AF6273" s="2" t="str">
        <f>IF(D6273="","",IFERROR(MATCH(D6273,Projects!$A:$A,0),""))</f>
        <v/>
      </c>
    </row>
    <row r="6274" spans="31:32" x14ac:dyDescent="0.25">
      <c r="AE6274" s="39" t="str">
        <f>IF(D6274="","",IFERROR(VLOOKUP(D6274,Projects!$A$2:$A$20000,1,FALSE),""))</f>
        <v/>
      </c>
      <c r="AF6274" s="2" t="str">
        <f>IF(D6274="","",IFERROR(MATCH(D6274,Projects!$A:$A,0),""))</f>
        <v/>
      </c>
    </row>
    <row r="6275" spans="31:32" x14ac:dyDescent="0.25">
      <c r="AE6275" s="39" t="str">
        <f>IF(D6275="","",IFERROR(VLOOKUP(D6275,Projects!$A$2:$A$20000,1,FALSE),""))</f>
        <v/>
      </c>
      <c r="AF6275" s="2" t="str">
        <f>IF(D6275="","",IFERROR(MATCH(D6275,Projects!$A:$A,0),""))</f>
        <v/>
      </c>
    </row>
    <row r="6276" spans="31:32" x14ac:dyDescent="0.25">
      <c r="AE6276" s="39" t="str">
        <f>IF(D6276="","",IFERROR(VLOOKUP(D6276,Projects!$A$2:$A$20000,1,FALSE),""))</f>
        <v/>
      </c>
      <c r="AF6276" s="2" t="str">
        <f>IF(D6276="","",IFERROR(MATCH(D6276,Projects!$A:$A,0),""))</f>
        <v/>
      </c>
    </row>
    <row r="6277" spans="31:32" x14ac:dyDescent="0.25">
      <c r="AE6277" s="39" t="str">
        <f>IF(D6277="","",IFERROR(VLOOKUP(D6277,Projects!$A$2:$A$20000,1,FALSE),""))</f>
        <v/>
      </c>
      <c r="AF6277" s="2" t="str">
        <f>IF(D6277="","",IFERROR(MATCH(D6277,Projects!$A:$A,0),""))</f>
        <v/>
      </c>
    </row>
    <row r="6278" spans="31:32" x14ac:dyDescent="0.25">
      <c r="AE6278" s="39" t="str">
        <f>IF(D6278="","",IFERROR(VLOOKUP(D6278,Projects!$A$2:$A$20000,1,FALSE),""))</f>
        <v/>
      </c>
      <c r="AF6278" s="2" t="str">
        <f>IF(D6278="","",IFERROR(MATCH(D6278,Projects!$A:$A,0),""))</f>
        <v/>
      </c>
    </row>
    <row r="6279" spans="31:32" x14ac:dyDescent="0.25">
      <c r="AE6279" s="39" t="str">
        <f>IF(D6279="","",IFERROR(VLOOKUP(D6279,Projects!$A$2:$A$20000,1,FALSE),""))</f>
        <v/>
      </c>
      <c r="AF6279" s="2" t="str">
        <f>IF(D6279="","",IFERROR(MATCH(D6279,Projects!$A:$A,0),""))</f>
        <v/>
      </c>
    </row>
    <row r="6280" spans="31:32" x14ac:dyDescent="0.25">
      <c r="AE6280" s="39" t="str">
        <f>IF(D6280="","",IFERROR(VLOOKUP(D6280,Projects!$A$2:$A$20000,1,FALSE),""))</f>
        <v/>
      </c>
      <c r="AF6280" s="2" t="str">
        <f>IF(D6280="","",IFERROR(MATCH(D6280,Projects!$A:$A,0),""))</f>
        <v/>
      </c>
    </row>
    <row r="6281" spans="31:32" x14ac:dyDescent="0.25">
      <c r="AE6281" s="39" t="str">
        <f>IF(D6281="","",IFERROR(VLOOKUP(D6281,Projects!$A$2:$A$20000,1,FALSE),""))</f>
        <v/>
      </c>
      <c r="AF6281" s="2" t="str">
        <f>IF(D6281="","",IFERROR(MATCH(D6281,Projects!$A:$A,0),""))</f>
        <v/>
      </c>
    </row>
    <row r="6282" spans="31:32" x14ac:dyDescent="0.25">
      <c r="AE6282" s="39" t="str">
        <f>IF(D6282="","",IFERROR(VLOOKUP(D6282,Projects!$A$2:$A$20000,1,FALSE),""))</f>
        <v/>
      </c>
      <c r="AF6282" s="2" t="str">
        <f>IF(D6282="","",IFERROR(MATCH(D6282,Projects!$A:$A,0),""))</f>
        <v/>
      </c>
    </row>
    <row r="6283" spans="31:32" x14ac:dyDescent="0.25">
      <c r="AE6283" s="39" t="str">
        <f>IF(D6283="","",IFERROR(VLOOKUP(D6283,Projects!$A$2:$A$20000,1,FALSE),""))</f>
        <v/>
      </c>
      <c r="AF6283" s="2" t="str">
        <f>IF(D6283="","",IFERROR(MATCH(D6283,Projects!$A:$A,0),""))</f>
        <v/>
      </c>
    </row>
    <row r="6284" spans="31:32" x14ac:dyDescent="0.25">
      <c r="AE6284" s="39" t="str">
        <f>IF(D6284="","",IFERROR(VLOOKUP(D6284,Projects!$A$2:$A$20000,1,FALSE),""))</f>
        <v/>
      </c>
      <c r="AF6284" s="2" t="str">
        <f>IF(D6284="","",IFERROR(MATCH(D6284,Projects!$A:$A,0),""))</f>
        <v/>
      </c>
    </row>
    <row r="6285" spans="31:32" x14ac:dyDescent="0.25">
      <c r="AE6285" s="39" t="str">
        <f>IF(D6285="","",IFERROR(VLOOKUP(D6285,Projects!$A$2:$A$20000,1,FALSE),""))</f>
        <v/>
      </c>
      <c r="AF6285" s="2" t="str">
        <f>IF(D6285="","",IFERROR(MATCH(D6285,Projects!$A:$A,0),""))</f>
        <v/>
      </c>
    </row>
    <row r="6286" spans="31:32" x14ac:dyDescent="0.25">
      <c r="AE6286" s="39" t="str">
        <f>IF(D6286="","",IFERROR(VLOOKUP(D6286,Projects!$A$2:$A$20000,1,FALSE),""))</f>
        <v/>
      </c>
      <c r="AF6286" s="2" t="str">
        <f>IF(D6286="","",IFERROR(MATCH(D6286,Projects!$A:$A,0),""))</f>
        <v/>
      </c>
    </row>
    <row r="6287" spans="31:32" x14ac:dyDescent="0.25">
      <c r="AE6287" s="39" t="str">
        <f>IF(D6287="","",IFERROR(VLOOKUP(D6287,Projects!$A$2:$A$20000,1,FALSE),""))</f>
        <v/>
      </c>
      <c r="AF6287" s="2" t="str">
        <f>IF(D6287="","",IFERROR(MATCH(D6287,Projects!$A:$A,0),""))</f>
        <v/>
      </c>
    </row>
    <row r="6288" spans="31:32" x14ac:dyDescent="0.25">
      <c r="AE6288" s="39" t="str">
        <f>IF(D6288="","",IFERROR(VLOOKUP(D6288,Projects!$A$2:$A$20000,1,FALSE),""))</f>
        <v/>
      </c>
      <c r="AF6288" s="2" t="str">
        <f>IF(D6288="","",IFERROR(MATCH(D6288,Projects!$A:$A,0),""))</f>
        <v/>
      </c>
    </row>
    <row r="6289" spans="31:32" x14ac:dyDescent="0.25">
      <c r="AE6289" s="39" t="str">
        <f>IF(D6289="","",IFERROR(VLOOKUP(D6289,Projects!$A$2:$A$20000,1,FALSE),""))</f>
        <v/>
      </c>
      <c r="AF6289" s="2" t="str">
        <f>IF(D6289="","",IFERROR(MATCH(D6289,Projects!$A:$A,0),""))</f>
        <v/>
      </c>
    </row>
    <row r="6290" spans="31:32" x14ac:dyDescent="0.25">
      <c r="AE6290" s="39" t="str">
        <f>IF(D6290="","",IFERROR(VLOOKUP(D6290,Projects!$A$2:$A$20000,1,FALSE),""))</f>
        <v/>
      </c>
      <c r="AF6290" s="2" t="str">
        <f>IF(D6290="","",IFERROR(MATCH(D6290,Projects!$A:$A,0),""))</f>
        <v/>
      </c>
    </row>
    <row r="6291" spans="31:32" x14ac:dyDescent="0.25">
      <c r="AE6291" s="39" t="str">
        <f>IF(D6291="","",IFERROR(VLOOKUP(D6291,Projects!$A$2:$A$20000,1,FALSE),""))</f>
        <v/>
      </c>
      <c r="AF6291" s="2" t="str">
        <f>IF(D6291="","",IFERROR(MATCH(D6291,Projects!$A:$A,0),""))</f>
        <v/>
      </c>
    </row>
    <row r="6292" spans="31:32" x14ac:dyDescent="0.25">
      <c r="AE6292" s="39" t="str">
        <f>IF(D6292="","",IFERROR(VLOOKUP(D6292,Projects!$A$2:$A$20000,1,FALSE),""))</f>
        <v/>
      </c>
      <c r="AF6292" s="2" t="str">
        <f>IF(D6292="","",IFERROR(MATCH(D6292,Projects!$A:$A,0),""))</f>
        <v/>
      </c>
    </row>
    <row r="6293" spans="31:32" x14ac:dyDescent="0.25">
      <c r="AE6293" s="39" t="str">
        <f>IF(D6293="","",IFERROR(VLOOKUP(D6293,Projects!$A$2:$A$20000,1,FALSE),""))</f>
        <v/>
      </c>
      <c r="AF6293" s="2" t="str">
        <f>IF(D6293="","",IFERROR(MATCH(D6293,Projects!$A:$A,0),""))</f>
        <v/>
      </c>
    </row>
    <row r="6294" spans="31:32" x14ac:dyDescent="0.25">
      <c r="AE6294" s="39" t="str">
        <f>IF(D6294="","",IFERROR(VLOOKUP(D6294,Projects!$A$2:$A$20000,1,FALSE),""))</f>
        <v/>
      </c>
      <c r="AF6294" s="2" t="str">
        <f>IF(D6294="","",IFERROR(MATCH(D6294,Projects!$A:$A,0),""))</f>
        <v/>
      </c>
    </row>
    <row r="6295" spans="31:32" x14ac:dyDescent="0.25">
      <c r="AE6295" s="39" t="str">
        <f>IF(D6295="","",IFERROR(VLOOKUP(D6295,Projects!$A$2:$A$20000,1,FALSE),""))</f>
        <v/>
      </c>
      <c r="AF6295" s="2" t="str">
        <f>IF(D6295="","",IFERROR(MATCH(D6295,Projects!$A:$A,0),""))</f>
        <v/>
      </c>
    </row>
    <row r="6296" spans="31:32" x14ac:dyDescent="0.25">
      <c r="AE6296" s="39" t="str">
        <f>IF(D6296="","",IFERROR(VLOOKUP(D6296,Projects!$A$2:$A$20000,1,FALSE),""))</f>
        <v/>
      </c>
      <c r="AF6296" s="2" t="str">
        <f>IF(D6296="","",IFERROR(MATCH(D6296,Projects!$A:$A,0),""))</f>
        <v/>
      </c>
    </row>
    <row r="6297" spans="31:32" x14ac:dyDescent="0.25">
      <c r="AE6297" s="39" t="str">
        <f>IF(D6297="","",IFERROR(VLOOKUP(D6297,Projects!$A$2:$A$20000,1,FALSE),""))</f>
        <v/>
      </c>
      <c r="AF6297" s="2" t="str">
        <f>IF(D6297="","",IFERROR(MATCH(D6297,Projects!$A:$A,0),""))</f>
        <v/>
      </c>
    </row>
    <row r="6298" spans="31:32" x14ac:dyDescent="0.25">
      <c r="AE6298" s="39" t="str">
        <f>IF(D6298="","",IFERROR(VLOOKUP(D6298,Projects!$A$2:$A$20000,1,FALSE),""))</f>
        <v/>
      </c>
      <c r="AF6298" s="2" t="str">
        <f>IF(D6298="","",IFERROR(MATCH(D6298,Projects!$A:$A,0),""))</f>
        <v/>
      </c>
    </row>
    <row r="6299" spans="31:32" x14ac:dyDescent="0.25">
      <c r="AE6299" s="39" t="str">
        <f>IF(D6299="","",IFERROR(VLOOKUP(D6299,Projects!$A$2:$A$20000,1,FALSE),""))</f>
        <v/>
      </c>
      <c r="AF6299" s="2" t="str">
        <f>IF(D6299="","",IFERROR(MATCH(D6299,Projects!$A:$A,0),""))</f>
        <v/>
      </c>
    </row>
    <row r="6300" spans="31:32" x14ac:dyDescent="0.25">
      <c r="AE6300" s="39" t="str">
        <f>IF(D6300="","",IFERROR(VLOOKUP(D6300,Projects!$A$2:$A$20000,1,FALSE),""))</f>
        <v/>
      </c>
      <c r="AF6300" s="2" t="str">
        <f>IF(D6300="","",IFERROR(MATCH(D6300,Projects!$A:$A,0),""))</f>
        <v/>
      </c>
    </row>
    <row r="6301" spans="31:32" x14ac:dyDescent="0.25">
      <c r="AE6301" s="39" t="str">
        <f>IF(D6301="","",IFERROR(VLOOKUP(D6301,Projects!$A$2:$A$20000,1,FALSE),""))</f>
        <v/>
      </c>
      <c r="AF6301" s="2" t="str">
        <f>IF(D6301="","",IFERROR(MATCH(D6301,Projects!$A:$A,0),""))</f>
        <v/>
      </c>
    </row>
    <row r="6302" spans="31:32" x14ac:dyDescent="0.25">
      <c r="AE6302" s="39" t="str">
        <f>IF(D6302="","",IFERROR(VLOOKUP(D6302,Projects!$A$2:$A$20000,1,FALSE),""))</f>
        <v/>
      </c>
      <c r="AF6302" s="2" t="str">
        <f>IF(D6302="","",IFERROR(MATCH(D6302,Projects!$A:$A,0),""))</f>
        <v/>
      </c>
    </row>
    <row r="6303" spans="31:32" x14ac:dyDescent="0.25">
      <c r="AE6303" s="39" t="str">
        <f>IF(D6303="","",IFERROR(VLOOKUP(D6303,Projects!$A$2:$A$20000,1,FALSE),""))</f>
        <v/>
      </c>
      <c r="AF6303" s="2" t="str">
        <f>IF(D6303="","",IFERROR(MATCH(D6303,Projects!$A:$A,0),""))</f>
        <v/>
      </c>
    </row>
    <row r="6304" spans="31:32" x14ac:dyDescent="0.25">
      <c r="AE6304" s="39" t="str">
        <f>IF(D6304="","",IFERROR(VLOOKUP(D6304,Projects!$A$2:$A$20000,1,FALSE),""))</f>
        <v/>
      </c>
      <c r="AF6304" s="2" t="str">
        <f>IF(D6304="","",IFERROR(MATCH(D6304,Projects!$A:$A,0),""))</f>
        <v/>
      </c>
    </row>
    <row r="6305" spans="31:32" x14ac:dyDescent="0.25">
      <c r="AE6305" s="39" t="str">
        <f>IF(D6305="","",IFERROR(VLOOKUP(D6305,Projects!$A$2:$A$20000,1,FALSE),""))</f>
        <v/>
      </c>
      <c r="AF6305" s="2" t="str">
        <f>IF(D6305="","",IFERROR(MATCH(D6305,Projects!$A:$A,0),""))</f>
        <v/>
      </c>
    </row>
    <row r="6306" spans="31:32" x14ac:dyDescent="0.25">
      <c r="AE6306" s="39" t="str">
        <f>IF(D6306="","",IFERROR(VLOOKUP(D6306,Projects!$A$2:$A$20000,1,FALSE),""))</f>
        <v/>
      </c>
      <c r="AF6306" s="2" t="str">
        <f>IF(D6306="","",IFERROR(MATCH(D6306,Projects!$A:$A,0),""))</f>
        <v/>
      </c>
    </row>
    <row r="6307" spans="31:32" x14ac:dyDescent="0.25">
      <c r="AE6307" s="39" t="str">
        <f>IF(D6307="","",IFERROR(VLOOKUP(D6307,Projects!$A$2:$A$20000,1,FALSE),""))</f>
        <v/>
      </c>
      <c r="AF6307" s="2" t="str">
        <f>IF(D6307="","",IFERROR(MATCH(D6307,Projects!$A:$A,0),""))</f>
        <v/>
      </c>
    </row>
    <row r="6308" spans="31:32" x14ac:dyDescent="0.25">
      <c r="AE6308" s="39" t="str">
        <f>IF(D6308="","",IFERROR(VLOOKUP(D6308,Projects!$A$2:$A$20000,1,FALSE),""))</f>
        <v/>
      </c>
      <c r="AF6308" s="2" t="str">
        <f>IF(D6308="","",IFERROR(MATCH(D6308,Projects!$A:$A,0),""))</f>
        <v/>
      </c>
    </row>
    <row r="6309" spans="31:32" x14ac:dyDescent="0.25">
      <c r="AE6309" s="39" t="str">
        <f>IF(D6309="","",IFERROR(VLOOKUP(D6309,Projects!$A$2:$A$20000,1,FALSE),""))</f>
        <v/>
      </c>
      <c r="AF6309" s="2" t="str">
        <f>IF(D6309="","",IFERROR(MATCH(D6309,Projects!$A:$A,0),""))</f>
        <v/>
      </c>
    </row>
    <row r="6310" spans="31:32" x14ac:dyDescent="0.25">
      <c r="AE6310" s="39" t="str">
        <f>IF(D6310="","",IFERROR(VLOOKUP(D6310,Projects!$A$2:$A$20000,1,FALSE),""))</f>
        <v/>
      </c>
      <c r="AF6310" s="2" t="str">
        <f>IF(D6310="","",IFERROR(MATCH(D6310,Projects!$A:$A,0),""))</f>
        <v/>
      </c>
    </row>
    <row r="6311" spans="31:32" x14ac:dyDescent="0.25">
      <c r="AE6311" s="39" t="str">
        <f>IF(D6311="","",IFERROR(VLOOKUP(D6311,Projects!$A$2:$A$20000,1,FALSE),""))</f>
        <v/>
      </c>
      <c r="AF6311" s="2" t="str">
        <f>IF(D6311="","",IFERROR(MATCH(D6311,Projects!$A:$A,0),""))</f>
        <v/>
      </c>
    </row>
    <row r="6312" spans="31:32" x14ac:dyDescent="0.25">
      <c r="AE6312" s="39" t="str">
        <f>IF(D6312="","",IFERROR(VLOOKUP(D6312,Projects!$A$2:$A$20000,1,FALSE),""))</f>
        <v/>
      </c>
      <c r="AF6312" s="2" t="str">
        <f>IF(D6312="","",IFERROR(MATCH(D6312,Projects!$A:$A,0),""))</f>
        <v/>
      </c>
    </row>
    <row r="6313" spans="31:32" x14ac:dyDescent="0.25">
      <c r="AE6313" s="39" t="str">
        <f>IF(D6313="","",IFERROR(VLOOKUP(D6313,Projects!$A$2:$A$20000,1,FALSE),""))</f>
        <v/>
      </c>
      <c r="AF6313" s="2" t="str">
        <f>IF(D6313="","",IFERROR(MATCH(D6313,Projects!$A:$A,0),""))</f>
        <v/>
      </c>
    </row>
    <row r="6314" spans="31:32" x14ac:dyDescent="0.25">
      <c r="AE6314" s="39" t="str">
        <f>IF(D6314="","",IFERROR(VLOOKUP(D6314,Projects!$A$2:$A$20000,1,FALSE),""))</f>
        <v/>
      </c>
      <c r="AF6314" s="2" t="str">
        <f>IF(D6314="","",IFERROR(MATCH(D6314,Projects!$A:$A,0),""))</f>
        <v/>
      </c>
    </row>
    <row r="6315" spans="31:32" x14ac:dyDescent="0.25">
      <c r="AE6315" s="39" t="str">
        <f>IF(D6315="","",IFERROR(VLOOKUP(D6315,Projects!$A$2:$A$20000,1,FALSE),""))</f>
        <v/>
      </c>
      <c r="AF6315" s="2" t="str">
        <f>IF(D6315="","",IFERROR(MATCH(D6315,Projects!$A:$A,0),""))</f>
        <v/>
      </c>
    </row>
    <row r="6316" spans="31:32" x14ac:dyDescent="0.25">
      <c r="AE6316" s="39" t="str">
        <f>IF(D6316="","",IFERROR(VLOOKUP(D6316,Projects!$A$2:$A$20000,1,FALSE),""))</f>
        <v/>
      </c>
      <c r="AF6316" s="2" t="str">
        <f>IF(D6316="","",IFERROR(MATCH(D6316,Projects!$A:$A,0),""))</f>
        <v/>
      </c>
    </row>
    <row r="6317" spans="31:32" x14ac:dyDescent="0.25">
      <c r="AE6317" s="39" t="str">
        <f>IF(D6317="","",IFERROR(VLOOKUP(D6317,Projects!$A$2:$A$20000,1,FALSE),""))</f>
        <v/>
      </c>
      <c r="AF6317" s="2" t="str">
        <f>IF(D6317="","",IFERROR(MATCH(D6317,Projects!$A:$A,0),""))</f>
        <v/>
      </c>
    </row>
    <row r="6318" spans="31:32" x14ac:dyDescent="0.25">
      <c r="AE6318" s="39" t="str">
        <f>IF(D6318="","",IFERROR(VLOOKUP(D6318,Projects!$A$2:$A$20000,1,FALSE),""))</f>
        <v/>
      </c>
      <c r="AF6318" s="2" t="str">
        <f>IF(D6318="","",IFERROR(MATCH(D6318,Projects!$A:$A,0),""))</f>
        <v/>
      </c>
    </row>
    <row r="6319" spans="31:32" x14ac:dyDescent="0.25">
      <c r="AE6319" s="39" t="str">
        <f>IF(D6319="","",IFERROR(VLOOKUP(D6319,Projects!$A$2:$A$20000,1,FALSE),""))</f>
        <v/>
      </c>
      <c r="AF6319" s="2" t="str">
        <f>IF(D6319="","",IFERROR(MATCH(D6319,Projects!$A:$A,0),""))</f>
        <v/>
      </c>
    </row>
    <row r="6320" spans="31:32" x14ac:dyDescent="0.25">
      <c r="AE6320" s="39" t="str">
        <f>IF(D6320="","",IFERROR(VLOOKUP(D6320,Projects!$A$2:$A$20000,1,FALSE),""))</f>
        <v/>
      </c>
      <c r="AF6320" s="2" t="str">
        <f>IF(D6320="","",IFERROR(MATCH(D6320,Projects!$A:$A,0),""))</f>
        <v/>
      </c>
    </row>
    <row r="6321" spans="31:32" x14ac:dyDescent="0.25">
      <c r="AE6321" s="39" t="str">
        <f>IF(D6321="","",IFERROR(VLOOKUP(D6321,Projects!$A$2:$A$20000,1,FALSE),""))</f>
        <v/>
      </c>
      <c r="AF6321" s="2" t="str">
        <f>IF(D6321="","",IFERROR(MATCH(D6321,Projects!$A:$A,0),""))</f>
        <v/>
      </c>
    </row>
    <row r="6322" spans="31:32" x14ac:dyDescent="0.25">
      <c r="AE6322" s="39" t="str">
        <f>IF(D6322="","",IFERROR(VLOOKUP(D6322,Projects!$A$2:$A$20000,1,FALSE),""))</f>
        <v/>
      </c>
      <c r="AF6322" s="2" t="str">
        <f>IF(D6322="","",IFERROR(MATCH(D6322,Projects!$A:$A,0),""))</f>
        <v/>
      </c>
    </row>
    <row r="6323" spans="31:32" x14ac:dyDescent="0.25">
      <c r="AE6323" s="39" t="str">
        <f>IF(D6323="","",IFERROR(VLOOKUP(D6323,Projects!$A$2:$A$20000,1,FALSE),""))</f>
        <v/>
      </c>
      <c r="AF6323" s="2" t="str">
        <f>IF(D6323="","",IFERROR(MATCH(D6323,Projects!$A:$A,0),""))</f>
        <v/>
      </c>
    </row>
    <row r="6324" spans="31:32" x14ac:dyDescent="0.25">
      <c r="AE6324" s="39" t="str">
        <f>IF(D6324="","",IFERROR(VLOOKUP(D6324,Projects!$A$2:$A$20000,1,FALSE),""))</f>
        <v/>
      </c>
      <c r="AF6324" s="2" t="str">
        <f>IF(D6324="","",IFERROR(MATCH(D6324,Projects!$A:$A,0),""))</f>
        <v/>
      </c>
    </row>
    <row r="6325" spans="31:32" x14ac:dyDescent="0.25">
      <c r="AE6325" s="39" t="str">
        <f>IF(D6325="","",IFERROR(VLOOKUP(D6325,Projects!$A$2:$A$20000,1,FALSE),""))</f>
        <v/>
      </c>
      <c r="AF6325" s="2" t="str">
        <f>IF(D6325="","",IFERROR(MATCH(D6325,Projects!$A:$A,0),""))</f>
        <v/>
      </c>
    </row>
    <row r="6326" spans="31:32" x14ac:dyDescent="0.25">
      <c r="AE6326" s="39" t="str">
        <f>IF(D6326="","",IFERROR(VLOOKUP(D6326,Projects!$A$2:$A$20000,1,FALSE),""))</f>
        <v/>
      </c>
      <c r="AF6326" s="2" t="str">
        <f>IF(D6326="","",IFERROR(MATCH(D6326,Projects!$A:$A,0),""))</f>
        <v/>
      </c>
    </row>
    <row r="6327" spans="31:32" x14ac:dyDescent="0.25">
      <c r="AE6327" s="39" t="str">
        <f>IF(D6327="","",IFERROR(VLOOKUP(D6327,Projects!$A$2:$A$20000,1,FALSE),""))</f>
        <v/>
      </c>
      <c r="AF6327" s="2" t="str">
        <f>IF(D6327="","",IFERROR(MATCH(D6327,Projects!$A:$A,0),""))</f>
        <v/>
      </c>
    </row>
    <row r="6328" spans="31:32" x14ac:dyDescent="0.25">
      <c r="AE6328" s="39" t="str">
        <f>IF(D6328="","",IFERROR(VLOOKUP(D6328,Projects!$A$2:$A$20000,1,FALSE),""))</f>
        <v/>
      </c>
      <c r="AF6328" s="2" t="str">
        <f>IF(D6328="","",IFERROR(MATCH(D6328,Projects!$A:$A,0),""))</f>
        <v/>
      </c>
    </row>
    <row r="6329" spans="31:32" x14ac:dyDescent="0.25">
      <c r="AE6329" s="39" t="str">
        <f>IF(D6329="","",IFERROR(VLOOKUP(D6329,Projects!$A$2:$A$20000,1,FALSE),""))</f>
        <v/>
      </c>
      <c r="AF6329" s="2" t="str">
        <f>IF(D6329="","",IFERROR(MATCH(D6329,Projects!$A:$A,0),""))</f>
        <v/>
      </c>
    </row>
    <row r="6330" spans="31:32" x14ac:dyDescent="0.25">
      <c r="AE6330" s="39" t="str">
        <f>IF(D6330="","",IFERROR(VLOOKUP(D6330,Projects!$A$2:$A$20000,1,FALSE),""))</f>
        <v/>
      </c>
      <c r="AF6330" s="2" t="str">
        <f>IF(D6330="","",IFERROR(MATCH(D6330,Projects!$A:$A,0),""))</f>
        <v/>
      </c>
    </row>
    <row r="6331" spans="31:32" x14ac:dyDescent="0.25">
      <c r="AE6331" s="39" t="str">
        <f>IF(D6331="","",IFERROR(VLOOKUP(D6331,Projects!$A$2:$A$20000,1,FALSE),""))</f>
        <v/>
      </c>
      <c r="AF6331" s="2" t="str">
        <f>IF(D6331="","",IFERROR(MATCH(D6331,Projects!$A:$A,0),""))</f>
        <v/>
      </c>
    </row>
    <row r="6332" spans="31:32" x14ac:dyDescent="0.25">
      <c r="AE6332" s="39" t="str">
        <f>IF(D6332="","",IFERROR(VLOOKUP(D6332,Projects!$A$2:$A$20000,1,FALSE),""))</f>
        <v/>
      </c>
      <c r="AF6332" s="2" t="str">
        <f>IF(D6332="","",IFERROR(MATCH(D6332,Projects!$A:$A,0),""))</f>
        <v/>
      </c>
    </row>
    <row r="6333" spans="31:32" x14ac:dyDescent="0.25">
      <c r="AE6333" s="39" t="str">
        <f>IF(D6333="","",IFERROR(VLOOKUP(D6333,Projects!$A$2:$A$20000,1,FALSE),""))</f>
        <v/>
      </c>
      <c r="AF6333" s="2" t="str">
        <f>IF(D6333="","",IFERROR(MATCH(D6333,Projects!$A:$A,0),""))</f>
        <v/>
      </c>
    </row>
    <row r="6334" spans="31:32" x14ac:dyDescent="0.25">
      <c r="AE6334" s="39" t="str">
        <f>IF(D6334="","",IFERROR(VLOOKUP(D6334,Projects!$A$2:$A$20000,1,FALSE),""))</f>
        <v/>
      </c>
      <c r="AF6334" s="2" t="str">
        <f>IF(D6334="","",IFERROR(MATCH(D6334,Projects!$A:$A,0),""))</f>
        <v/>
      </c>
    </row>
    <row r="6335" spans="31:32" x14ac:dyDescent="0.25">
      <c r="AE6335" s="39" t="str">
        <f>IF(D6335="","",IFERROR(VLOOKUP(D6335,Projects!$A$2:$A$20000,1,FALSE),""))</f>
        <v/>
      </c>
      <c r="AF6335" s="2" t="str">
        <f>IF(D6335="","",IFERROR(MATCH(D6335,Projects!$A:$A,0),""))</f>
        <v/>
      </c>
    </row>
    <row r="6336" spans="31:32" x14ac:dyDescent="0.25">
      <c r="AE6336" s="39" t="str">
        <f>IF(D6336="","",IFERROR(VLOOKUP(D6336,Projects!$A$2:$A$20000,1,FALSE),""))</f>
        <v/>
      </c>
      <c r="AF6336" s="2" t="str">
        <f>IF(D6336="","",IFERROR(MATCH(D6336,Projects!$A:$A,0),""))</f>
        <v/>
      </c>
    </row>
    <row r="6337" spans="31:32" x14ac:dyDescent="0.25">
      <c r="AE6337" s="39" t="str">
        <f>IF(D6337="","",IFERROR(VLOOKUP(D6337,Projects!$A$2:$A$20000,1,FALSE),""))</f>
        <v/>
      </c>
      <c r="AF6337" s="2" t="str">
        <f>IF(D6337="","",IFERROR(MATCH(D6337,Projects!$A:$A,0),""))</f>
        <v/>
      </c>
    </row>
    <row r="6338" spans="31:32" x14ac:dyDescent="0.25">
      <c r="AE6338" s="39" t="str">
        <f>IF(D6338="","",IFERROR(VLOOKUP(D6338,Projects!$A$2:$A$20000,1,FALSE),""))</f>
        <v/>
      </c>
      <c r="AF6338" s="2" t="str">
        <f>IF(D6338="","",IFERROR(MATCH(D6338,Projects!$A:$A,0),""))</f>
        <v/>
      </c>
    </row>
    <row r="6339" spans="31:32" x14ac:dyDescent="0.25">
      <c r="AE6339" s="39" t="str">
        <f>IF(D6339="","",IFERROR(VLOOKUP(D6339,Projects!$A$2:$A$20000,1,FALSE),""))</f>
        <v/>
      </c>
      <c r="AF6339" s="2" t="str">
        <f>IF(D6339="","",IFERROR(MATCH(D6339,Projects!$A:$A,0),""))</f>
        <v/>
      </c>
    </row>
    <row r="6340" spans="31:32" x14ac:dyDescent="0.25">
      <c r="AE6340" s="39" t="str">
        <f>IF(D6340="","",IFERROR(VLOOKUP(D6340,Projects!$A$2:$A$20000,1,FALSE),""))</f>
        <v/>
      </c>
      <c r="AF6340" s="2" t="str">
        <f>IF(D6340="","",IFERROR(MATCH(D6340,Projects!$A:$A,0),""))</f>
        <v/>
      </c>
    </row>
    <row r="6341" spans="31:32" x14ac:dyDescent="0.25">
      <c r="AE6341" s="39" t="str">
        <f>IF(D6341="","",IFERROR(VLOOKUP(D6341,Projects!$A$2:$A$20000,1,FALSE),""))</f>
        <v/>
      </c>
      <c r="AF6341" s="2" t="str">
        <f>IF(D6341="","",IFERROR(MATCH(D6341,Projects!$A:$A,0),""))</f>
        <v/>
      </c>
    </row>
    <row r="6342" spans="31:32" x14ac:dyDescent="0.25">
      <c r="AE6342" s="39" t="str">
        <f>IF(D6342="","",IFERROR(VLOOKUP(D6342,Projects!$A$2:$A$20000,1,FALSE),""))</f>
        <v/>
      </c>
      <c r="AF6342" s="2" t="str">
        <f>IF(D6342="","",IFERROR(MATCH(D6342,Projects!$A:$A,0),""))</f>
        <v/>
      </c>
    </row>
    <row r="6343" spans="31:32" x14ac:dyDescent="0.25">
      <c r="AE6343" s="39" t="str">
        <f>IF(D6343="","",IFERROR(VLOOKUP(D6343,Projects!$A$2:$A$20000,1,FALSE),""))</f>
        <v/>
      </c>
      <c r="AF6343" s="2" t="str">
        <f>IF(D6343="","",IFERROR(MATCH(D6343,Projects!$A:$A,0),""))</f>
        <v/>
      </c>
    </row>
    <row r="6344" spans="31:32" x14ac:dyDescent="0.25">
      <c r="AE6344" s="39" t="str">
        <f>IF(D6344="","",IFERROR(VLOOKUP(D6344,Projects!$A$2:$A$20000,1,FALSE),""))</f>
        <v/>
      </c>
      <c r="AF6344" s="2" t="str">
        <f>IF(D6344="","",IFERROR(MATCH(D6344,Projects!$A:$A,0),""))</f>
        <v/>
      </c>
    </row>
    <row r="6345" spans="31:32" x14ac:dyDescent="0.25">
      <c r="AE6345" s="39" t="str">
        <f>IF(D6345="","",IFERROR(VLOOKUP(D6345,Projects!$A$2:$A$20000,1,FALSE),""))</f>
        <v/>
      </c>
      <c r="AF6345" s="2" t="str">
        <f>IF(D6345="","",IFERROR(MATCH(D6345,Projects!$A:$A,0),""))</f>
        <v/>
      </c>
    </row>
    <row r="6346" spans="31:32" x14ac:dyDescent="0.25">
      <c r="AE6346" s="39" t="str">
        <f>IF(D6346="","",IFERROR(VLOOKUP(D6346,Projects!$A$2:$A$20000,1,FALSE),""))</f>
        <v/>
      </c>
      <c r="AF6346" s="2" t="str">
        <f>IF(D6346="","",IFERROR(MATCH(D6346,Projects!$A:$A,0),""))</f>
        <v/>
      </c>
    </row>
    <row r="6347" spans="31:32" x14ac:dyDescent="0.25">
      <c r="AE6347" s="39" t="str">
        <f>IF(D6347="","",IFERROR(VLOOKUP(D6347,Projects!$A$2:$A$20000,1,FALSE),""))</f>
        <v/>
      </c>
      <c r="AF6347" s="2" t="str">
        <f>IF(D6347="","",IFERROR(MATCH(D6347,Projects!$A:$A,0),""))</f>
        <v/>
      </c>
    </row>
    <row r="6348" spans="31:32" x14ac:dyDescent="0.25">
      <c r="AE6348" s="39" t="str">
        <f>IF(D6348="","",IFERROR(VLOOKUP(D6348,Projects!$A$2:$A$20000,1,FALSE),""))</f>
        <v/>
      </c>
      <c r="AF6348" s="2" t="str">
        <f>IF(D6348="","",IFERROR(MATCH(D6348,Projects!$A:$A,0),""))</f>
        <v/>
      </c>
    </row>
    <row r="6349" spans="31:32" x14ac:dyDescent="0.25">
      <c r="AE6349" s="39" t="str">
        <f>IF(D6349="","",IFERROR(VLOOKUP(D6349,Projects!$A$2:$A$20000,1,FALSE),""))</f>
        <v/>
      </c>
      <c r="AF6349" s="2" t="str">
        <f>IF(D6349="","",IFERROR(MATCH(D6349,Projects!$A:$A,0),""))</f>
        <v/>
      </c>
    </row>
    <row r="6350" spans="31:32" x14ac:dyDescent="0.25">
      <c r="AE6350" s="39" t="str">
        <f>IF(D6350="","",IFERROR(VLOOKUP(D6350,Projects!$A$2:$A$20000,1,FALSE),""))</f>
        <v/>
      </c>
      <c r="AF6350" s="2" t="str">
        <f>IF(D6350="","",IFERROR(MATCH(D6350,Projects!$A:$A,0),""))</f>
        <v/>
      </c>
    </row>
    <row r="6351" spans="31:32" x14ac:dyDescent="0.25">
      <c r="AE6351" s="39" t="str">
        <f>IF(D6351="","",IFERROR(VLOOKUP(D6351,Projects!$A$2:$A$20000,1,FALSE),""))</f>
        <v/>
      </c>
      <c r="AF6351" s="2" t="str">
        <f>IF(D6351="","",IFERROR(MATCH(D6351,Projects!$A:$A,0),""))</f>
        <v/>
      </c>
    </row>
    <row r="6352" spans="31:32" x14ac:dyDescent="0.25">
      <c r="AE6352" s="39" t="str">
        <f>IF(D6352="","",IFERROR(VLOOKUP(D6352,Projects!$A$2:$A$20000,1,FALSE),""))</f>
        <v/>
      </c>
      <c r="AF6352" s="2" t="str">
        <f>IF(D6352="","",IFERROR(MATCH(D6352,Projects!$A:$A,0),""))</f>
        <v/>
      </c>
    </row>
    <row r="6353" spans="31:32" x14ac:dyDescent="0.25">
      <c r="AE6353" s="39" t="str">
        <f>IF(D6353="","",IFERROR(VLOOKUP(D6353,Projects!$A$2:$A$20000,1,FALSE),""))</f>
        <v/>
      </c>
      <c r="AF6353" s="2" t="str">
        <f>IF(D6353="","",IFERROR(MATCH(D6353,Projects!$A:$A,0),""))</f>
        <v/>
      </c>
    </row>
    <row r="6354" spans="31:32" x14ac:dyDescent="0.25">
      <c r="AE6354" s="39" t="str">
        <f>IF(D6354="","",IFERROR(VLOOKUP(D6354,Projects!$A$2:$A$20000,1,FALSE),""))</f>
        <v/>
      </c>
      <c r="AF6354" s="2" t="str">
        <f>IF(D6354="","",IFERROR(MATCH(D6354,Projects!$A:$A,0),""))</f>
        <v/>
      </c>
    </row>
    <row r="6355" spans="31:32" x14ac:dyDescent="0.25">
      <c r="AE6355" s="39" t="str">
        <f>IF(D6355="","",IFERROR(VLOOKUP(D6355,Projects!$A$2:$A$20000,1,FALSE),""))</f>
        <v/>
      </c>
      <c r="AF6355" s="2" t="str">
        <f>IF(D6355="","",IFERROR(MATCH(D6355,Projects!$A:$A,0),""))</f>
        <v/>
      </c>
    </row>
    <row r="6356" spans="31:32" x14ac:dyDescent="0.25">
      <c r="AE6356" s="39" t="str">
        <f>IF(D6356="","",IFERROR(VLOOKUP(D6356,Projects!$A$2:$A$20000,1,FALSE),""))</f>
        <v/>
      </c>
      <c r="AF6356" s="2" t="str">
        <f>IF(D6356="","",IFERROR(MATCH(D6356,Projects!$A:$A,0),""))</f>
        <v/>
      </c>
    </row>
    <row r="6357" spans="31:32" x14ac:dyDescent="0.25">
      <c r="AE6357" s="39" t="str">
        <f>IF(D6357="","",IFERROR(VLOOKUP(D6357,Projects!$A$2:$A$20000,1,FALSE),""))</f>
        <v/>
      </c>
      <c r="AF6357" s="2" t="str">
        <f>IF(D6357="","",IFERROR(MATCH(D6357,Projects!$A:$A,0),""))</f>
        <v/>
      </c>
    </row>
    <row r="6358" spans="31:32" x14ac:dyDescent="0.25">
      <c r="AE6358" s="39" t="str">
        <f>IF(D6358="","",IFERROR(VLOOKUP(D6358,Projects!$A$2:$A$20000,1,FALSE),""))</f>
        <v/>
      </c>
      <c r="AF6358" s="2" t="str">
        <f>IF(D6358="","",IFERROR(MATCH(D6358,Projects!$A:$A,0),""))</f>
        <v/>
      </c>
    </row>
    <row r="6359" spans="31:32" x14ac:dyDescent="0.25">
      <c r="AE6359" s="39" t="str">
        <f>IF(D6359="","",IFERROR(VLOOKUP(D6359,Projects!$A$2:$A$20000,1,FALSE),""))</f>
        <v/>
      </c>
      <c r="AF6359" s="2" t="str">
        <f>IF(D6359="","",IFERROR(MATCH(D6359,Projects!$A:$A,0),""))</f>
        <v/>
      </c>
    </row>
    <row r="6360" spans="31:32" x14ac:dyDescent="0.25">
      <c r="AE6360" s="39" t="str">
        <f>IF(D6360="","",IFERROR(VLOOKUP(D6360,Projects!$A$2:$A$20000,1,FALSE),""))</f>
        <v/>
      </c>
      <c r="AF6360" s="2" t="str">
        <f>IF(D6360="","",IFERROR(MATCH(D6360,Projects!$A:$A,0),""))</f>
        <v/>
      </c>
    </row>
    <row r="6361" spans="31:32" x14ac:dyDescent="0.25">
      <c r="AE6361" s="39" t="str">
        <f>IF(D6361="","",IFERROR(VLOOKUP(D6361,Projects!$A$2:$A$20000,1,FALSE),""))</f>
        <v/>
      </c>
      <c r="AF6361" s="2" t="str">
        <f>IF(D6361="","",IFERROR(MATCH(D6361,Projects!$A:$A,0),""))</f>
        <v/>
      </c>
    </row>
    <row r="6362" spans="31:32" x14ac:dyDescent="0.25">
      <c r="AE6362" s="39" t="str">
        <f>IF(D6362="","",IFERROR(VLOOKUP(D6362,Projects!$A$2:$A$20000,1,FALSE),""))</f>
        <v/>
      </c>
      <c r="AF6362" s="2" t="str">
        <f>IF(D6362="","",IFERROR(MATCH(D6362,Projects!$A:$A,0),""))</f>
        <v/>
      </c>
    </row>
    <row r="6363" spans="31:32" x14ac:dyDescent="0.25">
      <c r="AE6363" s="39" t="str">
        <f>IF(D6363="","",IFERROR(VLOOKUP(D6363,Projects!$A$2:$A$20000,1,FALSE),""))</f>
        <v/>
      </c>
      <c r="AF6363" s="2" t="str">
        <f>IF(D6363="","",IFERROR(MATCH(D6363,Projects!$A:$A,0),""))</f>
        <v/>
      </c>
    </row>
    <row r="6364" spans="31:32" x14ac:dyDescent="0.25">
      <c r="AE6364" s="39" t="str">
        <f>IF(D6364="","",IFERROR(VLOOKUP(D6364,Projects!$A$2:$A$20000,1,FALSE),""))</f>
        <v/>
      </c>
      <c r="AF6364" s="2" t="str">
        <f>IF(D6364="","",IFERROR(MATCH(D6364,Projects!$A:$A,0),""))</f>
        <v/>
      </c>
    </row>
    <row r="6365" spans="31:32" x14ac:dyDescent="0.25">
      <c r="AE6365" s="39" t="str">
        <f>IF(D6365="","",IFERROR(VLOOKUP(D6365,Projects!$A$2:$A$20000,1,FALSE),""))</f>
        <v/>
      </c>
      <c r="AF6365" s="2" t="str">
        <f>IF(D6365="","",IFERROR(MATCH(D6365,Projects!$A:$A,0),""))</f>
        <v/>
      </c>
    </row>
    <row r="6366" spans="31:32" x14ac:dyDescent="0.25">
      <c r="AE6366" s="39" t="str">
        <f>IF(D6366="","",IFERROR(VLOOKUP(D6366,Projects!$A$2:$A$20000,1,FALSE),""))</f>
        <v/>
      </c>
      <c r="AF6366" s="2" t="str">
        <f>IF(D6366="","",IFERROR(MATCH(D6366,Projects!$A:$A,0),""))</f>
        <v/>
      </c>
    </row>
    <row r="6367" spans="31:32" x14ac:dyDescent="0.25">
      <c r="AE6367" s="39" t="str">
        <f>IF(D6367="","",IFERROR(VLOOKUP(D6367,Projects!$A$2:$A$20000,1,FALSE),""))</f>
        <v/>
      </c>
      <c r="AF6367" s="2" t="str">
        <f>IF(D6367="","",IFERROR(MATCH(D6367,Projects!$A:$A,0),""))</f>
        <v/>
      </c>
    </row>
    <row r="6368" spans="31:32" x14ac:dyDescent="0.25">
      <c r="AE6368" s="39" t="str">
        <f>IF(D6368="","",IFERROR(VLOOKUP(D6368,Projects!$A$2:$A$20000,1,FALSE),""))</f>
        <v/>
      </c>
      <c r="AF6368" s="2" t="str">
        <f>IF(D6368="","",IFERROR(MATCH(D6368,Projects!$A:$A,0),""))</f>
        <v/>
      </c>
    </row>
    <row r="6369" spans="31:32" x14ac:dyDescent="0.25">
      <c r="AE6369" s="39" t="str">
        <f>IF(D6369="","",IFERROR(VLOOKUP(D6369,Projects!$A$2:$A$20000,1,FALSE),""))</f>
        <v/>
      </c>
      <c r="AF6369" s="2" t="str">
        <f>IF(D6369="","",IFERROR(MATCH(D6369,Projects!$A:$A,0),""))</f>
        <v/>
      </c>
    </row>
    <row r="6370" spans="31:32" x14ac:dyDescent="0.25">
      <c r="AE6370" s="39" t="str">
        <f>IF(D6370="","",IFERROR(VLOOKUP(D6370,Projects!$A$2:$A$20000,1,FALSE),""))</f>
        <v/>
      </c>
      <c r="AF6370" s="2" t="str">
        <f>IF(D6370="","",IFERROR(MATCH(D6370,Projects!$A:$A,0),""))</f>
        <v/>
      </c>
    </row>
    <row r="6371" spans="31:32" x14ac:dyDescent="0.25">
      <c r="AE6371" s="39" t="str">
        <f>IF(D6371="","",IFERROR(VLOOKUP(D6371,Projects!$A$2:$A$20000,1,FALSE),""))</f>
        <v/>
      </c>
      <c r="AF6371" s="2" t="str">
        <f>IF(D6371="","",IFERROR(MATCH(D6371,Projects!$A:$A,0),""))</f>
        <v/>
      </c>
    </row>
    <row r="6372" spans="31:32" x14ac:dyDescent="0.25">
      <c r="AE6372" s="39" t="str">
        <f>IF(D6372="","",IFERROR(VLOOKUP(D6372,Projects!$A$2:$A$20000,1,FALSE),""))</f>
        <v/>
      </c>
      <c r="AF6372" s="2" t="str">
        <f>IF(D6372="","",IFERROR(MATCH(D6372,Projects!$A:$A,0),""))</f>
        <v/>
      </c>
    </row>
    <row r="6373" spans="31:32" x14ac:dyDescent="0.25">
      <c r="AE6373" s="39" t="str">
        <f>IF(D6373="","",IFERROR(VLOOKUP(D6373,Projects!$A$2:$A$20000,1,FALSE),""))</f>
        <v/>
      </c>
      <c r="AF6373" s="2" t="str">
        <f>IF(D6373="","",IFERROR(MATCH(D6373,Projects!$A:$A,0),""))</f>
        <v/>
      </c>
    </row>
    <row r="6374" spans="31:32" x14ac:dyDescent="0.25">
      <c r="AE6374" s="39" t="str">
        <f>IF(D6374="","",IFERROR(VLOOKUP(D6374,Projects!$A$2:$A$20000,1,FALSE),""))</f>
        <v/>
      </c>
      <c r="AF6374" s="2" t="str">
        <f>IF(D6374="","",IFERROR(MATCH(D6374,Projects!$A:$A,0),""))</f>
        <v/>
      </c>
    </row>
    <row r="6375" spans="31:32" x14ac:dyDescent="0.25">
      <c r="AE6375" s="39" t="str">
        <f>IF(D6375="","",IFERROR(VLOOKUP(D6375,Projects!$A$2:$A$20000,1,FALSE),""))</f>
        <v/>
      </c>
      <c r="AF6375" s="2" t="str">
        <f>IF(D6375="","",IFERROR(MATCH(D6375,Projects!$A:$A,0),""))</f>
        <v/>
      </c>
    </row>
    <row r="6376" spans="31:32" x14ac:dyDescent="0.25">
      <c r="AE6376" s="39" t="str">
        <f>IF(D6376="","",IFERROR(VLOOKUP(D6376,Projects!$A$2:$A$20000,1,FALSE),""))</f>
        <v/>
      </c>
      <c r="AF6376" s="2" t="str">
        <f>IF(D6376="","",IFERROR(MATCH(D6376,Projects!$A:$A,0),""))</f>
        <v/>
      </c>
    </row>
    <row r="6377" spans="31:32" x14ac:dyDescent="0.25">
      <c r="AE6377" s="39" t="str">
        <f>IF(D6377="","",IFERROR(VLOOKUP(D6377,Projects!$A$2:$A$20000,1,FALSE),""))</f>
        <v/>
      </c>
      <c r="AF6377" s="2" t="str">
        <f>IF(D6377="","",IFERROR(MATCH(D6377,Projects!$A:$A,0),""))</f>
        <v/>
      </c>
    </row>
    <row r="6378" spans="31:32" x14ac:dyDescent="0.25">
      <c r="AE6378" s="39" t="str">
        <f>IF(D6378="","",IFERROR(VLOOKUP(D6378,Projects!$A$2:$A$20000,1,FALSE),""))</f>
        <v/>
      </c>
      <c r="AF6378" s="2" t="str">
        <f>IF(D6378="","",IFERROR(MATCH(D6378,Projects!$A:$A,0),""))</f>
        <v/>
      </c>
    </row>
    <row r="6379" spans="31:32" x14ac:dyDescent="0.25">
      <c r="AE6379" s="39" t="str">
        <f>IF(D6379="","",IFERROR(VLOOKUP(D6379,Projects!$A$2:$A$20000,1,FALSE),""))</f>
        <v/>
      </c>
      <c r="AF6379" s="2" t="str">
        <f>IF(D6379="","",IFERROR(MATCH(D6379,Projects!$A:$A,0),""))</f>
        <v/>
      </c>
    </row>
    <row r="6380" spans="31:32" x14ac:dyDescent="0.25">
      <c r="AE6380" s="39" t="str">
        <f>IF(D6380="","",IFERROR(VLOOKUP(D6380,Projects!$A$2:$A$20000,1,FALSE),""))</f>
        <v/>
      </c>
      <c r="AF6380" s="2" t="str">
        <f>IF(D6380="","",IFERROR(MATCH(D6380,Projects!$A:$A,0),""))</f>
        <v/>
      </c>
    </row>
    <row r="6381" spans="31:32" x14ac:dyDescent="0.25">
      <c r="AE6381" s="39" t="str">
        <f>IF(D6381="","",IFERROR(VLOOKUP(D6381,Projects!$A$2:$A$20000,1,FALSE),""))</f>
        <v/>
      </c>
      <c r="AF6381" s="2" t="str">
        <f>IF(D6381="","",IFERROR(MATCH(D6381,Projects!$A:$A,0),""))</f>
        <v/>
      </c>
    </row>
    <row r="6382" spans="31:32" x14ac:dyDescent="0.25">
      <c r="AE6382" s="39" t="str">
        <f>IF(D6382="","",IFERROR(VLOOKUP(D6382,Projects!$A$2:$A$20000,1,FALSE),""))</f>
        <v/>
      </c>
      <c r="AF6382" s="2" t="str">
        <f>IF(D6382="","",IFERROR(MATCH(D6382,Projects!$A:$A,0),""))</f>
        <v/>
      </c>
    </row>
    <row r="6383" spans="31:32" x14ac:dyDescent="0.25">
      <c r="AE6383" s="39" t="str">
        <f>IF(D6383="","",IFERROR(VLOOKUP(D6383,Projects!$A$2:$A$20000,1,FALSE),""))</f>
        <v/>
      </c>
      <c r="AF6383" s="2" t="str">
        <f>IF(D6383="","",IFERROR(MATCH(D6383,Projects!$A:$A,0),""))</f>
        <v/>
      </c>
    </row>
    <row r="6384" spans="31:32" x14ac:dyDescent="0.25">
      <c r="AE6384" s="39" t="str">
        <f>IF(D6384="","",IFERROR(VLOOKUP(D6384,Projects!$A$2:$A$20000,1,FALSE),""))</f>
        <v/>
      </c>
      <c r="AF6384" s="2" t="str">
        <f>IF(D6384="","",IFERROR(MATCH(D6384,Projects!$A:$A,0),""))</f>
        <v/>
      </c>
    </row>
    <row r="6385" spans="31:32" x14ac:dyDescent="0.25">
      <c r="AE6385" s="39" t="str">
        <f>IF(D6385="","",IFERROR(VLOOKUP(D6385,Projects!$A$2:$A$20000,1,FALSE),""))</f>
        <v/>
      </c>
      <c r="AF6385" s="2" t="str">
        <f>IF(D6385="","",IFERROR(MATCH(D6385,Projects!$A:$A,0),""))</f>
        <v/>
      </c>
    </row>
    <row r="6386" spans="31:32" x14ac:dyDescent="0.25">
      <c r="AE6386" s="39" t="str">
        <f>IF(D6386="","",IFERROR(VLOOKUP(D6386,Projects!$A$2:$A$20000,1,FALSE),""))</f>
        <v/>
      </c>
      <c r="AF6386" s="2" t="str">
        <f>IF(D6386="","",IFERROR(MATCH(D6386,Projects!$A:$A,0),""))</f>
        <v/>
      </c>
    </row>
    <row r="6387" spans="31:32" x14ac:dyDescent="0.25">
      <c r="AE6387" s="39" t="str">
        <f>IF(D6387="","",IFERROR(VLOOKUP(D6387,Projects!$A$2:$A$20000,1,FALSE),""))</f>
        <v/>
      </c>
      <c r="AF6387" s="2" t="str">
        <f>IF(D6387="","",IFERROR(MATCH(D6387,Projects!$A:$A,0),""))</f>
        <v/>
      </c>
    </row>
    <row r="6388" spans="31:32" x14ac:dyDescent="0.25">
      <c r="AE6388" s="39" t="str">
        <f>IF(D6388="","",IFERROR(VLOOKUP(D6388,Projects!$A$2:$A$20000,1,FALSE),""))</f>
        <v/>
      </c>
      <c r="AF6388" s="2" t="str">
        <f>IF(D6388="","",IFERROR(MATCH(D6388,Projects!$A:$A,0),""))</f>
        <v/>
      </c>
    </row>
    <row r="6389" spans="31:32" x14ac:dyDescent="0.25">
      <c r="AE6389" s="39" t="str">
        <f>IF(D6389="","",IFERROR(VLOOKUP(D6389,Projects!$A$2:$A$20000,1,FALSE),""))</f>
        <v/>
      </c>
      <c r="AF6389" s="2" t="str">
        <f>IF(D6389="","",IFERROR(MATCH(D6389,Projects!$A:$A,0),""))</f>
        <v/>
      </c>
    </row>
    <row r="6390" spans="31:32" x14ac:dyDescent="0.25">
      <c r="AE6390" s="39" t="str">
        <f>IF(D6390="","",IFERROR(VLOOKUP(D6390,Projects!$A$2:$A$20000,1,FALSE),""))</f>
        <v/>
      </c>
      <c r="AF6390" s="2" t="str">
        <f>IF(D6390="","",IFERROR(MATCH(D6390,Projects!$A:$A,0),""))</f>
        <v/>
      </c>
    </row>
    <row r="6391" spans="31:32" x14ac:dyDescent="0.25">
      <c r="AE6391" s="39" t="str">
        <f>IF(D6391="","",IFERROR(VLOOKUP(D6391,Projects!$A$2:$A$20000,1,FALSE),""))</f>
        <v/>
      </c>
      <c r="AF6391" s="2" t="str">
        <f>IF(D6391="","",IFERROR(MATCH(D6391,Projects!$A:$A,0),""))</f>
        <v/>
      </c>
    </row>
    <row r="6392" spans="31:32" x14ac:dyDescent="0.25">
      <c r="AE6392" s="39" t="str">
        <f>IF(D6392="","",IFERROR(VLOOKUP(D6392,Projects!$A$2:$A$20000,1,FALSE),""))</f>
        <v/>
      </c>
      <c r="AF6392" s="2" t="str">
        <f>IF(D6392="","",IFERROR(MATCH(D6392,Projects!$A:$A,0),""))</f>
        <v/>
      </c>
    </row>
    <row r="6393" spans="31:32" x14ac:dyDescent="0.25">
      <c r="AE6393" s="39" t="str">
        <f>IF(D6393="","",IFERROR(VLOOKUP(D6393,Projects!$A$2:$A$20000,1,FALSE),""))</f>
        <v/>
      </c>
      <c r="AF6393" s="2" t="str">
        <f>IF(D6393="","",IFERROR(MATCH(D6393,Projects!$A:$A,0),""))</f>
        <v/>
      </c>
    </row>
    <row r="6394" spans="31:32" x14ac:dyDescent="0.25">
      <c r="AE6394" s="39" t="str">
        <f>IF(D6394="","",IFERROR(VLOOKUP(D6394,Projects!$A$2:$A$20000,1,FALSE),""))</f>
        <v/>
      </c>
      <c r="AF6394" s="2" t="str">
        <f>IF(D6394="","",IFERROR(MATCH(D6394,Projects!$A:$A,0),""))</f>
        <v/>
      </c>
    </row>
    <row r="6395" spans="31:32" x14ac:dyDescent="0.25">
      <c r="AE6395" s="39" t="str">
        <f>IF(D6395="","",IFERROR(VLOOKUP(D6395,Projects!$A$2:$A$20000,1,FALSE),""))</f>
        <v/>
      </c>
      <c r="AF6395" s="2" t="str">
        <f>IF(D6395="","",IFERROR(MATCH(D6395,Projects!$A:$A,0),""))</f>
        <v/>
      </c>
    </row>
    <row r="6396" spans="31:32" x14ac:dyDescent="0.25">
      <c r="AE6396" s="39" t="str">
        <f>IF(D6396="","",IFERROR(VLOOKUP(D6396,Projects!$A$2:$A$20000,1,FALSE),""))</f>
        <v/>
      </c>
      <c r="AF6396" s="2" t="str">
        <f>IF(D6396="","",IFERROR(MATCH(D6396,Projects!$A:$A,0),""))</f>
        <v/>
      </c>
    </row>
    <row r="6397" spans="31:32" x14ac:dyDescent="0.25">
      <c r="AE6397" s="39" t="str">
        <f>IF(D6397="","",IFERROR(VLOOKUP(D6397,Projects!$A$2:$A$20000,1,FALSE),""))</f>
        <v/>
      </c>
      <c r="AF6397" s="2" t="str">
        <f>IF(D6397="","",IFERROR(MATCH(D6397,Projects!$A:$A,0),""))</f>
        <v/>
      </c>
    </row>
    <row r="6398" spans="31:32" x14ac:dyDescent="0.25">
      <c r="AE6398" s="39" t="str">
        <f>IF(D6398="","",IFERROR(VLOOKUP(D6398,Projects!$A$2:$A$20000,1,FALSE),""))</f>
        <v/>
      </c>
      <c r="AF6398" s="2" t="str">
        <f>IF(D6398="","",IFERROR(MATCH(D6398,Projects!$A:$A,0),""))</f>
        <v/>
      </c>
    </row>
    <row r="6399" spans="31:32" x14ac:dyDescent="0.25">
      <c r="AE6399" s="39" t="str">
        <f>IF(D6399="","",IFERROR(VLOOKUP(D6399,Projects!$A$2:$A$20000,1,FALSE),""))</f>
        <v/>
      </c>
      <c r="AF6399" s="2" t="str">
        <f>IF(D6399="","",IFERROR(MATCH(D6399,Projects!$A:$A,0),""))</f>
        <v/>
      </c>
    </row>
    <row r="6400" spans="31:32" x14ac:dyDescent="0.25">
      <c r="AE6400" s="39" t="str">
        <f>IF(D6400="","",IFERROR(VLOOKUP(D6400,Projects!$A$2:$A$20000,1,FALSE),""))</f>
        <v/>
      </c>
      <c r="AF6400" s="2" t="str">
        <f>IF(D6400="","",IFERROR(MATCH(D6400,Projects!$A:$A,0),""))</f>
        <v/>
      </c>
    </row>
    <row r="6401" spans="31:32" x14ac:dyDescent="0.25">
      <c r="AE6401" s="39" t="str">
        <f>IF(D6401="","",IFERROR(VLOOKUP(D6401,Projects!$A$2:$A$20000,1,FALSE),""))</f>
        <v/>
      </c>
      <c r="AF6401" s="2" t="str">
        <f>IF(D6401="","",IFERROR(MATCH(D6401,Projects!$A:$A,0),""))</f>
        <v/>
      </c>
    </row>
    <row r="6402" spans="31:32" x14ac:dyDescent="0.25">
      <c r="AE6402" s="39" t="str">
        <f>IF(D6402="","",IFERROR(VLOOKUP(D6402,Projects!$A$2:$A$20000,1,FALSE),""))</f>
        <v/>
      </c>
      <c r="AF6402" s="2" t="str">
        <f>IF(D6402="","",IFERROR(MATCH(D6402,Projects!$A:$A,0),""))</f>
        <v/>
      </c>
    </row>
    <row r="6403" spans="31:32" x14ac:dyDescent="0.25">
      <c r="AE6403" s="39" t="str">
        <f>IF(D6403="","",IFERROR(VLOOKUP(D6403,Projects!$A$2:$A$20000,1,FALSE),""))</f>
        <v/>
      </c>
      <c r="AF6403" s="2" t="str">
        <f>IF(D6403="","",IFERROR(MATCH(D6403,Projects!$A:$A,0),""))</f>
        <v/>
      </c>
    </row>
    <row r="6404" spans="31:32" x14ac:dyDescent="0.25">
      <c r="AE6404" s="39" t="str">
        <f>IF(D6404="","",IFERROR(VLOOKUP(D6404,Projects!$A$2:$A$20000,1,FALSE),""))</f>
        <v/>
      </c>
      <c r="AF6404" s="2" t="str">
        <f>IF(D6404="","",IFERROR(MATCH(D6404,Projects!$A:$A,0),""))</f>
        <v/>
      </c>
    </row>
    <row r="6405" spans="31:32" x14ac:dyDescent="0.25">
      <c r="AE6405" s="39" t="str">
        <f>IF(D6405="","",IFERROR(VLOOKUP(D6405,Projects!$A$2:$A$20000,1,FALSE),""))</f>
        <v/>
      </c>
      <c r="AF6405" s="2" t="str">
        <f>IF(D6405="","",IFERROR(MATCH(D6405,Projects!$A:$A,0),""))</f>
        <v/>
      </c>
    </row>
    <row r="6406" spans="31:32" x14ac:dyDescent="0.25">
      <c r="AE6406" s="39" t="str">
        <f>IF(D6406="","",IFERROR(VLOOKUP(D6406,Projects!$A$2:$A$20000,1,FALSE),""))</f>
        <v/>
      </c>
      <c r="AF6406" s="2" t="str">
        <f>IF(D6406="","",IFERROR(MATCH(D6406,Projects!$A:$A,0),""))</f>
        <v/>
      </c>
    </row>
    <row r="6407" spans="31:32" x14ac:dyDescent="0.25">
      <c r="AE6407" s="39" t="str">
        <f>IF(D6407="","",IFERROR(VLOOKUP(D6407,Projects!$A$2:$A$20000,1,FALSE),""))</f>
        <v/>
      </c>
      <c r="AF6407" s="2" t="str">
        <f>IF(D6407="","",IFERROR(MATCH(D6407,Projects!$A:$A,0),""))</f>
        <v/>
      </c>
    </row>
    <row r="6408" spans="31:32" x14ac:dyDescent="0.25">
      <c r="AE6408" s="39" t="str">
        <f>IF(D6408="","",IFERROR(VLOOKUP(D6408,Projects!$A$2:$A$20000,1,FALSE),""))</f>
        <v/>
      </c>
      <c r="AF6408" s="2" t="str">
        <f>IF(D6408="","",IFERROR(MATCH(D6408,Projects!$A:$A,0),""))</f>
        <v/>
      </c>
    </row>
    <row r="6409" spans="31:32" x14ac:dyDescent="0.25">
      <c r="AE6409" s="39" t="str">
        <f>IF(D6409="","",IFERROR(VLOOKUP(D6409,Projects!$A$2:$A$20000,1,FALSE),""))</f>
        <v/>
      </c>
      <c r="AF6409" s="2" t="str">
        <f>IF(D6409="","",IFERROR(MATCH(D6409,Projects!$A:$A,0),""))</f>
        <v/>
      </c>
    </row>
    <row r="6410" spans="31:32" x14ac:dyDescent="0.25">
      <c r="AE6410" s="39" t="str">
        <f>IF(D6410="","",IFERROR(VLOOKUP(D6410,Projects!$A$2:$A$20000,1,FALSE),""))</f>
        <v/>
      </c>
      <c r="AF6410" s="2" t="str">
        <f>IF(D6410="","",IFERROR(MATCH(D6410,Projects!$A:$A,0),""))</f>
        <v/>
      </c>
    </row>
    <row r="6411" spans="31:32" x14ac:dyDescent="0.25">
      <c r="AE6411" s="39" t="str">
        <f>IF(D6411="","",IFERROR(VLOOKUP(D6411,Projects!$A$2:$A$20000,1,FALSE),""))</f>
        <v/>
      </c>
      <c r="AF6411" s="2" t="str">
        <f>IF(D6411="","",IFERROR(MATCH(D6411,Projects!$A:$A,0),""))</f>
        <v/>
      </c>
    </row>
    <row r="6412" spans="31:32" x14ac:dyDescent="0.25">
      <c r="AE6412" s="39" t="str">
        <f>IF(D6412="","",IFERROR(VLOOKUP(D6412,Projects!$A$2:$A$20000,1,FALSE),""))</f>
        <v/>
      </c>
      <c r="AF6412" s="2" t="str">
        <f>IF(D6412="","",IFERROR(MATCH(D6412,Projects!$A:$A,0),""))</f>
        <v/>
      </c>
    </row>
    <row r="6413" spans="31:32" x14ac:dyDescent="0.25">
      <c r="AE6413" s="39" t="str">
        <f>IF(D6413="","",IFERROR(VLOOKUP(D6413,Projects!$A$2:$A$20000,1,FALSE),""))</f>
        <v/>
      </c>
      <c r="AF6413" s="2" t="str">
        <f>IF(D6413="","",IFERROR(MATCH(D6413,Projects!$A:$A,0),""))</f>
        <v/>
      </c>
    </row>
    <row r="6414" spans="31:32" x14ac:dyDescent="0.25">
      <c r="AE6414" s="39" t="str">
        <f>IF(D6414="","",IFERROR(VLOOKUP(D6414,Projects!$A$2:$A$20000,1,FALSE),""))</f>
        <v/>
      </c>
      <c r="AF6414" s="2" t="str">
        <f>IF(D6414="","",IFERROR(MATCH(D6414,Projects!$A:$A,0),""))</f>
        <v/>
      </c>
    </row>
    <row r="6415" spans="31:32" x14ac:dyDescent="0.25">
      <c r="AE6415" s="39" t="str">
        <f>IF(D6415="","",IFERROR(VLOOKUP(D6415,Projects!$A$2:$A$20000,1,FALSE),""))</f>
        <v/>
      </c>
      <c r="AF6415" s="2" t="str">
        <f>IF(D6415="","",IFERROR(MATCH(D6415,Projects!$A:$A,0),""))</f>
        <v/>
      </c>
    </row>
    <row r="6416" spans="31:32" x14ac:dyDescent="0.25">
      <c r="AE6416" s="39" t="str">
        <f>IF(D6416="","",IFERROR(VLOOKUP(D6416,Projects!$A$2:$A$20000,1,FALSE),""))</f>
        <v/>
      </c>
      <c r="AF6416" s="2" t="str">
        <f>IF(D6416="","",IFERROR(MATCH(D6416,Projects!$A:$A,0),""))</f>
        <v/>
      </c>
    </row>
    <row r="6417" spans="31:32" x14ac:dyDescent="0.25">
      <c r="AE6417" s="39" t="str">
        <f>IF(D6417="","",IFERROR(VLOOKUP(D6417,Projects!$A$2:$A$20000,1,FALSE),""))</f>
        <v/>
      </c>
      <c r="AF6417" s="2" t="str">
        <f>IF(D6417="","",IFERROR(MATCH(D6417,Projects!$A:$A,0),""))</f>
        <v/>
      </c>
    </row>
    <row r="6418" spans="31:32" x14ac:dyDescent="0.25">
      <c r="AE6418" s="39" t="str">
        <f>IF(D6418="","",IFERROR(VLOOKUP(D6418,Projects!$A$2:$A$20000,1,FALSE),""))</f>
        <v/>
      </c>
      <c r="AF6418" s="2" t="str">
        <f>IF(D6418="","",IFERROR(MATCH(D6418,Projects!$A:$A,0),""))</f>
        <v/>
      </c>
    </row>
    <row r="6419" spans="31:32" x14ac:dyDescent="0.25">
      <c r="AE6419" s="39" t="str">
        <f>IF(D6419="","",IFERROR(VLOOKUP(D6419,Projects!$A$2:$A$20000,1,FALSE),""))</f>
        <v/>
      </c>
      <c r="AF6419" s="2" t="str">
        <f>IF(D6419="","",IFERROR(MATCH(D6419,Projects!$A:$A,0),""))</f>
        <v/>
      </c>
    </row>
    <row r="6420" spans="31:32" x14ac:dyDescent="0.25">
      <c r="AE6420" s="39" t="str">
        <f>IF(D6420="","",IFERROR(VLOOKUP(D6420,Projects!$A$2:$A$20000,1,FALSE),""))</f>
        <v/>
      </c>
      <c r="AF6420" s="2" t="str">
        <f>IF(D6420="","",IFERROR(MATCH(D6420,Projects!$A:$A,0),""))</f>
        <v/>
      </c>
    </row>
    <row r="6421" spans="31:32" x14ac:dyDescent="0.25">
      <c r="AE6421" s="39" t="str">
        <f>IF(D6421="","",IFERROR(VLOOKUP(D6421,Projects!$A$2:$A$20000,1,FALSE),""))</f>
        <v/>
      </c>
      <c r="AF6421" s="2" t="str">
        <f>IF(D6421="","",IFERROR(MATCH(D6421,Projects!$A:$A,0),""))</f>
        <v/>
      </c>
    </row>
    <row r="6422" spans="31:32" x14ac:dyDescent="0.25">
      <c r="AE6422" s="39" t="str">
        <f>IF(D6422="","",IFERROR(VLOOKUP(D6422,Projects!$A$2:$A$20000,1,FALSE),""))</f>
        <v/>
      </c>
      <c r="AF6422" s="2" t="str">
        <f>IF(D6422="","",IFERROR(MATCH(D6422,Projects!$A:$A,0),""))</f>
        <v/>
      </c>
    </row>
    <row r="6423" spans="31:32" x14ac:dyDescent="0.25">
      <c r="AE6423" s="39" t="str">
        <f>IF(D6423="","",IFERROR(VLOOKUP(D6423,Projects!$A$2:$A$20000,1,FALSE),""))</f>
        <v/>
      </c>
      <c r="AF6423" s="2" t="str">
        <f>IF(D6423="","",IFERROR(MATCH(D6423,Projects!$A:$A,0),""))</f>
        <v/>
      </c>
    </row>
    <row r="6424" spans="31:32" x14ac:dyDescent="0.25">
      <c r="AE6424" s="39" t="str">
        <f>IF(D6424="","",IFERROR(VLOOKUP(D6424,Projects!$A$2:$A$20000,1,FALSE),""))</f>
        <v/>
      </c>
      <c r="AF6424" s="2" t="str">
        <f>IF(D6424="","",IFERROR(MATCH(D6424,Projects!$A:$A,0),""))</f>
        <v/>
      </c>
    </row>
    <row r="6425" spans="31:32" x14ac:dyDescent="0.25">
      <c r="AE6425" s="39" t="str">
        <f>IF(D6425="","",IFERROR(VLOOKUP(D6425,Projects!$A$2:$A$20000,1,FALSE),""))</f>
        <v/>
      </c>
      <c r="AF6425" s="2" t="str">
        <f>IF(D6425="","",IFERROR(MATCH(D6425,Projects!$A:$A,0),""))</f>
        <v/>
      </c>
    </row>
    <row r="6426" spans="31:32" x14ac:dyDescent="0.25">
      <c r="AE6426" s="39" t="str">
        <f>IF(D6426="","",IFERROR(VLOOKUP(D6426,Projects!$A$2:$A$20000,1,FALSE),""))</f>
        <v/>
      </c>
      <c r="AF6426" s="2" t="str">
        <f>IF(D6426="","",IFERROR(MATCH(D6426,Projects!$A:$A,0),""))</f>
        <v/>
      </c>
    </row>
    <row r="6427" spans="31:32" x14ac:dyDescent="0.25">
      <c r="AE6427" s="39" t="str">
        <f>IF(D6427="","",IFERROR(VLOOKUP(D6427,Projects!$A$2:$A$20000,1,FALSE),""))</f>
        <v/>
      </c>
      <c r="AF6427" s="2" t="str">
        <f>IF(D6427="","",IFERROR(MATCH(D6427,Projects!$A:$A,0),""))</f>
        <v/>
      </c>
    </row>
    <row r="6428" spans="31:32" x14ac:dyDescent="0.25">
      <c r="AE6428" s="39" t="str">
        <f>IF(D6428="","",IFERROR(VLOOKUP(D6428,Projects!$A$2:$A$20000,1,FALSE),""))</f>
        <v/>
      </c>
      <c r="AF6428" s="2" t="str">
        <f>IF(D6428="","",IFERROR(MATCH(D6428,Projects!$A:$A,0),""))</f>
        <v/>
      </c>
    </row>
    <row r="6429" spans="31:32" x14ac:dyDescent="0.25">
      <c r="AE6429" s="39" t="str">
        <f>IF(D6429="","",IFERROR(VLOOKUP(D6429,Projects!$A$2:$A$20000,1,FALSE),""))</f>
        <v/>
      </c>
      <c r="AF6429" s="2" t="str">
        <f>IF(D6429="","",IFERROR(MATCH(D6429,Projects!$A:$A,0),""))</f>
        <v/>
      </c>
    </row>
    <row r="6430" spans="31:32" x14ac:dyDescent="0.25">
      <c r="AE6430" s="39" t="str">
        <f>IF(D6430="","",IFERROR(VLOOKUP(D6430,Projects!$A$2:$A$20000,1,FALSE),""))</f>
        <v/>
      </c>
      <c r="AF6430" s="2" t="str">
        <f>IF(D6430="","",IFERROR(MATCH(D6430,Projects!$A:$A,0),""))</f>
        <v/>
      </c>
    </row>
    <row r="6431" spans="31:32" x14ac:dyDescent="0.25">
      <c r="AE6431" s="39" t="str">
        <f>IF(D6431="","",IFERROR(VLOOKUP(D6431,Projects!$A$2:$A$20000,1,FALSE),""))</f>
        <v/>
      </c>
      <c r="AF6431" s="2" t="str">
        <f>IF(D6431="","",IFERROR(MATCH(D6431,Projects!$A:$A,0),""))</f>
        <v/>
      </c>
    </row>
    <row r="6432" spans="31:32" x14ac:dyDescent="0.25">
      <c r="AE6432" s="39" t="str">
        <f>IF(D6432="","",IFERROR(VLOOKUP(D6432,Projects!$A$2:$A$20000,1,FALSE),""))</f>
        <v/>
      </c>
      <c r="AF6432" s="2" t="str">
        <f>IF(D6432="","",IFERROR(MATCH(D6432,Projects!$A:$A,0),""))</f>
        <v/>
      </c>
    </row>
    <row r="6433" spans="31:32" x14ac:dyDescent="0.25">
      <c r="AE6433" s="39" t="str">
        <f>IF(D6433="","",IFERROR(VLOOKUP(D6433,Projects!$A$2:$A$20000,1,FALSE),""))</f>
        <v/>
      </c>
      <c r="AF6433" s="2" t="str">
        <f>IF(D6433="","",IFERROR(MATCH(D6433,Projects!$A:$A,0),""))</f>
        <v/>
      </c>
    </row>
    <row r="6434" spans="31:32" x14ac:dyDescent="0.25">
      <c r="AE6434" s="39" t="str">
        <f>IF(D6434="","",IFERROR(VLOOKUP(D6434,Projects!$A$2:$A$20000,1,FALSE),""))</f>
        <v/>
      </c>
      <c r="AF6434" s="2" t="str">
        <f>IF(D6434="","",IFERROR(MATCH(D6434,Projects!$A:$A,0),""))</f>
        <v/>
      </c>
    </row>
    <row r="6435" spans="31:32" x14ac:dyDescent="0.25">
      <c r="AE6435" s="39" t="str">
        <f>IF(D6435="","",IFERROR(VLOOKUP(D6435,Projects!$A$2:$A$20000,1,FALSE),""))</f>
        <v/>
      </c>
      <c r="AF6435" s="2" t="str">
        <f>IF(D6435="","",IFERROR(MATCH(D6435,Projects!$A:$A,0),""))</f>
        <v/>
      </c>
    </row>
    <row r="6436" spans="31:32" x14ac:dyDescent="0.25">
      <c r="AE6436" s="39" t="str">
        <f>IF(D6436="","",IFERROR(VLOOKUP(D6436,Projects!$A$2:$A$20000,1,FALSE),""))</f>
        <v/>
      </c>
      <c r="AF6436" s="2" t="str">
        <f>IF(D6436="","",IFERROR(MATCH(D6436,Projects!$A:$A,0),""))</f>
        <v/>
      </c>
    </row>
    <row r="6437" spans="31:32" x14ac:dyDescent="0.25">
      <c r="AE6437" s="39" t="str">
        <f>IF(D6437="","",IFERROR(VLOOKUP(D6437,Projects!$A$2:$A$20000,1,FALSE),""))</f>
        <v/>
      </c>
      <c r="AF6437" s="2" t="str">
        <f>IF(D6437="","",IFERROR(MATCH(D6437,Projects!$A:$A,0),""))</f>
        <v/>
      </c>
    </row>
    <row r="6438" spans="31:32" x14ac:dyDescent="0.25">
      <c r="AE6438" s="39" t="str">
        <f>IF(D6438="","",IFERROR(VLOOKUP(D6438,Projects!$A$2:$A$20000,1,FALSE),""))</f>
        <v/>
      </c>
      <c r="AF6438" s="2" t="str">
        <f>IF(D6438="","",IFERROR(MATCH(D6438,Projects!$A:$A,0),""))</f>
        <v/>
      </c>
    </row>
    <row r="6439" spans="31:32" x14ac:dyDescent="0.25">
      <c r="AE6439" s="39" t="str">
        <f>IF(D6439="","",IFERROR(VLOOKUP(D6439,Projects!$A$2:$A$20000,1,FALSE),""))</f>
        <v/>
      </c>
      <c r="AF6439" s="2" t="str">
        <f>IF(D6439="","",IFERROR(MATCH(D6439,Projects!$A:$A,0),""))</f>
        <v/>
      </c>
    </row>
    <row r="6440" spans="31:32" x14ac:dyDescent="0.25">
      <c r="AE6440" s="39" t="str">
        <f>IF(D6440="","",IFERROR(VLOOKUP(D6440,Projects!$A$2:$A$20000,1,FALSE),""))</f>
        <v/>
      </c>
      <c r="AF6440" s="2" t="str">
        <f>IF(D6440="","",IFERROR(MATCH(D6440,Projects!$A:$A,0),""))</f>
        <v/>
      </c>
    </row>
    <row r="6441" spans="31:32" x14ac:dyDescent="0.25">
      <c r="AE6441" s="39" t="str">
        <f>IF(D6441="","",IFERROR(VLOOKUP(D6441,Projects!$A$2:$A$20000,1,FALSE),""))</f>
        <v/>
      </c>
      <c r="AF6441" s="2" t="str">
        <f>IF(D6441="","",IFERROR(MATCH(D6441,Projects!$A:$A,0),""))</f>
        <v/>
      </c>
    </row>
    <row r="6442" spans="31:32" x14ac:dyDescent="0.25">
      <c r="AE6442" s="39" t="str">
        <f>IF(D6442="","",IFERROR(VLOOKUP(D6442,Projects!$A$2:$A$20000,1,FALSE),""))</f>
        <v/>
      </c>
      <c r="AF6442" s="2" t="str">
        <f>IF(D6442="","",IFERROR(MATCH(D6442,Projects!$A:$A,0),""))</f>
        <v/>
      </c>
    </row>
    <row r="6443" spans="31:32" x14ac:dyDescent="0.25">
      <c r="AE6443" s="39" t="str">
        <f>IF(D6443="","",IFERROR(VLOOKUP(D6443,Projects!$A$2:$A$20000,1,FALSE),""))</f>
        <v/>
      </c>
      <c r="AF6443" s="2" t="str">
        <f>IF(D6443="","",IFERROR(MATCH(D6443,Projects!$A:$A,0),""))</f>
        <v/>
      </c>
    </row>
    <row r="6444" spans="31:32" x14ac:dyDescent="0.25">
      <c r="AE6444" s="39" t="str">
        <f>IF(D6444="","",IFERROR(VLOOKUP(D6444,Projects!$A$2:$A$20000,1,FALSE),""))</f>
        <v/>
      </c>
      <c r="AF6444" s="2" t="str">
        <f>IF(D6444="","",IFERROR(MATCH(D6444,Projects!$A:$A,0),""))</f>
        <v/>
      </c>
    </row>
    <row r="6445" spans="31:32" x14ac:dyDescent="0.25">
      <c r="AE6445" s="39" t="str">
        <f>IF(D6445="","",IFERROR(VLOOKUP(D6445,Projects!$A$2:$A$20000,1,FALSE),""))</f>
        <v/>
      </c>
      <c r="AF6445" s="2" t="str">
        <f>IF(D6445="","",IFERROR(MATCH(D6445,Projects!$A:$A,0),""))</f>
        <v/>
      </c>
    </row>
    <row r="6446" spans="31:32" x14ac:dyDescent="0.25">
      <c r="AE6446" s="39" t="str">
        <f>IF(D6446="","",IFERROR(VLOOKUP(D6446,Projects!$A$2:$A$20000,1,FALSE),""))</f>
        <v/>
      </c>
      <c r="AF6446" s="2" t="str">
        <f>IF(D6446="","",IFERROR(MATCH(D6446,Projects!$A:$A,0),""))</f>
        <v/>
      </c>
    </row>
    <row r="6447" spans="31:32" x14ac:dyDescent="0.25">
      <c r="AE6447" s="39" t="str">
        <f>IF(D6447="","",IFERROR(VLOOKUP(D6447,Projects!$A$2:$A$20000,1,FALSE),""))</f>
        <v/>
      </c>
      <c r="AF6447" s="2" t="str">
        <f>IF(D6447="","",IFERROR(MATCH(D6447,Projects!$A:$A,0),""))</f>
        <v/>
      </c>
    </row>
    <row r="6448" spans="31:32" x14ac:dyDescent="0.25">
      <c r="AE6448" s="39" t="str">
        <f>IF(D6448="","",IFERROR(VLOOKUP(D6448,Projects!$A$2:$A$20000,1,FALSE),""))</f>
        <v/>
      </c>
      <c r="AF6448" s="2" t="str">
        <f>IF(D6448="","",IFERROR(MATCH(D6448,Projects!$A:$A,0),""))</f>
        <v/>
      </c>
    </row>
    <row r="6449" spans="31:32" x14ac:dyDescent="0.25">
      <c r="AE6449" s="39" t="str">
        <f>IF(D6449="","",IFERROR(VLOOKUP(D6449,Projects!$A$2:$A$20000,1,FALSE),""))</f>
        <v/>
      </c>
      <c r="AF6449" s="2" t="str">
        <f>IF(D6449="","",IFERROR(MATCH(D6449,Projects!$A:$A,0),""))</f>
        <v/>
      </c>
    </row>
    <row r="6450" spans="31:32" x14ac:dyDescent="0.25">
      <c r="AE6450" s="39" t="str">
        <f>IF(D6450="","",IFERROR(VLOOKUP(D6450,Projects!$A$2:$A$20000,1,FALSE),""))</f>
        <v/>
      </c>
      <c r="AF6450" s="2" t="str">
        <f>IF(D6450="","",IFERROR(MATCH(D6450,Projects!$A:$A,0),""))</f>
        <v/>
      </c>
    </row>
    <row r="6451" spans="31:32" x14ac:dyDescent="0.25">
      <c r="AE6451" s="39" t="str">
        <f>IF(D6451="","",IFERROR(VLOOKUP(D6451,Projects!$A$2:$A$20000,1,FALSE),""))</f>
        <v/>
      </c>
      <c r="AF6451" s="2" t="str">
        <f>IF(D6451="","",IFERROR(MATCH(D6451,Projects!$A:$A,0),""))</f>
        <v/>
      </c>
    </row>
    <row r="6452" spans="31:32" x14ac:dyDescent="0.25">
      <c r="AE6452" s="39" t="str">
        <f>IF(D6452="","",IFERROR(VLOOKUP(D6452,Projects!$A$2:$A$20000,1,FALSE),""))</f>
        <v/>
      </c>
      <c r="AF6452" s="2" t="str">
        <f>IF(D6452="","",IFERROR(MATCH(D6452,Projects!$A:$A,0),""))</f>
        <v/>
      </c>
    </row>
    <row r="6453" spans="31:32" x14ac:dyDescent="0.25">
      <c r="AE6453" s="39" t="str">
        <f>IF(D6453="","",IFERROR(VLOOKUP(D6453,Projects!$A$2:$A$20000,1,FALSE),""))</f>
        <v/>
      </c>
      <c r="AF6453" s="2" t="str">
        <f>IF(D6453="","",IFERROR(MATCH(D6453,Projects!$A:$A,0),""))</f>
        <v/>
      </c>
    </row>
    <row r="6454" spans="31:32" x14ac:dyDescent="0.25">
      <c r="AE6454" s="39" t="str">
        <f>IF(D6454="","",IFERROR(VLOOKUP(D6454,Projects!$A$2:$A$20000,1,FALSE),""))</f>
        <v/>
      </c>
      <c r="AF6454" s="2" t="str">
        <f>IF(D6454="","",IFERROR(MATCH(D6454,Projects!$A:$A,0),""))</f>
        <v/>
      </c>
    </row>
    <row r="6455" spans="31:32" x14ac:dyDescent="0.25">
      <c r="AE6455" s="39" t="str">
        <f>IF(D6455="","",IFERROR(VLOOKUP(D6455,Projects!$A$2:$A$20000,1,FALSE),""))</f>
        <v/>
      </c>
      <c r="AF6455" s="2" t="str">
        <f>IF(D6455="","",IFERROR(MATCH(D6455,Projects!$A:$A,0),""))</f>
        <v/>
      </c>
    </row>
    <row r="6456" spans="31:32" x14ac:dyDescent="0.25">
      <c r="AE6456" s="39" t="str">
        <f>IF(D6456="","",IFERROR(VLOOKUP(D6456,Projects!$A$2:$A$20000,1,FALSE),""))</f>
        <v/>
      </c>
      <c r="AF6456" s="2" t="str">
        <f>IF(D6456="","",IFERROR(MATCH(D6456,Projects!$A:$A,0),""))</f>
        <v/>
      </c>
    </row>
    <row r="6457" spans="31:32" x14ac:dyDescent="0.25">
      <c r="AE6457" s="39" t="str">
        <f>IF(D6457="","",IFERROR(VLOOKUP(D6457,Projects!$A$2:$A$20000,1,FALSE),""))</f>
        <v/>
      </c>
      <c r="AF6457" s="2" t="str">
        <f>IF(D6457="","",IFERROR(MATCH(D6457,Projects!$A:$A,0),""))</f>
        <v/>
      </c>
    </row>
    <row r="6458" spans="31:32" x14ac:dyDescent="0.25">
      <c r="AE6458" s="39" t="str">
        <f>IF(D6458="","",IFERROR(VLOOKUP(D6458,Projects!$A$2:$A$20000,1,FALSE),""))</f>
        <v/>
      </c>
      <c r="AF6458" s="2" t="str">
        <f>IF(D6458="","",IFERROR(MATCH(D6458,Projects!$A:$A,0),""))</f>
        <v/>
      </c>
    </row>
    <row r="6459" spans="31:32" x14ac:dyDescent="0.25">
      <c r="AE6459" s="39" t="str">
        <f>IF(D6459="","",IFERROR(VLOOKUP(D6459,Projects!$A$2:$A$20000,1,FALSE),""))</f>
        <v/>
      </c>
      <c r="AF6459" s="2" t="str">
        <f>IF(D6459="","",IFERROR(MATCH(D6459,Projects!$A:$A,0),""))</f>
        <v/>
      </c>
    </row>
    <row r="6460" spans="31:32" x14ac:dyDescent="0.25">
      <c r="AE6460" s="39" t="str">
        <f>IF(D6460="","",IFERROR(VLOOKUP(D6460,Projects!$A$2:$A$20000,1,FALSE),""))</f>
        <v/>
      </c>
      <c r="AF6460" s="2" t="str">
        <f>IF(D6460="","",IFERROR(MATCH(D6460,Projects!$A:$A,0),""))</f>
        <v/>
      </c>
    </row>
    <row r="6461" spans="31:32" x14ac:dyDescent="0.25">
      <c r="AE6461" s="39" t="str">
        <f>IF(D6461="","",IFERROR(VLOOKUP(D6461,Projects!$A$2:$A$20000,1,FALSE),""))</f>
        <v/>
      </c>
      <c r="AF6461" s="2" t="str">
        <f>IF(D6461="","",IFERROR(MATCH(D6461,Projects!$A:$A,0),""))</f>
        <v/>
      </c>
    </row>
    <row r="6462" spans="31:32" x14ac:dyDescent="0.25">
      <c r="AE6462" s="39" t="str">
        <f>IF(D6462="","",IFERROR(VLOOKUP(D6462,Projects!$A$2:$A$20000,1,FALSE),""))</f>
        <v/>
      </c>
      <c r="AF6462" s="2" t="str">
        <f>IF(D6462="","",IFERROR(MATCH(D6462,Projects!$A:$A,0),""))</f>
        <v/>
      </c>
    </row>
    <row r="6463" spans="31:32" x14ac:dyDescent="0.25">
      <c r="AE6463" s="39" t="str">
        <f>IF(D6463="","",IFERROR(VLOOKUP(D6463,Projects!$A$2:$A$20000,1,FALSE),""))</f>
        <v/>
      </c>
      <c r="AF6463" s="2" t="str">
        <f>IF(D6463="","",IFERROR(MATCH(D6463,Projects!$A:$A,0),""))</f>
        <v/>
      </c>
    </row>
    <row r="6464" spans="31:32" x14ac:dyDescent="0.25">
      <c r="AE6464" s="39" t="str">
        <f>IF(D6464="","",IFERROR(VLOOKUP(D6464,Projects!$A$2:$A$20000,1,FALSE),""))</f>
        <v/>
      </c>
      <c r="AF6464" s="2" t="str">
        <f>IF(D6464="","",IFERROR(MATCH(D6464,Projects!$A:$A,0),""))</f>
        <v/>
      </c>
    </row>
    <row r="6465" spans="31:32" x14ac:dyDescent="0.25">
      <c r="AE6465" s="39" t="str">
        <f>IF(D6465="","",IFERROR(VLOOKUP(D6465,Projects!$A$2:$A$20000,1,FALSE),""))</f>
        <v/>
      </c>
      <c r="AF6465" s="2" t="str">
        <f>IF(D6465="","",IFERROR(MATCH(D6465,Projects!$A:$A,0),""))</f>
        <v/>
      </c>
    </row>
    <row r="6466" spans="31:32" x14ac:dyDescent="0.25">
      <c r="AE6466" s="39" t="str">
        <f>IF(D6466="","",IFERROR(VLOOKUP(D6466,Projects!$A$2:$A$20000,1,FALSE),""))</f>
        <v/>
      </c>
      <c r="AF6466" s="2" t="str">
        <f>IF(D6466="","",IFERROR(MATCH(D6466,Projects!$A:$A,0),""))</f>
        <v/>
      </c>
    </row>
    <row r="6467" spans="31:32" x14ac:dyDescent="0.25">
      <c r="AE6467" s="39" t="str">
        <f>IF(D6467="","",IFERROR(VLOOKUP(D6467,Projects!$A$2:$A$20000,1,FALSE),""))</f>
        <v/>
      </c>
      <c r="AF6467" s="2" t="str">
        <f>IF(D6467="","",IFERROR(MATCH(D6467,Projects!$A:$A,0),""))</f>
        <v/>
      </c>
    </row>
    <row r="6468" spans="31:32" x14ac:dyDescent="0.25">
      <c r="AE6468" s="39" t="str">
        <f>IF(D6468="","",IFERROR(VLOOKUP(D6468,Projects!$A$2:$A$20000,1,FALSE),""))</f>
        <v/>
      </c>
      <c r="AF6468" s="2" t="str">
        <f>IF(D6468="","",IFERROR(MATCH(D6468,Projects!$A:$A,0),""))</f>
        <v/>
      </c>
    </row>
    <row r="6469" spans="31:32" x14ac:dyDescent="0.25">
      <c r="AE6469" s="39" t="str">
        <f>IF(D6469="","",IFERROR(VLOOKUP(D6469,Projects!$A$2:$A$20000,1,FALSE),""))</f>
        <v/>
      </c>
      <c r="AF6469" s="2" t="str">
        <f>IF(D6469="","",IFERROR(MATCH(D6469,Projects!$A:$A,0),""))</f>
        <v/>
      </c>
    </row>
    <row r="6470" spans="31:32" x14ac:dyDescent="0.25">
      <c r="AE6470" s="39" t="str">
        <f>IF(D6470="","",IFERROR(VLOOKUP(D6470,Projects!$A$2:$A$20000,1,FALSE),""))</f>
        <v/>
      </c>
      <c r="AF6470" s="2" t="str">
        <f>IF(D6470="","",IFERROR(MATCH(D6470,Projects!$A:$A,0),""))</f>
        <v/>
      </c>
    </row>
    <row r="6471" spans="31:32" x14ac:dyDescent="0.25">
      <c r="AE6471" s="39" t="str">
        <f>IF(D6471="","",IFERROR(VLOOKUP(D6471,Projects!$A$2:$A$20000,1,FALSE),""))</f>
        <v/>
      </c>
      <c r="AF6471" s="2" t="str">
        <f>IF(D6471="","",IFERROR(MATCH(D6471,Projects!$A:$A,0),""))</f>
        <v/>
      </c>
    </row>
    <row r="6472" spans="31:32" x14ac:dyDescent="0.25">
      <c r="AE6472" s="39" t="str">
        <f>IF(D6472="","",IFERROR(VLOOKUP(D6472,Projects!$A$2:$A$20000,1,FALSE),""))</f>
        <v/>
      </c>
      <c r="AF6472" s="2" t="str">
        <f>IF(D6472="","",IFERROR(MATCH(D6472,Projects!$A:$A,0),""))</f>
        <v/>
      </c>
    </row>
    <row r="6473" spans="31:32" x14ac:dyDescent="0.25">
      <c r="AE6473" s="39" t="str">
        <f>IF(D6473="","",IFERROR(VLOOKUP(D6473,Projects!$A$2:$A$20000,1,FALSE),""))</f>
        <v/>
      </c>
      <c r="AF6473" s="2" t="str">
        <f>IF(D6473="","",IFERROR(MATCH(D6473,Projects!$A:$A,0),""))</f>
        <v/>
      </c>
    </row>
    <row r="6474" spans="31:32" x14ac:dyDescent="0.25">
      <c r="AE6474" s="39" t="str">
        <f>IF(D6474="","",IFERROR(VLOOKUP(D6474,Projects!$A$2:$A$20000,1,FALSE),""))</f>
        <v/>
      </c>
      <c r="AF6474" s="2" t="str">
        <f>IF(D6474="","",IFERROR(MATCH(D6474,Projects!$A:$A,0),""))</f>
        <v/>
      </c>
    </row>
    <row r="6475" spans="31:32" x14ac:dyDescent="0.25">
      <c r="AE6475" s="39" t="str">
        <f>IF(D6475="","",IFERROR(VLOOKUP(D6475,Projects!$A$2:$A$20000,1,FALSE),""))</f>
        <v/>
      </c>
      <c r="AF6475" s="2" t="str">
        <f>IF(D6475="","",IFERROR(MATCH(D6475,Projects!$A:$A,0),""))</f>
        <v/>
      </c>
    </row>
    <row r="6476" spans="31:32" x14ac:dyDescent="0.25">
      <c r="AE6476" s="39" t="str">
        <f>IF(D6476="","",IFERROR(VLOOKUP(D6476,Projects!$A$2:$A$20000,1,FALSE),""))</f>
        <v/>
      </c>
      <c r="AF6476" s="2" t="str">
        <f>IF(D6476="","",IFERROR(MATCH(D6476,Projects!$A:$A,0),""))</f>
        <v/>
      </c>
    </row>
    <row r="6477" spans="31:32" x14ac:dyDescent="0.25">
      <c r="AE6477" s="39" t="str">
        <f>IF(D6477="","",IFERROR(VLOOKUP(D6477,Projects!$A$2:$A$20000,1,FALSE),""))</f>
        <v/>
      </c>
      <c r="AF6477" s="2" t="str">
        <f>IF(D6477="","",IFERROR(MATCH(D6477,Projects!$A:$A,0),""))</f>
        <v/>
      </c>
    </row>
    <row r="6478" spans="31:32" x14ac:dyDescent="0.25">
      <c r="AE6478" s="39" t="str">
        <f>IF(D6478="","",IFERROR(VLOOKUP(D6478,Projects!$A$2:$A$20000,1,FALSE),""))</f>
        <v/>
      </c>
      <c r="AF6478" s="2" t="str">
        <f>IF(D6478="","",IFERROR(MATCH(D6478,Projects!$A:$A,0),""))</f>
        <v/>
      </c>
    </row>
    <row r="6479" spans="31:32" x14ac:dyDescent="0.25">
      <c r="AE6479" s="39" t="str">
        <f>IF(D6479="","",IFERROR(VLOOKUP(D6479,Projects!$A$2:$A$20000,1,FALSE),""))</f>
        <v/>
      </c>
      <c r="AF6479" s="2" t="str">
        <f>IF(D6479="","",IFERROR(MATCH(D6479,Projects!$A:$A,0),""))</f>
        <v/>
      </c>
    </row>
    <row r="6480" spans="31:32" x14ac:dyDescent="0.25">
      <c r="AE6480" s="39" t="str">
        <f>IF(D6480="","",IFERROR(VLOOKUP(D6480,Projects!$A$2:$A$20000,1,FALSE),""))</f>
        <v/>
      </c>
      <c r="AF6480" s="2" t="str">
        <f>IF(D6480="","",IFERROR(MATCH(D6480,Projects!$A:$A,0),""))</f>
        <v/>
      </c>
    </row>
    <row r="6481" spans="31:32" x14ac:dyDescent="0.25">
      <c r="AE6481" s="39" t="str">
        <f>IF(D6481="","",IFERROR(VLOOKUP(D6481,Projects!$A$2:$A$20000,1,FALSE),""))</f>
        <v/>
      </c>
      <c r="AF6481" s="2" t="str">
        <f>IF(D6481="","",IFERROR(MATCH(D6481,Projects!$A:$A,0),""))</f>
        <v/>
      </c>
    </row>
    <row r="6482" spans="31:32" x14ac:dyDescent="0.25">
      <c r="AE6482" s="39" t="str">
        <f>IF(D6482="","",IFERROR(VLOOKUP(D6482,Projects!$A$2:$A$20000,1,FALSE),""))</f>
        <v/>
      </c>
      <c r="AF6482" s="2" t="str">
        <f>IF(D6482="","",IFERROR(MATCH(D6482,Projects!$A:$A,0),""))</f>
        <v/>
      </c>
    </row>
    <row r="6483" spans="31:32" x14ac:dyDescent="0.25">
      <c r="AE6483" s="39" t="str">
        <f>IF(D6483="","",IFERROR(VLOOKUP(D6483,Projects!$A$2:$A$20000,1,FALSE),""))</f>
        <v/>
      </c>
      <c r="AF6483" s="2" t="str">
        <f>IF(D6483="","",IFERROR(MATCH(D6483,Projects!$A:$A,0),""))</f>
        <v/>
      </c>
    </row>
    <row r="6484" spans="31:32" x14ac:dyDescent="0.25">
      <c r="AE6484" s="39" t="str">
        <f>IF(D6484="","",IFERROR(VLOOKUP(D6484,Projects!$A$2:$A$20000,1,FALSE),""))</f>
        <v/>
      </c>
      <c r="AF6484" s="2" t="str">
        <f>IF(D6484="","",IFERROR(MATCH(D6484,Projects!$A:$A,0),""))</f>
        <v/>
      </c>
    </row>
    <row r="6485" spans="31:32" x14ac:dyDescent="0.25">
      <c r="AE6485" s="39" t="str">
        <f>IF(D6485="","",IFERROR(VLOOKUP(D6485,Projects!$A$2:$A$20000,1,FALSE),""))</f>
        <v/>
      </c>
      <c r="AF6485" s="2" t="str">
        <f>IF(D6485="","",IFERROR(MATCH(D6485,Projects!$A:$A,0),""))</f>
        <v/>
      </c>
    </row>
    <row r="6486" spans="31:32" x14ac:dyDescent="0.25">
      <c r="AE6486" s="39" t="str">
        <f>IF(D6486="","",IFERROR(VLOOKUP(D6486,Projects!$A$2:$A$20000,1,FALSE),""))</f>
        <v/>
      </c>
      <c r="AF6486" s="2" t="str">
        <f>IF(D6486="","",IFERROR(MATCH(D6486,Projects!$A:$A,0),""))</f>
        <v/>
      </c>
    </row>
    <row r="6487" spans="31:32" x14ac:dyDescent="0.25">
      <c r="AE6487" s="39" t="str">
        <f>IF(D6487="","",IFERROR(VLOOKUP(D6487,Projects!$A$2:$A$20000,1,FALSE),""))</f>
        <v/>
      </c>
      <c r="AF6487" s="2" t="str">
        <f>IF(D6487="","",IFERROR(MATCH(D6487,Projects!$A:$A,0),""))</f>
        <v/>
      </c>
    </row>
    <row r="6488" spans="31:32" x14ac:dyDescent="0.25">
      <c r="AE6488" s="39" t="str">
        <f>IF(D6488="","",IFERROR(VLOOKUP(D6488,Projects!$A$2:$A$20000,1,FALSE),""))</f>
        <v/>
      </c>
      <c r="AF6488" s="2" t="str">
        <f>IF(D6488="","",IFERROR(MATCH(D6488,Projects!$A:$A,0),""))</f>
        <v/>
      </c>
    </row>
    <row r="6489" spans="31:32" x14ac:dyDescent="0.25">
      <c r="AE6489" s="39" t="str">
        <f>IF(D6489="","",IFERROR(VLOOKUP(D6489,Projects!$A$2:$A$20000,1,FALSE),""))</f>
        <v/>
      </c>
      <c r="AF6489" s="2" t="str">
        <f>IF(D6489="","",IFERROR(MATCH(D6489,Projects!$A:$A,0),""))</f>
        <v/>
      </c>
    </row>
    <row r="6490" spans="31:32" x14ac:dyDescent="0.25">
      <c r="AE6490" s="39" t="str">
        <f>IF(D6490="","",IFERROR(VLOOKUP(D6490,Projects!$A$2:$A$20000,1,FALSE),""))</f>
        <v/>
      </c>
      <c r="AF6490" s="2" t="str">
        <f>IF(D6490="","",IFERROR(MATCH(D6490,Projects!$A:$A,0),""))</f>
        <v/>
      </c>
    </row>
    <row r="6491" spans="31:32" x14ac:dyDescent="0.25">
      <c r="AE6491" s="39" t="str">
        <f>IF(D6491="","",IFERROR(VLOOKUP(D6491,Projects!$A$2:$A$20000,1,FALSE),""))</f>
        <v/>
      </c>
      <c r="AF6491" s="2" t="str">
        <f>IF(D6491="","",IFERROR(MATCH(D6491,Projects!$A:$A,0),""))</f>
        <v/>
      </c>
    </row>
    <row r="6492" spans="31:32" x14ac:dyDescent="0.25">
      <c r="AE6492" s="39" t="str">
        <f>IF(D6492="","",IFERROR(VLOOKUP(D6492,Projects!$A$2:$A$20000,1,FALSE),""))</f>
        <v/>
      </c>
      <c r="AF6492" s="2" t="str">
        <f>IF(D6492="","",IFERROR(MATCH(D6492,Projects!$A:$A,0),""))</f>
        <v/>
      </c>
    </row>
    <row r="6493" spans="31:32" x14ac:dyDescent="0.25">
      <c r="AE6493" s="39" t="str">
        <f>IF(D6493="","",IFERROR(VLOOKUP(D6493,Projects!$A$2:$A$20000,1,FALSE),""))</f>
        <v/>
      </c>
      <c r="AF6493" s="2" t="str">
        <f>IF(D6493="","",IFERROR(MATCH(D6493,Projects!$A:$A,0),""))</f>
        <v/>
      </c>
    </row>
    <row r="6494" spans="31:32" x14ac:dyDescent="0.25">
      <c r="AE6494" s="39" t="str">
        <f>IF(D6494="","",IFERROR(VLOOKUP(D6494,Projects!$A$2:$A$20000,1,FALSE),""))</f>
        <v/>
      </c>
      <c r="AF6494" s="2" t="str">
        <f>IF(D6494="","",IFERROR(MATCH(D6494,Projects!$A:$A,0),""))</f>
        <v/>
      </c>
    </row>
    <row r="6495" spans="31:32" x14ac:dyDescent="0.25">
      <c r="AE6495" s="39" t="str">
        <f>IF(D6495="","",IFERROR(VLOOKUP(D6495,Projects!$A$2:$A$20000,1,FALSE),""))</f>
        <v/>
      </c>
      <c r="AF6495" s="2" t="str">
        <f>IF(D6495="","",IFERROR(MATCH(D6495,Projects!$A:$A,0),""))</f>
        <v/>
      </c>
    </row>
    <row r="6496" spans="31:32" x14ac:dyDescent="0.25">
      <c r="AE6496" s="39" t="str">
        <f>IF(D6496="","",IFERROR(VLOOKUP(D6496,Projects!$A$2:$A$20000,1,FALSE),""))</f>
        <v/>
      </c>
      <c r="AF6496" s="2" t="str">
        <f>IF(D6496="","",IFERROR(MATCH(D6496,Projects!$A:$A,0),""))</f>
        <v/>
      </c>
    </row>
    <row r="6497" spans="31:32" x14ac:dyDescent="0.25">
      <c r="AE6497" s="39" t="str">
        <f>IF(D6497="","",IFERROR(VLOOKUP(D6497,Projects!$A$2:$A$20000,1,FALSE),""))</f>
        <v/>
      </c>
      <c r="AF6497" s="2" t="str">
        <f>IF(D6497="","",IFERROR(MATCH(D6497,Projects!$A:$A,0),""))</f>
        <v/>
      </c>
    </row>
    <row r="6498" spans="31:32" x14ac:dyDescent="0.25">
      <c r="AE6498" s="39" t="str">
        <f>IF(D6498="","",IFERROR(VLOOKUP(D6498,Projects!$A$2:$A$20000,1,FALSE),""))</f>
        <v/>
      </c>
      <c r="AF6498" s="2" t="str">
        <f>IF(D6498="","",IFERROR(MATCH(D6498,Projects!$A:$A,0),""))</f>
        <v/>
      </c>
    </row>
    <row r="6499" spans="31:32" x14ac:dyDescent="0.25">
      <c r="AE6499" s="39" t="str">
        <f>IF(D6499="","",IFERROR(VLOOKUP(D6499,Projects!$A$2:$A$20000,1,FALSE),""))</f>
        <v/>
      </c>
      <c r="AF6499" s="2" t="str">
        <f>IF(D6499="","",IFERROR(MATCH(D6499,Projects!$A:$A,0),""))</f>
        <v/>
      </c>
    </row>
    <row r="6500" spans="31:32" x14ac:dyDescent="0.25">
      <c r="AE6500" s="39" t="str">
        <f>IF(D6500="","",IFERROR(VLOOKUP(D6500,Projects!$A$2:$A$20000,1,FALSE),""))</f>
        <v/>
      </c>
      <c r="AF6500" s="2" t="str">
        <f>IF(D6500="","",IFERROR(MATCH(D6500,Projects!$A:$A,0),""))</f>
        <v/>
      </c>
    </row>
    <row r="6501" spans="31:32" x14ac:dyDescent="0.25">
      <c r="AE6501" s="39" t="str">
        <f>IF(D6501="","",IFERROR(VLOOKUP(D6501,Projects!$A$2:$A$20000,1,FALSE),""))</f>
        <v/>
      </c>
      <c r="AF6501" s="2" t="str">
        <f>IF(D6501="","",IFERROR(MATCH(D6501,Projects!$A:$A,0),""))</f>
        <v/>
      </c>
    </row>
    <row r="6502" spans="31:32" x14ac:dyDescent="0.25">
      <c r="AE6502" s="39" t="str">
        <f>IF(D6502="","",IFERROR(VLOOKUP(D6502,Projects!$A$2:$A$20000,1,FALSE),""))</f>
        <v/>
      </c>
      <c r="AF6502" s="2" t="str">
        <f>IF(D6502="","",IFERROR(MATCH(D6502,Projects!$A:$A,0),""))</f>
        <v/>
      </c>
    </row>
    <row r="6503" spans="31:32" x14ac:dyDescent="0.25">
      <c r="AE6503" s="39" t="str">
        <f>IF(D6503="","",IFERROR(VLOOKUP(D6503,Projects!$A$2:$A$20000,1,FALSE),""))</f>
        <v/>
      </c>
      <c r="AF6503" s="2" t="str">
        <f>IF(D6503="","",IFERROR(MATCH(D6503,Projects!$A:$A,0),""))</f>
        <v/>
      </c>
    </row>
    <row r="6504" spans="31:32" x14ac:dyDescent="0.25">
      <c r="AE6504" s="39" t="str">
        <f>IF(D6504="","",IFERROR(VLOOKUP(D6504,Projects!$A$2:$A$20000,1,FALSE),""))</f>
        <v/>
      </c>
      <c r="AF6504" s="2" t="str">
        <f>IF(D6504="","",IFERROR(MATCH(D6504,Projects!$A:$A,0),""))</f>
        <v/>
      </c>
    </row>
    <row r="6505" spans="31:32" x14ac:dyDescent="0.25">
      <c r="AE6505" s="39" t="str">
        <f>IF(D6505="","",IFERROR(VLOOKUP(D6505,Projects!$A$2:$A$20000,1,FALSE),""))</f>
        <v/>
      </c>
      <c r="AF6505" s="2" t="str">
        <f>IF(D6505="","",IFERROR(MATCH(D6505,Projects!$A:$A,0),""))</f>
        <v/>
      </c>
    </row>
    <row r="6506" spans="31:32" x14ac:dyDescent="0.25">
      <c r="AE6506" s="39" t="str">
        <f>IF(D6506="","",IFERROR(VLOOKUP(D6506,Projects!$A$2:$A$20000,1,FALSE),""))</f>
        <v/>
      </c>
      <c r="AF6506" s="2" t="str">
        <f>IF(D6506="","",IFERROR(MATCH(D6506,Projects!$A:$A,0),""))</f>
        <v/>
      </c>
    </row>
    <row r="6507" spans="31:32" x14ac:dyDescent="0.25">
      <c r="AE6507" s="39" t="str">
        <f>IF(D6507="","",IFERROR(VLOOKUP(D6507,Projects!$A$2:$A$20000,1,FALSE),""))</f>
        <v/>
      </c>
      <c r="AF6507" s="2" t="str">
        <f>IF(D6507="","",IFERROR(MATCH(D6507,Projects!$A:$A,0),""))</f>
        <v/>
      </c>
    </row>
    <row r="6508" spans="31:32" x14ac:dyDescent="0.25">
      <c r="AE6508" s="39" t="str">
        <f>IF(D6508="","",IFERROR(VLOOKUP(D6508,Projects!$A$2:$A$20000,1,FALSE),""))</f>
        <v/>
      </c>
      <c r="AF6508" s="2" t="str">
        <f>IF(D6508="","",IFERROR(MATCH(D6508,Projects!$A:$A,0),""))</f>
        <v/>
      </c>
    </row>
    <row r="6509" spans="31:32" x14ac:dyDescent="0.25">
      <c r="AE6509" s="39" t="str">
        <f>IF(D6509="","",IFERROR(VLOOKUP(D6509,Projects!$A$2:$A$20000,1,FALSE),""))</f>
        <v/>
      </c>
      <c r="AF6509" s="2" t="str">
        <f>IF(D6509="","",IFERROR(MATCH(D6509,Projects!$A:$A,0),""))</f>
        <v/>
      </c>
    </row>
    <row r="6510" spans="31:32" x14ac:dyDescent="0.25">
      <c r="AE6510" s="39" t="str">
        <f>IF(D6510="","",IFERROR(VLOOKUP(D6510,Projects!$A$2:$A$20000,1,FALSE),""))</f>
        <v/>
      </c>
      <c r="AF6510" s="2" t="str">
        <f>IF(D6510="","",IFERROR(MATCH(D6510,Projects!$A:$A,0),""))</f>
        <v/>
      </c>
    </row>
    <row r="6511" spans="31:32" x14ac:dyDescent="0.25">
      <c r="AE6511" s="39" t="str">
        <f>IF(D6511="","",IFERROR(VLOOKUP(D6511,Projects!$A$2:$A$20000,1,FALSE),""))</f>
        <v/>
      </c>
      <c r="AF6511" s="2" t="str">
        <f>IF(D6511="","",IFERROR(MATCH(D6511,Projects!$A:$A,0),""))</f>
        <v/>
      </c>
    </row>
    <row r="6512" spans="31:32" x14ac:dyDescent="0.25">
      <c r="AE6512" s="39" t="str">
        <f>IF(D6512="","",IFERROR(VLOOKUP(D6512,Projects!$A$2:$A$20000,1,FALSE),""))</f>
        <v/>
      </c>
      <c r="AF6512" s="2" t="str">
        <f>IF(D6512="","",IFERROR(MATCH(D6512,Projects!$A:$A,0),""))</f>
        <v/>
      </c>
    </row>
    <row r="6513" spans="31:32" x14ac:dyDescent="0.25">
      <c r="AE6513" s="39" t="str">
        <f>IF(D6513="","",IFERROR(VLOOKUP(D6513,Projects!$A$2:$A$20000,1,FALSE),""))</f>
        <v/>
      </c>
      <c r="AF6513" s="2" t="str">
        <f>IF(D6513="","",IFERROR(MATCH(D6513,Projects!$A:$A,0),""))</f>
        <v/>
      </c>
    </row>
    <row r="6514" spans="31:32" x14ac:dyDescent="0.25">
      <c r="AE6514" s="39" t="str">
        <f>IF(D6514="","",IFERROR(VLOOKUP(D6514,Projects!$A$2:$A$20000,1,FALSE),""))</f>
        <v/>
      </c>
      <c r="AF6514" s="2" t="str">
        <f>IF(D6514="","",IFERROR(MATCH(D6514,Projects!$A:$A,0),""))</f>
        <v/>
      </c>
    </row>
    <row r="6515" spans="31:32" x14ac:dyDescent="0.25">
      <c r="AE6515" s="39" t="str">
        <f>IF(D6515="","",IFERROR(VLOOKUP(D6515,Projects!$A$2:$A$20000,1,FALSE),""))</f>
        <v/>
      </c>
      <c r="AF6515" s="2" t="str">
        <f>IF(D6515="","",IFERROR(MATCH(D6515,Projects!$A:$A,0),""))</f>
        <v/>
      </c>
    </row>
    <row r="6516" spans="31:32" x14ac:dyDescent="0.25">
      <c r="AE6516" s="39" t="str">
        <f>IF(D6516="","",IFERROR(VLOOKUP(D6516,Projects!$A$2:$A$20000,1,FALSE),""))</f>
        <v/>
      </c>
      <c r="AF6516" s="2" t="str">
        <f>IF(D6516="","",IFERROR(MATCH(D6516,Projects!$A:$A,0),""))</f>
        <v/>
      </c>
    </row>
    <row r="6517" spans="31:32" x14ac:dyDescent="0.25">
      <c r="AE6517" s="39" t="str">
        <f>IF(D6517="","",IFERROR(VLOOKUP(D6517,Projects!$A$2:$A$20000,1,FALSE),""))</f>
        <v/>
      </c>
      <c r="AF6517" s="2" t="str">
        <f>IF(D6517="","",IFERROR(MATCH(D6517,Projects!$A:$A,0),""))</f>
        <v/>
      </c>
    </row>
    <row r="6518" spans="31:32" x14ac:dyDescent="0.25">
      <c r="AE6518" s="39" t="str">
        <f>IF(D6518="","",IFERROR(VLOOKUP(D6518,Projects!$A$2:$A$20000,1,FALSE),""))</f>
        <v/>
      </c>
      <c r="AF6518" s="2" t="str">
        <f>IF(D6518="","",IFERROR(MATCH(D6518,Projects!$A:$A,0),""))</f>
        <v/>
      </c>
    </row>
    <row r="6519" spans="31:32" x14ac:dyDescent="0.25">
      <c r="AE6519" s="39" t="str">
        <f>IF(D6519="","",IFERROR(VLOOKUP(D6519,Projects!$A$2:$A$20000,1,FALSE),""))</f>
        <v/>
      </c>
      <c r="AF6519" s="2" t="str">
        <f>IF(D6519="","",IFERROR(MATCH(D6519,Projects!$A:$A,0),""))</f>
        <v/>
      </c>
    </row>
    <row r="6520" spans="31:32" x14ac:dyDescent="0.25">
      <c r="AE6520" s="39" t="str">
        <f>IF(D6520="","",IFERROR(VLOOKUP(D6520,Projects!$A$2:$A$20000,1,FALSE),""))</f>
        <v/>
      </c>
      <c r="AF6520" s="2" t="str">
        <f>IF(D6520="","",IFERROR(MATCH(D6520,Projects!$A:$A,0),""))</f>
        <v/>
      </c>
    </row>
    <row r="6521" spans="31:32" x14ac:dyDescent="0.25">
      <c r="AE6521" s="39" t="str">
        <f>IF(D6521="","",IFERROR(VLOOKUP(D6521,Projects!$A$2:$A$20000,1,FALSE),""))</f>
        <v/>
      </c>
      <c r="AF6521" s="2" t="str">
        <f>IF(D6521="","",IFERROR(MATCH(D6521,Projects!$A:$A,0),""))</f>
        <v/>
      </c>
    </row>
    <row r="6522" spans="31:32" x14ac:dyDescent="0.25">
      <c r="AE6522" s="39" t="str">
        <f>IF(D6522="","",IFERROR(VLOOKUP(D6522,Projects!$A$2:$A$20000,1,FALSE),""))</f>
        <v/>
      </c>
      <c r="AF6522" s="2" t="str">
        <f>IF(D6522="","",IFERROR(MATCH(D6522,Projects!$A:$A,0),""))</f>
        <v/>
      </c>
    </row>
    <row r="6523" spans="31:32" x14ac:dyDescent="0.25">
      <c r="AE6523" s="39" t="str">
        <f>IF(D6523="","",IFERROR(VLOOKUP(D6523,Projects!$A$2:$A$20000,1,FALSE),""))</f>
        <v/>
      </c>
      <c r="AF6523" s="2" t="str">
        <f>IF(D6523="","",IFERROR(MATCH(D6523,Projects!$A:$A,0),""))</f>
        <v/>
      </c>
    </row>
    <row r="6524" spans="31:32" x14ac:dyDescent="0.25">
      <c r="AE6524" s="39" t="str">
        <f>IF(D6524="","",IFERROR(VLOOKUP(D6524,Projects!$A$2:$A$20000,1,FALSE),""))</f>
        <v/>
      </c>
      <c r="AF6524" s="2" t="str">
        <f>IF(D6524="","",IFERROR(MATCH(D6524,Projects!$A:$A,0),""))</f>
        <v/>
      </c>
    </row>
    <row r="6525" spans="31:32" x14ac:dyDescent="0.25">
      <c r="AE6525" s="39" t="str">
        <f>IF(D6525="","",IFERROR(VLOOKUP(D6525,Projects!$A$2:$A$20000,1,FALSE),""))</f>
        <v/>
      </c>
      <c r="AF6525" s="2" t="str">
        <f>IF(D6525="","",IFERROR(MATCH(D6525,Projects!$A:$A,0),""))</f>
        <v/>
      </c>
    </row>
    <row r="6526" spans="31:32" x14ac:dyDescent="0.25">
      <c r="AE6526" s="39" t="str">
        <f>IF(D6526="","",IFERROR(VLOOKUP(D6526,Projects!$A$2:$A$20000,1,FALSE),""))</f>
        <v/>
      </c>
      <c r="AF6526" s="2" t="str">
        <f>IF(D6526="","",IFERROR(MATCH(D6526,Projects!$A:$A,0),""))</f>
        <v/>
      </c>
    </row>
    <row r="6527" spans="31:32" x14ac:dyDescent="0.25">
      <c r="AE6527" s="39" t="str">
        <f>IF(D6527="","",IFERROR(VLOOKUP(D6527,Projects!$A$2:$A$20000,1,FALSE),""))</f>
        <v/>
      </c>
      <c r="AF6527" s="2" t="str">
        <f>IF(D6527="","",IFERROR(MATCH(D6527,Projects!$A:$A,0),""))</f>
        <v/>
      </c>
    </row>
    <row r="6528" spans="31:32" x14ac:dyDescent="0.25">
      <c r="AE6528" s="39" t="str">
        <f>IF(D6528="","",IFERROR(VLOOKUP(D6528,Projects!$A$2:$A$20000,1,FALSE),""))</f>
        <v/>
      </c>
      <c r="AF6528" s="2" t="str">
        <f>IF(D6528="","",IFERROR(MATCH(D6528,Projects!$A:$A,0),""))</f>
        <v/>
      </c>
    </row>
    <row r="6529" spans="31:32" x14ac:dyDescent="0.25">
      <c r="AE6529" s="39" t="str">
        <f>IF(D6529="","",IFERROR(VLOOKUP(D6529,Projects!$A$2:$A$20000,1,FALSE),""))</f>
        <v/>
      </c>
      <c r="AF6529" s="2" t="str">
        <f>IF(D6529="","",IFERROR(MATCH(D6529,Projects!$A:$A,0),""))</f>
        <v/>
      </c>
    </row>
    <row r="6530" spans="31:32" x14ac:dyDescent="0.25">
      <c r="AE6530" s="39" t="str">
        <f>IF(D6530="","",IFERROR(VLOOKUP(D6530,Projects!$A$2:$A$20000,1,FALSE),""))</f>
        <v/>
      </c>
      <c r="AF6530" s="2" t="str">
        <f>IF(D6530="","",IFERROR(MATCH(D6530,Projects!$A:$A,0),""))</f>
        <v/>
      </c>
    </row>
    <row r="6531" spans="31:32" x14ac:dyDescent="0.25">
      <c r="AE6531" s="39" t="str">
        <f>IF(D6531="","",IFERROR(VLOOKUP(D6531,Projects!$A$2:$A$20000,1,FALSE),""))</f>
        <v/>
      </c>
      <c r="AF6531" s="2" t="str">
        <f>IF(D6531="","",IFERROR(MATCH(D6531,Projects!$A:$A,0),""))</f>
        <v/>
      </c>
    </row>
    <row r="6532" spans="31:32" x14ac:dyDescent="0.25">
      <c r="AE6532" s="39" t="str">
        <f>IF(D6532="","",IFERROR(VLOOKUP(D6532,Projects!$A$2:$A$20000,1,FALSE),""))</f>
        <v/>
      </c>
      <c r="AF6532" s="2" t="str">
        <f>IF(D6532="","",IFERROR(MATCH(D6532,Projects!$A:$A,0),""))</f>
        <v/>
      </c>
    </row>
    <row r="6533" spans="31:32" x14ac:dyDescent="0.25">
      <c r="AE6533" s="39" t="str">
        <f>IF(D6533="","",IFERROR(VLOOKUP(D6533,Projects!$A$2:$A$20000,1,FALSE),""))</f>
        <v/>
      </c>
      <c r="AF6533" s="2" t="str">
        <f>IF(D6533="","",IFERROR(MATCH(D6533,Projects!$A:$A,0),""))</f>
        <v/>
      </c>
    </row>
    <row r="6534" spans="31:32" x14ac:dyDescent="0.25">
      <c r="AE6534" s="39" t="str">
        <f>IF(D6534="","",IFERROR(VLOOKUP(D6534,Projects!$A$2:$A$20000,1,FALSE),""))</f>
        <v/>
      </c>
      <c r="AF6534" s="2" t="str">
        <f>IF(D6534="","",IFERROR(MATCH(D6534,Projects!$A:$A,0),""))</f>
        <v/>
      </c>
    </row>
    <row r="6535" spans="31:32" x14ac:dyDescent="0.25">
      <c r="AE6535" s="39" t="str">
        <f>IF(D6535="","",IFERROR(VLOOKUP(D6535,Projects!$A$2:$A$20000,1,FALSE),""))</f>
        <v/>
      </c>
      <c r="AF6535" s="2" t="str">
        <f>IF(D6535="","",IFERROR(MATCH(D6535,Projects!$A:$A,0),""))</f>
        <v/>
      </c>
    </row>
    <row r="6536" spans="31:32" x14ac:dyDescent="0.25">
      <c r="AE6536" s="39" t="str">
        <f>IF(D6536="","",IFERROR(VLOOKUP(D6536,Projects!$A$2:$A$20000,1,FALSE),""))</f>
        <v/>
      </c>
      <c r="AF6536" s="2" t="str">
        <f>IF(D6536="","",IFERROR(MATCH(D6536,Projects!$A:$A,0),""))</f>
        <v/>
      </c>
    </row>
    <row r="6537" spans="31:32" x14ac:dyDescent="0.25">
      <c r="AE6537" s="39" t="str">
        <f>IF(D6537="","",IFERROR(VLOOKUP(D6537,Projects!$A$2:$A$20000,1,FALSE),""))</f>
        <v/>
      </c>
      <c r="AF6537" s="2" t="str">
        <f>IF(D6537="","",IFERROR(MATCH(D6537,Projects!$A:$A,0),""))</f>
        <v/>
      </c>
    </row>
    <row r="6538" spans="31:32" x14ac:dyDescent="0.25">
      <c r="AE6538" s="39" t="str">
        <f>IF(D6538="","",IFERROR(VLOOKUP(D6538,Projects!$A$2:$A$20000,1,FALSE),""))</f>
        <v/>
      </c>
      <c r="AF6538" s="2" t="str">
        <f>IF(D6538="","",IFERROR(MATCH(D6538,Projects!$A:$A,0),""))</f>
        <v/>
      </c>
    </row>
    <row r="6539" spans="31:32" x14ac:dyDescent="0.25">
      <c r="AE6539" s="39" t="str">
        <f>IF(D6539="","",IFERROR(VLOOKUP(D6539,Projects!$A$2:$A$20000,1,FALSE),""))</f>
        <v/>
      </c>
      <c r="AF6539" s="2" t="str">
        <f>IF(D6539="","",IFERROR(MATCH(D6539,Projects!$A:$A,0),""))</f>
        <v/>
      </c>
    </row>
    <row r="6540" spans="31:32" x14ac:dyDescent="0.25">
      <c r="AE6540" s="39" t="str">
        <f>IF(D6540="","",IFERROR(VLOOKUP(D6540,Projects!$A$2:$A$20000,1,FALSE),""))</f>
        <v/>
      </c>
      <c r="AF6540" s="2" t="str">
        <f>IF(D6540="","",IFERROR(MATCH(D6540,Projects!$A:$A,0),""))</f>
        <v/>
      </c>
    </row>
    <row r="6541" spans="31:32" x14ac:dyDescent="0.25">
      <c r="AE6541" s="39" t="str">
        <f>IF(D6541="","",IFERROR(VLOOKUP(D6541,Projects!$A$2:$A$20000,1,FALSE),""))</f>
        <v/>
      </c>
      <c r="AF6541" s="2" t="str">
        <f>IF(D6541="","",IFERROR(MATCH(D6541,Projects!$A:$A,0),""))</f>
        <v/>
      </c>
    </row>
    <row r="6542" spans="31:32" x14ac:dyDescent="0.25">
      <c r="AE6542" s="39" t="str">
        <f>IF(D6542="","",IFERROR(VLOOKUP(D6542,Projects!$A$2:$A$20000,1,FALSE),""))</f>
        <v/>
      </c>
      <c r="AF6542" s="2" t="str">
        <f>IF(D6542="","",IFERROR(MATCH(D6542,Projects!$A:$A,0),""))</f>
        <v/>
      </c>
    </row>
    <row r="6543" spans="31:32" x14ac:dyDescent="0.25">
      <c r="AE6543" s="39" t="str">
        <f>IF(D6543="","",IFERROR(VLOOKUP(D6543,Projects!$A$2:$A$20000,1,FALSE),""))</f>
        <v/>
      </c>
      <c r="AF6543" s="2" t="str">
        <f>IF(D6543="","",IFERROR(MATCH(D6543,Projects!$A:$A,0),""))</f>
        <v/>
      </c>
    </row>
    <row r="6544" spans="31:32" x14ac:dyDescent="0.25">
      <c r="AE6544" s="39" t="str">
        <f>IF(D6544="","",IFERROR(VLOOKUP(D6544,Projects!$A$2:$A$20000,1,FALSE),""))</f>
        <v/>
      </c>
      <c r="AF6544" s="2" t="str">
        <f>IF(D6544="","",IFERROR(MATCH(D6544,Projects!$A:$A,0),""))</f>
        <v/>
      </c>
    </row>
    <row r="6545" spans="31:32" x14ac:dyDescent="0.25">
      <c r="AE6545" s="39" t="str">
        <f>IF(D6545="","",IFERROR(VLOOKUP(D6545,Projects!$A$2:$A$20000,1,FALSE),""))</f>
        <v/>
      </c>
      <c r="AF6545" s="2" t="str">
        <f>IF(D6545="","",IFERROR(MATCH(D6545,Projects!$A:$A,0),""))</f>
        <v/>
      </c>
    </row>
    <row r="6546" spans="31:32" x14ac:dyDescent="0.25">
      <c r="AE6546" s="39" t="str">
        <f>IF(D6546="","",IFERROR(VLOOKUP(D6546,Projects!$A$2:$A$20000,1,FALSE),""))</f>
        <v/>
      </c>
      <c r="AF6546" s="2" t="str">
        <f>IF(D6546="","",IFERROR(MATCH(D6546,Projects!$A:$A,0),""))</f>
        <v/>
      </c>
    </row>
    <row r="6547" spans="31:32" x14ac:dyDescent="0.25">
      <c r="AE6547" s="39" t="str">
        <f>IF(D6547="","",IFERROR(VLOOKUP(D6547,Projects!$A$2:$A$20000,1,FALSE),""))</f>
        <v/>
      </c>
      <c r="AF6547" s="2" t="str">
        <f>IF(D6547="","",IFERROR(MATCH(D6547,Projects!$A:$A,0),""))</f>
        <v/>
      </c>
    </row>
    <row r="6548" spans="31:32" x14ac:dyDescent="0.25">
      <c r="AE6548" s="39" t="str">
        <f>IF(D6548="","",IFERROR(VLOOKUP(D6548,Projects!$A$2:$A$20000,1,FALSE),""))</f>
        <v/>
      </c>
      <c r="AF6548" s="2" t="str">
        <f>IF(D6548="","",IFERROR(MATCH(D6548,Projects!$A:$A,0),""))</f>
        <v/>
      </c>
    </row>
    <row r="6549" spans="31:32" x14ac:dyDescent="0.25">
      <c r="AE6549" s="39" t="str">
        <f>IF(D6549="","",IFERROR(VLOOKUP(D6549,Projects!$A$2:$A$20000,1,FALSE),""))</f>
        <v/>
      </c>
      <c r="AF6549" s="2" t="str">
        <f>IF(D6549="","",IFERROR(MATCH(D6549,Projects!$A:$A,0),""))</f>
        <v/>
      </c>
    </row>
    <row r="6550" spans="31:32" x14ac:dyDescent="0.25">
      <c r="AE6550" s="39" t="str">
        <f>IF(D6550="","",IFERROR(VLOOKUP(D6550,Projects!$A$2:$A$20000,1,FALSE),""))</f>
        <v/>
      </c>
      <c r="AF6550" s="2" t="str">
        <f>IF(D6550="","",IFERROR(MATCH(D6550,Projects!$A:$A,0),""))</f>
        <v/>
      </c>
    </row>
    <row r="6551" spans="31:32" x14ac:dyDescent="0.25">
      <c r="AE6551" s="39" t="str">
        <f>IF(D6551="","",IFERROR(VLOOKUP(D6551,Projects!$A$2:$A$20000,1,FALSE),""))</f>
        <v/>
      </c>
      <c r="AF6551" s="2" t="str">
        <f>IF(D6551="","",IFERROR(MATCH(D6551,Projects!$A:$A,0),""))</f>
        <v/>
      </c>
    </row>
    <row r="6552" spans="31:32" x14ac:dyDescent="0.25">
      <c r="AE6552" s="39" t="str">
        <f>IF(D6552="","",IFERROR(VLOOKUP(D6552,Projects!$A$2:$A$20000,1,FALSE),""))</f>
        <v/>
      </c>
      <c r="AF6552" s="2" t="str">
        <f>IF(D6552="","",IFERROR(MATCH(D6552,Projects!$A:$A,0),""))</f>
        <v/>
      </c>
    </row>
    <row r="6553" spans="31:32" x14ac:dyDescent="0.25">
      <c r="AE6553" s="39" t="str">
        <f>IF(D6553="","",IFERROR(VLOOKUP(D6553,Projects!$A$2:$A$20000,1,FALSE),""))</f>
        <v/>
      </c>
      <c r="AF6553" s="2" t="str">
        <f>IF(D6553="","",IFERROR(MATCH(D6553,Projects!$A:$A,0),""))</f>
        <v/>
      </c>
    </row>
    <row r="6554" spans="31:32" x14ac:dyDescent="0.25">
      <c r="AE6554" s="39" t="str">
        <f>IF(D6554="","",IFERROR(VLOOKUP(D6554,Projects!$A$2:$A$20000,1,FALSE),""))</f>
        <v/>
      </c>
      <c r="AF6554" s="2" t="str">
        <f>IF(D6554="","",IFERROR(MATCH(D6554,Projects!$A:$A,0),""))</f>
        <v/>
      </c>
    </row>
    <row r="6555" spans="31:32" x14ac:dyDescent="0.25">
      <c r="AE6555" s="39" t="str">
        <f>IF(D6555="","",IFERROR(VLOOKUP(D6555,Projects!$A$2:$A$20000,1,FALSE),""))</f>
        <v/>
      </c>
      <c r="AF6555" s="2" t="str">
        <f>IF(D6555="","",IFERROR(MATCH(D6555,Projects!$A:$A,0),""))</f>
        <v/>
      </c>
    </row>
    <row r="6556" spans="31:32" x14ac:dyDescent="0.25">
      <c r="AE6556" s="39" t="str">
        <f>IF(D6556="","",IFERROR(VLOOKUP(D6556,Projects!$A$2:$A$20000,1,FALSE),""))</f>
        <v/>
      </c>
      <c r="AF6556" s="2" t="str">
        <f>IF(D6556="","",IFERROR(MATCH(D6556,Projects!$A:$A,0),""))</f>
        <v/>
      </c>
    </row>
    <row r="6557" spans="31:32" x14ac:dyDescent="0.25">
      <c r="AE6557" s="39" t="str">
        <f>IF(D6557="","",IFERROR(VLOOKUP(D6557,Projects!$A$2:$A$20000,1,FALSE),""))</f>
        <v/>
      </c>
      <c r="AF6557" s="2" t="str">
        <f>IF(D6557="","",IFERROR(MATCH(D6557,Projects!$A:$A,0),""))</f>
        <v/>
      </c>
    </row>
    <row r="6558" spans="31:32" x14ac:dyDescent="0.25">
      <c r="AE6558" s="39" t="str">
        <f>IF(D6558="","",IFERROR(VLOOKUP(D6558,Projects!$A$2:$A$20000,1,FALSE),""))</f>
        <v/>
      </c>
      <c r="AF6558" s="2" t="str">
        <f>IF(D6558="","",IFERROR(MATCH(D6558,Projects!$A:$A,0),""))</f>
        <v/>
      </c>
    </row>
    <row r="6559" spans="31:32" x14ac:dyDescent="0.25">
      <c r="AE6559" s="39" t="str">
        <f>IF(D6559="","",IFERROR(VLOOKUP(D6559,Projects!$A$2:$A$20000,1,FALSE),""))</f>
        <v/>
      </c>
      <c r="AF6559" s="2" t="str">
        <f>IF(D6559="","",IFERROR(MATCH(D6559,Projects!$A:$A,0),""))</f>
        <v/>
      </c>
    </row>
    <row r="6560" spans="31:32" x14ac:dyDescent="0.25">
      <c r="AE6560" s="39" t="str">
        <f>IF(D6560="","",IFERROR(VLOOKUP(D6560,Projects!$A$2:$A$20000,1,FALSE),""))</f>
        <v/>
      </c>
      <c r="AF6560" s="2" t="str">
        <f>IF(D6560="","",IFERROR(MATCH(D6560,Projects!$A:$A,0),""))</f>
        <v/>
      </c>
    </row>
    <row r="6561" spans="31:32" x14ac:dyDescent="0.25">
      <c r="AE6561" s="39" t="str">
        <f>IF(D6561="","",IFERROR(VLOOKUP(D6561,Projects!$A$2:$A$20000,1,FALSE),""))</f>
        <v/>
      </c>
      <c r="AF6561" s="2" t="str">
        <f>IF(D6561="","",IFERROR(MATCH(D6561,Projects!$A:$A,0),""))</f>
        <v/>
      </c>
    </row>
    <row r="6562" spans="31:32" x14ac:dyDescent="0.25">
      <c r="AE6562" s="39" t="str">
        <f>IF(D6562="","",IFERROR(VLOOKUP(D6562,Projects!$A$2:$A$20000,1,FALSE),""))</f>
        <v/>
      </c>
      <c r="AF6562" s="2" t="str">
        <f>IF(D6562="","",IFERROR(MATCH(D6562,Projects!$A:$A,0),""))</f>
        <v/>
      </c>
    </row>
    <row r="6563" spans="31:32" x14ac:dyDescent="0.25">
      <c r="AE6563" s="39" t="str">
        <f>IF(D6563="","",IFERROR(VLOOKUP(D6563,Projects!$A$2:$A$20000,1,FALSE),""))</f>
        <v/>
      </c>
      <c r="AF6563" s="2" t="str">
        <f>IF(D6563="","",IFERROR(MATCH(D6563,Projects!$A:$A,0),""))</f>
        <v/>
      </c>
    </row>
    <row r="6564" spans="31:32" x14ac:dyDescent="0.25">
      <c r="AE6564" s="39" t="str">
        <f>IF(D6564="","",IFERROR(VLOOKUP(D6564,Projects!$A$2:$A$20000,1,FALSE),""))</f>
        <v/>
      </c>
      <c r="AF6564" s="2" t="str">
        <f>IF(D6564="","",IFERROR(MATCH(D6564,Projects!$A:$A,0),""))</f>
        <v/>
      </c>
    </row>
    <row r="6565" spans="31:32" x14ac:dyDescent="0.25">
      <c r="AE6565" s="39" t="str">
        <f>IF(D6565="","",IFERROR(VLOOKUP(D6565,Projects!$A$2:$A$20000,1,FALSE),""))</f>
        <v/>
      </c>
      <c r="AF6565" s="2" t="str">
        <f>IF(D6565="","",IFERROR(MATCH(D6565,Projects!$A:$A,0),""))</f>
        <v/>
      </c>
    </row>
    <row r="6566" spans="31:32" x14ac:dyDescent="0.25">
      <c r="AE6566" s="39" t="str">
        <f>IF(D6566="","",IFERROR(VLOOKUP(D6566,Projects!$A$2:$A$20000,1,FALSE),""))</f>
        <v/>
      </c>
      <c r="AF6566" s="2" t="str">
        <f>IF(D6566="","",IFERROR(MATCH(D6566,Projects!$A:$A,0),""))</f>
        <v/>
      </c>
    </row>
    <row r="6567" spans="31:32" x14ac:dyDescent="0.25">
      <c r="AE6567" s="39" t="str">
        <f>IF(D6567="","",IFERROR(VLOOKUP(D6567,Projects!$A$2:$A$20000,1,FALSE),""))</f>
        <v/>
      </c>
      <c r="AF6567" s="2" t="str">
        <f>IF(D6567="","",IFERROR(MATCH(D6567,Projects!$A:$A,0),""))</f>
        <v/>
      </c>
    </row>
    <row r="6568" spans="31:32" x14ac:dyDescent="0.25">
      <c r="AE6568" s="39" t="str">
        <f>IF(D6568="","",IFERROR(VLOOKUP(D6568,Projects!$A$2:$A$20000,1,FALSE),""))</f>
        <v/>
      </c>
      <c r="AF6568" s="2" t="str">
        <f>IF(D6568="","",IFERROR(MATCH(D6568,Projects!$A:$A,0),""))</f>
        <v/>
      </c>
    </row>
    <row r="6569" spans="31:32" x14ac:dyDescent="0.25">
      <c r="AE6569" s="39" t="str">
        <f>IF(D6569="","",IFERROR(VLOOKUP(D6569,Projects!$A$2:$A$20000,1,FALSE),""))</f>
        <v/>
      </c>
      <c r="AF6569" s="2" t="str">
        <f>IF(D6569="","",IFERROR(MATCH(D6569,Projects!$A:$A,0),""))</f>
        <v/>
      </c>
    </row>
    <row r="6570" spans="31:32" x14ac:dyDescent="0.25">
      <c r="AE6570" s="39" t="str">
        <f>IF(D6570="","",IFERROR(VLOOKUP(D6570,Projects!$A$2:$A$20000,1,FALSE),""))</f>
        <v/>
      </c>
      <c r="AF6570" s="2" t="str">
        <f>IF(D6570="","",IFERROR(MATCH(D6570,Projects!$A:$A,0),""))</f>
        <v/>
      </c>
    </row>
    <row r="6571" spans="31:32" x14ac:dyDescent="0.25">
      <c r="AE6571" s="39" t="str">
        <f>IF(D6571="","",IFERROR(VLOOKUP(D6571,Projects!$A$2:$A$20000,1,FALSE),""))</f>
        <v/>
      </c>
      <c r="AF6571" s="2" t="str">
        <f>IF(D6571="","",IFERROR(MATCH(D6571,Projects!$A:$A,0),""))</f>
        <v/>
      </c>
    </row>
    <row r="6572" spans="31:32" x14ac:dyDescent="0.25">
      <c r="AE6572" s="39" t="str">
        <f>IF(D6572="","",IFERROR(VLOOKUP(D6572,Projects!$A$2:$A$20000,1,FALSE),""))</f>
        <v/>
      </c>
      <c r="AF6572" s="2" t="str">
        <f>IF(D6572="","",IFERROR(MATCH(D6572,Projects!$A:$A,0),""))</f>
        <v/>
      </c>
    </row>
    <row r="6573" spans="31:32" x14ac:dyDescent="0.25">
      <c r="AE6573" s="39" t="str">
        <f>IF(D6573="","",IFERROR(VLOOKUP(D6573,Projects!$A$2:$A$20000,1,FALSE),""))</f>
        <v/>
      </c>
      <c r="AF6573" s="2" t="str">
        <f>IF(D6573="","",IFERROR(MATCH(D6573,Projects!$A:$A,0),""))</f>
        <v/>
      </c>
    </row>
    <row r="6574" spans="31:32" x14ac:dyDescent="0.25">
      <c r="AE6574" s="39" t="str">
        <f>IF(D6574="","",IFERROR(VLOOKUP(D6574,Projects!$A$2:$A$20000,1,FALSE),""))</f>
        <v/>
      </c>
      <c r="AF6574" s="2" t="str">
        <f>IF(D6574="","",IFERROR(MATCH(D6574,Projects!$A:$A,0),""))</f>
        <v/>
      </c>
    </row>
    <row r="6575" spans="31:32" x14ac:dyDescent="0.25">
      <c r="AE6575" s="39" t="str">
        <f>IF(D6575="","",IFERROR(VLOOKUP(D6575,Projects!$A$2:$A$20000,1,FALSE),""))</f>
        <v/>
      </c>
      <c r="AF6575" s="2" t="str">
        <f>IF(D6575="","",IFERROR(MATCH(D6575,Projects!$A:$A,0),""))</f>
        <v/>
      </c>
    </row>
    <row r="6576" spans="31:32" x14ac:dyDescent="0.25">
      <c r="AE6576" s="39" t="str">
        <f>IF(D6576="","",IFERROR(VLOOKUP(D6576,Projects!$A$2:$A$20000,1,FALSE),""))</f>
        <v/>
      </c>
      <c r="AF6576" s="2" t="str">
        <f>IF(D6576="","",IFERROR(MATCH(D6576,Projects!$A:$A,0),""))</f>
        <v/>
      </c>
    </row>
    <row r="6577" spans="31:32" x14ac:dyDescent="0.25">
      <c r="AE6577" s="39" t="str">
        <f>IF(D6577="","",IFERROR(VLOOKUP(D6577,Projects!$A$2:$A$20000,1,FALSE),""))</f>
        <v/>
      </c>
      <c r="AF6577" s="2" t="str">
        <f>IF(D6577="","",IFERROR(MATCH(D6577,Projects!$A:$A,0),""))</f>
        <v/>
      </c>
    </row>
    <row r="6578" spans="31:32" x14ac:dyDescent="0.25">
      <c r="AE6578" s="39" t="str">
        <f>IF(D6578="","",IFERROR(VLOOKUP(D6578,Projects!$A$2:$A$20000,1,FALSE),""))</f>
        <v/>
      </c>
      <c r="AF6578" s="2" t="str">
        <f>IF(D6578="","",IFERROR(MATCH(D6578,Projects!$A:$A,0),""))</f>
        <v/>
      </c>
    </row>
    <row r="6579" spans="31:32" x14ac:dyDescent="0.25">
      <c r="AE6579" s="39" t="str">
        <f>IF(D6579="","",IFERROR(VLOOKUP(D6579,Projects!$A$2:$A$20000,1,FALSE),""))</f>
        <v/>
      </c>
      <c r="AF6579" s="2" t="str">
        <f>IF(D6579="","",IFERROR(MATCH(D6579,Projects!$A:$A,0),""))</f>
        <v/>
      </c>
    </row>
    <row r="6580" spans="31:32" x14ac:dyDescent="0.25">
      <c r="AE6580" s="39" t="str">
        <f>IF(D6580="","",IFERROR(VLOOKUP(D6580,Projects!$A$2:$A$20000,1,FALSE),""))</f>
        <v/>
      </c>
      <c r="AF6580" s="2" t="str">
        <f>IF(D6580="","",IFERROR(MATCH(D6580,Projects!$A:$A,0),""))</f>
        <v/>
      </c>
    </row>
    <row r="6581" spans="31:32" x14ac:dyDescent="0.25">
      <c r="AE6581" s="39" t="str">
        <f>IF(D6581="","",IFERROR(VLOOKUP(D6581,Projects!$A$2:$A$20000,1,FALSE),""))</f>
        <v/>
      </c>
      <c r="AF6581" s="2" t="str">
        <f>IF(D6581="","",IFERROR(MATCH(D6581,Projects!$A:$A,0),""))</f>
        <v/>
      </c>
    </row>
    <row r="6582" spans="31:32" x14ac:dyDescent="0.25">
      <c r="AE6582" s="39" t="str">
        <f>IF(D6582="","",IFERROR(VLOOKUP(D6582,Projects!$A$2:$A$20000,1,FALSE),""))</f>
        <v/>
      </c>
      <c r="AF6582" s="2" t="str">
        <f>IF(D6582="","",IFERROR(MATCH(D6582,Projects!$A:$A,0),""))</f>
        <v/>
      </c>
    </row>
    <row r="6583" spans="31:32" x14ac:dyDescent="0.25">
      <c r="AE6583" s="39" t="str">
        <f>IF(D6583="","",IFERROR(VLOOKUP(D6583,Projects!$A$2:$A$20000,1,FALSE),""))</f>
        <v/>
      </c>
      <c r="AF6583" s="2" t="str">
        <f>IF(D6583="","",IFERROR(MATCH(D6583,Projects!$A:$A,0),""))</f>
        <v/>
      </c>
    </row>
    <row r="6584" spans="31:32" x14ac:dyDescent="0.25">
      <c r="AE6584" s="39" t="str">
        <f>IF(D6584="","",IFERROR(VLOOKUP(D6584,Projects!$A$2:$A$20000,1,FALSE),""))</f>
        <v/>
      </c>
      <c r="AF6584" s="2" t="str">
        <f>IF(D6584="","",IFERROR(MATCH(D6584,Projects!$A:$A,0),""))</f>
        <v/>
      </c>
    </row>
    <row r="6585" spans="31:32" x14ac:dyDescent="0.25">
      <c r="AE6585" s="39" t="str">
        <f>IF(D6585="","",IFERROR(VLOOKUP(D6585,Projects!$A$2:$A$20000,1,FALSE),""))</f>
        <v/>
      </c>
      <c r="AF6585" s="2" t="str">
        <f>IF(D6585="","",IFERROR(MATCH(D6585,Projects!$A:$A,0),""))</f>
        <v/>
      </c>
    </row>
    <row r="6586" spans="31:32" x14ac:dyDescent="0.25">
      <c r="AE6586" s="39" t="str">
        <f>IF(D6586="","",IFERROR(VLOOKUP(D6586,Projects!$A$2:$A$20000,1,FALSE),""))</f>
        <v/>
      </c>
      <c r="AF6586" s="2" t="str">
        <f>IF(D6586="","",IFERROR(MATCH(D6586,Projects!$A:$A,0),""))</f>
        <v/>
      </c>
    </row>
    <row r="6587" spans="31:32" x14ac:dyDescent="0.25">
      <c r="AE6587" s="39" t="str">
        <f>IF(D6587="","",IFERROR(VLOOKUP(D6587,Projects!$A$2:$A$20000,1,FALSE),""))</f>
        <v/>
      </c>
      <c r="AF6587" s="2" t="str">
        <f>IF(D6587="","",IFERROR(MATCH(D6587,Projects!$A:$A,0),""))</f>
        <v/>
      </c>
    </row>
    <row r="6588" spans="31:32" x14ac:dyDescent="0.25">
      <c r="AE6588" s="39" t="str">
        <f>IF(D6588="","",IFERROR(VLOOKUP(D6588,Projects!$A$2:$A$20000,1,FALSE),""))</f>
        <v/>
      </c>
      <c r="AF6588" s="2" t="str">
        <f>IF(D6588="","",IFERROR(MATCH(D6588,Projects!$A:$A,0),""))</f>
        <v/>
      </c>
    </row>
    <row r="6589" spans="31:32" x14ac:dyDescent="0.25">
      <c r="AE6589" s="39" t="str">
        <f>IF(D6589="","",IFERROR(VLOOKUP(D6589,Projects!$A$2:$A$20000,1,FALSE),""))</f>
        <v/>
      </c>
      <c r="AF6589" s="2" t="str">
        <f>IF(D6589="","",IFERROR(MATCH(D6589,Projects!$A:$A,0),""))</f>
        <v/>
      </c>
    </row>
    <row r="6590" spans="31:32" x14ac:dyDescent="0.25">
      <c r="AE6590" s="39" t="str">
        <f>IF(D6590="","",IFERROR(VLOOKUP(D6590,Projects!$A$2:$A$20000,1,FALSE),""))</f>
        <v/>
      </c>
      <c r="AF6590" s="2" t="str">
        <f>IF(D6590="","",IFERROR(MATCH(D6590,Projects!$A:$A,0),""))</f>
        <v/>
      </c>
    </row>
    <row r="6591" spans="31:32" x14ac:dyDescent="0.25">
      <c r="AE6591" s="39" t="str">
        <f>IF(D6591="","",IFERROR(VLOOKUP(D6591,Projects!$A$2:$A$20000,1,FALSE),""))</f>
        <v/>
      </c>
      <c r="AF6591" s="2" t="str">
        <f>IF(D6591="","",IFERROR(MATCH(D6591,Projects!$A:$A,0),""))</f>
        <v/>
      </c>
    </row>
    <row r="6592" spans="31:32" x14ac:dyDescent="0.25">
      <c r="AE6592" s="39" t="str">
        <f>IF(D6592="","",IFERROR(VLOOKUP(D6592,Projects!$A$2:$A$20000,1,FALSE),""))</f>
        <v/>
      </c>
      <c r="AF6592" s="2" t="str">
        <f>IF(D6592="","",IFERROR(MATCH(D6592,Projects!$A:$A,0),""))</f>
        <v/>
      </c>
    </row>
    <row r="6593" spans="31:32" x14ac:dyDescent="0.25">
      <c r="AE6593" s="39" t="str">
        <f>IF(D6593="","",IFERROR(VLOOKUP(D6593,Projects!$A$2:$A$20000,1,FALSE),""))</f>
        <v/>
      </c>
      <c r="AF6593" s="2" t="str">
        <f>IF(D6593="","",IFERROR(MATCH(D6593,Projects!$A:$A,0),""))</f>
        <v/>
      </c>
    </row>
    <row r="6594" spans="31:32" x14ac:dyDescent="0.25">
      <c r="AE6594" s="39" t="str">
        <f>IF(D6594="","",IFERROR(VLOOKUP(D6594,Projects!$A$2:$A$20000,1,FALSE),""))</f>
        <v/>
      </c>
      <c r="AF6594" s="2" t="str">
        <f>IF(D6594="","",IFERROR(MATCH(D6594,Projects!$A:$A,0),""))</f>
        <v/>
      </c>
    </row>
    <row r="6595" spans="31:32" x14ac:dyDescent="0.25">
      <c r="AE6595" s="39" t="str">
        <f>IF(D6595="","",IFERROR(VLOOKUP(D6595,Projects!$A$2:$A$20000,1,FALSE),""))</f>
        <v/>
      </c>
      <c r="AF6595" s="2" t="str">
        <f>IF(D6595="","",IFERROR(MATCH(D6595,Projects!$A:$A,0),""))</f>
        <v/>
      </c>
    </row>
    <row r="6596" spans="31:32" x14ac:dyDescent="0.25">
      <c r="AE6596" s="39" t="str">
        <f>IF(D6596="","",IFERROR(VLOOKUP(D6596,Projects!$A$2:$A$20000,1,FALSE),""))</f>
        <v/>
      </c>
      <c r="AF6596" s="2" t="str">
        <f>IF(D6596="","",IFERROR(MATCH(D6596,Projects!$A:$A,0),""))</f>
        <v/>
      </c>
    </row>
    <row r="6597" spans="31:32" x14ac:dyDescent="0.25">
      <c r="AE6597" s="39" t="str">
        <f>IF(D6597="","",IFERROR(VLOOKUP(D6597,Projects!$A$2:$A$20000,1,FALSE),""))</f>
        <v/>
      </c>
      <c r="AF6597" s="2" t="str">
        <f>IF(D6597="","",IFERROR(MATCH(D6597,Projects!$A:$A,0),""))</f>
        <v/>
      </c>
    </row>
    <row r="6598" spans="31:32" x14ac:dyDescent="0.25">
      <c r="AE6598" s="39" t="str">
        <f>IF(D6598="","",IFERROR(VLOOKUP(D6598,Projects!$A$2:$A$20000,1,FALSE),""))</f>
        <v/>
      </c>
      <c r="AF6598" s="2" t="str">
        <f>IF(D6598="","",IFERROR(MATCH(D6598,Projects!$A:$A,0),""))</f>
        <v/>
      </c>
    </row>
    <row r="6599" spans="31:32" x14ac:dyDescent="0.25">
      <c r="AE6599" s="39" t="str">
        <f>IF(D6599="","",IFERROR(VLOOKUP(D6599,Projects!$A$2:$A$20000,1,FALSE),""))</f>
        <v/>
      </c>
      <c r="AF6599" s="2" t="str">
        <f>IF(D6599="","",IFERROR(MATCH(D6599,Projects!$A:$A,0),""))</f>
        <v/>
      </c>
    </row>
    <row r="6600" spans="31:32" x14ac:dyDescent="0.25">
      <c r="AE6600" s="39" t="str">
        <f>IF(D6600="","",IFERROR(VLOOKUP(D6600,Projects!$A$2:$A$20000,1,FALSE),""))</f>
        <v/>
      </c>
      <c r="AF6600" s="2" t="str">
        <f>IF(D6600="","",IFERROR(MATCH(D6600,Projects!$A:$A,0),""))</f>
        <v/>
      </c>
    </row>
    <row r="6601" spans="31:32" x14ac:dyDescent="0.25">
      <c r="AE6601" s="39" t="str">
        <f>IF(D6601="","",IFERROR(VLOOKUP(D6601,Projects!$A$2:$A$20000,1,FALSE),""))</f>
        <v/>
      </c>
      <c r="AF6601" s="2" t="str">
        <f>IF(D6601="","",IFERROR(MATCH(D6601,Projects!$A:$A,0),""))</f>
        <v/>
      </c>
    </row>
    <row r="6602" spans="31:32" x14ac:dyDescent="0.25">
      <c r="AE6602" s="39" t="str">
        <f>IF(D6602="","",IFERROR(VLOOKUP(D6602,Projects!$A$2:$A$20000,1,FALSE),""))</f>
        <v/>
      </c>
      <c r="AF6602" s="2" t="str">
        <f>IF(D6602="","",IFERROR(MATCH(D6602,Projects!$A:$A,0),""))</f>
        <v/>
      </c>
    </row>
    <row r="6603" spans="31:32" x14ac:dyDescent="0.25">
      <c r="AE6603" s="39" t="str">
        <f>IF(D6603="","",IFERROR(VLOOKUP(D6603,Projects!$A$2:$A$20000,1,FALSE),""))</f>
        <v/>
      </c>
      <c r="AF6603" s="2" t="str">
        <f>IF(D6603="","",IFERROR(MATCH(D6603,Projects!$A:$A,0),""))</f>
        <v/>
      </c>
    </row>
    <row r="6604" spans="31:32" x14ac:dyDescent="0.25">
      <c r="AE6604" s="39" t="str">
        <f>IF(D6604="","",IFERROR(VLOOKUP(D6604,Projects!$A$2:$A$20000,1,FALSE),""))</f>
        <v/>
      </c>
      <c r="AF6604" s="2" t="str">
        <f>IF(D6604="","",IFERROR(MATCH(D6604,Projects!$A:$A,0),""))</f>
        <v/>
      </c>
    </row>
    <row r="6605" spans="31:32" x14ac:dyDescent="0.25">
      <c r="AE6605" s="39" t="str">
        <f>IF(D6605="","",IFERROR(VLOOKUP(D6605,Projects!$A$2:$A$20000,1,FALSE),""))</f>
        <v/>
      </c>
      <c r="AF6605" s="2" t="str">
        <f>IF(D6605="","",IFERROR(MATCH(D6605,Projects!$A:$A,0),""))</f>
        <v/>
      </c>
    </row>
    <row r="6606" spans="31:32" x14ac:dyDescent="0.25">
      <c r="AE6606" s="39" t="str">
        <f>IF(D6606="","",IFERROR(VLOOKUP(D6606,Projects!$A$2:$A$20000,1,FALSE),""))</f>
        <v/>
      </c>
      <c r="AF6606" s="2" t="str">
        <f>IF(D6606="","",IFERROR(MATCH(D6606,Projects!$A:$A,0),""))</f>
        <v/>
      </c>
    </row>
    <row r="6607" spans="31:32" x14ac:dyDescent="0.25">
      <c r="AE6607" s="39" t="str">
        <f>IF(D6607="","",IFERROR(VLOOKUP(D6607,Projects!$A$2:$A$20000,1,FALSE),""))</f>
        <v/>
      </c>
      <c r="AF6607" s="2" t="str">
        <f>IF(D6607="","",IFERROR(MATCH(D6607,Projects!$A:$A,0),""))</f>
        <v/>
      </c>
    </row>
    <row r="6608" spans="31:32" x14ac:dyDescent="0.25">
      <c r="AE6608" s="39" t="str">
        <f>IF(D6608="","",IFERROR(VLOOKUP(D6608,Projects!$A$2:$A$20000,1,FALSE),""))</f>
        <v/>
      </c>
      <c r="AF6608" s="2" t="str">
        <f>IF(D6608="","",IFERROR(MATCH(D6608,Projects!$A:$A,0),""))</f>
        <v/>
      </c>
    </row>
    <row r="6609" spans="31:32" x14ac:dyDescent="0.25">
      <c r="AE6609" s="39" t="str">
        <f>IF(D6609="","",IFERROR(VLOOKUP(D6609,Projects!$A$2:$A$20000,1,FALSE),""))</f>
        <v/>
      </c>
      <c r="AF6609" s="2" t="str">
        <f>IF(D6609="","",IFERROR(MATCH(D6609,Projects!$A:$A,0),""))</f>
        <v/>
      </c>
    </row>
    <row r="6610" spans="31:32" x14ac:dyDescent="0.25">
      <c r="AE6610" s="39" t="str">
        <f>IF(D6610="","",IFERROR(VLOOKUP(D6610,Projects!$A$2:$A$20000,1,FALSE),""))</f>
        <v/>
      </c>
      <c r="AF6610" s="2" t="str">
        <f>IF(D6610="","",IFERROR(MATCH(D6610,Projects!$A:$A,0),""))</f>
        <v/>
      </c>
    </row>
    <row r="6611" spans="31:32" x14ac:dyDescent="0.25">
      <c r="AE6611" s="39" t="str">
        <f>IF(D6611="","",IFERROR(VLOOKUP(D6611,Projects!$A$2:$A$20000,1,FALSE),""))</f>
        <v/>
      </c>
      <c r="AF6611" s="2" t="str">
        <f>IF(D6611="","",IFERROR(MATCH(D6611,Projects!$A:$A,0),""))</f>
        <v/>
      </c>
    </row>
    <row r="6612" spans="31:32" x14ac:dyDescent="0.25">
      <c r="AE6612" s="39" t="str">
        <f>IF(D6612="","",IFERROR(VLOOKUP(D6612,Projects!$A$2:$A$20000,1,FALSE),""))</f>
        <v/>
      </c>
      <c r="AF6612" s="2" t="str">
        <f>IF(D6612="","",IFERROR(MATCH(D6612,Projects!$A:$A,0),""))</f>
        <v/>
      </c>
    </row>
    <row r="6613" spans="31:32" x14ac:dyDescent="0.25">
      <c r="AE6613" s="39" t="str">
        <f>IF(D6613="","",IFERROR(VLOOKUP(D6613,Projects!$A$2:$A$20000,1,FALSE),""))</f>
        <v/>
      </c>
      <c r="AF6613" s="2" t="str">
        <f>IF(D6613="","",IFERROR(MATCH(D6613,Projects!$A:$A,0),""))</f>
        <v/>
      </c>
    </row>
    <row r="6614" spans="31:32" x14ac:dyDescent="0.25">
      <c r="AE6614" s="39" t="str">
        <f>IF(D6614="","",IFERROR(VLOOKUP(D6614,Projects!$A$2:$A$20000,1,FALSE),""))</f>
        <v/>
      </c>
      <c r="AF6614" s="2" t="str">
        <f>IF(D6614="","",IFERROR(MATCH(D6614,Projects!$A:$A,0),""))</f>
        <v/>
      </c>
    </row>
    <row r="6615" spans="31:32" x14ac:dyDescent="0.25">
      <c r="AE6615" s="39" t="str">
        <f>IF(D6615="","",IFERROR(VLOOKUP(D6615,Projects!$A$2:$A$20000,1,FALSE),""))</f>
        <v/>
      </c>
      <c r="AF6615" s="2" t="str">
        <f>IF(D6615="","",IFERROR(MATCH(D6615,Projects!$A:$A,0),""))</f>
        <v/>
      </c>
    </row>
    <row r="6616" spans="31:32" x14ac:dyDescent="0.25">
      <c r="AE6616" s="39" t="str">
        <f>IF(D6616="","",IFERROR(VLOOKUP(D6616,Projects!$A$2:$A$20000,1,FALSE),""))</f>
        <v/>
      </c>
      <c r="AF6616" s="2" t="str">
        <f>IF(D6616="","",IFERROR(MATCH(D6616,Projects!$A:$A,0),""))</f>
        <v/>
      </c>
    </row>
    <row r="6617" spans="31:32" x14ac:dyDescent="0.25">
      <c r="AE6617" s="39" t="str">
        <f>IF(D6617="","",IFERROR(VLOOKUP(D6617,Projects!$A$2:$A$20000,1,FALSE),""))</f>
        <v/>
      </c>
      <c r="AF6617" s="2" t="str">
        <f>IF(D6617="","",IFERROR(MATCH(D6617,Projects!$A:$A,0),""))</f>
        <v/>
      </c>
    </row>
    <row r="6618" spans="31:32" x14ac:dyDescent="0.25">
      <c r="AE6618" s="39" t="str">
        <f>IF(D6618="","",IFERROR(VLOOKUP(D6618,Projects!$A$2:$A$20000,1,FALSE),""))</f>
        <v/>
      </c>
      <c r="AF6618" s="2" t="str">
        <f>IF(D6618="","",IFERROR(MATCH(D6618,Projects!$A:$A,0),""))</f>
        <v/>
      </c>
    </row>
    <row r="6619" spans="31:32" x14ac:dyDescent="0.25">
      <c r="AE6619" s="39" t="str">
        <f>IF(D6619="","",IFERROR(VLOOKUP(D6619,Projects!$A$2:$A$20000,1,FALSE),""))</f>
        <v/>
      </c>
      <c r="AF6619" s="2" t="str">
        <f>IF(D6619="","",IFERROR(MATCH(D6619,Projects!$A:$A,0),""))</f>
        <v/>
      </c>
    </row>
    <row r="6620" spans="31:32" x14ac:dyDescent="0.25">
      <c r="AE6620" s="39" t="str">
        <f>IF(D6620="","",IFERROR(VLOOKUP(D6620,Projects!$A$2:$A$20000,1,FALSE),""))</f>
        <v/>
      </c>
      <c r="AF6620" s="2" t="str">
        <f>IF(D6620="","",IFERROR(MATCH(D6620,Projects!$A:$A,0),""))</f>
        <v/>
      </c>
    </row>
    <row r="6621" spans="31:32" x14ac:dyDescent="0.25">
      <c r="AE6621" s="39" t="str">
        <f>IF(D6621="","",IFERROR(VLOOKUP(D6621,Projects!$A$2:$A$20000,1,FALSE),""))</f>
        <v/>
      </c>
      <c r="AF6621" s="2" t="str">
        <f>IF(D6621="","",IFERROR(MATCH(D6621,Projects!$A:$A,0),""))</f>
        <v/>
      </c>
    </row>
    <row r="6622" spans="31:32" x14ac:dyDescent="0.25">
      <c r="AE6622" s="39" t="str">
        <f>IF(D6622="","",IFERROR(VLOOKUP(D6622,Projects!$A$2:$A$20000,1,FALSE),""))</f>
        <v/>
      </c>
      <c r="AF6622" s="2" t="str">
        <f>IF(D6622="","",IFERROR(MATCH(D6622,Projects!$A:$A,0),""))</f>
        <v/>
      </c>
    </row>
    <row r="6623" spans="31:32" x14ac:dyDescent="0.25">
      <c r="AE6623" s="39" t="str">
        <f>IF(D6623="","",IFERROR(VLOOKUP(D6623,Projects!$A$2:$A$20000,1,FALSE),""))</f>
        <v/>
      </c>
      <c r="AF6623" s="2" t="str">
        <f>IF(D6623="","",IFERROR(MATCH(D6623,Projects!$A:$A,0),""))</f>
        <v/>
      </c>
    </row>
    <row r="6624" spans="31:32" x14ac:dyDescent="0.25">
      <c r="AE6624" s="39" t="str">
        <f>IF(D6624="","",IFERROR(VLOOKUP(D6624,Projects!$A$2:$A$20000,1,FALSE),""))</f>
        <v/>
      </c>
      <c r="AF6624" s="2" t="str">
        <f>IF(D6624="","",IFERROR(MATCH(D6624,Projects!$A:$A,0),""))</f>
        <v/>
      </c>
    </row>
    <row r="6625" spans="31:32" x14ac:dyDescent="0.25">
      <c r="AE6625" s="39" t="str">
        <f>IF(D6625="","",IFERROR(VLOOKUP(D6625,Projects!$A$2:$A$20000,1,FALSE),""))</f>
        <v/>
      </c>
      <c r="AF6625" s="2" t="str">
        <f>IF(D6625="","",IFERROR(MATCH(D6625,Projects!$A:$A,0),""))</f>
        <v/>
      </c>
    </row>
    <row r="6626" spans="31:32" x14ac:dyDescent="0.25">
      <c r="AE6626" s="39" t="str">
        <f>IF(D6626="","",IFERROR(VLOOKUP(D6626,Projects!$A$2:$A$20000,1,FALSE),""))</f>
        <v/>
      </c>
      <c r="AF6626" s="2" t="str">
        <f>IF(D6626="","",IFERROR(MATCH(D6626,Projects!$A:$A,0),""))</f>
        <v/>
      </c>
    </row>
    <row r="6627" spans="31:32" x14ac:dyDescent="0.25">
      <c r="AE6627" s="39" t="str">
        <f>IF(D6627="","",IFERROR(VLOOKUP(D6627,Projects!$A$2:$A$20000,1,FALSE),""))</f>
        <v/>
      </c>
      <c r="AF6627" s="2" t="str">
        <f>IF(D6627="","",IFERROR(MATCH(D6627,Projects!$A:$A,0),""))</f>
        <v/>
      </c>
    </row>
    <row r="6628" spans="31:32" x14ac:dyDescent="0.25">
      <c r="AE6628" s="39" t="str">
        <f>IF(D6628="","",IFERROR(VLOOKUP(D6628,Projects!$A$2:$A$20000,1,FALSE),""))</f>
        <v/>
      </c>
      <c r="AF6628" s="2" t="str">
        <f>IF(D6628="","",IFERROR(MATCH(D6628,Projects!$A:$A,0),""))</f>
        <v/>
      </c>
    </row>
    <row r="6629" spans="31:32" x14ac:dyDescent="0.25">
      <c r="AE6629" s="39" t="str">
        <f>IF(D6629="","",IFERROR(VLOOKUP(D6629,Projects!$A$2:$A$20000,1,FALSE),""))</f>
        <v/>
      </c>
      <c r="AF6629" s="2" t="str">
        <f>IF(D6629="","",IFERROR(MATCH(D6629,Projects!$A:$A,0),""))</f>
        <v/>
      </c>
    </row>
    <row r="6630" spans="31:32" x14ac:dyDescent="0.25">
      <c r="AE6630" s="39" t="str">
        <f>IF(D6630="","",IFERROR(VLOOKUP(D6630,Projects!$A$2:$A$20000,1,FALSE),""))</f>
        <v/>
      </c>
      <c r="AF6630" s="2" t="str">
        <f>IF(D6630="","",IFERROR(MATCH(D6630,Projects!$A:$A,0),""))</f>
        <v/>
      </c>
    </row>
    <row r="6631" spans="31:32" x14ac:dyDescent="0.25">
      <c r="AE6631" s="39" t="str">
        <f>IF(D6631="","",IFERROR(VLOOKUP(D6631,Projects!$A$2:$A$20000,1,FALSE),""))</f>
        <v/>
      </c>
      <c r="AF6631" s="2" t="str">
        <f>IF(D6631="","",IFERROR(MATCH(D6631,Projects!$A:$A,0),""))</f>
        <v/>
      </c>
    </row>
    <row r="6632" spans="31:32" x14ac:dyDescent="0.25">
      <c r="AE6632" s="39" t="str">
        <f>IF(D6632="","",IFERROR(VLOOKUP(D6632,Projects!$A$2:$A$20000,1,FALSE),""))</f>
        <v/>
      </c>
      <c r="AF6632" s="2" t="str">
        <f>IF(D6632="","",IFERROR(MATCH(D6632,Projects!$A:$A,0),""))</f>
        <v/>
      </c>
    </row>
    <row r="6633" spans="31:32" x14ac:dyDescent="0.25">
      <c r="AE6633" s="39" t="str">
        <f>IF(D6633="","",IFERROR(VLOOKUP(D6633,Projects!$A$2:$A$20000,1,FALSE),""))</f>
        <v/>
      </c>
      <c r="AF6633" s="2" t="str">
        <f>IF(D6633="","",IFERROR(MATCH(D6633,Projects!$A:$A,0),""))</f>
        <v/>
      </c>
    </row>
    <row r="6634" spans="31:32" x14ac:dyDescent="0.25">
      <c r="AE6634" s="39" t="str">
        <f>IF(D6634="","",IFERROR(VLOOKUP(D6634,Projects!$A$2:$A$20000,1,FALSE),""))</f>
        <v/>
      </c>
      <c r="AF6634" s="2" t="str">
        <f>IF(D6634="","",IFERROR(MATCH(D6634,Projects!$A:$A,0),""))</f>
        <v/>
      </c>
    </row>
    <row r="6635" spans="31:32" x14ac:dyDescent="0.25">
      <c r="AE6635" s="39" t="str">
        <f>IF(D6635="","",IFERROR(VLOOKUP(D6635,Projects!$A$2:$A$20000,1,FALSE),""))</f>
        <v/>
      </c>
      <c r="AF6635" s="2" t="str">
        <f>IF(D6635="","",IFERROR(MATCH(D6635,Projects!$A:$A,0),""))</f>
        <v/>
      </c>
    </row>
    <row r="6636" spans="31:32" x14ac:dyDescent="0.25">
      <c r="AE6636" s="39" t="str">
        <f>IF(D6636="","",IFERROR(VLOOKUP(D6636,Projects!$A$2:$A$20000,1,FALSE),""))</f>
        <v/>
      </c>
      <c r="AF6636" s="2" t="str">
        <f>IF(D6636="","",IFERROR(MATCH(D6636,Projects!$A:$A,0),""))</f>
        <v/>
      </c>
    </row>
    <row r="6637" spans="31:32" x14ac:dyDescent="0.25">
      <c r="AE6637" s="39" t="str">
        <f>IF(D6637="","",IFERROR(VLOOKUP(D6637,Projects!$A$2:$A$20000,1,FALSE),""))</f>
        <v/>
      </c>
      <c r="AF6637" s="2" t="str">
        <f>IF(D6637="","",IFERROR(MATCH(D6637,Projects!$A:$A,0),""))</f>
        <v/>
      </c>
    </row>
    <row r="6638" spans="31:32" x14ac:dyDescent="0.25">
      <c r="AE6638" s="39" t="str">
        <f>IF(D6638="","",IFERROR(VLOOKUP(D6638,Projects!$A$2:$A$20000,1,FALSE),""))</f>
        <v/>
      </c>
      <c r="AF6638" s="2" t="str">
        <f>IF(D6638="","",IFERROR(MATCH(D6638,Projects!$A:$A,0),""))</f>
        <v/>
      </c>
    </row>
    <row r="6639" spans="31:32" x14ac:dyDescent="0.25">
      <c r="AE6639" s="39" t="str">
        <f>IF(D6639="","",IFERROR(VLOOKUP(D6639,Projects!$A$2:$A$20000,1,FALSE),""))</f>
        <v/>
      </c>
      <c r="AF6639" s="2" t="str">
        <f>IF(D6639="","",IFERROR(MATCH(D6639,Projects!$A:$A,0),""))</f>
        <v/>
      </c>
    </row>
    <row r="6640" spans="31:32" x14ac:dyDescent="0.25">
      <c r="AE6640" s="39" t="str">
        <f>IF(D6640="","",IFERROR(VLOOKUP(D6640,Projects!$A$2:$A$20000,1,FALSE),""))</f>
        <v/>
      </c>
      <c r="AF6640" s="2" t="str">
        <f>IF(D6640="","",IFERROR(MATCH(D6640,Projects!$A:$A,0),""))</f>
        <v/>
      </c>
    </row>
    <row r="6641" spans="31:32" x14ac:dyDescent="0.25">
      <c r="AE6641" s="39" t="str">
        <f>IF(D6641="","",IFERROR(VLOOKUP(D6641,Projects!$A$2:$A$20000,1,FALSE),""))</f>
        <v/>
      </c>
      <c r="AF6641" s="2" t="str">
        <f>IF(D6641="","",IFERROR(MATCH(D6641,Projects!$A:$A,0),""))</f>
        <v/>
      </c>
    </row>
    <row r="6642" spans="31:32" x14ac:dyDescent="0.25">
      <c r="AE6642" s="39" t="str">
        <f>IF(D6642="","",IFERROR(VLOOKUP(D6642,Projects!$A$2:$A$20000,1,FALSE),""))</f>
        <v/>
      </c>
      <c r="AF6642" s="2" t="str">
        <f>IF(D6642="","",IFERROR(MATCH(D6642,Projects!$A:$A,0),""))</f>
        <v/>
      </c>
    </row>
    <row r="6643" spans="31:32" x14ac:dyDescent="0.25">
      <c r="AE6643" s="39" t="str">
        <f>IF(D6643="","",IFERROR(VLOOKUP(D6643,Projects!$A$2:$A$20000,1,FALSE),""))</f>
        <v/>
      </c>
      <c r="AF6643" s="2" t="str">
        <f>IF(D6643="","",IFERROR(MATCH(D6643,Projects!$A:$A,0),""))</f>
        <v/>
      </c>
    </row>
    <row r="6644" spans="31:32" x14ac:dyDescent="0.25">
      <c r="AE6644" s="39" t="str">
        <f>IF(D6644="","",IFERROR(VLOOKUP(D6644,Projects!$A$2:$A$20000,1,FALSE),""))</f>
        <v/>
      </c>
      <c r="AF6644" s="2" t="str">
        <f>IF(D6644="","",IFERROR(MATCH(D6644,Projects!$A:$A,0),""))</f>
        <v/>
      </c>
    </row>
    <row r="6645" spans="31:32" x14ac:dyDescent="0.25">
      <c r="AE6645" s="39" t="str">
        <f>IF(D6645="","",IFERROR(VLOOKUP(D6645,Projects!$A$2:$A$20000,1,FALSE),""))</f>
        <v/>
      </c>
      <c r="AF6645" s="2" t="str">
        <f>IF(D6645="","",IFERROR(MATCH(D6645,Projects!$A:$A,0),""))</f>
        <v/>
      </c>
    </row>
    <row r="6646" spans="31:32" x14ac:dyDescent="0.25">
      <c r="AE6646" s="39" t="str">
        <f>IF(D6646="","",IFERROR(VLOOKUP(D6646,Projects!$A$2:$A$20000,1,FALSE),""))</f>
        <v/>
      </c>
      <c r="AF6646" s="2" t="str">
        <f>IF(D6646="","",IFERROR(MATCH(D6646,Projects!$A:$A,0),""))</f>
        <v/>
      </c>
    </row>
    <row r="6647" spans="31:32" x14ac:dyDescent="0.25">
      <c r="AE6647" s="39" t="str">
        <f>IF(D6647="","",IFERROR(VLOOKUP(D6647,Projects!$A$2:$A$20000,1,FALSE),""))</f>
        <v/>
      </c>
      <c r="AF6647" s="2" t="str">
        <f>IF(D6647="","",IFERROR(MATCH(D6647,Projects!$A:$A,0),""))</f>
        <v/>
      </c>
    </row>
    <row r="6648" spans="31:32" x14ac:dyDescent="0.25">
      <c r="AE6648" s="39" t="str">
        <f>IF(D6648="","",IFERROR(VLOOKUP(D6648,Projects!$A$2:$A$20000,1,FALSE),""))</f>
        <v/>
      </c>
      <c r="AF6648" s="2" t="str">
        <f>IF(D6648="","",IFERROR(MATCH(D6648,Projects!$A:$A,0),""))</f>
        <v/>
      </c>
    </row>
    <row r="6649" spans="31:32" x14ac:dyDescent="0.25">
      <c r="AE6649" s="39" t="str">
        <f>IF(D6649="","",IFERROR(VLOOKUP(D6649,Projects!$A$2:$A$20000,1,FALSE),""))</f>
        <v/>
      </c>
      <c r="AF6649" s="2" t="str">
        <f>IF(D6649="","",IFERROR(MATCH(D6649,Projects!$A:$A,0),""))</f>
        <v/>
      </c>
    </row>
    <row r="6650" spans="31:32" x14ac:dyDescent="0.25">
      <c r="AE6650" s="39" t="str">
        <f>IF(D6650="","",IFERROR(VLOOKUP(D6650,Projects!$A$2:$A$20000,1,FALSE),""))</f>
        <v/>
      </c>
      <c r="AF6650" s="2" t="str">
        <f>IF(D6650="","",IFERROR(MATCH(D6650,Projects!$A:$A,0),""))</f>
        <v/>
      </c>
    </row>
    <row r="6651" spans="31:32" x14ac:dyDescent="0.25">
      <c r="AE6651" s="39" t="str">
        <f>IF(D6651="","",IFERROR(VLOOKUP(D6651,Projects!$A$2:$A$20000,1,FALSE),""))</f>
        <v/>
      </c>
      <c r="AF6651" s="2" t="str">
        <f>IF(D6651="","",IFERROR(MATCH(D6651,Projects!$A:$A,0),""))</f>
        <v/>
      </c>
    </row>
    <row r="6652" spans="31:32" x14ac:dyDescent="0.25">
      <c r="AE6652" s="39" t="str">
        <f>IF(D6652="","",IFERROR(VLOOKUP(D6652,Projects!$A$2:$A$20000,1,FALSE),""))</f>
        <v/>
      </c>
      <c r="AF6652" s="2" t="str">
        <f>IF(D6652="","",IFERROR(MATCH(D6652,Projects!$A:$A,0),""))</f>
        <v/>
      </c>
    </row>
    <row r="6653" spans="31:32" x14ac:dyDescent="0.25">
      <c r="AE6653" s="39" t="str">
        <f>IF(D6653="","",IFERROR(VLOOKUP(D6653,Projects!$A$2:$A$20000,1,FALSE),""))</f>
        <v/>
      </c>
      <c r="AF6653" s="2" t="str">
        <f>IF(D6653="","",IFERROR(MATCH(D6653,Projects!$A:$A,0),""))</f>
        <v/>
      </c>
    </row>
    <row r="6654" spans="31:32" x14ac:dyDescent="0.25">
      <c r="AE6654" s="39" t="str">
        <f>IF(D6654="","",IFERROR(VLOOKUP(D6654,Projects!$A$2:$A$20000,1,FALSE),""))</f>
        <v/>
      </c>
      <c r="AF6654" s="2" t="str">
        <f>IF(D6654="","",IFERROR(MATCH(D6654,Projects!$A:$A,0),""))</f>
        <v/>
      </c>
    </row>
    <row r="6655" spans="31:32" x14ac:dyDescent="0.25">
      <c r="AE6655" s="39" t="str">
        <f>IF(D6655="","",IFERROR(VLOOKUP(D6655,Projects!$A$2:$A$20000,1,FALSE),""))</f>
        <v/>
      </c>
      <c r="AF6655" s="2" t="str">
        <f>IF(D6655="","",IFERROR(MATCH(D6655,Projects!$A:$A,0),""))</f>
        <v/>
      </c>
    </row>
    <row r="6656" spans="31:32" x14ac:dyDescent="0.25">
      <c r="AE6656" s="39" t="str">
        <f>IF(D6656="","",IFERROR(VLOOKUP(D6656,Projects!$A$2:$A$20000,1,FALSE),""))</f>
        <v/>
      </c>
      <c r="AF6656" s="2" t="str">
        <f>IF(D6656="","",IFERROR(MATCH(D6656,Projects!$A:$A,0),""))</f>
        <v/>
      </c>
    </row>
    <row r="6657" spans="31:32" x14ac:dyDescent="0.25">
      <c r="AE6657" s="39" t="str">
        <f>IF(D6657="","",IFERROR(VLOOKUP(D6657,Projects!$A$2:$A$20000,1,FALSE),""))</f>
        <v/>
      </c>
      <c r="AF6657" s="2" t="str">
        <f>IF(D6657="","",IFERROR(MATCH(D6657,Projects!$A:$A,0),""))</f>
        <v/>
      </c>
    </row>
    <row r="6658" spans="31:32" x14ac:dyDescent="0.25">
      <c r="AE6658" s="39" t="str">
        <f>IF(D6658="","",IFERROR(VLOOKUP(D6658,Projects!$A$2:$A$20000,1,FALSE),""))</f>
        <v/>
      </c>
      <c r="AF6658" s="2" t="str">
        <f>IF(D6658="","",IFERROR(MATCH(D6658,Projects!$A:$A,0),""))</f>
        <v/>
      </c>
    </row>
    <row r="6659" spans="31:32" x14ac:dyDescent="0.25">
      <c r="AE6659" s="39" t="str">
        <f>IF(D6659="","",IFERROR(VLOOKUP(D6659,Projects!$A$2:$A$20000,1,FALSE),""))</f>
        <v/>
      </c>
      <c r="AF6659" s="2" t="str">
        <f>IF(D6659="","",IFERROR(MATCH(D6659,Projects!$A:$A,0),""))</f>
        <v/>
      </c>
    </row>
    <row r="6660" spans="31:32" x14ac:dyDescent="0.25">
      <c r="AE6660" s="39" t="str">
        <f>IF(D6660="","",IFERROR(VLOOKUP(D6660,Projects!$A$2:$A$20000,1,FALSE),""))</f>
        <v/>
      </c>
      <c r="AF6660" s="2" t="str">
        <f>IF(D6660="","",IFERROR(MATCH(D6660,Projects!$A:$A,0),""))</f>
        <v/>
      </c>
    </row>
    <row r="6661" spans="31:32" x14ac:dyDescent="0.25">
      <c r="AE6661" s="39" t="str">
        <f>IF(D6661="","",IFERROR(VLOOKUP(D6661,Projects!$A$2:$A$20000,1,FALSE),""))</f>
        <v/>
      </c>
      <c r="AF6661" s="2" t="str">
        <f>IF(D6661="","",IFERROR(MATCH(D6661,Projects!$A:$A,0),""))</f>
        <v/>
      </c>
    </row>
    <row r="6662" spans="31:32" x14ac:dyDescent="0.25">
      <c r="AE6662" s="39" t="str">
        <f>IF(D6662="","",IFERROR(VLOOKUP(D6662,Projects!$A$2:$A$20000,1,FALSE),""))</f>
        <v/>
      </c>
      <c r="AF6662" s="2" t="str">
        <f>IF(D6662="","",IFERROR(MATCH(D6662,Projects!$A:$A,0),""))</f>
        <v/>
      </c>
    </row>
    <row r="6663" spans="31:32" x14ac:dyDescent="0.25">
      <c r="AE6663" s="39" t="str">
        <f>IF(D6663="","",IFERROR(VLOOKUP(D6663,Projects!$A$2:$A$20000,1,FALSE),""))</f>
        <v/>
      </c>
      <c r="AF6663" s="2" t="str">
        <f>IF(D6663="","",IFERROR(MATCH(D6663,Projects!$A:$A,0),""))</f>
        <v/>
      </c>
    </row>
    <row r="6664" spans="31:32" x14ac:dyDescent="0.25">
      <c r="AE6664" s="39" t="str">
        <f>IF(D6664="","",IFERROR(VLOOKUP(D6664,Projects!$A$2:$A$20000,1,FALSE),""))</f>
        <v/>
      </c>
      <c r="AF6664" s="2" t="str">
        <f>IF(D6664="","",IFERROR(MATCH(D6664,Projects!$A:$A,0),""))</f>
        <v/>
      </c>
    </row>
    <row r="6665" spans="31:32" x14ac:dyDescent="0.25">
      <c r="AE6665" s="39" t="str">
        <f>IF(D6665="","",IFERROR(VLOOKUP(D6665,Projects!$A$2:$A$20000,1,FALSE),""))</f>
        <v/>
      </c>
      <c r="AF6665" s="2" t="str">
        <f>IF(D6665="","",IFERROR(MATCH(D6665,Projects!$A:$A,0),""))</f>
        <v/>
      </c>
    </row>
    <row r="6666" spans="31:32" x14ac:dyDescent="0.25">
      <c r="AE6666" s="39" t="str">
        <f>IF(D6666="","",IFERROR(VLOOKUP(D6666,Projects!$A$2:$A$20000,1,FALSE),""))</f>
        <v/>
      </c>
      <c r="AF6666" s="2" t="str">
        <f>IF(D6666="","",IFERROR(MATCH(D6666,Projects!$A:$A,0),""))</f>
        <v/>
      </c>
    </row>
    <row r="6667" spans="31:32" x14ac:dyDescent="0.25">
      <c r="AE6667" s="39" t="str">
        <f>IF(D6667="","",IFERROR(VLOOKUP(D6667,Projects!$A$2:$A$20000,1,FALSE),""))</f>
        <v/>
      </c>
      <c r="AF6667" s="2" t="str">
        <f>IF(D6667="","",IFERROR(MATCH(D6667,Projects!$A:$A,0),""))</f>
        <v/>
      </c>
    </row>
    <row r="6668" spans="31:32" x14ac:dyDescent="0.25">
      <c r="AE6668" s="39" t="str">
        <f>IF(D6668="","",IFERROR(VLOOKUP(D6668,Projects!$A$2:$A$20000,1,FALSE),""))</f>
        <v/>
      </c>
      <c r="AF6668" s="2" t="str">
        <f>IF(D6668="","",IFERROR(MATCH(D6668,Projects!$A:$A,0),""))</f>
        <v/>
      </c>
    </row>
    <row r="6669" spans="31:32" x14ac:dyDescent="0.25">
      <c r="AE6669" s="39" t="str">
        <f>IF(D6669="","",IFERROR(VLOOKUP(D6669,Projects!$A$2:$A$20000,1,FALSE),""))</f>
        <v/>
      </c>
      <c r="AF6669" s="2" t="str">
        <f>IF(D6669="","",IFERROR(MATCH(D6669,Projects!$A:$A,0),""))</f>
        <v/>
      </c>
    </row>
    <row r="6670" spans="31:32" x14ac:dyDescent="0.25">
      <c r="AE6670" s="39" t="str">
        <f>IF(D6670="","",IFERROR(VLOOKUP(D6670,Projects!$A$2:$A$20000,1,FALSE),""))</f>
        <v/>
      </c>
      <c r="AF6670" s="2" t="str">
        <f>IF(D6670="","",IFERROR(MATCH(D6670,Projects!$A:$A,0),""))</f>
        <v/>
      </c>
    </row>
    <row r="6671" spans="31:32" x14ac:dyDescent="0.25">
      <c r="AE6671" s="39" t="str">
        <f>IF(D6671="","",IFERROR(VLOOKUP(D6671,Projects!$A$2:$A$20000,1,FALSE),""))</f>
        <v/>
      </c>
      <c r="AF6671" s="2" t="str">
        <f>IF(D6671="","",IFERROR(MATCH(D6671,Projects!$A:$A,0),""))</f>
        <v/>
      </c>
    </row>
    <row r="6672" spans="31:32" x14ac:dyDescent="0.25">
      <c r="AE6672" s="39" t="str">
        <f>IF(D6672="","",IFERROR(VLOOKUP(D6672,Projects!$A$2:$A$20000,1,FALSE),""))</f>
        <v/>
      </c>
      <c r="AF6672" s="2" t="str">
        <f>IF(D6672="","",IFERROR(MATCH(D6672,Projects!$A:$A,0),""))</f>
        <v/>
      </c>
    </row>
    <row r="6673" spans="31:32" x14ac:dyDescent="0.25">
      <c r="AE6673" s="39" t="str">
        <f>IF(D6673="","",IFERROR(VLOOKUP(D6673,Projects!$A$2:$A$20000,1,FALSE),""))</f>
        <v/>
      </c>
      <c r="AF6673" s="2" t="str">
        <f>IF(D6673="","",IFERROR(MATCH(D6673,Projects!$A:$A,0),""))</f>
        <v/>
      </c>
    </row>
    <row r="6674" spans="31:32" x14ac:dyDescent="0.25">
      <c r="AE6674" s="39" t="str">
        <f>IF(D6674="","",IFERROR(VLOOKUP(D6674,Projects!$A$2:$A$20000,1,FALSE),""))</f>
        <v/>
      </c>
      <c r="AF6674" s="2" t="str">
        <f>IF(D6674="","",IFERROR(MATCH(D6674,Projects!$A:$A,0),""))</f>
        <v/>
      </c>
    </row>
    <row r="6675" spans="31:32" x14ac:dyDescent="0.25">
      <c r="AE6675" s="39" t="str">
        <f>IF(D6675="","",IFERROR(VLOOKUP(D6675,Projects!$A$2:$A$20000,1,FALSE),""))</f>
        <v/>
      </c>
      <c r="AF6675" s="2" t="str">
        <f>IF(D6675="","",IFERROR(MATCH(D6675,Projects!$A:$A,0),""))</f>
        <v/>
      </c>
    </row>
    <row r="6676" spans="31:32" x14ac:dyDescent="0.25">
      <c r="AE6676" s="39" t="str">
        <f>IF(D6676="","",IFERROR(VLOOKUP(D6676,Projects!$A$2:$A$20000,1,FALSE),""))</f>
        <v/>
      </c>
      <c r="AF6676" s="2" t="str">
        <f>IF(D6676="","",IFERROR(MATCH(D6676,Projects!$A:$A,0),""))</f>
        <v/>
      </c>
    </row>
    <row r="6677" spans="31:32" x14ac:dyDescent="0.25">
      <c r="AE6677" s="39" t="str">
        <f>IF(D6677="","",IFERROR(VLOOKUP(D6677,Projects!$A$2:$A$20000,1,FALSE),""))</f>
        <v/>
      </c>
      <c r="AF6677" s="2" t="str">
        <f>IF(D6677="","",IFERROR(MATCH(D6677,Projects!$A:$A,0),""))</f>
        <v/>
      </c>
    </row>
    <row r="6678" spans="31:32" x14ac:dyDescent="0.25">
      <c r="AE6678" s="39" t="str">
        <f>IF(D6678="","",IFERROR(VLOOKUP(D6678,Projects!$A$2:$A$20000,1,FALSE),""))</f>
        <v/>
      </c>
      <c r="AF6678" s="2" t="str">
        <f>IF(D6678="","",IFERROR(MATCH(D6678,Projects!$A:$A,0),""))</f>
        <v/>
      </c>
    </row>
    <row r="6679" spans="31:32" x14ac:dyDescent="0.25">
      <c r="AE6679" s="39" t="str">
        <f>IF(D6679="","",IFERROR(VLOOKUP(D6679,Projects!$A$2:$A$20000,1,FALSE),""))</f>
        <v/>
      </c>
      <c r="AF6679" s="2" t="str">
        <f>IF(D6679="","",IFERROR(MATCH(D6679,Projects!$A:$A,0),""))</f>
        <v/>
      </c>
    </row>
    <row r="6680" spans="31:32" x14ac:dyDescent="0.25">
      <c r="AE6680" s="39" t="str">
        <f>IF(D6680="","",IFERROR(VLOOKUP(D6680,Projects!$A$2:$A$20000,1,FALSE),""))</f>
        <v/>
      </c>
      <c r="AF6680" s="2" t="str">
        <f>IF(D6680="","",IFERROR(MATCH(D6680,Projects!$A:$A,0),""))</f>
        <v/>
      </c>
    </row>
    <row r="6681" spans="31:32" x14ac:dyDescent="0.25">
      <c r="AE6681" s="39" t="str">
        <f>IF(D6681="","",IFERROR(VLOOKUP(D6681,Projects!$A$2:$A$20000,1,FALSE),""))</f>
        <v/>
      </c>
      <c r="AF6681" s="2" t="str">
        <f>IF(D6681="","",IFERROR(MATCH(D6681,Projects!$A:$A,0),""))</f>
        <v/>
      </c>
    </row>
    <row r="6682" spans="31:32" x14ac:dyDescent="0.25">
      <c r="AE6682" s="39" t="str">
        <f>IF(D6682="","",IFERROR(VLOOKUP(D6682,Projects!$A$2:$A$20000,1,FALSE),""))</f>
        <v/>
      </c>
      <c r="AF6682" s="2" t="str">
        <f>IF(D6682="","",IFERROR(MATCH(D6682,Projects!$A:$A,0),""))</f>
        <v/>
      </c>
    </row>
    <row r="6683" spans="31:32" x14ac:dyDescent="0.25">
      <c r="AE6683" s="39" t="str">
        <f>IF(D6683="","",IFERROR(VLOOKUP(D6683,Projects!$A$2:$A$20000,1,FALSE),""))</f>
        <v/>
      </c>
      <c r="AF6683" s="2" t="str">
        <f>IF(D6683="","",IFERROR(MATCH(D6683,Projects!$A:$A,0),""))</f>
        <v/>
      </c>
    </row>
    <row r="6684" spans="31:32" x14ac:dyDescent="0.25">
      <c r="AE6684" s="39" t="str">
        <f>IF(D6684="","",IFERROR(VLOOKUP(D6684,Projects!$A$2:$A$20000,1,FALSE),""))</f>
        <v/>
      </c>
      <c r="AF6684" s="2" t="str">
        <f>IF(D6684="","",IFERROR(MATCH(D6684,Projects!$A:$A,0),""))</f>
        <v/>
      </c>
    </row>
    <row r="6685" spans="31:32" x14ac:dyDescent="0.25">
      <c r="AE6685" s="39" t="str">
        <f>IF(D6685="","",IFERROR(VLOOKUP(D6685,Projects!$A$2:$A$20000,1,FALSE),""))</f>
        <v/>
      </c>
      <c r="AF6685" s="2" t="str">
        <f>IF(D6685="","",IFERROR(MATCH(D6685,Projects!$A:$A,0),""))</f>
        <v/>
      </c>
    </row>
    <row r="6686" spans="31:32" x14ac:dyDescent="0.25">
      <c r="AE6686" s="39" t="str">
        <f>IF(D6686="","",IFERROR(VLOOKUP(D6686,Projects!$A$2:$A$20000,1,FALSE),""))</f>
        <v/>
      </c>
      <c r="AF6686" s="2" t="str">
        <f>IF(D6686="","",IFERROR(MATCH(D6686,Projects!$A:$A,0),""))</f>
        <v/>
      </c>
    </row>
    <row r="6687" spans="31:32" x14ac:dyDescent="0.25">
      <c r="AE6687" s="39" t="str">
        <f>IF(D6687="","",IFERROR(VLOOKUP(D6687,Projects!$A$2:$A$20000,1,FALSE),""))</f>
        <v/>
      </c>
      <c r="AF6687" s="2" t="str">
        <f>IF(D6687="","",IFERROR(MATCH(D6687,Projects!$A:$A,0),""))</f>
        <v/>
      </c>
    </row>
    <row r="6688" spans="31:32" x14ac:dyDescent="0.25">
      <c r="AE6688" s="39" t="str">
        <f>IF(D6688="","",IFERROR(VLOOKUP(D6688,Projects!$A$2:$A$20000,1,FALSE),""))</f>
        <v/>
      </c>
      <c r="AF6688" s="2" t="str">
        <f>IF(D6688="","",IFERROR(MATCH(D6688,Projects!$A:$A,0),""))</f>
        <v/>
      </c>
    </row>
    <row r="6689" spans="31:32" x14ac:dyDescent="0.25">
      <c r="AE6689" s="39" t="str">
        <f>IF(D6689="","",IFERROR(VLOOKUP(D6689,Projects!$A$2:$A$20000,1,FALSE),""))</f>
        <v/>
      </c>
      <c r="AF6689" s="2" t="str">
        <f>IF(D6689="","",IFERROR(MATCH(D6689,Projects!$A:$A,0),""))</f>
        <v/>
      </c>
    </row>
    <row r="6690" spans="31:32" x14ac:dyDescent="0.25">
      <c r="AE6690" s="39" t="str">
        <f>IF(D6690="","",IFERROR(VLOOKUP(D6690,Projects!$A$2:$A$20000,1,FALSE),""))</f>
        <v/>
      </c>
      <c r="AF6690" s="2" t="str">
        <f>IF(D6690="","",IFERROR(MATCH(D6690,Projects!$A:$A,0),""))</f>
        <v/>
      </c>
    </row>
    <row r="6691" spans="31:32" x14ac:dyDescent="0.25">
      <c r="AE6691" s="39" t="str">
        <f>IF(D6691="","",IFERROR(VLOOKUP(D6691,Projects!$A$2:$A$20000,1,FALSE),""))</f>
        <v/>
      </c>
      <c r="AF6691" s="2" t="str">
        <f>IF(D6691="","",IFERROR(MATCH(D6691,Projects!$A:$A,0),""))</f>
        <v/>
      </c>
    </row>
    <row r="6692" spans="31:32" x14ac:dyDescent="0.25">
      <c r="AE6692" s="39" t="str">
        <f>IF(D6692="","",IFERROR(VLOOKUP(D6692,Projects!$A$2:$A$20000,1,FALSE),""))</f>
        <v/>
      </c>
      <c r="AF6692" s="2" t="str">
        <f>IF(D6692="","",IFERROR(MATCH(D6692,Projects!$A:$A,0),""))</f>
        <v/>
      </c>
    </row>
    <row r="6693" spans="31:32" x14ac:dyDescent="0.25">
      <c r="AE6693" s="39" t="str">
        <f>IF(D6693="","",IFERROR(VLOOKUP(D6693,Projects!$A$2:$A$20000,1,FALSE),""))</f>
        <v/>
      </c>
      <c r="AF6693" s="2" t="str">
        <f>IF(D6693="","",IFERROR(MATCH(D6693,Projects!$A:$A,0),""))</f>
        <v/>
      </c>
    </row>
    <row r="6694" spans="31:32" x14ac:dyDescent="0.25">
      <c r="AE6694" s="39" t="str">
        <f>IF(D6694="","",IFERROR(VLOOKUP(D6694,Projects!$A$2:$A$20000,1,FALSE),""))</f>
        <v/>
      </c>
      <c r="AF6694" s="2" t="str">
        <f>IF(D6694="","",IFERROR(MATCH(D6694,Projects!$A:$A,0),""))</f>
        <v/>
      </c>
    </row>
    <row r="6695" spans="31:32" x14ac:dyDescent="0.25">
      <c r="AE6695" s="39" t="str">
        <f>IF(D6695="","",IFERROR(VLOOKUP(D6695,Projects!$A$2:$A$20000,1,FALSE),""))</f>
        <v/>
      </c>
      <c r="AF6695" s="2" t="str">
        <f>IF(D6695="","",IFERROR(MATCH(D6695,Projects!$A:$A,0),""))</f>
        <v/>
      </c>
    </row>
    <row r="6696" spans="31:32" x14ac:dyDescent="0.25">
      <c r="AE6696" s="39" t="str">
        <f>IF(D6696="","",IFERROR(VLOOKUP(D6696,Projects!$A$2:$A$20000,1,FALSE),""))</f>
        <v/>
      </c>
      <c r="AF6696" s="2" t="str">
        <f>IF(D6696="","",IFERROR(MATCH(D6696,Projects!$A:$A,0),""))</f>
        <v/>
      </c>
    </row>
    <row r="6697" spans="31:32" x14ac:dyDescent="0.25">
      <c r="AE6697" s="39" t="str">
        <f>IF(D6697="","",IFERROR(VLOOKUP(D6697,Projects!$A$2:$A$20000,1,FALSE),""))</f>
        <v/>
      </c>
      <c r="AF6697" s="2" t="str">
        <f>IF(D6697="","",IFERROR(MATCH(D6697,Projects!$A:$A,0),""))</f>
        <v/>
      </c>
    </row>
    <row r="6698" spans="31:32" x14ac:dyDescent="0.25">
      <c r="AE6698" s="39" t="str">
        <f>IF(D6698="","",IFERROR(VLOOKUP(D6698,Projects!$A$2:$A$20000,1,FALSE),""))</f>
        <v/>
      </c>
      <c r="AF6698" s="2" t="str">
        <f>IF(D6698="","",IFERROR(MATCH(D6698,Projects!$A:$A,0),""))</f>
        <v/>
      </c>
    </row>
    <row r="6699" spans="31:32" x14ac:dyDescent="0.25">
      <c r="AE6699" s="39" t="str">
        <f>IF(D6699="","",IFERROR(VLOOKUP(D6699,Projects!$A$2:$A$20000,1,FALSE),""))</f>
        <v/>
      </c>
      <c r="AF6699" s="2" t="str">
        <f>IF(D6699="","",IFERROR(MATCH(D6699,Projects!$A:$A,0),""))</f>
        <v/>
      </c>
    </row>
    <row r="6700" spans="31:32" x14ac:dyDescent="0.25">
      <c r="AE6700" s="39" t="str">
        <f>IF(D6700="","",IFERROR(VLOOKUP(D6700,Projects!$A$2:$A$20000,1,FALSE),""))</f>
        <v/>
      </c>
      <c r="AF6700" s="2" t="str">
        <f>IF(D6700="","",IFERROR(MATCH(D6700,Projects!$A:$A,0),""))</f>
        <v/>
      </c>
    </row>
    <row r="6701" spans="31:32" x14ac:dyDescent="0.25">
      <c r="AE6701" s="39" t="str">
        <f>IF(D6701="","",IFERROR(VLOOKUP(D6701,Projects!$A$2:$A$20000,1,FALSE),""))</f>
        <v/>
      </c>
      <c r="AF6701" s="2" t="str">
        <f>IF(D6701="","",IFERROR(MATCH(D6701,Projects!$A:$A,0),""))</f>
        <v/>
      </c>
    </row>
    <row r="6702" spans="31:32" x14ac:dyDescent="0.25">
      <c r="AE6702" s="39" t="str">
        <f>IF(D6702="","",IFERROR(VLOOKUP(D6702,Projects!$A$2:$A$20000,1,FALSE),""))</f>
        <v/>
      </c>
      <c r="AF6702" s="2" t="str">
        <f>IF(D6702="","",IFERROR(MATCH(D6702,Projects!$A:$A,0),""))</f>
        <v/>
      </c>
    </row>
    <row r="6703" spans="31:32" x14ac:dyDescent="0.25">
      <c r="AE6703" s="39" t="str">
        <f>IF(D6703="","",IFERROR(VLOOKUP(D6703,Projects!$A$2:$A$20000,1,FALSE),""))</f>
        <v/>
      </c>
      <c r="AF6703" s="2" t="str">
        <f>IF(D6703="","",IFERROR(MATCH(D6703,Projects!$A:$A,0),""))</f>
        <v/>
      </c>
    </row>
    <row r="6704" spans="31:32" x14ac:dyDescent="0.25">
      <c r="AE6704" s="39" t="str">
        <f>IF(D6704="","",IFERROR(VLOOKUP(D6704,Projects!$A$2:$A$20000,1,FALSE),""))</f>
        <v/>
      </c>
      <c r="AF6704" s="2" t="str">
        <f>IF(D6704="","",IFERROR(MATCH(D6704,Projects!$A:$A,0),""))</f>
        <v/>
      </c>
    </row>
    <row r="6705" spans="31:32" x14ac:dyDescent="0.25">
      <c r="AE6705" s="39" t="str">
        <f>IF(D6705="","",IFERROR(VLOOKUP(D6705,Projects!$A$2:$A$20000,1,FALSE),""))</f>
        <v/>
      </c>
      <c r="AF6705" s="2" t="str">
        <f>IF(D6705="","",IFERROR(MATCH(D6705,Projects!$A:$A,0),""))</f>
        <v/>
      </c>
    </row>
    <row r="6706" spans="31:32" x14ac:dyDescent="0.25">
      <c r="AE6706" s="39" t="str">
        <f>IF(D6706="","",IFERROR(VLOOKUP(D6706,Projects!$A$2:$A$20000,1,FALSE),""))</f>
        <v/>
      </c>
      <c r="AF6706" s="2" t="str">
        <f>IF(D6706="","",IFERROR(MATCH(D6706,Projects!$A:$A,0),""))</f>
        <v/>
      </c>
    </row>
    <row r="6707" spans="31:32" x14ac:dyDescent="0.25">
      <c r="AE6707" s="39" t="str">
        <f>IF(D6707="","",IFERROR(VLOOKUP(D6707,Projects!$A$2:$A$20000,1,FALSE),""))</f>
        <v/>
      </c>
      <c r="AF6707" s="2" t="str">
        <f>IF(D6707="","",IFERROR(MATCH(D6707,Projects!$A:$A,0),""))</f>
        <v/>
      </c>
    </row>
    <row r="6708" spans="31:32" x14ac:dyDescent="0.25">
      <c r="AE6708" s="39" t="str">
        <f>IF(D6708="","",IFERROR(VLOOKUP(D6708,Projects!$A$2:$A$20000,1,FALSE),""))</f>
        <v/>
      </c>
      <c r="AF6708" s="2" t="str">
        <f>IF(D6708="","",IFERROR(MATCH(D6708,Projects!$A:$A,0),""))</f>
        <v/>
      </c>
    </row>
    <row r="6709" spans="31:32" x14ac:dyDescent="0.25">
      <c r="AE6709" s="39" t="str">
        <f>IF(D6709="","",IFERROR(VLOOKUP(D6709,Projects!$A$2:$A$20000,1,FALSE),""))</f>
        <v/>
      </c>
      <c r="AF6709" s="2" t="str">
        <f>IF(D6709="","",IFERROR(MATCH(D6709,Projects!$A:$A,0),""))</f>
        <v/>
      </c>
    </row>
    <row r="6710" spans="31:32" x14ac:dyDescent="0.25">
      <c r="AE6710" s="39" t="str">
        <f>IF(D6710="","",IFERROR(VLOOKUP(D6710,Projects!$A$2:$A$20000,1,FALSE),""))</f>
        <v/>
      </c>
      <c r="AF6710" s="2" t="str">
        <f>IF(D6710="","",IFERROR(MATCH(D6710,Projects!$A:$A,0),""))</f>
        <v/>
      </c>
    </row>
    <row r="6711" spans="31:32" x14ac:dyDescent="0.25">
      <c r="AE6711" s="39" t="str">
        <f>IF(D6711="","",IFERROR(VLOOKUP(D6711,Projects!$A$2:$A$20000,1,FALSE),""))</f>
        <v/>
      </c>
      <c r="AF6711" s="2" t="str">
        <f>IF(D6711="","",IFERROR(MATCH(D6711,Projects!$A:$A,0),""))</f>
        <v/>
      </c>
    </row>
    <row r="6712" spans="31:32" x14ac:dyDescent="0.25">
      <c r="AE6712" s="39" t="str">
        <f>IF(D6712="","",IFERROR(VLOOKUP(D6712,Projects!$A$2:$A$20000,1,FALSE),""))</f>
        <v/>
      </c>
      <c r="AF6712" s="2" t="str">
        <f>IF(D6712="","",IFERROR(MATCH(D6712,Projects!$A:$A,0),""))</f>
        <v/>
      </c>
    </row>
    <row r="6713" spans="31:32" x14ac:dyDescent="0.25">
      <c r="AE6713" s="39" t="str">
        <f>IF(D6713="","",IFERROR(VLOOKUP(D6713,Projects!$A$2:$A$20000,1,FALSE),""))</f>
        <v/>
      </c>
      <c r="AF6713" s="2" t="str">
        <f>IF(D6713="","",IFERROR(MATCH(D6713,Projects!$A:$A,0),""))</f>
        <v/>
      </c>
    </row>
    <row r="6714" spans="31:32" x14ac:dyDescent="0.25">
      <c r="AE6714" s="39" t="str">
        <f>IF(D6714="","",IFERROR(VLOOKUP(D6714,Projects!$A$2:$A$20000,1,FALSE),""))</f>
        <v/>
      </c>
      <c r="AF6714" s="2" t="str">
        <f>IF(D6714="","",IFERROR(MATCH(D6714,Projects!$A:$A,0),""))</f>
        <v/>
      </c>
    </row>
    <row r="6715" spans="31:32" x14ac:dyDescent="0.25">
      <c r="AE6715" s="39" t="str">
        <f>IF(D6715="","",IFERROR(VLOOKUP(D6715,Projects!$A$2:$A$20000,1,FALSE),""))</f>
        <v/>
      </c>
      <c r="AF6715" s="2" t="str">
        <f>IF(D6715="","",IFERROR(MATCH(D6715,Projects!$A:$A,0),""))</f>
        <v/>
      </c>
    </row>
    <row r="6716" spans="31:32" x14ac:dyDescent="0.25">
      <c r="AE6716" s="39" t="str">
        <f>IF(D6716="","",IFERROR(VLOOKUP(D6716,Projects!$A$2:$A$20000,1,FALSE),""))</f>
        <v/>
      </c>
      <c r="AF6716" s="2" t="str">
        <f>IF(D6716="","",IFERROR(MATCH(D6716,Projects!$A:$A,0),""))</f>
        <v/>
      </c>
    </row>
    <row r="6717" spans="31:32" x14ac:dyDescent="0.25">
      <c r="AE6717" s="39" t="str">
        <f>IF(D6717="","",IFERROR(VLOOKUP(D6717,Projects!$A$2:$A$20000,1,FALSE),""))</f>
        <v/>
      </c>
      <c r="AF6717" s="2" t="str">
        <f>IF(D6717="","",IFERROR(MATCH(D6717,Projects!$A:$A,0),""))</f>
        <v/>
      </c>
    </row>
    <row r="6718" spans="31:32" x14ac:dyDescent="0.25">
      <c r="AE6718" s="39" t="str">
        <f>IF(D6718="","",IFERROR(VLOOKUP(D6718,Projects!$A$2:$A$20000,1,FALSE),""))</f>
        <v/>
      </c>
      <c r="AF6718" s="2" t="str">
        <f>IF(D6718="","",IFERROR(MATCH(D6718,Projects!$A:$A,0),""))</f>
        <v/>
      </c>
    </row>
    <row r="6719" spans="31:32" x14ac:dyDescent="0.25">
      <c r="AE6719" s="39" t="str">
        <f>IF(D6719="","",IFERROR(VLOOKUP(D6719,Projects!$A$2:$A$20000,1,FALSE),""))</f>
        <v/>
      </c>
      <c r="AF6719" s="2" t="str">
        <f>IF(D6719="","",IFERROR(MATCH(D6719,Projects!$A:$A,0),""))</f>
        <v/>
      </c>
    </row>
    <row r="6720" spans="31:32" x14ac:dyDescent="0.25">
      <c r="AE6720" s="39" t="str">
        <f>IF(D6720="","",IFERROR(VLOOKUP(D6720,Projects!$A$2:$A$20000,1,FALSE),""))</f>
        <v/>
      </c>
      <c r="AF6720" s="2" t="str">
        <f>IF(D6720="","",IFERROR(MATCH(D6720,Projects!$A:$A,0),""))</f>
        <v/>
      </c>
    </row>
    <row r="6721" spans="31:32" x14ac:dyDescent="0.25">
      <c r="AE6721" s="39" t="str">
        <f>IF(D6721="","",IFERROR(VLOOKUP(D6721,Projects!$A$2:$A$20000,1,FALSE),""))</f>
        <v/>
      </c>
      <c r="AF6721" s="2" t="str">
        <f>IF(D6721="","",IFERROR(MATCH(D6721,Projects!$A:$A,0),""))</f>
        <v/>
      </c>
    </row>
    <row r="6722" spans="31:32" x14ac:dyDescent="0.25">
      <c r="AE6722" s="39" t="str">
        <f>IF(D6722="","",IFERROR(VLOOKUP(D6722,Projects!$A$2:$A$20000,1,FALSE),""))</f>
        <v/>
      </c>
      <c r="AF6722" s="2" t="str">
        <f>IF(D6722="","",IFERROR(MATCH(D6722,Projects!$A:$A,0),""))</f>
        <v/>
      </c>
    </row>
    <row r="6723" spans="31:32" x14ac:dyDescent="0.25">
      <c r="AE6723" s="39" t="str">
        <f>IF(D6723="","",IFERROR(VLOOKUP(D6723,Projects!$A$2:$A$20000,1,FALSE),""))</f>
        <v/>
      </c>
      <c r="AF6723" s="2" t="str">
        <f>IF(D6723="","",IFERROR(MATCH(D6723,Projects!$A:$A,0),""))</f>
        <v/>
      </c>
    </row>
    <row r="6724" spans="31:32" x14ac:dyDescent="0.25">
      <c r="AE6724" s="39" t="str">
        <f>IF(D6724="","",IFERROR(VLOOKUP(D6724,Projects!$A$2:$A$20000,1,FALSE),""))</f>
        <v/>
      </c>
      <c r="AF6724" s="2" t="str">
        <f>IF(D6724="","",IFERROR(MATCH(D6724,Projects!$A:$A,0),""))</f>
        <v/>
      </c>
    </row>
    <row r="6725" spans="31:32" x14ac:dyDescent="0.25">
      <c r="AE6725" s="39" t="str">
        <f>IF(D6725="","",IFERROR(VLOOKUP(D6725,Projects!$A$2:$A$20000,1,FALSE),""))</f>
        <v/>
      </c>
      <c r="AF6725" s="2" t="str">
        <f>IF(D6725="","",IFERROR(MATCH(D6725,Projects!$A:$A,0),""))</f>
        <v/>
      </c>
    </row>
    <row r="6726" spans="31:32" x14ac:dyDescent="0.25">
      <c r="AE6726" s="39" t="str">
        <f>IF(D6726="","",IFERROR(VLOOKUP(D6726,Projects!$A$2:$A$20000,1,FALSE),""))</f>
        <v/>
      </c>
      <c r="AF6726" s="2" t="str">
        <f>IF(D6726="","",IFERROR(MATCH(D6726,Projects!$A:$A,0),""))</f>
        <v/>
      </c>
    </row>
    <row r="6727" spans="31:32" x14ac:dyDescent="0.25">
      <c r="AE6727" s="39" t="str">
        <f>IF(D6727="","",IFERROR(VLOOKUP(D6727,Projects!$A$2:$A$20000,1,FALSE),""))</f>
        <v/>
      </c>
      <c r="AF6727" s="2" t="str">
        <f>IF(D6727="","",IFERROR(MATCH(D6727,Projects!$A:$A,0),""))</f>
        <v/>
      </c>
    </row>
    <row r="6728" spans="31:32" x14ac:dyDescent="0.25">
      <c r="AE6728" s="39" t="str">
        <f>IF(D6728="","",IFERROR(VLOOKUP(D6728,Projects!$A$2:$A$20000,1,FALSE),""))</f>
        <v/>
      </c>
      <c r="AF6728" s="2" t="str">
        <f>IF(D6728="","",IFERROR(MATCH(D6728,Projects!$A:$A,0),""))</f>
        <v/>
      </c>
    </row>
    <row r="6729" spans="31:32" x14ac:dyDescent="0.25">
      <c r="AE6729" s="39" t="str">
        <f>IF(D6729="","",IFERROR(VLOOKUP(D6729,Projects!$A$2:$A$20000,1,FALSE),""))</f>
        <v/>
      </c>
      <c r="AF6729" s="2" t="str">
        <f>IF(D6729="","",IFERROR(MATCH(D6729,Projects!$A:$A,0),""))</f>
        <v/>
      </c>
    </row>
    <row r="6730" spans="31:32" x14ac:dyDescent="0.25">
      <c r="AE6730" s="39" t="str">
        <f>IF(D6730="","",IFERROR(VLOOKUP(D6730,Projects!$A$2:$A$20000,1,FALSE),""))</f>
        <v/>
      </c>
      <c r="AF6730" s="2" t="str">
        <f>IF(D6730="","",IFERROR(MATCH(D6730,Projects!$A:$A,0),""))</f>
        <v/>
      </c>
    </row>
    <row r="6731" spans="31:32" x14ac:dyDescent="0.25">
      <c r="AE6731" s="39" t="str">
        <f>IF(D6731="","",IFERROR(VLOOKUP(D6731,Projects!$A$2:$A$20000,1,FALSE),""))</f>
        <v/>
      </c>
      <c r="AF6731" s="2" t="str">
        <f>IF(D6731="","",IFERROR(MATCH(D6731,Projects!$A:$A,0),""))</f>
        <v/>
      </c>
    </row>
    <row r="6732" spans="31:32" x14ac:dyDescent="0.25">
      <c r="AE6732" s="39" t="str">
        <f>IF(D6732="","",IFERROR(VLOOKUP(D6732,Projects!$A$2:$A$20000,1,FALSE),""))</f>
        <v/>
      </c>
      <c r="AF6732" s="2" t="str">
        <f>IF(D6732="","",IFERROR(MATCH(D6732,Projects!$A:$A,0),""))</f>
        <v/>
      </c>
    </row>
    <row r="6733" spans="31:32" x14ac:dyDescent="0.25">
      <c r="AE6733" s="39" t="str">
        <f>IF(D6733="","",IFERROR(VLOOKUP(D6733,Projects!$A$2:$A$20000,1,FALSE),""))</f>
        <v/>
      </c>
      <c r="AF6733" s="2" t="str">
        <f>IF(D6733="","",IFERROR(MATCH(D6733,Projects!$A:$A,0),""))</f>
        <v/>
      </c>
    </row>
    <row r="6734" spans="31:32" x14ac:dyDescent="0.25">
      <c r="AE6734" s="39" t="str">
        <f>IF(D6734="","",IFERROR(VLOOKUP(D6734,Projects!$A$2:$A$20000,1,FALSE),""))</f>
        <v/>
      </c>
      <c r="AF6734" s="2" t="str">
        <f>IF(D6734="","",IFERROR(MATCH(D6734,Projects!$A:$A,0),""))</f>
        <v/>
      </c>
    </row>
    <row r="6735" spans="31:32" x14ac:dyDescent="0.25">
      <c r="AE6735" s="39" t="str">
        <f>IF(D6735="","",IFERROR(VLOOKUP(D6735,Projects!$A$2:$A$20000,1,FALSE),""))</f>
        <v/>
      </c>
      <c r="AF6735" s="2" t="str">
        <f>IF(D6735="","",IFERROR(MATCH(D6735,Projects!$A:$A,0),""))</f>
        <v/>
      </c>
    </row>
    <row r="6736" spans="31:32" x14ac:dyDescent="0.25">
      <c r="AE6736" s="39" t="str">
        <f>IF(D6736="","",IFERROR(VLOOKUP(D6736,Projects!$A$2:$A$20000,1,FALSE),""))</f>
        <v/>
      </c>
      <c r="AF6736" s="2" t="str">
        <f>IF(D6736="","",IFERROR(MATCH(D6736,Projects!$A:$A,0),""))</f>
        <v/>
      </c>
    </row>
    <row r="6737" spans="31:32" x14ac:dyDescent="0.25">
      <c r="AE6737" s="39" t="str">
        <f>IF(D6737="","",IFERROR(VLOOKUP(D6737,Projects!$A$2:$A$20000,1,FALSE),""))</f>
        <v/>
      </c>
      <c r="AF6737" s="2" t="str">
        <f>IF(D6737="","",IFERROR(MATCH(D6737,Projects!$A:$A,0),""))</f>
        <v/>
      </c>
    </row>
    <row r="6738" spans="31:32" x14ac:dyDescent="0.25">
      <c r="AE6738" s="39" t="str">
        <f>IF(D6738="","",IFERROR(VLOOKUP(D6738,Projects!$A$2:$A$20000,1,FALSE),""))</f>
        <v/>
      </c>
      <c r="AF6738" s="2" t="str">
        <f>IF(D6738="","",IFERROR(MATCH(D6738,Projects!$A:$A,0),""))</f>
        <v/>
      </c>
    </row>
    <row r="6739" spans="31:32" x14ac:dyDescent="0.25">
      <c r="AE6739" s="39" t="str">
        <f>IF(D6739="","",IFERROR(VLOOKUP(D6739,Projects!$A$2:$A$20000,1,FALSE),""))</f>
        <v/>
      </c>
      <c r="AF6739" s="2" t="str">
        <f>IF(D6739="","",IFERROR(MATCH(D6739,Projects!$A:$A,0),""))</f>
        <v/>
      </c>
    </row>
    <row r="6740" spans="31:32" x14ac:dyDescent="0.25">
      <c r="AE6740" s="39" t="str">
        <f>IF(D6740="","",IFERROR(VLOOKUP(D6740,Projects!$A$2:$A$20000,1,FALSE),""))</f>
        <v/>
      </c>
      <c r="AF6740" s="2" t="str">
        <f>IF(D6740="","",IFERROR(MATCH(D6740,Projects!$A:$A,0),""))</f>
        <v/>
      </c>
    </row>
    <row r="6741" spans="31:32" x14ac:dyDescent="0.25">
      <c r="AE6741" s="39" t="str">
        <f>IF(D6741="","",IFERROR(VLOOKUP(D6741,Projects!$A$2:$A$20000,1,FALSE),""))</f>
        <v/>
      </c>
      <c r="AF6741" s="2" t="str">
        <f>IF(D6741="","",IFERROR(MATCH(D6741,Projects!$A:$A,0),""))</f>
        <v/>
      </c>
    </row>
    <row r="6742" spans="31:32" x14ac:dyDescent="0.25">
      <c r="AE6742" s="39" t="str">
        <f>IF(D6742="","",IFERROR(VLOOKUP(D6742,Projects!$A$2:$A$20000,1,FALSE),""))</f>
        <v/>
      </c>
      <c r="AF6742" s="2" t="str">
        <f>IF(D6742="","",IFERROR(MATCH(D6742,Projects!$A:$A,0),""))</f>
        <v/>
      </c>
    </row>
    <row r="6743" spans="31:32" x14ac:dyDescent="0.25">
      <c r="AE6743" s="39" t="str">
        <f>IF(D6743="","",IFERROR(VLOOKUP(D6743,Projects!$A$2:$A$20000,1,FALSE),""))</f>
        <v/>
      </c>
      <c r="AF6743" s="2" t="str">
        <f>IF(D6743="","",IFERROR(MATCH(D6743,Projects!$A:$A,0),""))</f>
        <v/>
      </c>
    </row>
    <row r="6744" spans="31:32" x14ac:dyDescent="0.25">
      <c r="AE6744" s="39" t="str">
        <f>IF(D6744="","",IFERROR(VLOOKUP(D6744,Projects!$A$2:$A$20000,1,FALSE),""))</f>
        <v/>
      </c>
      <c r="AF6744" s="2" t="str">
        <f>IF(D6744="","",IFERROR(MATCH(D6744,Projects!$A:$A,0),""))</f>
        <v/>
      </c>
    </row>
    <row r="6745" spans="31:32" x14ac:dyDescent="0.25">
      <c r="AE6745" s="39" t="str">
        <f>IF(D6745="","",IFERROR(VLOOKUP(D6745,Projects!$A$2:$A$20000,1,FALSE),""))</f>
        <v/>
      </c>
      <c r="AF6745" s="2" t="str">
        <f>IF(D6745="","",IFERROR(MATCH(D6745,Projects!$A:$A,0),""))</f>
        <v/>
      </c>
    </row>
    <row r="6746" spans="31:32" x14ac:dyDescent="0.25">
      <c r="AE6746" s="39" t="str">
        <f>IF(D6746="","",IFERROR(VLOOKUP(D6746,Projects!$A$2:$A$20000,1,FALSE),""))</f>
        <v/>
      </c>
      <c r="AF6746" s="2" t="str">
        <f>IF(D6746="","",IFERROR(MATCH(D6746,Projects!$A:$A,0),""))</f>
        <v/>
      </c>
    </row>
    <row r="6747" spans="31:32" x14ac:dyDescent="0.25">
      <c r="AE6747" s="39" t="str">
        <f>IF(D6747="","",IFERROR(VLOOKUP(D6747,Projects!$A$2:$A$20000,1,FALSE),""))</f>
        <v/>
      </c>
      <c r="AF6747" s="2" t="str">
        <f>IF(D6747="","",IFERROR(MATCH(D6747,Projects!$A:$A,0),""))</f>
        <v/>
      </c>
    </row>
    <row r="6748" spans="31:32" x14ac:dyDescent="0.25">
      <c r="AE6748" s="39" t="str">
        <f>IF(D6748="","",IFERROR(VLOOKUP(D6748,Projects!$A$2:$A$20000,1,FALSE),""))</f>
        <v/>
      </c>
      <c r="AF6748" s="2" t="str">
        <f>IF(D6748="","",IFERROR(MATCH(D6748,Projects!$A:$A,0),""))</f>
        <v/>
      </c>
    </row>
    <row r="6749" spans="31:32" x14ac:dyDescent="0.25">
      <c r="AE6749" s="39" t="str">
        <f>IF(D6749="","",IFERROR(VLOOKUP(D6749,Projects!$A$2:$A$20000,1,FALSE),""))</f>
        <v/>
      </c>
      <c r="AF6749" s="2" t="str">
        <f>IF(D6749="","",IFERROR(MATCH(D6749,Projects!$A:$A,0),""))</f>
        <v/>
      </c>
    </row>
    <row r="6750" spans="31:32" x14ac:dyDescent="0.25">
      <c r="AE6750" s="39" t="str">
        <f>IF(D6750="","",IFERROR(VLOOKUP(D6750,Projects!$A$2:$A$20000,1,FALSE),""))</f>
        <v/>
      </c>
      <c r="AF6750" s="2" t="str">
        <f>IF(D6750="","",IFERROR(MATCH(D6750,Projects!$A:$A,0),""))</f>
        <v/>
      </c>
    </row>
    <row r="6751" spans="31:32" x14ac:dyDescent="0.25">
      <c r="AE6751" s="39" t="str">
        <f>IF(D6751="","",IFERROR(VLOOKUP(D6751,Projects!$A$2:$A$20000,1,FALSE),""))</f>
        <v/>
      </c>
      <c r="AF6751" s="2" t="str">
        <f>IF(D6751="","",IFERROR(MATCH(D6751,Projects!$A:$A,0),""))</f>
        <v/>
      </c>
    </row>
    <row r="6752" spans="31:32" x14ac:dyDescent="0.25">
      <c r="AE6752" s="39" t="str">
        <f>IF(D6752="","",IFERROR(VLOOKUP(D6752,Projects!$A$2:$A$20000,1,FALSE),""))</f>
        <v/>
      </c>
      <c r="AF6752" s="2" t="str">
        <f>IF(D6752="","",IFERROR(MATCH(D6752,Projects!$A:$A,0),""))</f>
        <v/>
      </c>
    </row>
    <row r="6753" spans="31:32" x14ac:dyDescent="0.25">
      <c r="AE6753" s="39" t="str">
        <f>IF(D6753="","",IFERROR(VLOOKUP(D6753,Projects!$A$2:$A$20000,1,FALSE),""))</f>
        <v/>
      </c>
      <c r="AF6753" s="2" t="str">
        <f>IF(D6753="","",IFERROR(MATCH(D6753,Projects!$A:$A,0),""))</f>
        <v/>
      </c>
    </row>
    <row r="6754" spans="31:32" x14ac:dyDescent="0.25">
      <c r="AE6754" s="39" t="str">
        <f>IF(D6754="","",IFERROR(VLOOKUP(D6754,Projects!$A$2:$A$20000,1,FALSE),""))</f>
        <v/>
      </c>
      <c r="AF6754" s="2" t="str">
        <f>IF(D6754="","",IFERROR(MATCH(D6754,Projects!$A:$A,0),""))</f>
        <v/>
      </c>
    </row>
    <row r="6755" spans="31:32" x14ac:dyDescent="0.25">
      <c r="AE6755" s="39" t="str">
        <f>IF(D6755="","",IFERROR(VLOOKUP(D6755,Projects!$A$2:$A$20000,1,FALSE),""))</f>
        <v/>
      </c>
      <c r="AF6755" s="2" t="str">
        <f>IF(D6755="","",IFERROR(MATCH(D6755,Projects!$A:$A,0),""))</f>
        <v/>
      </c>
    </row>
    <row r="6756" spans="31:32" x14ac:dyDescent="0.25">
      <c r="AE6756" s="39" t="str">
        <f>IF(D6756="","",IFERROR(VLOOKUP(D6756,Projects!$A$2:$A$20000,1,FALSE),""))</f>
        <v/>
      </c>
      <c r="AF6756" s="2" t="str">
        <f>IF(D6756="","",IFERROR(MATCH(D6756,Projects!$A:$A,0),""))</f>
        <v/>
      </c>
    </row>
    <row r="6757" spans="31:32" x14ac:dyDescent="0.25">
      <c r="AE6757" s="39" t="str">
        <f>IF(D6757="","",IFERROR(VLOOKUP(D6757,Projects!$A$2:$A$20000,1,FALSE),""))</f>
        <v/>
      </c>
      <c r="AF6757" s="2" t="str">
        <f>IF(D6757="","",IFERROR(MATCH(D6757,Projects!$A:$A,0),""))</f>
        <v/>
      </c>
    </row>
    <row r="6758" spans="31:32" x14ac:dyDescent="0.25">
      <c r="AE6758" s="39" t="str">
        <f>IF(D6758="","",IFERROR(VLOOKUP(D6758,Projects!$A$2:$A$20000,1,FALSE),""))</f>
        <v/>
      </c>
      <c r="AF6758" s="2" t="str">
        <f>IF(D6758="","",IFERROR(MATCH(D6758,Projects!$A:$A,0),""))</f>
        <v/>
      </c>
    </row>
    <row r="6759" spans="31:32" x14ac:dyDescent="0.25">
      <c r="AE6759" s="39" t="str">
        <f>IF(D6759="","",IFERROR(VLOOKUP(D6759,Projects!$A$2:$A$20000,1,FALSE),""))</f>
        <v/>
      </c>
      <c r="AF6759" s="2" t="str">
        <f>IF(D6759="","",IFERROR(MATCH(D6759,Projects!$A:$A,0),""))</f>
        <v/>
      </c>
    </row>
    <row r="6760" spans="31:32" x14ac:dyDescent="0.25">
      <c r="AE6760" s="39" t="str">
        <f>IF(D6760="","",IFERROR(VLOOKUP(D6760,Projects!$A$2:$A$20000,1,FALSE),""))</f>
        <v/>
      </c>
      <c r="AF6760" s="2" t="str">
        <f>IF(D6760="","",IFERROR(MATCH(D6760,Projects!$A:$A,0),""))</f>
        <v/>
      </c>
    </row>
    <row r="6761" spans="31:32" x14ac:dyDescent="0.25">
      <c r="AE6761" s="39" t="str">
        <f>IF(D6761="","",IFERROR(VLOOKUP(D6761,Projects!$A$2:$A$20000,1,FALSE),""))</f>
        <v/>
      </c>
      <c r="AF6761" s="2" t="str">
        <f>IF(D6761="","",IFERROR(MATCH(D6761,Projects!$A:$A,0),""))</f>
        <v/>
      </c>
    </row>
    <row r="6762" spans="31:32" x14ac:dyDescent="0.25">
      <c r="AE6762" s="39" t="str">
        <f>IF(D6762="","",IFERROR(VLOOKUP(D6762,Projects!$A$2:$A$20000,1,FALSE),""))</f>
        <v/>
      </c>
      <c r="AF6762" s="2" t="str">
        <f>IF(D6762="","",IFERROR(MATCH(D6762,Projects!$A:$A,0),""))</f>
        <v/>
      </c>
    </row>
    <row r="6763" spans="31:32" x14ac:dyDescent="0.25">
      <c r="AE6763" s="39" t="str">
        <f>IF(D6763="","",IFERROR(VLOOKUP(D6763,Projects!$A$2:$A$20000,1,FALSE),""))</f>
        <v/>
      </c>
      <c r="AF6763" s="2" t="str">
        <f>IF(D6763="","",IFERROR(MATCH(D6763,Projects!$A:$A,0),""))</f>
        <v/>
      </c>
    </row>
    <row r="6764" spans="31:32" x14ac:dyDescent="0.25">
      <c r="AE6764" s="39" t="str">
        <f>IF(D6764="","",IFERROR(VLOOKUP(D6764,Projects!$A$2:$A$20000,1,FALSE),""))</f>
        <v/>
      </c>
      <c r="AF6764" s="2" t="str">
        <f>IF(D6764="","",IFERROR(MATCH(D6764,Projects!$A:$A,0),""))</f>
        <v/>
      </c>
    </row>
    <row r="6765" spans="31:32" x14ac:dyDescent="0.25">
      <c r="AE6765" s="39" t="str">
        <f>IF(D6765="","",IFERROR(VLOOKUP(D6765,Projects!$A$2:$A$20000,1,FALSE),""))</f>
        <v/>
      </c>
      <c r="AF6765" s="2" t="str">
        <f>IF(D6765="","",IFERROR(MATCH(D6765,Projects!$A:$A,0),""))</f>
        <v/>
      </c>
    </row>
    <row r="6766" spans="31:32" x14ac:dyDescent="0.25">
      <c r="AE6766" s="39" t="str">
        <f>IF(D6766="","",IFERROR(VLOOKUP(D6766,Projects!$A$2:$A$20000,1,FALSE),""))</f>
        <v/>
      </c>
      <c r="AF6766" s="2" t="str">
        <f>IF(D6766="","",IFERROR(MATCH(D6766,Projects!$A:$A,0),""))</f>
        <v/>
      </c>
    </row>
    <row r="6767" spans="31:32" x14ac:dyDescent="0.25">
      <c r="AE6767" s="39" t="str">
        <f>IF(D6767="","",IFERROR(VLOOKUP(D6767,Projects!$A$2:$A$20000,1,FALSE),""))</f>
        <v/>
      </c>
      <c r="AF6767" s="2" t="str">
        <f>IF(D6767="","",IFERROR(MATCH(D6767,Projects!$A:$A,0),""))</f>
        <v/>
      </c>
    </row>
    <row r="6768" spans="31:32" x14ac:dyDescent="0.25">
      <c r="AE6768" s="39" t="str">
        <f>IF(D6768="","",IFERROR(VLOOKUP(D6768,Projects!$A$2:$A$20000,1,FALSE),""))</f>
        <v/>
      </c>
      <c r="AF6768" s="2" t="str">
        <f>IF(D6768="","",IFERROR(MATCH(D6768,Projects!$A:$A,0),""))</f>
        <v/>
      </c>
    </row>
    <row r="6769" spans="31:32" x14ac:dyDescent="0.25">
      <c r="AE6769" s="39" t="str">
        <f>IF(D6769="","",IFERROR(VLOOKUP(D6769,Projects!$A$2:$A$20000,1,FALSE),""))</f>
        <v/>
      </c>
      <c r="AF6769" s="2" t="str">
        <f>IF(D6769="","",IFERROR(MATCH(D6769,Projects!$A:$A,0),""))</f>
        <v/>
      </c>
    </row>
    <row r="6770" spans="31:32" x14ac:dyDescent="0.25">
      <c r="AE6770" s="39" t="str">
        <f>IF(D6770="","",IFERROR(VLOOKUP(D6770,Projects!$A$2:$A$20000,1,FALSE),""))</f>
        <v/>
      </c>
      <c r="AF6770" s="2" t="str">
        <f>IF(D6770="","",IFERROR(MATCH(D6770,Projects!$A:$A,0),""))</f>
        <v/>
      </c>
    </row>
    <row r="6771" spans="31:32" x14ac:dyDescent="0.25">
      <c r="AE6771" s="39" t="str">
        <f>IF(D6771="","",IFERROR(VLOOKUP(D6771,Projects!$A$2:$A$20000,1,FALSE),""))</f>
        <v/>
      </c>
      <c r="AF6771" s="2" t="str">
        <f>IF(D6771="","",IFERROR(MATCH(D6771,Projects!$A:$A,0),""))</f>
        <v/>
      </c>
    </row>
    <row r="6772" spans="31:32" x14ac:dyDescent="0.25">
      <c r="AE6772" s="39" t="str">
        <f>IF(D6772="","",IFERROR(VLOOKUP(D6772,Projects!$A$2:$A$20000,1,FALSE),""))</f>
        <v/>
      </c>
      <c r="AF6772" s="2" t="str">
        <f>IF(D6772="","",IFERROR(MATCH(D6772,Projects!$A:$A,0),""))</f>
        <v/>
      </c>
    </row>
    <row r="6773" spans="31:32" x14ac:dyDescent="0.25">
      <c r="AE6773" s="39" t="str">
        <f>IF(D6773="","",IFERROR(VLOOKUP(D6773,Projects!$A$2:$A$20000,1,FALSE),""))</f>
        <v/>
      </c>
      <c r="AF6773" s="2" t="str">
        <f>IF(D6773="","",IFERROR(MATCH(D6773,Projects!$A:$A,0),""))</f>
        <v/>
      </c>
    </row>
    <row r="6774" spans="31:32" x14ac:dyDescent="0.25">
      <c r="AE6774" s="39" t="str">
        <f>IF(D6774="","",IFERROR(VLOOKUP(D6774,Projects!$A$2:$A$20000,1,FALSE),""))</f>
        <v/>
      </c>
      <c r="AF6774" s="2" t="str">
        <f>IF(D6774="","",IFERROR(MATCH(D6774,Projects!$A:$A,0),""))</f>
        <v/>
      </c>
    </row>
    <row r="6775" spans="31:32" x14ac:dyDescent="0.25">
      <c r="AE6775" s="39" t="str">
        <f>IF(D6775="","",IFERROR(VLOOKUP(D6775,Projects!$A$2:$A$20000,1,FALSE),""))</f>
        <v/>
      </c>
      <c r="AF6775" s="2" t="str">
        <f>IF(D6775="","",IFERROR(MATCH(D6775,Projects!$A:$A,0),""))</f>
        <v/>
      </c>
    </row>
    <row r="6776" spans="31:32" x14ac:dyDescent="0.25">
      <c r="AE6776" s="39" t="str">
        <f>IF(D6776="","",IFERROR(VLOOKUP(D6776,Projects!$A$2:$A$20000,1,FALSE),""))</f>
        <v/>
      </c>
      <c r="AF6776" s="2" t="str">
        <f>IF(D6776="","",IFERROR(MATCH(D6776,Projects!$A:$A,0),""))</f>
        <v/>
      </c>
    </row>
    <row r="6777" spans="31:32" x14ac:dyDescent="0.25">
      <c r="AE6777" s="39" t="str">
        <f>IF(D6777="","",IFERROR(VLOOKUP(D6777,Projects!$A$2:$A$20000,1,FALSE),""))</f>
        <v/>
      </c>
      <c r="AF6777" s="2" t="str">
        <f>IF(D6777="","",IFERROR(MATCH(D6777,Projects!$A:$A,0),""))</f>
        <v/>
      </c>
    </row>
    <row r="6778" spans="31:32" x14ac:dyDescent="0.25">
      <c r="AE6778" s="39" t="str">
        <f>IF(D6778="","",IFERROR(VLOOKUP(D6778,Projects!$A$2:$A$20000,1,FALSE),""))</f>
        <v/>
      </c>
      <c r="AF6778" s="2" t="str">
        <f>IF(D6778="","",IFERROR(MATCH(D6778,Projects!$A:$A,0),""))</f>
        <v/>
      </c>
    </row>
    <row r="6779" spans="31:32" x14ac:dyDescent="0.25">
      <c r="AE6779" s="39" t="str">
        <f>IF(D6779="","",IFERROR(VLOOKUP(D6779,Projects!$A$2:$A$20000,1,FALSE),""))</f>
        <v/>
      </c>
      <c r="AF6779" s="2" t="str">
        <f>IF(D6779="","",IFERROR(MATCH(D6779,Projects!$A:$A,0),""))</f>
        <v/>
      </c>
    </row>
    <row r="6780" spans="31:32" x14ac:dyDescent="0.25">
      <c r="AE6780" s="39" t="str">
        <f>IF(D6780="","",IFERROR(VLOOKUP(D6780,Projects!$A$2:$A$20000,1,FALSE),""))</f>
        <v/>
      </c>
      <c r="AF6780" s="2" t="str">
        <f>IF(D6780="","",IFERROR(MATCH(D6780,Projects!$A:$A,0),""))</f>
        <v/>
      </c>
    </row>
    <row r="6781" spans="31:32" x14ac:dyDescent="0.25">
      <c r="AE6781" s="39" t="str">
        <f>IF(D6781="","",IFERROR(VLOOKUP(D6781,Projects!$A$2:$A$20000,1,FALSE),""))</f>
        <v/>
      </c>
      <c r="AF6781" s="2" t="str">
        <f>IF(D6781="","",IFERROR(MATCH(D6781,Projects!$A:$A,0),""))</f>
        <v/>
      </c>
    </row>
    <row r="6782" spans="31:32" x14ac:dyDescent="0.25">
      <c r="AE6782" s="39" t="str">
        <f>IF(D6782="","",IFERROR(VLOOKUP(D6782,Projects!$A$2:$A$20000,1,FALSE),""))</f>
        <v/>
      </c>
      <c r="AF6782" s="2" t="str">
        <f>IF(D6782="","",IFERROR(MATCH(D6782,Projects!$A:$A,0),""))</f>
        <v/>
      </c>
    </row>
    <row r="6783" spans="31:32" x14ac:dyDescent="0.25">
      <c r="AE6783" s="39" t="str">
        <f>IF(D6783="","",IFERROR(VLOOKUP(D6783,Projects!$A$2:$A$20000,1,FALSE),""))</f>
        <v/>
      </c>
      <c r="AF6783" s="2" t="str">
        <f>IF(D6783="","",IFERROR(MATCH(D6783,Projects!$A:$A,0),""))</f>
        <v/>
      </c>
    </row>
    <row r="6784" spans="31:32" x14ac:dyDescent="0.25">
      <c r="AE6784" s="39" t="str">
        <f>IF(D6784="","",IFERROR(VLOOKUP(D6784,Projects!$A$2:$A$20000,1,FALSE),""))</f>
        <v/>
      </c>
      <c r="AF6784" s="2" t="str">
        <f>IF(D6784="","",IFERROR(MATCH(D6784,Projects!$A:$A,0),""))</f>
        <v/>
      </c>
    </row>
    <row r="6785" spans="31:32" x14ac:dyDescent="0.25">
      <c r="AE6785" s="39" t="str">
        <f>IF(D6785="","",IFERROR(VLOOKUP(D6785,Projects!$A$2:$A$20000,1,FALSE),""))</f>
        <v/>
      </c>
      <c r="AF6785" s="2" t="str">
        <f>IF(D6785="","",IFERROR(MATCH(D6785,Projects!$A:$A,0),""))</f>
        <v/>
      </c>
    </row>
    <row r="6786" spans="31:32" x14ac:dyDescent="0.25">
      <c r="AE6786" s="39" t="str">
        <f>IF(D6786="","",IFERROR(VLOOKUP(D6786,Projects!$A$2:$A$20000,1,FALSE),""))</f>
        <v/>
      </c>
      <c r="AF6786" s="2" t="str">
        <f>IF(D6786="","",IFERROR(MATCH(D6786,Projects!$A:$A,0),""))</f>
        <v/>
      </c>
    </row>
    <row r="6787" spans="31:32" x14ac:dyDescent="0.25">
      <c r="AE6787" s="39" t="str">
        <f>IF(D6787="","",IFERROR(VLOOKUP(D6787,Projects!$A$2:$A$20000,1,FALSE),""))</f>
        <v/>
      </c>
      <c r="AF6787" s="2" t="str">
        <f>IF(D6787="","",IFERROR(MATCH(D6787,Projects!$A:$A,0),""))</f>
        <v/>
      </c>
    </row>
    <row r="6788" spans="31:32" x14ac:dyDescent="0.25">
      <c r="AE6788" s="39" t="str">
        <f>IF(D6788="","",IFERROR(VLOOKUP(D6788,Projects!$A$2:$A$20000,1,FALSE),""))</f>
        <v/>
      </c>
      <c r="AF6788" s="2" t="str">
        <f>IF(D6788="","",IFERROR(MATCH(D6788,Projects!$A:$A,0),""))</f>
        <v/>
      </c>
    </row>
    <row r="6789" spans="31:32" x14ac:dyDescent="0.25">
      <c r="AE6789" s="39" t="str">
        <f>IF(D6789="","",IFERROR(VLOOKUP(D6789,Projects!$A$2:$A$20000,1,FALSE),""))</f>
        <v/>
      </c>
      <c r="AF6789" s="2" t="str">
        <f>IF(D6789="","",IFERROR(MATCH(D6789,Projects!$A:$A,0),""))</f>
        <v/>
      </c>
    </row>
    <row r="6790" spans="31:32" x14ac:dyDescent="0.25">
      <c r="AE6790" s="39" t="str">
        <f>IF(D6790="","",IFERROR(VLOOKUP(D6790,Projects!$A$2:$A$20000,1,FALSE),""))</f>
        <v/>
      </c>
      <c r="AF6790" s="2" t="str">
        <f>IF(D6790="","",IFERROR(MATCH(D6790,Projects!$A:$A,0),""))</f>
        <v/>
      </c>
    </row>
    <row r="6791" spans="31:32" x14ac:dyDescent="0.25">
      <c r="AE6791" s="39" t="str">
        <f>IF(D6791="","",IFERROR(VLOOKUP(D6791,Projects!$A$2:$A$20000,1,FALSE),""))</f>
        <v/>
      </c>
      <c r="AF6791" s="2" t="str">
        <f>IF(D6791="","",IFERROR(MATCH(D6791,Projects!$A:$A,0),""))</f>
        <v/>
      </c>
    </row>
    <row r="6792" spans="31:32" x14ac:dyDescent="0.25">
      <c r="AE6792" s="39" t="str">
        <f>IF(D6792="","",IFERROR(VLOOKUP(D6792,Projects!$A$2:$A$20000,1,FALSE),""))</f>
        <v/>
      </c>
      <c r="AF6792" s="2" t="str">
        <f>IF(D6792="","",IFERROR(MATCH(D6792,Projects!$A:$A,0),""))</f>
        <v/>
      </c>
    </row>
    <row r="6793" spans="31:32" x14ac:dyDescent="0.25">
      <c r="AE6793" s="39" t="str">
        <f>IF(D6793="","",IFERROR(VLOOKUP(D6793,Projects!$A$2:$A$20000,1,FALSE),""))</f>
        <v/>
      </c>
      <c r="AF6793" s="2" t="str">
        <f>IF(D6793="","",IFERROR(MATCH(D6793,Projects!$A:$A,0),""))</f>
        <v/>
      </c>
    </row>
    <row r="6794" spans="31:32" x14ac:dyDescent="0.25">
      <c r="AE6794" s="39" t="str">
        <f>IF(D6794="","",IFERROR(VLOOKUP(D6794,Projects!$A$2:$A$20000,1,FALSE),""))</f>
        <v/>
      </c>
      <c r="AF6794" s="2" t="str">
        <f>IF(D6794="","",IFERROR(MATCH(D6794,Projects!$A:$A,0),""))</f>
        <v/>
      </c>
    </row>
    <row r="6795" spans="31:32" x14ac:dyDescent="0.25">
      <c r="AE6795" s="39" t="str">
        <f>IF(D6795="","",IFERROR(VLOOKUP(D6795,Projects!$A$2:$A$20000,1,FALSE),""))</f>
        <v/>
      </c>
      <c r="AF6795" s="2" t="str">
        <f>IF(D6795="","",IFERROR(MATCH(D6795,Projects!$A:$A,0),""))</f>
        <v/>
      </c>
    </row>
    <row r="6796" spans="31:32" x14ac:dyDescent="0.25">
      <c r="AE6796" s="39" t="str">
        <f>IF(D6796="","",IFERROR(VLOOKUP(D6796,Projects!$A$2:$A$20000,1,FALSE),""))</f>
        <v/>
      </c>
      <c r="AF6796" s="2" t="str">
        <f>IF(D6796="","",IFERROR(MATCH(D6796,Projects!$A:$A,0),""))</f>
        <v/>
      </c>
    </row>
    <row r="6797" spans="31:32" x14ac:dyDescent="0.25">
      <c r="AE6797" s="39" t="str">
        <f>IF(D6797="","",IFERROR(VLOOKUP(D6797,Projects!$A$2:$A$20000,1,FALSE),""))</f>
        <v/>
      </c>
      <c r="AF6797" s="2" t="str">
        <f>IF(D6797="","",IFERROR(MATCH(D6797,Projects!$A:$A,0),""))</f>
        <v/>
      </c>
    </row>
    <row r="6798" spans="31:32" x14ac:dyDescent="0.25">
      <c r="AE6798" s="39" t="str">
        <f>IF(D6798="","",IFERROR(VLOOKUP(D6798,Projects!$A$2:$A$20000,1,FALSE),""))</f>
        <v/>
      </c>
      <c r="AF6798" s="2" t="str">
        <f>IF(D6798="","",IFERROR(MATCH(D6798,Projects!$A:$A,0),""))</f>
        <v/>
      </c>
    </row>
    <row r="6799" spans="31:32" x14ac:dyDescent="0.25">
      <c r="AE6799" s="39" t="str">
        <f>IF(D6799="","",IFERROR(VLOOKUP(D6799,Projects!$A$2:$A$20000,1,FALSE),""))</f>
        <v/>
      </c>
      <c r="AF6799" s="2" t="str">
        <f>IF(D6799="","",IFERROR(MATCH(D6799,Projects!$A:$A,0),""))</f>
        <v/>
      </c>
    </row>
    <row r="6800" spans="31:32" x14ac:dyDescent="0.25">
      <c r="AE6800" s="39" t="str">
        <f>IF(D6800="","",IFERROR(VLOOKUP(D6800,Projects!$A$2:$A$20000,1,FALSE),""))</f>
        <v/>
      </c>
      <c r="AF6800" s="2" t="str">
        <f>IF(D6800="","",IFERROR(MATCH(D6800,Projects!$A:$A,0),""))</f>
        <v/>
      </c>
    </row>
    <row r="6801" spans="31:32" x14ac:dyDescent="0.25">
      <c r="AE6801" s="39" t="str">
        <f>IF(D6801="","",IFERROR(VLOOKUP(D6801,Projects!$A$2:$A$20000,1,FALSE),""))</f>
        <v/>
      </c>
      <c r="AF6801" s="2" t="str">
        <f>IF(D6801="","",IFERROR(MATCH(D6801,Projects!$A:$A,0),""))</f>
        <v/>
      </c>
    </row>
    <row r="6802" spans="31:32" x14ac:dyDescent="0.25">
      <c r="AE6802" s="39" t="str">
        <f>IF(D6802="","",IFERROR(VLOOKUP(D6802,Projects!$A$2:$A$20000,1,FALSE),""))</f>
        <v/>
      </c>
      <c r="AF6802" s="2" t="str">
        <f>IF(D6802="","",IFERROR(MATCH(D6802,Projects!$A:$A,0),""))</f>
        <v/>
      </c>
    </row>
    <row r="6803" spans="31:32" x14ac:dyDescent="0.25">
      <c r="AE6803" s="39" t="str">
        <f>IF(D6803="","",IFERROR(VLOOKUP(D6803,Projects!$A$2:$A$20000,1,FALSE),""))</f>
        <v/>
      </c>
      <c r="AF6803" s="2" t="str">
        <f>IF(D6803="","",IFERROR(MATCH(D6803,Projects!$A:$A,0),""))</f>
        <v/>
      </c>
    </row>
    <row r="6804" spans="31:32" x14ac:dyDescent="0.25">
      <c r="AE6804" s="39" t="str">
        <f>IF(D6804="","",IFERROR(VLOOKUP(D6804,Projects!$A$2:$A$20000,1,FALSE),""))</f>
        <v/>
      </c>
      <c r="AF6804" s="2" t="str">
        <f>IF(D6804="","",IFERROR(MATCH(D6804,Projects!$A:$A,0),""))</f>
        <v/>
      </c>
    </row>
    <row r="6805" spans="31:32" x14ac:dyDescent="0.25">
      <c r="AE6805" s="39" t="str">
        <f>IF(D6805="","",IFERROR(VLOOKUP(D6805,Projects!$A$2:$A$20000,1,FALSE),""))</f>
        <v/>
      </c>
      <c r="AF6805" s="2" t="str">
        <f>IF(D6805="","",IFERROR(MATCH(D6805,Projects!$A:$A,0),""))</f>
        <v/>
      </c>
    </row>
    <row r="6806" spans="31:32" x14ac:dyDescent="0.25">
      <c r="AE6806" s="39" t="str">
        <f>IF(D6806="","",IFERROR(VLOOKUP(D6806,Projects!$A$2:$A$20000,1,FALSE),""))</f>
        <v/>
      </c>
      <c r="AF6806" s="2" t="str">
        <f>IF(D6806="","",IFERROR(MATCH(D6806,Projects!$A:$A,0),""))</f>
        <v/>
      </c>
    </row>
    <row r="6807" spans="31:32" x14ac:dyDescent="0.25">
      <c r="AE6807" s="39" t="str">
        <f>IF(D6807="","",IFERROR(VLOOKUP(D6807,Projects!$A$2:$A$20000,1,FALSE),""))</f>
        <v/>
      </c>
      <c r="AF6807" s="2" t="str">
        <f>IF(D6807="","",IFERROR(MATCH(D6807,Projects!$A:$A,0),""))</f>
        <v/>
      </c>
    </row>
    <row r="6808" spans="31:32" x14ac:dyDescent="0.25">
      <c r="AE6808" s="39" t="str">
        <f>IF(D6808="","",IFERROR(VLOOKUP(D6808,Projects!$A$2:$A$20000,1,FALSE),""))</f>
        <v/>
      </c>
      <c r="AF6808" s="2" t="str">
        <f>IF(D6808="","",IFERROR(MATCH(D6808,Projects!$A:$A,0),""))</f>
        <v/>
      </c>
    </row>
    <row r="6809" spans="31:32" x14ac:dyDescent="0.25">
      <c r="AE6809" s="39" t="str">
        <f>IF(D6809="","",IFERROR(VLOOKUP(D6809,Projects!$A$2:$A$20000,1,FALSE),""))</f>
        <v/>
      </c>
      <c r="AF6809" s="2" t="str">
        <f>IF(D6809="","",IFERROR(MATCH(D6809,Projects!$A:$A,0),""))</f>
        <v/>
      </c>
    </row>
    <row r="6810" spans="31:32" x14ac:dyDescent="0.25">
      <c r="AE6810" s="39" t="str">
        <f>IF(D6810="","",IFERROR(VLOOKUP(D6810,Projects!$A$2:$A$20000,1,FALSE),""))</f>
        <v/>
      </c>
      <c r="AF6810" s="2" t="str">
        <f>IF(D6810="","",IFERROR(MATCH(D6810,Projects!$A:$A,0),""))</f>
        <v/>
      </c>
    </row>
    <row r="6811" spans="31:32" x14ac:dyDescent="0.25">
      <c r="AE6811" s="39" t="str">
        <f>IF(D6811="","",IFERROR(VLOOKUP(D6811,Projects!$A$2:$A$20000,1,FALSE),""))</f>
        <v/>
      </c>
      <c r="AF6811" s="2" t="str">
        <f>IF(D6811="","",IFERROR(MATCH(D6811,Projects!$A:$A,0),""))</f>
        <v/>
      </c>
    </row>
    <row r="6812" spans="31:32" x14ac:dyDescent="0.25">
      <c r="AE6812" s="39" t="str">
        <f>IF(D6812="","",IFERROR(VLOOKUP(D6812,Projects!$A$2:$A$20000,1,FALSE),""))</f>
        <v/>
      </c>
      <c r="AF6812" s="2" t="str">
        <f>IF(D6812="","",IFERROR(MATCH(D6812,Projects!$A:$A,0),""))</f>
        <v/>
      </c>
    </row>
    <row r="6813" spans="31:32" x14ac:dyDescent="0.25">
      <c r="AE6813" s="39" t="str">
        <f>IF(D6813="","",IFERROR(VLOOKUP(D6813,Projects!$A$2:$A$20000,1,FALSE),""))</f>
        <v/>
      </c>
      <c r="AF6813" s="2" t="str">
        <f>IF(D6813="","",IFERROR(MATCH(D6813,Projects!$A:$A,0),""))</f>
        <v/>
      </c>
    </row>
    <row r="6814" spans="31:32" x14ac:dyDescent="0.25">
      <c r="AE6814" s="39" t="str">
        <f>IF(D6814="","",IFERROR(VLOOKUP(D6814,Projects!$A$2:$A$20000,1,FALSE),""))</f>
        <v/>
      </c>
      <c r="AF6814" s="2" t="str">
        <f>IF(D6814="","",IFERROR(MATCH(D6814,Projects!$A:$A,0),""))</f>
        <v/>
      </c>
    </row>
    <row r="6815" spans="31:32" x14ac:dyDescent="0.25">
      <c r="AE6815" s="39" t="str">
        <f>IF(D6815="","",IFERROR(VLOOKUP(D6815,Projects!$A$2:$A$20000,1,FALSE),""))</f>
        <v/>
      </c>
      <c r="AF6815" s="2" t="str">
        <f>IF(D6815="","",IFERROR(MATCH(D6815,Projects!$A:$A,0),""))</f>
        <v/>
      </c>
    </row>
    <row r="6816" spans="31:32" x14ac:dyDescent="0.25">
      <c r="AE6816" s="39" t="str">
        <f>IF(D6816="","",IFERROR(VLOOKUP(D6816,Projects!$A$2:$A$20000,1,FALSE),""))</f>
        <v/>
      </c>
      <c r="AF6816" s="2" t="str">
        <f>IF(D6816="","",IFERROR(MATCH(D6816,Projects!$A:$A,0),""))</f>
        <v/>
      </c>
    </row>
    <row r="6817" spans="31:32" x14ac:dyDescent="0.25">
      <c r="AE6817" s="39" t="str">
        <f>IF(D6817="","",IFERROR(VLOOKUP(D6817,Projects!$A$2:$A$20000,1,FALSE),""))</f>
        <v/>
      </c>
      <c r="AF6817" s="2" t="str">
        <f>IF(D6817="","",IFERROR(MATCH(D6817,Projects!$A:$A,0),""))</f>
        <v/>
      </c>
    </row>
    <row r="6818" spans="31:32" x14ac:dyDescent="0.25">
      <c r="AE6818" s="39" t="str">
        <f>IF(D6818="","",IFERROR(VLOOKUP(D6818,Projects!$A$2:$A$20000,1,FALSE),""))</f>
        <v/>
      </c>
      <c r="AF6818" s="2" t="str">
        <f>IF(D6818="","",IFERROR(MATCH(D6818,Projects!$A:$A,0),""))</f>
        <v/>
      </c>
    </row>
    <row r="6819" spans="31:32" x14ac:dyDescent="0.25">
      <c r="AE6819" s="39" t="str">
        <f>IF(D6819="","",IFERROR(VLOOKUP(D6819,Projects!$A$2:$A$20000,1,FALSE),""))</f>
        <v/>
      </c>
      <c r="AF6819" s="2" t="str">
        <f>IF(D6819="","",IFERROR(MATCH(D6819,Projects!$A:$A,0),""))</f>
        <v/>
      </c>
    </row>
    <row r="6820" spans="31:32" x14ac:dyDescent="0.25">
      <c r="AE6820" s="39" t="str">
        <f>IF(D6820="","",IFERROR(VLOOKUP(D6820,Projects!$A$2:$A$20000,1,FALSE),""))</f>
        <v/>
      </c>
      <c r="AF6820" s="2" t="str">
        <f>IF(D6820="","",IFERROR(MATCH(D6820,Projects!$A:$A,0),""))</f>
        <v/>
      </c>
    </row>
    <row r="6821" spans="31:32" x14ac:dyDescent="0.25">
      <c r="AE6821" s="39" t="str">
        <f>IF(D6821="","",IFERROR(VLOOKUP(D6821,Projects!$A$2:$A$20000,1,FALSE),""))</f>
        <v/>
      </c>
      <c r="AF6821" s="2" t="str">
        <f>IF(D6821="","",IFERROR(MATCH(D6821,Projects!$A:$A,0),""))</f>
        <v/>
      </c>
    </row>
    <row r="6822" spans="31:32" x14ac:dyDescent="0.25">
      <c r="AE6822" s="39" t="str">
        <f>IF(D6822="","",IFERROR(VLOOKUP(D6822,Projects!$A$2:$A$20000,1,FALSE),""))</f>
        <v/>
      </c>
      <c r="AF6822" s="2" t="str">
        <f>IF(D6822="","",IFERROR(MATCH(D6822,Projects!$A:$A,0),""))</f>
        <v/>
      </c>
    </row>
    <row r="6823" spans="31:32" x14ac:dyDescent="0.25">
      <c r="AE6823" s="39" t="str">
        <f>IF(D6823="","",IFERROR(VLOOKUP(D6823,Projects!$A$2:$A$20000,1,FALSE),""))</f>
        <v/>
      </c>
      <c r="AF6823" s="2" t="str">
        <f>IF(D6823="","",IFERROR(MATCH(D6823,Projects!$A:$A,0),""))</f>
        <v/>
      </c>
    </row>
    <row r="6824" spans="31:32" x14ac:dyDescent="0.25">
      <c r="AE6824" s="39" t="str">
        <f>IF(D6824="","",IFERROR(VLOOKUP(D6824,Projects!$A$2:$A$20000,1,FALSE),""))</f>
        <v/>
      </c>
      <c r="AF6824" s="2" t="str">
        <f>IF(D6824="","",IFERROR(MATCH(D6824,Projects!$A:$A,0),""))</f>
        <v/>
      </c>
    </row>
    <row r="6825" spans="31:32" x14ac:dyDescent="0.25">
      <c r="AE6825" s="39" t="str">
        <f>IF(D6825="","",IFERROR(VLOOKUP(D6825,Projects!$A$2:$A$20000,1,FALSE),""))</f>
        <v/>
      </c>
      <c r="AF6825" s="2" t="str">
        <f>IF(D6825="","",IFERROR(MATCH(D6825,Projects!$A:$A,0),""))</f>
        <v/>
      </c>
    </row>
    <row r="6826" spans="31:32" x14ac:dyDescent="0.25">
      <c r="AE6826" s="39" t="str">
        <f>IF(D6826="","",IFERROR(VLOOKUP(D6826,Projects!$A$2:$A$20000,1,FALSE),""))</f>
        <v/>
      </c>
      <c r="AF6826" s="2" t="str">
        <f>IF(D6826="","",IFERROR(MATCH(D6826,Projects!$A:$A,0),""))</f>
        <v/>
      </c>
    </row>
    <row r="6827" spans="31:32" x14ac:dyDescent="0.25">
      <c r="AE6827" s="39" t="str">
        <f>IF(D6827="","",IFERROR(VLOOKUP(D6827,Projects!$A$2:$A$20000,1,FALSE),""))</f>
        <v/>
      </c>
      <c r="AF6827" s="2" t="str">
        <f>IF(D6827="","",IFERROR(MATCH(D6827,Projects!$A:$A,0),""))</f>
        <v/>
      </c>
    </row>
    <row r="6828" spans="31:32" x14ac:dyDescent="0.25">
      <c r="AE6828" s="39" t="str">
        <f>IF(D6828="","",IFERROR(VLOOKUP(D6828,Projects!$A$2:$A$20000,1,FALSE),""))</f>
        <v/>
      </c>
      <c r="AF6828" s="2" t="str">
        <f>IF(D6828="","",IFERROR(MATCH(D6828,Projects!$A:$A,0),""))</f>
        <v/>
      </c>
    </row>
    <row r="6829" spans="31:32" x14ac:dyDescent="0.25">
      <c r="AE6829" s="39" t="str">
        <f>IF(D6829="","",IFERROR(VLOOKUP(D6829,Projects!$A$2:$A$20000,1,FALSE),""))</f>
        <v/>
      </c>
      <c r="AF6829" s="2" t="str">
        <f>IF(D6829="","",IFERROR(MATCH(D6829,Projects!$A:$A,0),""))</f>
        <v/>
      </c>
    </row>
    <row r="6830" spans="31:32" x14ac:dyDescent="0.25">
      <c r="AE6830" s="39" t="str">
        <f>IF(D6830="","",IFERROR(VLOOKUP(D6830,Projects!$A$2:$A$20000,1,FALSE),""))</f>
        <v/>
      </c>
      <c r="AF6830" s="2" t="str">
        <f>IF(D6830="","",IFERROR(MATCH(D6830,Projects!$A:$A,0),""))</f>
        <v/>
      </c>
    </row>
    <row r="6831" spans="31:32" x14ac:dyDescent="0.25">
      <c r="AE6831" s="39" t="str">
        <f>IF(D6831="","",IFERROR(VLOOKUP(D6831,Projects!$A$2:$A$20000,1,FALSE),""))</f>
        <v/>
      </c>
      <c r="AF6831" s="2" t="str">
        <f>IF(D6831="","",IFERROR(MATCH(D6831,Projects!$A:$A,0),""))</f>
        <v/>
      </c>
    </row>
    <row r="6832" spans="31:32" x14ac:dyDescent="0.25">
      <c r="AE6832" s="39" t="str">
        <f>IF(D6832="","",IFERROR(VLOOKUP(D6832,Projects!$A$2:$A$20000,1,FALSE),""))</f>
        <v/>
      </c>
      <c r="AF6832" s="2" t="str">
        <f>IF(D6832="","",IFERROR(MATCH(D6832,Projects!$A:$A,0),""))</f>
        <v/>
      </c>
    </row>
    <row r="6833" spans="31:32" x14ac:dyDescent="0.25">
      <c r="AE6833" s="39" t="str">
        <f>IF(D6833="","",IFERROR(VLOOKUP(D6833,Projects!$A$2:$A$20000,1,FALSE),""))</f>
        <v/>
      </c>
      <c r="AF6833" s="2" t="str">
        <f>IF(D6833="","",IFERROR(MATCH(D6833,Projects!$A:$A,0),""))</f>
        <v/>
      </c>
    </row>
    <row r="6834" spans="31:32" x14ac:dyDescent="0.25">
      <c r="AE6834" s="39" t="str">
        <f>IF(D6834="","",IFERROR(VLOOKUP(D6834,Projects!$A$2:$A$20000,1,FALSE),""))</f>
        <v/>
      </c>
      <c r="AF6834" s="2" t="str">
        <f>IF(D6834="","",IFERROR(MATCH(D6834,Projects!$A:$A,0),""))</f>
        <v/>
      </c>
    </row>
    <row r="6835" spans="31:32" x14ac:dyDescent="0.25">
      <c r="AE6835" s="39" t="str">
        <f>IF(D6835="","",IFERROR(VLOOKUP(D6835,Projects!$A$2:$A$20000,1,FALSE),""))</f>
        <v/>
      </c>
      <c r="AF6835" s="2" t="str">
        <f>IF(D6835="","",IFERROR(MATCH(D6835,Projects!$A:$A,0),""))</f>
        <v/>
      </c>
    </row>
    <row r="6836" spans="31:32" x14ac:dyDescent="0.25">
      <c r="AE6836" s="39" t="str">
        <f>IF(D6836="","",IFERROR(VLOOKUP(D6836,Projects!$A$2:$A$20000,1,FALSE),""))</f>
        <v/>
      </c>
      <c r="AF6836" s="2" t="str">
        <f>IF(D6836="","",IFERROR(MATCH(D6836,Projects!$A:$A,0),""))</f>
        <v/>
      </c>
    </row>
    <row r="6837" spans="31:32" x14ac:dyDescent="0.25">
      <c r="AE6837" s="39" t="str">
        <f>IF(D6837="","",IFERROR(VLOOKUP(D6837,Projects!$A$2:$A$20000,1,FALSE),""))</f>
        <v/>
      </c>
      <c r="AF6837" s="2" t="str">
        <f>IF(D6837="","",IFERROR(MATCH(D6837,Projects!$A:$A,0),""))</f>
        <v/>
      </c>
    </row>
    <row r="6838" spans="31:32" x14ac:dyDescent="0.25">
      <c r="AE6838" s="39" t="str">
        <f>IF(D6838="","",IFERROR(VLOOKUP(D6838,Projects!$A$2:$A$20000,1,FALSE),""))</f>
        <v/>
      </c>
      <c r="AF6838" s="2" t="str">
        <f>IF(D6838="","",IFERROR(MATCH(D6838,Projects!$A:$A,0),""))</f>
        <v/>
      </c>
    </row>
    <row r="6839" spans="31:32" x14ac:dyDescent="0.25">
      <c r="AE6839" s="39" t="str">
        <f>IF(D6839="","",IFERROR(VLOOKUP(D6839,Projects!$A$2:$A$20000,1,FALSE),""))</f>
        <v/>
      </c>
      <c r="AF6839" s="2" t="str">
        <f>IF(D6839="","",IFERROR(MATCH(D6839,Projects!$A:$A,0),""))</f>
        <v/>
      </c>
    </row>
    <row r="6840" spans="31:32" x14ac:dyDescent="0.25">
      <c r="AE6840" s="39" t="str">
        <f>IF(D6840="","",IFERROR(VLOOKUP(D6840,Projects!$A$2:$A$20000,1,FALSE),""))</f>
        <v/>
      </c>
      <c r="AF6840" s="2" t="str">
        <f>IF(D6840="","",IFERROR(MATCH(D6840,Projects!$A:$A,0),""))</f>
        <v/>
      </c>
    </row>
    <row r="6841" spans="31:32" x14ac:dyDescent="0.25">
      <c r="AE6841" s="39" t="str">
        <f>IF(D6841="","",IFERROR(VLOOKUP(D6841,Projects!$A$2:$A$20000,1,FALSE),""))</f>
        <v/>
      </c>
      <c r="AF6841" s="2" t="str">
        <f>IF(D6841="","",IFERROR(MATCH(D6841,Projects!$A:$A,0),""))</f>
        <v/>
      </c>
    </row>
    <row r="6842" spans="31:32" x14ac:dyDescent="0.25">
      <c r="AE6842" s="39" t="str">
        <f>IF(D6842="","",IFERROR(VLOOKUP(D6842,Projects!$A$2:$A$20000,1,FALSE),""))</f>
        <v/>
      </c>
      <c r="AF6842" s="2" t="str">
        <f>IF(D6842="","",IFERROR(MATCH(D6842,Projects!$A:$A,0),""))</f>
        <v/>
      </c>
    </row>
    <row r="6843" spans="31:32" x14ac:dyDescent="0.25">
      <c r="AE6843" s="39" t="str">
        <f>IF(D6843="","",IFERROR(VLOOKUP(D6843,Projects!$A$2:$A$20000,1,FALSE),""))</f>
        <v/>
      </c>
      <c r="AF6843" s="2" t="str">
        <f>IF(D6843="","",IFERROR(MATCH(D6843,Projects!$A:$A,0),""))</f>
        <v/>
      </c>
    </row>
    <row r="6844" spans="31:32" x14ac:dyDescent="0.25">
      <c r="AE6844" s="39" t="str">
        <f>IF(D6844="","",IFERROR(VLOOKUP(D6844,Projects!$A$2:$A$20000,1,FALSE),""))</f>
        <v/>
      </c>
      <c r="AF6844" s="2" t="str">
        <f>IF(D6844="","",IFERROR(MATCH(D6844,Projects!$A:$A,0),""))</f>
        <v/>
      </c>
    </row>
    <row r="6845" spans="31:32" x14ac:dyDescent="0.25">
      <c r="AE6845" s="39" t="str">
        <f>IF(D6845="","",IFERROR(VLOOKUP(D6845,Projects!$A$2:$A$20000,1,FALSE),""))</f>
        <v/>
      </c>
      <c r="AF6845" s="2" t="str">
        <f>IF(D6845="","",IFERROR(MATCH(D6845,Projects!$A:$A,0),""))</f>
        <v/>
      </c>
    </row>
    <row r="6846" spans="31:32" x14ac:dyDescent="0.25">
      <c r="AE6846" s="39" t="str">
        <f>IF(D6846="","",IFERROR(VLOOKUP(D6846,Projects!$A$2:$A$20000,1,FALSE),""))</f>
        <v/>
      </c>
      <c r="AF6846" s="2" t="str">
        <f>IF(D6846="","",IFERROR(MATCH(D6846,Projects!$A:$A,0),""))</f>
        <v/>
      </c>
    </row>
    <row r="6847" spans="31:32" x14ac:dyDescent="0.25">
      <c r="AE6847" s="39" t="str">
        <f>IF(D6847="","",IFERROR(VLOOKUP(D6847,Projects!$A$2:$A$20000,1,FALSE),""))</f>
        <v/>
      </c>
      <c r="AF6847" s="2" t="str">
        <f>IF(D6847="","",IFERROR(MATCH(D6847,Projects!$A:$A,0),""))</f>
        <v/>
      </c>
    </row>
    <row r="6848" spans="31:32" x14ac:dyDescent="0.25">
      <c r="AE6848" s="39" t="str">
        <f>IF(D6848="","",IFERROR(VLOOKUP(D6848,Projects!$A$2:$A$20000,1,FALSE),""))</f>
        <v/>
      </c>
      <c r="AF6848" s="2" t="str">
        <f>IF(D6848="","",IFERROR(MATCH(D6848,Projects!$A:$A,0),""))</f>
        <v/>
      </c>
    </row>
    <row r="6849" spans="31:32" x14ac:dyDescent="0.25">
      <c r="AE6849" s="39" t="str">
        <f>IF(D6849="","",IFERROR(VLOOKUP(D6849,Projects!$A$2:$A$20000,1,FALSE),""))</f>
        <v/>
      </c>
      <c r="AF6849" s="2" t="str">
        <f>IF(D6849="","",IFERROR(MATCH(D6849,Projects!$A:$A,0),""))</f>
        <v/>
      </c>
    </row>
    <row r="6850" spans="31:32" x14ac:dyDescent="0.25">
      <c r="AE6850" s="39" t="str">
        <f>IF(D6850="","",IFERROR(VLOOKUP(D6850,Projects!$A$2:$A$20000,1,FALSE),""))</f>
        <v/>
      </c>
      <c r="AF6850" s="2" t="str">
        <f>IF(D6850="","",IFERROR(MATCH(D6850,Projects!$A:$A,0),""))</f>
        <v/>
      </c>
    </row>
    <row r="6851" spans="31:32" x14ac:dyDescent="0.25">
      <c r="AE6851" s="39" t="str">
        <f>IF(D6851="","",IFERROR(VLOOKUP(D6851,Projects!$A$2:$A$20000,1,FALSE),""))</f>
        <v/>
      </c>
      <c r="AF6851" s="2" t="str">
        <f>IF(D6851="","",IFERROR(MATCH(D6851,Projects!$A:$A,0),""))</f>
        <v/>
      </c>
    </row>
    <row r="6852" spans="31:32" x14ac:dyDescent="0.25">
      <c r="AE6852" s="39" t="str">
        <f>IF(D6852="","",IFERROR(VLOOKUP(D6852,Projects!$A$2:$A$20000,1,FALSE),""))</f>
        <v/>
      </c>
      <c r="AF6852" s="2" t="str">
        <f>IF(D6852="","",IFERROR(MATCH(D6852,Projects!$A:$A,0),""))</f>
        <v/>
      </c>
    </row>
    <row r="6853" spans="31:32" x14ac:dyDescent="0.25">
      <c r="AE6853" s="39" t="str">
        <f>IF(D6853="","",IFERROR(VLOOKUP(D6853,Projects!$A$2:$A$20000,1,FALSE),""))</f>
        <v/>
      </c>
      <c r="AF6853" s="2" t="str">
        <f>IF(D6853="","",IFERROR(MATCH(D6853,Projects!$A:$A,0),""))</f>
        <v/>
      </c>
    </row>
    <row r="6854" spans="31:32" x14ac:dyDescent="0.25">
      <c r="AE6854" s="39" t="str">
        <f>IF(D6854="","",IFERROR(VLOOKUP(D6854,Projects!$A$2:$A$20000,1,FALSE),""))</f>
        <v/>
      </c>
      <c r="AF6854" s="2" t="str">
        <f>IF(D6854="","",IFERROR(MATCH(D6854,Projects!$A:$A,0),""))</f>
        <v/>
      </c>
    </row>
    <row r="6855" spans="31:32" x14ac:dyDescent="0.25">
      <c r="AE6855" s="39" t="str">
        <f>IF(D6855="","",IFERROR(VLOOKUP(D6855,Projects!$A$2:$A$20000,1,FALSE),""))</f>
        <v/>
      </c>
      <c r="AF6855" s="2" t="str">
        <f>IF(D6855="","",IFERROR(MATCH(D6855,Projects!$A:$A,0),""))</f>
        <v/>
      </c>
    </row>
    <row r="6856" spans="31:32" x14ac:dyDescent="0.25">
      <c r="AE6856" s="39" t="str">
        <f>IF(D6856="","",IFERROR(VLOOKUP(D6856,Projects!$A$2:$A$20000,1,FALSE),""))</f>
        <v/>
      </c>
      <c r="AF6856" s="2" t="str">
        <f>IF(D6856="","",IFERROR(MATCH(D6856,Projects!$A:$A,0),""))</f>
        <v/>
      </c>
    </row>
    <row r="6857" spans="31:32" x14ac:dyDescent="0.25">
      <c r="AE6857" s="39" t="str">
        <f>IF(D6857="","",IFERROR(VLOOKUP(D6857,Projects!$A$2:$A$20000,1,FALSE),""))</f>
        <v/>
      </c>
      <c r="AF6857" s="2" t="str">
        <f>IF(D6857="","",IFERROR(MATCH(D6857,Projects!$A:$A,0),""))</f>
        <v/>
      </c>
    </row>
    <row r="6858" spans="31:32" x14ac:dyDescent="0.25">
      <c r="AE6858" s="39" t="str">
        <f>IF(D6858="","",IFERROR(VLOOKUP(D6858,Projects!$A$2:$A$20000,1,FALSE),""))</f>
        <v/>
      </c>
      <c r="AF6858" s="2" t="str">
        <f>IF(D6858="","",IFERROR(MATCH(D6858,Projects!$A:$A,0),""))</f>
        <v/>
      </c>
    </row>
    <row r="6859" spans="31:32" x14ac:dyDescent="0.25">
      <c r="AE6859" s="39" t="str">
        <f>IF(D6859="","",IFERROR(VLOOKUP(D6859,Projects!$A$2:$A$20000,1,FALSE),""))</f>
        <v/>
      </c>
      <c r="AF6859" s="2" t="str">
        <f>IF(D6859="","",IFERROR(MATCH(D6859,Projects!$A:$A,0),""))</f>
        <v/>
      </c>
    </row>
    <row r="6860" spans="31:32" x14ac:dyDescent="0.25">
      <c r="AE6860" s="39" t="str">
        <f>IF(D6860="","",IFERROR(VLOOKUP(D6860,Projects!$A$2:$A$20000,1,FALSE),""))</f>
        <v/>
      </c>
      <c r="AF6860" s="2" t="str">
        <f>IF(D6860="","",IFERROR(MATCH(D6860,Projects!$A:$A,0),""))</f>
        <v/>
      </c>
    </row>
    <row r="6861" spans="31:32" x14ac:dyDescent="0.25">
      <c r="AE6861" s="39" t="str">
        <f>IF(D6861="","",IFERROR(VLOOKUP(D6861,Projects!$A$2:$A$20000,1,FALSE),""))</f>
        <v/>
      </c>
      <c r="AF6861" s="2" t="str">
        <f>IF(D6861="","",IFERROR(MATCH(D6861,Projects!$A:$A,0),""))</f>
        <v/>
      </c>
    </row>
    <row r="6862" spans="31:32" x14ac:dyDescent="0.25">
      <c r="AE6862" s="39" t="str">
        <f>IF(D6862="","",IFERROR(VLOOKUP(D6862,Projects!$A$2:$A$20000,1,FALSE),""))</f>
        <v/>
      </c>
      <c r="AF6862" s="2" t="str">
        <f>IF(D6862="","",IFERROR(MATCH(D6862,Projects!$A:$A,0),""))</f>
        <v/>
      </c>
    </row>
    <row r="6863" spans="31:32" x14ac:dyDescent="0.25">
      <c r="AE6863" s="39" t="str">
        <f>IF(D6863="","",IFERROR(VLOOKUP(D6863,Projects!$A$2:$A$20000,1,FALSE),""))</f>
        <v/>
      </c>
      <c r="AF6863" s="2" t="str">
        <f>IF(D6863="","",IFERROR(MATCH(D6863,Projects!$A:$A,0),""))</f>
        <v/>
      </c>
    </row>
    <row r="6864" spans="31:32" x14ac:dyDescent="0.25">
      <c r="AE6864" s="39" t="str">
        <f>IF(D6864="","",IFERROR(VLOOKUP(D6864,Projects!$A$2:$A$20000,1,FALSE),""))</f>
        <v/>
      </c>
      <c r="AF6864" s="2" t="str">
        <f>IF(D6864="","",IFERROR(MATCH(D6864,Projects!$A:$A,0),""))</f>
        <v/>
      </c>
    </row>
    <row r="6865" spans="31:32" x14ac:dyDescent="0.25">
      <c r="AE6865" s="39" t="str">
        <f>IF(D6865="","",IFERROR(VLOOKUP(D6865,Projects!$A$2:$A$20000,1,FALSE),""))</f>
        <v/>
      </c>
      <c r="AF6865" s="2" t="str">
        <f>IF(D6865="","",IFERROR(MATCH(D6865,Projects!$A:$A,0),""))</f>
        <v/>
      </c>
    </row>
    <row r="6866" spans="31:32" x14ac:dyDescent="0.25">
      <c r="AE6866" s="39" t="str">
        <f>IF(D6866="","",IFERROR(VLOOKUP(D6866,Projects!$A$2:$A$20000,1,FALSE),""))</f>
        <v/>
      </c>
      <c r="AF6866" s="2" t="str">
        <f>IF(D6866="","",IFERROR(MATCH(D6866,Projects!$A:$A,0),""))</f>
        <v/>
      </c>
    </row>
    <row r="6867" spans="31:32" x14ac:dyDescent="0.25">
      <c r="AE6867" s="39" t="str">
        <f>IF(D6867="","",IFERROR(VLOOKUP(D6867,Projects!$A$2:$A$20000,1,FALSE),""))</f>
        <v/>
      </c>
      <c r="AF6867" s="2" t="str">
        <f>IF(D6867="","",IFERROR(MATCH(D6867,Projects!$A:$A,0),""))</f>
        <v/>
      </c>
    </row>
    <row r="6868" spans="31:32" x14ac:dyDescent="0.25">
      <c r="AE6868" s="39" t="str">
        <f>IF(D6868="","",IFERROR(VLOOKUP(D6868,Projects!$A$2:$A$20000,1,FALSE),""))</f>
        <v/>
      </c>
      <c r="AF6868" s="2" t="str">
        <f>IF(D6868="","",IFERROR(MATCH(D6868,Projects!$A:$A,0),""))</f>
        <v/>
      </c>
    </row>
    <row r="6869" spans="31:32" x14ac:dyDescent="0.25">
      <c r="AE6869" s="39" t="str">
        <f>IF(D6869="","",IFERROR(VLOOKUP(D6869,Projects!$A$2:$A$20000,1,FALSE),""))</f>
        <v/>
      </c>
      <c r="AF6869" s="2" t="str">
        <f>IF(D6869="","",IFERROR(MATCH(D6869,Projects!$A:$A,0),""))</f>
        <v/>
      </c>
    </row>
    <row r="6870" spans="31:32" x14ac:dyDescent="0.25">
      <c r="AE6870" s="39" t="str">
        <f>IF(D6870="","",IFERROR(VLOOKUP(D6870,Projects!$A$2:$A$20000,1,FALSE),""))</f>
        <v/>
      </c>
      <c r="AF6870" s="2" t="str">
        <f>IF(D6870="","",IFERROR(MATCH(D6870,Projects!$A:$A,0),""))</f>
        <v/>
      </c>
    </row>
    <row r="6871" spans="31:32" x14ac:dyDescent="0.25">
      <c r="AE6871" s="39" t="str">
        <f>IF(D6871="","",IFERROR(VLOOKUP(D6871,Projects!$A$2:$A$20000,1,FALSE),""))</f>
        <v/>
      </c>
      <c r="AF6871" s="2" t="str">
        <f>IF(D6871="","",IFERROR(MATCH(D6871,Projects!$A:$A,0),""))</f>
        <v/>
      </c>
    </row>
    <row r="6872" spans="31:32" x14ac:dyDescent="0.25">
      <c r="AE6872" s="39" t="str">
        <f>IF(D6872="","",IFERROR(VLOOKUP(D6872,Projects!$A$2:$A$20000,1,FALSE),""))</f>
        <v/>
      </c>
      <c r="AF6872" s="2" t="str">
        <f>IF(D6872="","",IFERROR(MATCH(D6872,Projects!$A:$A,0),""))</f>
        <v/>
      </c>
    </row>
    <row r="6873" spans="31:32" x14ac:dyDescent="0.25">
      <c r="AE6873" s="39" t="str">
        <f>IF(D6873="","",IFERROR(VLOOKUP(D6873,Projects!$A$2:$A$20000,1,FALSE),""))</f>
        <v/>
      </c>
      <c r="AF6873" s="2" t="str">
        <f>IF(D6873="","",IFERROR(MATCH(D6873,Projects!$A:$A,0),""))</f>
        <v/>
      </c>
    </row>
    <row r="6874" spans="31:32" x14ac:dyDescent="0.25">
      <c r="AE6874" s="39" t="str">
        <f>IF(D6874="","",IFERROR(VLOOKUP(D6874,Projects!$A$2:$A$20000,1,FALSE),""))</f>
        <v/>
      </c>
      <c r="AF6874" s="2" t="str">
        <f>IF(D6874="","",IFERROR(MATCH(D6874,Projects!$A:$A,0),""))</f>
        <v/>
      </c>
    </row>
    <row r="6875" spans="31:32" x14ac:dyDescent="0.25">
      <c r="AE6875" s="39" t="str">
        <f>IF(D6875="","",IFERROR(VLOOKUP(D6875,Projects!$A$2:$A$20000,1,FALSE),""))</f>
        <v/>
      </c>
      <c r="AF6875" s="2" t="str">
        <f>IF(D6875="","",IFERROR(MATCH(D6875,Projects!$A:$A,0),""))</f>
        <v/>
      </c>
    </row>
    <row r="6876" spans="31:32" x14ac:dyDescent="0.25">
      <c r="AE6876" s="39" t="str">
        <f>IF(D6876="","",IFERROR(VLOOKUP(D6876,Projects!$A$2:$A$20000,1,FALSE),""))</f>
        <v/>
      </c>
      <c r="AF6876" s="2" t="str">
        <f>IF(D6876="","",IFERROR(MATCH(D6876,Projects!$A:$A,0),""))</f>
        <v/>
      </c>
    </row>
    <row r="6877" spans="31:32" x14ac:dyDescent="0.25">
      <c r="AE6877" s="39" t="str">
        <f>IF(D6877="","",IFERROR(VLOOKUP(D6877,Projects!$A$2:$A$20000,1,FALSE),""))</f>
        <v/>
      </c>
      <c r="AF6877" s="2" t="str">
        <f>IF(D6877="","",IFERROR(MATCH(D6877,Projects!$A:$A,0),""))</f>
        <v/>
      </c>
    </row>
    <row r="6878" spans="31:32" x14ac:dyDescent="0.25">
      <c r="AE6878" s="39" t="str">
        <f>IF(D6878="","",IFERROR(VLOOKUP(D6878,Projects!$A$2:$A$20000,1,FALSE),""))</f>
        <v/>
      </c>
      <c r="AF6878" s="2" t="str">
        <f>IF(D6878="","",IFERROR(MATCH(D6878,Projects!$A:$A,0),""))</f>
        <v/>
      </c>
    </row>
    <row r="6879" spans="31:32" x14ac:dyDescent="0.25">
      <c r="AE6879" s="39" t="str">
        <f>IF(D6879="","",IFERROR(VLOOKUP(D6879,Projects!$A$2:$A$20000,1,FALSE),""))</f>
        <v/>
      </c>
      <c r="AF6879" s="2" t="str">
        <f>IF(D6879="","",IFERROR(MATCH(D6879,Projects!$A:$A,0),""))</f>
        <v/>
      </c>
    </row>
    <row r="6880" spans="31:32" x14ac:dyDescent="0.25">
      <c r="AE6880" s="39" t="str">
        <f>IF(D6880="","",IFERROR(VLOOKUP(D6880,Projects!$A$2:$A$20000,1,FALSE),""))</f>
        <v/>
      </c>
      <c r="AF6880" s="2" t="str">
        <f>IF(D6880="","",IFERROR(MATCH(D6880,Projects!$A:$A,0),""))</f>
        <v/>
      </c>
    </row>
    <row r="6881" spans="31:32" x14ac:dyDescent="0.25">
      <c r="AE6881" s="39" t="str">
        <f>IF(D6881="","",IFERROR(VLOOKUP(D6881,Projects!$A$2:$A$20000,1,FALSE),""))</f>
        <v/>
      </c>
      <c r="AF6881" s="2" t="str">
        <f>IF(D6881="","",IFERROR(MATCH(D6881,Projects!$A:$A,0),""))</f>
        <v/>
      </c>
    </row>
    <row r="6882" spans="31:32" x14ac:dyDescent="0.25">
      <c r="AE6882" s="39" t="str">
        <f>IF(D6882="","",IFERROR(VLOOKUP(D6882,Projects!$A$2:$A$20000,1,FALSE),""))</f>
        <v/>
      </c>
      <c r="AF6882" s="2" t="str">
        <f>IF(D6882="","",IFERROR(MATCH(D6882,Projects!$A:$A,0),""))</f>
        <v/>
      </c>
    </row>
    <row r="6883" spans="31:32" x14ac:dyDescent="0.25">
      <c r="AE6883" s="39" t="str">
        <f>IF(D6883="","",IFERROR(VLOOKUP(D6883,Projects!$A$2:$A$20000,1,FALSE),""))</f>
        <v/>
      </c>
      <c r="AF6883" s="2" t="str">
        <f>IF(D6883="","",IFERROR(MATCH(D6883,Projects!$A:$A,0),""))</f>
        <v/>
      </c>
    </row>
    <row r="6884" spans="31:32" x14ac:dyDescent="0.25">
      <c r="AE6884" s="39" t="str">
        <f>IF(D6884="","",IFERROR(VLOOKUP(D6884,Projects!$A$2:$A$20000,1,FALSE),""))</f>
        <v/>
      </c>
      <c r="AF6884" s="2" t="str">
        <f>IF(D6884="","",IFERROR(MATCH(D6884,Projects!$A:$A,0),""))</f>
        <v/>
      </c>
    </row>
    <row r="6885" spans="31:32" x14ac:dyDescent="0.25">
      <c r="AE6885" s="39" t="str">
        <f>IF(D6885="","",IFERROR(VLOOKUP(D6885,Projects!$A$2:$A$20000,1,FALSE),""))</f>
        <v/>
      </c>
      <c r="AF6885" s="2" t="str">
        <f>IF(D6885="","",IFERROR(MATCH(D6885,Projects!$A:$A,0),""))</f>
        <v/>
      </c>
    </row>
    <row r="6886" spans="31:32" x14ac:dyDescent="0.25">
      <c r="AE6886" s="39" t="str">
        <f>IF(D6886="","",IFERROR(VLOOKUP(D6886,Projects!$A$2:$A$20000,1,FALSE),""))</f>
        <v/>
      </c>
      <c r="AF6886" s="2" t="str">
        <f>IF(D6886="","",IFERROR(MATCH(D6886,Projects!$A:$A,0),""))</f>
        <v/>
      </c>
    </row>
    <row r="6887" spans="31:32" x14ac:dyDescent="0.25">
      <c r="AE6887" s="39" t="str">
        <f>IF(D6887="","",IFERROR(VLOOKUP(D6887,Projects!$A$2:$A$20000,1,FALSE),""))</f>
        <v/>
      </c>
      <c r="AF6887" s="2" t="str">
        <f>IF(D6887="","",IFERROR(MATCH(D6887,Projects!$A:$A,0),""))</f>
        <v/>
      </c>
    </row>
    <row r="6888" spans="31:32" x14ac:dyDescent="0.25">
      <c r="AE6888" s="39" t="str">
        <f>IF(D6888="","",IFERROR(VLOOKUP(D6888,Projects!$A$2:$A$20000,1,FALSE),""))</f>
        <v/>
      </c>
      <c r="AF6888" s="2" t="str">
        <f>IF(D6888="","",IFERROR(MATCH(D6888,Projects!$A:$A,0),""))</f>
        <v/>
      </c>
    </row>
    <row r="6889" spans="31:32" x14ac:dyDescent="0.25">
      <c r="AE6889" s="39" t="str">
        <f>IF(D6889="","",IFERROR(VLOOKUP(D6889,Projects!$A$2:$A$20000,1,FALSE),""))</f>
        <v/>
      </c>
      <c r="AF6889" s="2" t="str">
        <f>IF(D6889="","",IFERROR(MATCH(D6889,Projects!$A:$A,0),""))</f>
        <v/>
      </c>
    </row>
    <row r="6890" spans="31:32" x14ac:dyDescent="0.25">
      <c r="AE6890" s="39" t="str">
        <f>IF(D6890="","",IFERROR(VLOOKUP(D6890,Projects!$A$2:$A$20000,1,FALSE),""))</f>
        <v/>
      </c>
      <c r="AF6890" s="2" t="str">
        <f>IF(D6890="","",IFERROR(MATCH(D6890,Projects!$A:$A,0),""))</f>
        <v/>
      </c>
    </row>
    <row r="6891" spans="31:32" x14ac:dyDescent="0.25">
      <c r="AE6891" s="39" t="str">
        <f>IF(D6891="","",IFERROR(VLOOKUP(D6891,Projects!$A$2:$A$20000,1,FALSE),""))</f>
        <v/>
      </c>
      <c r="AF6891" s="2" t="str">
        <f>IF(D6891="","",IFERROR(MATCH(D6891,Projects!$A:$A,0),""))</f>
        <v/>
      </c>
    </row>
    <row r="6892" spans="31:32" x14ac:dyDescent="0.25">
      <c r="AE6892" s="39" t="str">
        <f>IF(D6892="","",IFERROR(VLOOKUP(D6892,Projects!$A$2:$A$20000,1,FALSE),""))</f>
        <v/>
      </c>
      <c r="AF6892" s="2" t="str">
        <f>IF(D6892="","",IFERROR(MATCH(D6892,Projects!$A:$A,0),""))</f>
        <v/>
      </c>
    </row>
    <row r="6893" spans="31:32" x14ac:dyDescent="0.25">
      <c r="AE6893" s="39" t="str">
        <f>IF(D6893="","",IFERROR(VLOOKUP(D6893,Projects!$A$2:$A$20000,1,FALSE),""))</f>
        <v/>
      </c>
      <c r="AF6893" s="2" t="str">
        <f>IF(D6893="","",IFERROR(MATCH(D6893,Projects!$A:$A,0),""))</f>
        <v/>
      </c>
    </row>
    <row r="6894" spans="31:32" x14ac:dyDescent="0.25">
      <c r="AE6894" s="39" t="str">
        <f>IF(D6894="","",IFERROR(VLOOKUP(D6894,Projects!$A$2:$A$20000,1,FALSE),""))</f>
        <v/>
      </c>
      <c r="AF6894" s="2" t="str">
        <f>IF(D6894="","",IFERROR(MATCH(D6894,Projects!$A:$A,0),""))</f>
        <v/>
      </c>
    </row>
    <row r="6895" spans="31:32" x14ac:dyDescent="0.25">
      <c r="AE6895" s="39" t="str">
        <f>IF(D6895="","",IFERROR(VLOOKUP(D6895,Projects!$A$2:$A$20000,1,FALSE),""))</f>
        <v/>
      </c>
      <c r="AF6895" s="2" t="str">
        <f>IF(D6895="","",IFERROR(MATCH(D6895,Projects!$A:$A,0),""))</f>
        <v/>
      </c>
    </row>
    <row r="6896" spans="31:32" x14ac:dyDescent="0.25">
      <c r="AE6896" s="39" t="str">
        <f>IF(D6896="","",IFERROR(VLOOKUP(D6896,Projects!$A$2:$A$20000,1,FALSE),""))</f>
        <v/>
      </c>
      <c r="AF6896" s="2" t="str">
        <f>IF(D6896="","",IFERROR(MATCH(D6896,Projects!$A:$A,0),""))</f>
        <v/>
      </c>
    </row>
    <row r="6897" spans="31:32" x14ac:dyDescent="0.25">
      <c r="AE6897" s="39" t="str">
        <f>IF(D6897="","",IFERROR(VLOOKUP(D6897,Projects!$A$2:$A$20000,1,FALSE),""))</f>
        <v/>
      </c>
      <c r="AF6897" s="2" t="str">
        <f>IF(D6897="","",IFERROR(MATCH(D6897,Projects!$A:$A,0),""))</f>
        <v/>
      </c>
    </row>
    <row r="6898" spans="31:32" x14ac:dyDescent="0.25">
      <c r="AE6898" s="39" t="str">
        <f>IF(D6898="","",IFERROR(VLOOKUP(D6898,Projects!$A$2:$A$20000,1,FALSE),""))</f>
        <v/>
      </c>
      <c r="AF6898" s="2" t="str">
        <f>IF(D6898="","",IFERROR(MATCH(D6898,Projects!$A:$A,0),""))</f>
        <v/>
      </c>
    </row>
    <row r="6899" spans="31:32" x14ac:dyDescent="0.25">
      <c r="AE6899" s="39" t="str">
        <f>IF(D6899="","",IFERROR(VLOOKUP(D6899,Projects!$A$2:$A$20000,1,FALSE),""))</f>
        <v/>
      </c>
      <c r="AF6899" s="2" t="str">
        <f>IF(D6899="","",IFERROR(MATCH(D6899,Projects!$A:$A,0),""))</f>
        <v/>
      </c>
    </row>
    <row r="6900" spans="31:32" x14ac:dyDescent="0.25">
      <c r="AE6900" s="39" t="str">
        <f>IF(D6900="","",IFERROR(VLOOKUP(D6900,Projects!$A$2:$A$20000,1,FALSE),""))</f>
        <v/>
      </c>
      <c r="AF6900" s="2" t="str">
        <f>IF(D6900="","",IFERROR(MATCH(D6900,Projects!$A:$A,0),""))</f>
        <v/>
      </c>
    </row>
    <row r="6901" spans="31:32" x14ac:dyDescent="0.25">
      <c r="AE6901" s="39" t="str">
        <f>IF(D6901="","",IFERROR(VLOOKUP(D6901,Projects!$A$2:$A$20000,1,FALSE),""))</f>
        <v/>
      </c>
      <c r="AF6901" s="2" t="str">
        <f>IF(D6901="","",IFERROR(MATCH(D6901,Projects!$A:$A,0),""))</f>
        <v/>
      </c>
    </row>
    <row r="6902" spans="31:32" x14ac:dyDescent="0.25">
      <c r="AE6902" s="39" t="str">
        <f>IF(D6902="","",IFERROR(VLOOKUP(D6902,Projects!$A$2:$A$20000,1,FALSE),""))</f>
        <v/>
      </c>
      <c r="AF6902" s="2" t="str">
        <f>IF(D6902="","",IFERROR(MATCH(D6902,Projects!$A:$A,0),""))</f>
        <v/>
      </c>
    </row>
    <row r="6903" spans="31:32" x14ac:dyDescent="0.25">
      <c r="AE6903" s="39" t="str">
        <f>IF(D6903="","",IFERROR(VLOOKUP(D6903,Projects!$A$2:$A$20000,1,FALSE),""))</f>
        <v/>
      </c>
      <c r="AF6903" s="2" t="str">
        <f>IF(D6903="","",IFERROR(MATCH(D6903,Projects!$A:$A,0),""))</f>
        <v/>
      </c>
    </row>
    <row r="6904" spans="31:32" x14ac:dyDescent="0.25">
      <c r="AE6904" s="39" t="str">
        <f>IF(D6904="","",IFERROR(VLOOKUP(D6904,Projects!$A$2:$A$20000,1,FALSE),""))</f>
        <v/>
      </c>
      <c r="AF6904" s="2" t="str">
        <f>IF(D6904="","",IFERROR(MATCH(D6904,Projects!$A:$A,0),""))</f>
        <v/>
      </c>
    </row>
    <row r="6905" spans="31:32" x14ac:dyDescent="0.25">
      <c r="AE6905" s="39" t="str">
        <f>IF(D6905="","",IFERROR(VLOOKUP(D6905,Projects!$A$2:$A$20000,1,FALSE),""))</f>
        <v/>
      </c>
      <c r="AF6905" s="2" t="str">
        <f>IF(D6905="","",IFERROR(MATCH(D6905,Projects!$A:$A,0),""))</f>
        <v/>
      </c>
    </row>
    <row r="6906" spans="31:32" x14ac:dyDescent="0.25">
      <c r="AE6906" s="39" t="str">
        <f>IF(D6906="","",IFERROR(VLOOKUP(D6906,Projects!$A$2:$A$20000,1,FALSE),""))</f>
        <v/>
      </c>
      <c r="AF6906" s="2" t="str">
        <f>IF(D6906="","",IFERROR(MATCH(D6906,Projects!$A:$A,0),""))</f>
        <v/>
      </c>
    </row>
    <row r="6907" spans="31:32" x14ac:dyDescent="0.25">
      <c r="AE6907" s="39" t="str">
        <f>IF(D6907="","",IFERROR(VLOOKUP(D6907,Projects!$A$2:$A$20000,1,FALSE),""))</f>
        <v/>
      </c>
      <c r="AF6907" s="2" t="str">
        <f>IF(D6907="","",IFERROR(MATCH(D6907,Projects!$A:$A,0),""))</f>
        <v/>
      </c>
    </row>
    <row r="6908" spans="31:32" x14ac:dyDescent="0.25">
      <c r="AE6908" s="39" t="str">
        <f>IF(D6908="","",IFERROR(VLOOKUP(D6908,Projects!$A$2:$A$20000,1,FALSE),""))</f>
        <v/>
      </c>
      <c r="AF6908" s="2" t="str">
        <f>IF(D6908="","",IFERROR(MATCH(D6908,Projects!$A:$A,0),""))</f>
        <v/>
      </c>
    </row>
    <row r="6909" spans="31:32" x14ac:dyDescent="0.25">
      <c r="AE6909" s="39" t="str">
        <f>IF(D6909="","",IFERROR(VLOOKUP(D6909,Projects!$A$2:$A$20000,1,FALSE),""))</f>
        <v/>
      </c>
      <c r="AF6909" s="2" t="str">
        <f>IF(D6909="","",IFERROR(MATCH(D6909,Projects!$A:$A,0),""))</f>
        <v/>
      </c>
    </row>
    <row r="6910" spans="31:32" x14ac:dyDescent="0.25">
      <c r="AE6910" s="39" t="str">
        <f>IF(D6910="","",IFERROR(VLOOKUP(D6910,Projects!$A$2:$A$20000,1,FALSE),""))</f>
        <v/>
      </c>
      <c r="AF6910" s="2" t="str">
        <f>IF(D6910="","",IFERROR(MATCH(D6910,Projects!$A:$A,0),""))</f>
        <v/>
      </c>
    </row>
    <row r="6911" spans="31:32" x14ac:dyDescent="0.25">
      <c r="AE6911" s="39" t="str">
        <f>IF(D6911="","",IFERROR(VLOOKUP(D6911,Projects!$A$2:$A$20000,1,FALSE),""))</f>
        <v/>
      </c>
      <c r="AF6911" s="2" t="str">
        <f>IF(D6911="","",IFERROR(MATCH(D6911,Projects!$A:$A,0),""))</f>
        <v/>
      </c>
    </row>
    <row r="6912" spans="31:32" x14ac:dyDescent="0.25">
      <c r="AE6912" s="39" t="str">
        <f>IF(D6912="","",IFERROR(VLOOKUP(D6912,Projects!$A$2:$A$20000,1,FALSE),""))</f>
        <v/>
      </c>
      <c r="AF6912" s="2" t="str">
        <f>IF(D6912="","",IFERROR(MATCH(D6912,Projects!$A:$A,0),""))</f>
        <v/>
      </c>
    </row>
    <row r="6913" spans="31:32" x14ac:dyDescent="0.25">
      <c r="AE6913" s="39" t="str">
        <f>IF(D6913="","",IFERROR(VLOOKUP(D6913,Projects!$A$2:$A$20000,1,FALSE),""))</f>
        <v/>
      </c>
      <c r="AF6913" s="2" t="str">
        <f>IF(D6913="","",IFERROR(MATCH(D6913,Projects!$A:$A,0),""))</f>
        <v/>
      </c>
    </row>
    <row r="6914" spans="31:32" x14ac:dyDescent="0.25">
      <c r="AE6914" s="39" t="str">
        <f>IF(D6914="","",IFERROR(VLOOKUP(D6914,Projects!$A$2:$A$20000,1,FALSE),""))</f>
        <v/>
      </c>
      <c r="AF6914" s="2" t="str">
        <f>IF(D6914="","",IFERROR(MATCH(D6914,Projects!$A:$A,0),""))</f>
        <v/>
      </c>
    </row>
    <row r="6915" spans="31:32" x14ac:dyDescent="0.25">
      <c r="AE6915" s="39" t="str">
        <f>IF(D6915="","",IFERROR(VLOOKUP(D6915,Projects!$A$2:$A$20000,1,FALSE),""))</f>
        <v/>
      </c>
      <c r="AF6915" s="2" t="str">
        <f>IF(D6915="","",IFERROR(MATCH(D6915,Projects!$A:$A,0),""))</f>
        <v/>
      </c>
    </row>
    <row r="6916" spans="31:32" x14ac:dyDescent="0.25">
      <c r="AE6916" s="39" t="str">
        <f>IF(D6916="","",IFERROR(VLOOKUP(D6916,Projects!$A$2:$A$20000,1,FALSE),""))</f>
        <v/>
      </c>
      <c r="AF6916" s="2" t="str">
        <f>IF(D6916="","",IFERROR(MATCH(D6916,Projects!$A:$A,0),""))</f>
        <v/>
      </c>
    </row>
    <row r="6917" spans="31:32" x14ac:dyDescent="0.25">
      <c r="AE6917" s="39" t="str">
        <f>IF(D6917="","",IFERROR(VLOOKUP(D6917,Projects!$A$2:$A$20000,1,FALSE),""))</f>
        <v/>
      </c>
      <c r="AF6917" s="2" t="str">
        <f>IF(D6917="","",IFERROR(MATCH(D6917,Projects!$A:$A,0),""))</f>
        <v/>
      </c>
    </row>
    <row r="6918" spans="31:32" x14ac:dyDescent="0.25">
      <c r="AE6918" s="39" t="str">
        <f>IF(D6918="","",IFERROR(VLOOKUP(D6918,Projects!$A$2:$A$20000,1,FALSE),""))</f>
        <v/>
      </c>
      <c r="AF6918" s="2" t="str">
        <f>IF(D6918="","",IFERROR(MATCH(D6918,Projects!$A:$A,0),""))</f>
        <v/>
      </c>
    </row>
    <row r="6919" spans="31:32" x14ac:dyDescent="0.25">
      <c r="AE6919" s="39" t="str">
        <f>IF(D6919="","",IFERROR(VLOOKUP(D6919,Projects!$A$2:$A$20000,1,FALSE),""))</f>
        <v/>
      </c>
      <c r="AF6919" s="2" t="str">
        <f>IF(D6919="","",IFERROR(MATCH(D6919,Projects!$A:$A,0),""))</f>
        <v/>
      </c>
    </row>
    <row r="6920" spans="31:32" x14ac:dyDescent="0.25">
      <c r="AE6920" s="39" t="str">
        <f>IF(D6920="","",IFERROR(VLOOKUP(D6920,Projects!$A$2:$A$20000,1,FALSE),""))</f>
        <v/>
      </c>
      <c r="AF6920" s="2" t="str">
        <f>IF(D6920="","",IFERROR(MATCH(D6920,Projects!$A:$A,0),""))</f>
        <v/>
      </c>
    </row>
    <row r="6921" spans="31:32" x14ac:dyDescent="0.25">
      <c r="AE6921" s="39" t="str">
        <f>IF(D6921="","",IFERROR(VLOOKUP(D6921,Projects!$A$2:$A$20000,1,FALSE),""))</f>
        <v/>
      </c>
      <c r="AF6921" s="2" t="str">
        <f>IF(D6921="","",IFERROR(MATCH(D6921,Projects!$A:$A,0),""))</f>
        <v/>
      </c>
    </row>
    <row r="6922" spans="31:32" x14ac:dyDescent="0.25">
      <c r="AE6922" s="39" t="str">
        <f>IF(D6922="","",IFERROR(VLOOKUP(D6922,Projects!$A$2:$A$20000,1,FALSE),""))</f>
        <v/>
      </c>
      <c r="AF6922" s="2" t="str">
        <f>IF(D6922="","",IFERROR(MATCH(D6922,Projects!$A:$A,0),""))</f>
        <v/>
      </c>
    </row>
    <row r="6923" spans="31:32" x14ac:dyDescent="0.25">
      <c r="AE6923" s="39" t="str">
        <f>IF(D6923="","",IFERROR(VLOOKUP(D6923,Projects!$A$2:$A$20000,1,FALSE),""))</f>
        <v/>
      </c>
      <c r="AF6923" s="2" t="str">
        <f>IF(D6923="","",IFERROR(MATCH(D6923,Projects!$A:$A,0),""))</f>
        <v/>
      </c>
    </row>
    <row r="6924" spans="31:32" x14ac:dyDescent="0.25">
      <c r="AE6924" s="39" t="str">
        <f>IF(D6924="","",IFERROR(VLOOKUP(D6924,Projects!$A$2:$A$20000,1,FALSE),""))</f>
        <v/>
      </c>
      <c r="AF6924" s="2" t="str">
        <f>IF(D6924="","",IFERROR(MATCH(D6924,Projects!$A:$A,0),""))</f>
        <v/>
      </c>
    </row>
    <row r="6925" spans="31:32" x14ac:dyDescent="0.25">
      <c r="AE6925" s="39" t="str">
        <f>IF(D6925="","",IFERROR(VLOOKUP(D6925,Projects!$A$2:$A$20000,1,FALSE),""))</f>
        <v/>
      </c>
      <c r="AF6925" s="2" t="str">
        <f>IF(D6925="","",IFERROR(MATCH(D6925,Projects!$A:$A,0),""))</f>
        <v/>
      </c>
    </row>
    <row r="6926" spans="31:32" x14ac:dyDescent="0.25">
      <c r="AE6926" s="39" t="str">
        <f>IF(D6926="","",IFERROR(VLOOKUP(D6926,Projects!$A$2:$A$20000,1,FALSE),""))</f>
        <v/>
      </c>
      <c r="AF6926" s="2" t="str">
        <f>IF(D6926="","",IFERROR(MATCH(D6926,Projects!$A:$A,0),""))</f>
        <v/>
      </c>
    </row>
    <row r="6927" spans="31:32" x14ac:dyDescent="0.25">
      <c r="AE6927" s="39" t="str">
        <f>IF(D6927="","",IFERROR(VLOOKUP(D6927,Projects!$A$2:$A$20000,1,FALSE),""))</f>
        <v/>
      </c>
      <c r="AF6927" s="2" t="str">
        <f>IF(D6927="","",IFERROR(MATCH(D6927,Projects!$A:$A,0),""))</f>
        <v/>
      </c>
    </row>
    <row r="6928" spans="31:32" x14ac:dyDescent="0.25">
      <c r="AE6928" s="39" t="str">
        <f>IF(D6928="","",IFERROR(VLOOKUP(D6928,Projects!$A$2:$A$20000,1,FALSE),""))</f>
        <v/>
      </c>
      <c r="AF6928" s="2" t="str">
        <f>IF(D6928="","",IFERROR(MATCH(D6928,Projects!$A:$A,0),""))</f>
        <v/>
      </c>
    </row>
    <row r="6929" spans="31:32" x14ac:dyDescent="0.25">
      <c r="AE6929" s="39" t="str">
        <f>IF(D6929="","",IFERROR(VLOOKUP(D6929,Projects!$A$2:$A$20000,1,FALSE),""))</f>
        <v/>
      </c>
      <c r="AF6929" s="2" t="str">
        <f>IF(D6929="","",IFERROR(MATCH(D6929,Projects!$A:$A,0),""))</f>
        <v/>
      </c>
    </row>
    <row r="6930" spans="31:32" x14ac:dyDescent="0.25">
      <c r="AE6930" s="39" t="str">
        <f>IF(D6930="","",IFERROR(VLOOKUP(D6930,Projects!$A$2:$A$20000,1,FALSE),""))</f>
        <v/>
      </c>
      <c r="AF6930" s="2" t="str">
        <f>IF(D6930="","",IFERROR(MATCH(D6930,Projects!$A:$A,0),""))</f>
        <v/>
      </c>
    </row>
    <row r="6931" spans="31:32" x14ac:dyDescent="0.25">
      <c r="AE6931" s="39" t="str">
        <f>IF(D6931="","",IFERROR(VLOOKUP(D6931,Projects!$A$2:$A$20000,1,FALSE),""))</f>
        <v/>
      </c>
      <c r="AF6931" s="2" t="str">
        <f>IF(D6931="","",IFERROR(MATCH(D6931,Projects!$A:$A,0),""))</f>
        <v/>
      </c>
    </row>
    <row r="6932" spans="31:32" x14ac:dyDescent="0.25">
      <c r="AE6932" s="39" t="str">
        <f>IF(D6932="","",IFERROR(VLOOKUP(D6932,Projects!$A$2:$A$20000,1,FALSE),""))</f>
        <v/>
      </c>
      <c r="AF6932" s="2" t="str">
        <f>IF(D6932="","",IFERROR(MATCH(D6932,Projects!$A:$A,0),""))</f>
        <v/>
      </c>
    </row>
    <row r="6933" spans="31:32" x14ac:dyDescent="0.25">
      <c r="AE6933" s="39" t="str">
        <f>IF(D6933="","",IFERROR(VLOOKUP(D6933,Projects!$A$2:$A$20000,1,FALSE),""))</f>
        <v/>
      </c>
      <c r="AF6933" s="2" t="str">
        <f>IF(D6933="","",IFERROR(MATCH(D6933,Projects!$A:$A,0),""))</f>
        <v/>
      </c>
    </row>
    <row r="6934" spans="31:32" x14ac:dyDescent="0.25">
      <c r="AE6934" s="39" t="str">
        <f>IF(D6934="","",IFERROR(VLOOKUP(D6934,Projects!$A$2:$A$20000,1,FALSE),""))</f>
        <v/>
      </c>
      <c r="AF6934" s="2" t="str">
        <f>IF(D6934="","",IFERROR(MATCH(D6934,Projects!$A:$A,0),""))</f>
        <v/>
      </c>
    </row>
    <row r="6935" spans="31:32" x14ac:dyDescent="0.25">
      <c r="AE6935" s="39" t="str">
        <f>IF(D6935="","",IFERROR(VLOOKUP(D6935,Projects!$A$2:$A$20000,1,FALSE),""))</f>
        <v/>
      </c>
      <c r="AF6935" s="2" t="str">
        <f>IF(D6935="","",IFERROR(MATCH(D6935,Projects!$A:$A,0),""))</f>
        <v/>
      </c>
    </row>
    <row r="6936" spans="31:32" x14ac:dyDescent="0.25">
      <c r="AE6936" s="39" t="str">
        <f>IF(D6936="","",IFERROR(VLOOKUP(D6936,Projects!$A$2:$A$20000,1,FALSE),""))</f>
        <v/>
      </c>
      <c r="AF6936" s="2" t="str">
        <f>IF(D6936="","",IFERROR(MATCH(D6936,Projects!$A:$A,0),""))</f>
        <v/>
      </c>
    </row>
    <row r="6937" spans="31:32" x14ac:dyDescent="0.25">
      <c r="AE6937" s="39" t="str">
        <f>IF(D6937="","",IFERROR(VLOOKUP(D6937,Projects!$A$2:$A$20000,1,FALSE),""))</f>
        <v/>
      </c>
      <c r="AF6937" s="2" t="str">
        <f>IF(D6937="","",IFERROR(MATCH(D6937,Projects!$A:$A,0),""))</f>
        <v/>
      </c>
    </row>
    <row r="6938" spans="31:32" x14ac:dyDescent="0.25">
      <c r="AE6938" s="39" t="str">
        <f>IF(D6938="","",IFERROR(VLOOKUP(D6938,Projects!$A$2:$A$20000,1,FALSE),""))</f>
        <v/>
      </c>
      <c r="AF6938" s="2" t="str">
        <f>IF(D6938="","",IFERROR(MATCH(D6938,Projects!$A:$A,0),""))</f>
        <v/>
      </c>
    </row>
    <row r="6939" spans="31:32" x14ac:dyDescent="0.25">
      <c r="AE6939" s="39" t="str">
        <f>IF(D6939="","",IFERROR(VLOOKUP(D6939,Projects!$A$2:$A$20000,1,FALSE),""))</f>
        <v/>
      </c>
      <c r="AF6939" s="2" t="str">
        <f>IF(D6939="","",IFERROR(MATCH(D6939,Projects!$A:$A,0),""))</f>
        <v/>
      </c>
    </row>
    <row r="6940" spans="31:32" x14ac:dyDescent="0.25">
      <c r="AE6940" s="39" t="str">
        <f>IF(D6940="","",IFERROR(VLOOKUP(D6940,Projects!$A$2:$A$20000,1,FALSE),""))</f>
        <v/>
      </c>
      <c r="AF6940" s="2" t="str">
        <f>IF(D6940="","",IFERROR(MATCH(D6940,Projects!$A:$A,0),""))</f>
        <v/>
      </c>
    </row>
    <row r="6941" spans="31:32" x14ac:dyDescent="0.25">
      <c r="AE6941" s="39" t="str">
        <f>IF(D6941="","",IFERROR(VLOOKUP(D6941,Projects!$A$2:$A$20000,1,FALSE),""))</f>
        <v/>
      </c>
      <c r="AF6941" s="2" t="str">
        <f>IF(D6941="","",IFERROR(MATCH(D6941,Projects!$A:$A,0),""))</f>
        <v/>
      </c>
    </row>
    <row r="6942" spans="31:32" x14ac:dyDescent="0.25">
      <c r="AE6942" s="39" t="str">
        <f>IF(D6942="","",IFERROR(VLOOKUP(D6942,Projects!$A$2:$A$20000,1,FALSE),""))</f>
        <v/>
      </c>
      <c r="AF6942" s="2" t="str">
        <f>IF(D6942="","",IFERROR(MATCH(D6942,Projects!$A:$A,0),""))</f>
        <v/>
      </c>
    </row>
    <row r="6943" spans="31:32" x14ac:dyDescent="0.25">
      <c r="AE6943" s="39" t="str">
        <f>IF(D6943="","",IFERROR(VLOOKUP(D6943,Projects!$A$2:$A$20000,1,FALSE),""))</f>
        <v/>
      </c>
      <c r="AF6943" s="2" t="str">
        <f>IF(D6943="","",IFERROR(MATCH(D6943,Projects!$A:$A,0),""))</f>
        <v/>
      </c>
    </row>
    <row r="6944" spans="31:32" x14ac:dyDescent="0.25">
      <c r="AE6944" s="39" t="str">
        <f>IF(D6944="","",IFERROR(VLOOKUP(D6944,Projects!$A$2:$A$20000,1,FALSE),""))</f>
        <v/>
      </c>
      <c r="AF6944" s="2" t="str">
        <f>IF(D6944="","",IFERROR(MATCH(D6944,Projects!$A:$A,0),""))</f>
        <v/>
      </c>
    </row>
    <row r="6945" spans="31:32" x14ac:dyDescent="0.25">
      <c r="AE6945" s="39" t="str">
        <f>IF(D6945="","",IFERROR(VLOOKUP(D6945,Projects!$A$2:$A$20000,1,FALSE),""))</f>
        <v/>
      </c>
      <c r="AF6945" s="2" t="str">
        <f>IF(D6945="","",IFERROR(MATCH(D6945,Projects!$A:$A,0),""))</f>
        <v/>
      </c>
    </row>
    <row r="6946" spans="31:32" x14ac:dyDescent="0.25">
      <c r="AE6946" s="39" t="str">
        <f>IF(D6946="","",IFERROR(VLOOKUP(D6946,Projects!$A$2:$A$20000,1,FALSE),""))</f>
        <v/>
      </c>
      <c r="AF6946" s="2" t="str">
        <f>IF(D6946="","",IFERROR(MATCH(D6946,Projects!$A:$A,0),""))</f>
        <v/>
      </c>
    </row>
    <row r="6947" spans="31:32" x14ac:dyDescent="0.25">
      <c r="AE6947" s="39" t="str">
        <f>IF(D6947="","",IFERROR(VLOOKUP(D6947,Projects!$A$2:$A$20000,1,FALSE),""))</f>
        <v/>
      </c>
      <c r="AF6947" s="2" t="str">
        <f>IF(D6947="","",IFERROR(MATCH(D6947,Projects!$A:$A,0),""))</f>
        <v/>
      </c>
    </row>
    <row r="6948" spans="31:32" x14ac:dyDescent="0.25">
      <c r="AE6948" s="39" t="str">
        <f>IF(D6948="","",IFERROR(VLOOKUP(D6948,Projects!$A$2:$A$20000,1,FALSE),""))</f>
        <v/>
      </c>
      <c r="AF6948" s="2" t="str">
        <f>IF(D6948="","",IFERROR(MATCH(D6948,Projects!$A:$A,0),""))</f>
        <v/>
      </c>
    </row>
    <row r="6949" spans="31:32" x14ac:dyDescent="0.25">
      <c r="AE6949" s="39" t="str">
        <f>IF(D6949="","",IFERROR(VLOOKUP(D6949,Projects!$A$2:$A$20000,1,FALSE),""))</f>
        <v/>
      </c>
      <c r="AF6949" s="2" t="str">
        <f>IF(D6949="","",IFERROR(MATCH(D6949,Projects!$A:$A,0),""))</f>
        <v/>
      </c>
    </row>
    <row r="6950" spans="31:32" x14ac:dyDescent="0.25">
      <c r="AE6950" s="39" t="str">
        <f>IF(D6950="","",IFERROR(VLOOKUP(D6950,Projects!$A$2:$A$20000,1,FALSE),""))</f>
        <v/>
      </c>
      <c r="AF6950" s="2" t="str">
        <f>IF(D6950="","",IFERROR(MATCH(D6950,Projects!$A:$A,0),""))</f>
        <v/>
      </c>
    </row>
    <row r="6951" spans="31:32" x14ac:dyDescent="0.25">
      <c r="AE6951" s="39" t="str">
        <f>IF(D6951="","",IFERROR(VLOOKUP(D6951,Projects!$A$2:$A$20000,1,FALSE),""))</f>
        <v/>
      </c>
      <c r="AF6951" s="2" t="str">
        <f>IF(D6951="","",IFERROR(MATCH(D6951,Projects!$A:$A,0),""))</f>
        <v/>
      </c>
    </row>
    <row r="6952" spans="31:32" x14ac:dyDescent="0.25">
      <c r="AE6952" s="39" t="str">
        <f>IF(D6952="","",IFERROR(VLOOKUP(D6952,Projects!$A$2:$A$20000,1,FALSE),""))</f>
        <v/>
      </c>
      <c r="AF6952" s="2" t="str">
        <f>IF(D6952="","",IFERROR(MATCH(D6952,Projects!$A:$A,0),""))</f>
        <v/>
      </c>
    </row>
    <row r="6953" spans="31:32" x14ac:dyDescent="0.25">
      <c r="AE6953" s="39" t="str">
        <f>IF(D6953="","",IFERROR(VLOOKUP(D6953,Projects!$A$2:$A$20000,1,FALSE),""))</f>
        <v/>
      </c>
      <c r="AF6953" s="2" t="str">
        <f>IF(D6953="","",IFERROR(MATCH(D6953,Projects!$A:$A,0),""))</f>
        <v/>
      </c>
    </row>
    <row r="6954" spans="31:32" x14ac:dyDescent="0.25">
      <c r="AE6954" s="39" t="str">
        <f>IF(D6954="","",IFERROR(VLOOKUP(D6954,Projects!$A$2:$A$20000,1,FALSE),""))</f>
        <v/>
      </c>
      <c r="AF6954" s="2" t="str">
        <f>IF(D6954="","",IFERROR(MATCH(D6954,Projects!$A:$A,0),""))</f>
        <v/>
      </c>
    </row>
    <row r="6955" spans="31:32" x14ac:dyDescent="0.25">
      <c r="AE6955" s="39" t="str">
        <f>IF(D6955="","",IFERROR(VLOOKUP(D6955,Projects!$A$2:$A$20000,1,FALSE),""))</f>
        <v/>
      </c>
      <c r="AF6955" s="2" t="str">
        <f>IF(D6955="","",IFERROR(MATCH(D6955,Projects!$A:$A,0),""))</f>
        <v/>
      </c>
    </row>
    <row r="6956" spans="31:32" x14ac:dyDescent="0.25">
      <c r="AE6956" s="39" t="str">
        <f>IF(D6956="","",IFERROR(VLOOKUP(D6956,Projects!$A$2:$A$20000,1,FALSE),""))</f>
        <v/>
      </c>
      <c r="AF6956" s="2" t="str">
        <f>IF(D6956="","",IFERROR(MATCH(D6956,Projects!$A:$A,0),""))</f>
        <v/>
      </c>
    </row>
    <row r="6957" spans="31:32" x14ac:dyDescent="0.25">
      <c r="AE6957" s="39" t="str">
        <f>IF(D6957="","",IFERROR(VLOOKUP(D6957,Projects!$A$2:$A$20000,1,FALSE),""))</f>
        <v/>
      </c>
      <c r="AF6957" s="2" t="str">
        <f>IF(D6957="","",IFERROR(MATCH(D6957,Projects!$A:$A,0),""))</f>
        <v/>
      </c>
    </row>
    <row r="6958" spans="31:32" x14ac:dyDescent="0.25">
      <c r="AE6958" s="39" t="str">
        <f>IF(D6958="","",IFERROR(VLOOKUP(D6958,Projects!$A$2:$A$20000,1,FALSE),""))</f>
        <v/>
      </c>
      <c r="AF6958" s="2" t="str">
        <f>IF(D6958="","",IFERROR(MATCH(D6958,Projects!$A:$A,0),""))</f>
        <v/>
      </c>
    </row>
    <row r="6959" spans="31:32" x14ac:dyDescent="0.25">
      <c r="AE6959" s="39" t="str">
        <f>IF(D6959="","",IFERROR(VLOOKUP(D6959,Projects!$A$2:$A$20000,1,FALSE),""))</f>
        <v/>
      </c>
      <c r="AF6959" s="2" t="str">
        <f>IF(D6959="","",IFERROR(MATCH(D6959,Projects!$A:$A,0),""))</f>
        <v/>
      </c>
    </row>
    <row r="6960" spans="31:32" x14ac:dyDescent="0.25">
      <c r="AE6960" s="39" t="str">
        <f>IF(D6960="","",IFERROR(VLOOKUP(D6960,Projects!$A$2:$A$20000,1,FALSE),""))</f>
        <v/>
      </c>
      <c r="AF6960" s="2" t="str">
        <f>IF(D6960="","",IFERROR(MATCH(D6960,Projects!$A:$A,0),""))</f>
        <v/>
      </c>
    </row>
    <row r="6961" spans="31:32" x14ac:dyDescent="0.25">
      <c r="AE6961" s="39" t="str">
        <f>IF(D6961="","",IFERROR(VLOOKUP(D6961,Projects!$A$2:$A$20000,1,FALSE),""))</f>
        <v/>
      </c>
      <c r="AF6961" s="2" t="str">
        <f>IF(D6961="","",IFERROR(MATCH(D6961,Projects!$A:$A,0),""))</f>
        <v/>
      </c>
    </row>
    <row r="6962" spans="31:32" x14ac:dyDescent="0.25">
      <c r="AE6962" s="39" t="str">
        <f>IF(D6962="","",IFERROR(VLOOKUP(D6962,Projects!$A$2:$A$20000,1,FALSE),""))</f>
        <v/>
      </c>
      <c r="AF6962" s="2" t="str">
        <f>IF(D6962="","",IFERROR(MATCH(D6962,Projects!$A:$A,0),""))</f>
        <v/>
      </c>
    </row>
    <row r="6963" spans="31:32" x14ac:dyDescent="0.25">
      <c r="AE6963" s="39" t="str">
        <f>IF(D6963="","",IFERROR(VLOOKUP(D6963,Projects!$A$2:$A$20000,1,FALSE),""))</f>
        <v/>
      </c>
      <c r="AF6963" s="2" t="str">
        <f>IF(D6963="","",IFERROR(MATCH(D6963,Projects!$A:$A,0),""))</f>
        <v/>
      </c>
    </row>
    <row r="6964" spans="31:32" x14ac:dyDescent="0.25">
      <c r="AE6964" s="39" t="str">
        <f>IF(D6964="","",IFERROR(VLOOKUP(D6964,Projects!$A$2:$A$20000,1,FALSE),""))</f>
        <v/>
      </c>
      <c r="AF6964" s="2" t="str">
        <f>IF(D6964="","",IFERROR(MATCH(D6964,Projects!$A:$A,0),""))</f>
        <v/>
      </c>
    </row>
    <row r="6965" spans="31:32" x14ac:dyDescent="0.25">
      <c r="AE6965" s="39" t="str">
        <f>IF(D6965="","",IFERROR(VLOOKUP(D6965,Projects!$A$2:$A$20000,1,FALSE),""))</f>
        <v/>
      </c>
      <c r="AF6965" s="2" t="str">
        <f>IF(D6965="","",IFERROR(MATCH(D6965,Projects!$A:$A,0),""))</f>
        <v/>
      </c>
    </row>
    <row r="6966" spans="31:32" x14ac:dyDescent="0.25">
      <c r="AE6966" s="39" t="str">
        <f>IF(D6966="","",IFERROR(VLOOKUP(D6966,Projects!$A$2:$A$20000,1,FALSE),""))</f>
        <v/>
      </c>
      <c r="AF6966" s="2" t="str">
        <f>IF(D6966="","",IFERROR(MATCH(D6966,Projects!$A:$A,0),""))</f>
        <v/>
      </c>
    </row>
    <row r="6967" spans="31:32" x14ac:dyDescent="0.25">
      <c r="AE6967" s="39" t="str">
        <f>IF(D6967="","",IFERROR(VLOOKUP(D6967,Projects!$A$2:$A$20000,1,FALSE),""))</f>
        <v/>
      </c>
      <c r="AF6967" s="2" t="str">
        <f>IF(D6967="","",IFERROR(MATCH(D6967,Projects!$A:$A,0),""))</f>
        <v/>
      </c>
    </row>
    <row r="6968" spans="31:32" x14ac:dyDescent="0.25">
      <c r="AE6968" s="39" t="str">
        <f>IF(D6968="","",IFERROR(VLOOKUP(D6968,Projects!$A$2:$A$20000,1,FALSE),""))</f>
        <v/>
      </c>
      <c r="AF6968" s="2" t="str">
        <f>IF(D6968="","",IFERROR(MATCH(D6968,Projects!$A:$A,0),""))</f>
        <v/>
      </c>
    </row>
    <row r="6969" spans="31:32" x14ac:dyDescent="0.25">
      <c r="AE6969" s="39" t="str">
        <f>IF(D6969="","",IFERROR(VLOOKUP(D6969,Projects!$A$2:$A$20000,1,FALSE),""))</f>
        <v/>
      </c>
      <c r="AF6969" s="2" t="str">
        <f>IF(D6969="","",IFERROR(MATCH(D6969,Projects!$A:$A,0),""))</f>
        <v/>
      </c>
    </row>
    <row r="6970" spans="31:32" x14ac:dyDescent="0.25">
      <c r="AE6970" s="39" t="str">
        <f>IF(D6970="","",IFERROR(VLOOKUP(D6970,Projects!$A$2:$A$20000,1,FALSE),""))</f>
        <v/>
      </c>
      <c r="AF6970" s="2" t="str">
        <f>IF(D6970="","",IFERROR(MATCH(D6970,Projects!$A:$A,0),""))</f>
        <v/>
      </c>
    </row>
    <row r="6971" spans="31:32" x14ac:dyDescent="0.25">
      <c r="AE6971" s="39" t="str">
        <f>IF(D6971="","",IFERROR(VLOOKUP(D6971,Projects!$A$2:$A$20000,1,FALSE),""))</f>
        <v/>
      </c>
      <c r="AF6971" s="2" t="str">
        <f>IF(D6971="","",IFERROR(MATCH(D6971,Projects!$A:$A,0),""))</f>
        <v/>
      </c>
    </row>
    <row r="6972" spans="31:32" x14ac:dyDescent="0.25">
      <c r="AE6972" s="39" t="str">
        <f>IF(D6972="","",IFERROR(VLOOKUP(D6972,Projects!$A$2:$A$20000,1,FALSE),""))</f>
        <v/>
      </c>
      <c r="AF6972" s="2" t="str">
        <f>IF(D6972="","",IFERROR(MATCH(D6972,Projects!$A:$A,0),""))</f>
        <v/>
      </c>
    </row>
    <row r="6973" spans="31:32" x14ac:dyDescent="0.25">
      <c r="AE6973" s="39" t="str">
        <f>IF(D6973="","",IFERROR(VLOOKUP(D6973,Projects!$A$2:$A$20000,1,FALSE),""))</f>
        <v/>
      </c>
      <c r="AF6973" s="2" t="str">
        <f>IF(D6973="","",IFERROR(MATCH(D6973,Projects!$A:$A,0),""))</f>
        <v/>
      </c>
    </row>
    <row r="6974" spans="31:32" x14ac:dyDescent="0.25">
      <c r="AE6974" s="39" t="str">
        <f>IF(D6974="","",IFERROR(VLOOKUP(D6974,Projects!$A$2:$A$20000,1,FALSE),""))</f>
        <v/>
      </c>
      <c r="AF6974" s="2" t="str">
        <f>IF(D6974="","",IFERROR(MATCH(D6974,Projects!$A:$A,0),""))</f>
        <v/>
      </c>
    </row>
    <row r="6975" spans="31:32" x14ac:dyDescent="0.25">
      <c r="AE6975" s="39" t="str">
        <f>IF(D6975="","",IFERROR(VLOOKUP(D6975,Projects!$A$2:$A$20000,1,FALSE),""))</f>
        <v/>
      </c>
      <c r="AF6975" s="2" t="str">
        <f>IF(D6975="","",IFERROR(MATCH(D6975,Projects!$A:$A,0),""))</f>
        <v/>
      </c>
    </row>
    <row r="6976" spans="31:32" x14ac:dyDescent="0.25">
      <c r="AE6976" s="39" t="str">
        <f>IF(D6976="","",IFERROR(VLOOKUP(D6976,Projects!$A$2:$A$20000,1,FALSE),""))</f>
        <v/>
      </c>
      <c r="AF6976" s="2" t="str">
        <f>IF(D6976="","",IFERROR(MATCH(D6976,Projects!$A:$A,0),""))</f>
        <v/>
      </c>
    </row>
    <row r="6977" spans="31:32" x14ac:dyDescent="0.25">
      <c r="AE6977" s="39" t="str">
        <f>IF(D6977="","",IFERROR(VLOOKUP(D6977,Projects!$A$2:$A$20000,1,FALSE),""))</f>
        <v/>
      </c>
      <c r="AF6977" s="2" t="str">
        <f>IF(D6977="","",IFERROR(MATCH(D6977,Projects!$A:$A,0),""))</f>
        <v/>
      </c>
    </row>
    <row r="6978" spans="31:32" x14ac:dyDescent="0.25">
      <c r="AE6978" s="39" t="str">
        <f>IF(D6978="","",IFERROR(VLOOKUP(D6978,Projects!$A$2:$A$20000,1,FALSE),""))</f>
        <v/>
      </c>
      <c r="AF6978" s="2" t="str">
        <f>IF(D6978="","",IFERROR(MATCH(D6978,Projects!$A:$A,0),""))</f>
        <v/>
      </c>
    </row>
    <row r="6979" spans="31:32" x14ac:dyDescent="0.25">
      <c r="AE6979" s="39" t="str">
        <f>IF(D6979="","",IFERROR(VLOOKUP(D6979,Projects!$A$2:$A$20000,1,FALSE),""))</f>
        <v/>
      </c>
      <c r="AF6979" s="2" t="str">
        <f>IF(D6979="","",IFERROR(MATCH(D6979,Projects!$A:$A,0),""))</f>
        <v/>
      </c>
    </row>
    <row r="6980" spans="31:32" x14ac:dyDescent="0.25">
      <c r="AE6980" s="39" t="str">
        <f>IF(D6980="","",IFERROR(VLOOKUP(D6980,Projects!$A$2:$A$20000,1,FALSE),""))</f>
        <v/>
      </c>
      <c r="AF6980" s="2" t="str">
        <f>IF(D6980="","",IFERROR(MATCH(D6980,Projects!$A:$A,0),""))</f>
        <v/>
      </c>
    </row>
    <row r="6981" spans="31:32" x14ac:dyDescent="0.25">
      <c r="AE6981" s="39" t="str">
        <f>IF(D6981="","",IFERROR(VLOOKUP(D6981,Projects!$A$2:$A$20000,1,FALSE),""))</f>
        <v/>
      </c>
      <c r="AF6981" s="2" t="str">
        <f>IF(D6981="","",IFERROR(MATCH(D6981,Projects!$A:$A,0),""))</f>
        <v/>
      </c>
    </row>
    <row r="6982" spans="31:32" x14ac:dyDescent="0.25">
      <c r="AE6982" s="39" t="str">
        <f>IF(D6982="","",IFERROR(VLOOKUP(D6982,Projects!$A$2:$A$20000,1,FALSE),""))</f>
        <v/>
      </c>
      <c r="AF6982" s="2" t="str">
        <f>IF(D6982="","",IFERROR(MATCH(D6982,Projects!$A:$A,0),""))</f>
        <v/>
      </c>
    </row>
    <row r="6983" spans="31:32" x14ac:dyDescent="0.25">
      <c r="AE6983" s="39" t="str">
        <f>IF(D6983="","",IFERROR(VLOOKUP(D6983,Projects!$A$2:$A$20000,1,FALSE),""))</f>
        <v/>
      </c>
      <c r="AF6983" s="2" t="str">
        <f>IF(D6983="","",IFERROR(MATCH(D6983,Projects!$A:$A,0),""))</f>
        <v/>
      </c>
    </row>
    <row r="6984" spans="31:32" x14ac:dyDescent="0.25">
      <c r="AE6984" s="39" t="str">
        <f>IF(D6984="","",IFERROR(VLOOKUP(D6984,Projects!$A$2:$A$20000,1,FALSE),""))</f>
        <v/>
      </c>
      <c r="AF6984" s="2" t="str">
        <f>IF(D6984="","",IFERROR(MATCH(D6984,Projects!$A:$A,0),""))</f>
        <v/>
      </c>
    </row>
    <row r="6985" spans="31:32" x14ac:dyDescent="0.25">
      <c r="AE6985" s="39" t="str">
        <f>IF(D6985="","",IFERROR(VLOOKUP(D6985,Projects!$A$2:$A$20000,1,FALSE),""))</f>
        <v/>
      </c>
      <c r="AF6985" s="2" t="str">
        <f>IF(D6985="","",IFERROR(MATCH(D6985,Projects!$A:$A,0),""))</f>
        <v/>
      </c>
    </row>
    <row r="6986" spans="31:32" x14ac:dyDescent="0.25">
      <c r="AE6986" s="39" t="str">
        <f>IF(D6986="","",IFERROR(VLOOKUP(D6986,Projects!$A$2:$A$20000,1,FALSE),""))</f>
        <v/>
      </c>
      <c r="AF6986" s="2" t="str">
        <f>IF(D6986="","",IFERROR(MATCH(D6986,Projects!$A:$A,0),""))</f>
        <v/>
      </c>
    </row>
    <row r="6987" spans="31:32" x14ac:dyDescent="0.25">
      <c r="AE6987" s="39" t="str">
        <f>IF(D6987="","",IFERROR(VLOOKUP(D6987,Projects!$A$2:$A$20000,1,FALSE),""))</f>
        <v/>
      </c>
      <c r="AF6987" s="2" t="str">
        <f>IF(D6987="","",IFERROR(MATCH(D6987,Projects!$A:$A,0),""))</f>
        <v/>
      </c>
    </row>
    <row r="6988" spans="31:32" x14ac:dyDescent="0.25">
      <c r="AE6988" s="39" t="str">
        <f>IF(D6988="","",IFERROR(VLOOKUP(D6988,Projects!$A$2:$A$20000,1,FALSE),""))</f>
        <v/>
      </c>
      <c r="AF6988" s="2" t="str">
        <f>IF(D6988="","",IFERROR(MATCH(D6988,Projects!$A:$A,0),""))</f>
        <v/>
      </c>
    </row>
    <row r="6989" spans="31:32" x14ac:dyDescent="0.25">
      <c r="AE6989" s="39" t="str">
        <f>IF(D6989="","",IFERROR(VLOOKUP(D6989,Projects!$A$2:$A$20000,1,FALSE),""))</f>
        <v/>
      </c>
      <c r="AF6989" s="2" t="str">
        <f>IF(D6989="","",IFERROR(MATCH(D6989,Projects!$A:$A,0),""))</f>
        <v/>
      </c>
    </row>
    <row r="6990" spans="31:32" x14ac:dyDescent="0.25">
      <c r="AE6990" s="39" t="str">
        <f>IF(D6990="","",IFERROR(VLOOKUP(D6990,Projects!$A$2:$A$20000,1,FALSE),""))</f>
        <v/>
      </c>
      <c r="AF6990" s="2" t="str">
        <f>IF(D6990="","",IFERROR(MATCH(D6990,Projects!$A:$A,0),""))</f>
        <v/>
      </c>
    </row>
    <row r="6991" spans="31:32" x14ac:dyDescent="0.25">
      <c r="AE6991" s="39" t="str">
        <f>IF(D6991="","",IFERROR(VLOOKUP(D6991,Projects!$A$2:$A$20000,1,FALSE),""))</f>
        <v/>
      </c>
      <c r="AF6991" s="2" t="str">
        <f>IF(D6991="","",IFERROR(MATCH(D6991,Projects!$A:$A,0),""))</f>
        <v/>
      </c>
    </row>
    <row r="6992" spans="31:32" x14ac:dyDescent="0.25">
      <c r="AE6992" s="39" t="str">
        <f>IF(D6992="","",IFERROR(VLOOKUP(D6992,Projects!$A$2:$A$20000,1,FALSE),""))</f>
        <v/>
      </c>
      <c r="AF6992" s="2" t="str">
        <f>IF(D6992="","",IFERROR(MATCH(D6992,Projects!$A:$A,0),""))</f>
        <v/>
      </c>
    </row>
    <row r="6993" spans="31:32" x14ac:dyDescent="0.25">
      <c r="AE6993" s="39" t="str">
        <f>IF(D6993="","",IFERROR(VLOOKUP(D6993,Projects!$A$2:$A$20000,1,FALSE),""))</f>
        <v/>
      </c>
      <c r="AF6993" s="2" t="str">
        <f>IF(D6993="","",IFERROR(MATCH(D6993,Projects!$A:$A,0),""))</f>
        <v/>
      </c>
    </row>
    <row r="6994" spans="31:32" x14ac:dyDescent="0.25">
      <c r="AE6994" s="39" t="str">
        <f>IF(D6994="","",IFERROR(VLOOKUP(D6994,Projects!$A$2:$A$20000,1,FALSE),""))</f>
        <v/>
      </c>
      <c r="AF6994" s="2" t="str">
        <f>IF(D6994="","",IFERROR(MATCH(D6994,Projects!$A:$A,0),""))</f>
        <v/>
      </c>
    </row>
    <row r="6995" spans="31:32" x14ac:dyDescent="0.25">
      <c r="AE6995" s="39" t="str">
        <f>IF(D6995="","",IFERROR(VLOOKUP(D6995,Projects!$A$2:$A$20000,1,FALSE),""))</f>
        <v/>
      </c>
      <c r="AF6995" s="2" t="str">
        <f>IF(D6995="","",IFERROR(MATCH(D6995,Projects!$A:$A,0),""))</f>
        <v/>
      </c>
    </row>
    <row r="6996" spans="31:32" x14ac:dyDescent="0.25">
      <c r="AE6996" s="39" t="str">
        <f>IF(D6996="","",IFERROR(VLOOKUP(D6996,Projects!$A$2:$A$20000,1,FALSE),""))</f>
        <v/>
      </c>
      <c r="AF6996" s="2" t="str">
        <f>IF(D6996="","",IFERROR(MATCH(D6996,Projects!$A:$A,0),""))</f>
        <v/>
      </c>
    </row>
    <row r="6997" spans="31:32" x14ac:dyDescent="0.25">
      <c r="AE6997" s="39" t="str">
        <f>IF(D6997="","",IFERROR(VLOOKUP(D6997,Projects!$A$2:$A$20000,1,FALSE),""))</f>
        <v/>
      </c>
      <c r="AF6997" s="2" t="str">
        <f>IF(D6997="","",IFERROR(MATCH(D6997,Projects!$A:$A,0),""))</f>
        <v/>
      </c>
    </row>
    <row r="6998" spans="31:32" x14ac:dyDescent="0.25">
      <c r="AE6998" s="39" t="str">
        <f>IF(D6998="","",IFERROR(VLOOKUP(D6998,Projects!$A$2:$A$20000,1,FALSE),""))</f>
        <v/>
      </c>
      <c r="AF6998" s="2" t="str">
        <f>IF(D6998="","",IFERROR(MATCH(D6998,Projects!$A:$A,0),""))</f>
        <v/>
      </c>
    </row>
    <row r="6999" spans="31:32" x14ac:dyDescent="0.25">
      <c r="AE6999" s="39" t="str">
        <f>IF(D6999="","",IFERROR(VLOOKUP(D6999,Projects!$A$2:$A$20000,1,FALSE),""))</f>
        <v/>
      </c>
      <c r="AF6999" s="2" t="str">
        <f>IF(D6999="","",IFERROR(MATCH(D6999,Projects!$A:$A,0),""))</f>
        <v/>
      </c>
    </row>
  </sheetData>
  <sheetProtection algorithmName="SHA-512" hashValue="haG5SrfkIVm4Xqz2QS19HEdbmVRHIQmixpiZ/fEbiW0ccSkaDjPUbUTXK5uMvH2Ua9zL99ym/pFblUEJVXk5oQ==" saltValue="Qqp+F9wv/OoFsgAhipeMkQ==" spinCount="100000" sheet="1" objects="1" scenarios="1" insertRows="0" deleteRows="0"/>
  <mergeCells count="1">
    <mergeCell ref="A6:B6"/>
  </mergeCells>
  <conditionalFormatting sqref="A7:R1048576">
    <cfRule type="expression" dxfId="70" priority="9" stopIfTrue="1">
      <formula>OR(AND($A7&lt;=1,$A7&lt;&gt;"",$A7&lt;&gt;0),$B7&lt;&gt;"")</formula>
    </cfRule>
  </conditionalFormatting>
  <conditionalFormatting sqref="A7:A1048576">
    <cfRule type="expression" dxfId="69" priority="8" stopIfTrue="1">
      <formula>$A7&gt;1</formula>
    </cfRule>
  </conditionalFormatting>
  <conditionalFormatting sqref="A7:AI1048576">
    <cfRule type="expression" dxfId="68" priority="10" stopIfTrue="1">
      <formula>CELL("Protect",A7)=1</formula>
    </cfRule>
  </conditionalFormatting>
  <conditionalFormatting sqref="D7:D1048576">
    <cfRule type="expression" dxfId="67" priority="1">
      <formula>AE7&lt;&gt;""</formula>
    </cfRule>
  </conditionalFormatting>
  <dataValidations count="11">
    <dataValidation type="list" allowBlank="1" showInputMessage="1" showErrorMessage="1" sqref="C7">
      <formula1>INDIRECT("tblSubCat")</formula1>
    </dataValidation>
    <dataValidation type="list" allowBlank="1" showInputMessage="1" showErrorMessage="1" sqref="B7:B1048576">
      <formula1>INDIRECT("tblMainCat")</formula1>
    </dataValidation>
    <dataValidation type="list" allowBlank="1" showInputMessage="1" showErrorMessage="1" sqref="J7:J1048576">
      <formula1>INDIRECT("tblFinancialCat[Financial Category]")</formula1>
    </dataValidation>
    <dataValidation type="list" allowBlank="1" showInputMessage="1" showErrorMessage="1" sqref="E7:E1048576">
      <formula1>INDIRECT("TblTags")</formula1>
    </dataValidation>
    <dataValidation type="list" allowBlank="1" showInputMessage="1" showErrorMessage="1" sqref="H7:H1048576">
      <formula1>INDIRECT("TblDirect")</formula1>
    </dataValidation>
    <dataValidation type="list" allowBlank="1" showInputMessage="1" showErrorMessage="1" sqref="F7:F1048576">
      <formula1>INDIRECT("tblPriority")</formula1>
    </dataValidation>
    <dataValidation type="list" allowBlank="1" showInputMessage="1" showErrorMessage="1" sqref="G7:G1048576">
      <formula1>INDIRECT("tbldepartment")</formula1>
    </dataValidation>
    <dataValidation type="list" allowBlank="1" showInputMessage="1" sqref="D7:D1048576">
      <formula1>ProjectList</formula1>
    </dataValidation>
    <dataValidation type="list" allowBlank="1" showInputMessage="1" showErrorMessage="1" sqref="C6 C8:C1048576">
      <formula1>INDIRECT("tblsubcat")</formula1>
    </dataValidation>
    <dataValidation type="list" allowBlank="1" showInputMessage="1" showErrorMessage="1" sqref="Q8:Q1048576">
      <formula1>INDIRECT("tblMonths")</formula1>
    </dataValidation>
    <dataValidation type="list" allowBlank="1" showInputMessage="1" showErrorMessage="1" sqref="P8:P1048576">
      <formula1>INDIRECT("tblYears")</formula1>
    </dataValidation>
  </dataValidations>
  <hyperlinks>
    <hyperlink ref="D10" location="Projects!A2" display="Projects!A2"/>
    <hyperlink ref="D11" location="Projects!A26" display="Projects!A26"/>
    <hyperlink ref="D9" location="Projects!A20" display="Projects!A20"/>
    <hyperlink ref="D25" location="Projects!A14" display="Projects!A14"/>
    <hyperlink ref="D8" location="Projects!A8" display="Projects!A8"/>
    <hyperlink ref="D20" location="Projects!A32" display="Projects!A32"/>
  </hyperlink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Dropdown!$C$2:$C$10</xm:f>
          </x14:formula1>
          <xm:sqref>G6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rojects">
    <tabColor theme="4" tint="-0.249977111117893"/>
  </sheetPr>
  <dimension ref="A1:AG2362"/>
  <sheetViews>
    <sheetView showGridLines="0" showRowColHeaders="0" zoomScaleNormal="100" workbookViewId="0">
      <pane xSplit="1" ySplit="1" topLeftCell="B5" activePane="bottomRight" state="frozen"/>
      <selection activeCell="D40" sqref="D40"/>
      <selection pane="topRight" activeCell="D40" sqref="D40"/>
      <selection pane="bottomLeft" activeCell="D40" sqref="D40"/>
      <selection pane="bottomRight" activeCell="A32" sqref="A32"/>
    </sheetView>
  </sheetViews>
  <sheetFormatPr defaultRowHeight="12.75" x14ac:dyDescent="0.2"/>
  <cols>
    <col min="1" max="1" width="22.7109375" style="115" customWidth="1"/>
    <col min="2" max="2" width="38.28515625" style="8" customWidth="1"/>
    <col min="3" max="3" width="45.28515625" style="8" customWidth="1"/>
    <col min="4" max="4" width="31.7109375" style="8" customWidth="1"/>
    <col min="5" max="5" width="14.42578125" style="8" customWidth="1"/>
    <col min="6" max="6" width="12.85546875" style="10" customWidth="1"/>
    <col min="7" max="7" width="34.140625" style="8" customWidth="1"/>
    <col min="8" max="8" width="44.5703125" style="8" bestFit="1" customWidth="1"/>
    <col min="9" max="9" width="14.85546875" style="197" customWidth="1"/>
    <col min="10" max="10" width="13" style="197" customWidth="1"/>
    <col min="11" max="11" width="12.7109375" style="197" customWidth="1"/>
    <col min="12" max="12" width="11.5703125" style="17" customWidth="1"/>
    <col min="13" max="13" width="11.5703125" style="216" customWidth="1"/>
    <col min="14" max="14" width="11.85546875" style="156" customWidth="1"/>
    <col min="15" max="15" width="49" style="8" customWidth="1"/>
    <col min="16" max="23" width="9.140625" style="8"/>
    <col min="24" max="25" width="0" style="8" hidden="1" customWidth="1"/>
    <col min="26" max="27" width="15" style="8" hidden="1" customWidth="1"/>
    <col min="28" max="33" width="0" style="8" hidden="1" customWidth="1"/>
    <col min="34" max="16384" width="9.140625" style="8"/>
  </cols>
  <sheetData>
    <row r="1" spans="1:33" ht="20.25" customHeight="1" thickTop="1" thickBot="1" x14ac:dyDescent="0.25">
      <c r="A1" s="106" t="s">
        <v>35</v>
      </c>
      <c r="B1" s="106" t="s">
        <v>37</v>
      </c>
      <c r="C1" s="106" t="s">
        <v>89</v>
      </c>
      <c r="D1" s="106" t="s">
        <v>90</v>
      </c>
      <c r="E1" s="106" t="s">
        <v>81</v>
      </c>
      <c r="F1" s="107" t="s">
        <v>82</v>
      </c>
      <c r="G1" s="106" t="s">
        <v>83</v>
      </c>
      <c r="H1" s="106" t="s">
        <v>79</v>
      </c>
      <c r="I1" s="184" t="s">
        <v>76</v>
      </c>
      <c r="J1" s="184" t="s">
        <v>78</v>
      </c>
      <c r="K1" s="184" t="s">
        <v>77</v>
      </c>
      <c r="L1" s="108" t="s">
        <v>91</v>
      </c>
      <c r="M1" s="108" t="s">
        <v>454</v>
      </c>
      <c r="N1" s="150" t="s">
        <v>417</v>
      </c>
      <c r="O1" s="108" t="s">
        <v>88</v>
      </c>
      <c r="X1" s="8" t="s">
        <v>415</v>
      </c>
    </row>
    <row r="2" spans="1:33" ht="17.25" customHeight="1" thickTop="1" x14ac:dyDescent="0.2">
      <c r="A2" s="109" t="s">
        <v>36</v>
      </c>
      <c r="B2" s="102"/>
      <c r="C2" s="102"/>
      <c r="D2" s="102"/>
      <c r="E2" s="102"/>
      <c r="F2" s="103"/>
      <c r="G2" s="102"/>
      <c r="H2" s="102"/>
      <c r="I2" s="185">
        <f>SUM(I3:I7)</f>
        <v>35056.730769230773</v>
      </c>
      <c r="J2" s="186">
        <f>SUM(J3:J7)</f>
        <v>350000</v>
      </c>
      <c r="K2" s="186">
        <f>SUM(K3:K7)</f>
        <v>385056.73076923081</v>
      </c>
      <c r="L2" s="104">
        <f>IFERROR(SUMPRODUCT(K3:K7,L3:L7)/SUM(K3:K7),0)</f>
        <v>1</v>
      </c>
      <c r="M2" s="204"/>
      <c r="N2" s="151"/>
      <c r="O2" s="105"/>
      <c r="Y2" s="8" t="str">
        <f>IF(A2="","",IFERROR(IF(VLOOKUP(A2,Entry!$D:$D,1,FALSE)=A2,"",ROW()),ROW()))</f>
        <v/>
      </c>
      <c r="Z2" s="8">
        <v>1</v>
      </c>
      <c r="AA2" s="8" t="str">
        <f>IF(AD2=0,X1,IFERROR(INDEX($A:$A,SMALL($Y$2:$Y$2000,Z2)),""))</f>
        <v>test2</v>
      </c>
      <c r="AD2" s="8">
        <f>COUNT($Y$2:$Y$216)</f>
        <v>1</v>
      </c>
      <c r="AG2" s="8" t="b">
        <f>IF(A2="","",IFERROR(IF(VLOOKUP(A2,Entry!$D:$D,1,FALSE)=A2,TRUE,FALSE),FALSE))</f>
        <v>1</v>
      </c>
    </row>
    <row r="3" spans="1:33" ht="15" customHeight="1" x14ac:dyDescent="0.2">
      <c r="A3" s="110"/>
      <c r="B3" s="20" t="s">
        <v>220</v>
      </c>
      <c r="C3" s="20" t="s">
        <v>240</v>
      </c>
      <c r="D3" s="20" t="s">
        <v>222</v>
      </c>
      <c r="E3" s="20" t="s">
        <v>3</v>
      </c>
      <c r="F3" s="16">
        <v>1</v>
      </c>
      <c r="G3" s="20" t="s">
        <v>172</v>
      </c>
      <c r="H3" s="20" t="s">
        <v>241</v>
      </c>
      <c r="I3" s="187">
        <v>8217.3076923076915</v>
      </c>
      <c r="J3" s="188"/>
      <c r="K3" s="189">
        <f>I3+J3</f>
        <v>8217.3076923076915</v>
      </c>
      <c r="L3" s="69">
        <v>1</v>
      </c>
      <c r="M3" s="212">
        <v>2016</v>
      </c>
      <c r="N3" s="152" t="s">
        <v>419</v>
      </c>
      <c r="O3" s="44"/>
      <c r="Y3" s="8" t="str">
        <f>IF(A3="","",IFERROR(IF(VLOOKUP(A3,Entry!$D:$D,1,FALSE)=A3,"",ROW()),ROW()))</f>
        <v/>
      </c>
      <c r="Z3" s="8">
        <f>Z2+1</f>
        <v>2</v>
      </c>
      <c r="AA3" s="8" t="str">
        <f t="shared" ref="AA3:AA65" si="0">IFERROR(INDEX($A:$A,SMALL($Y$2:$Y$2000,Z3)),"")</f>
        <v/>
      </c>
      <c r="AG3" s="8" t="str">
        <f>IF(A3="","",IFERROR(IF(VLOOKUP(A3,Entry!$D:$D,1,FALSE)=A3,TRUE,FALSE),FALSE))</f>
        <v/>
      </c>
    </row>
    <row r="4" spans="1:33" ht="15" customHeight="1" x14ac:dyDescent="0.2">
      <c r="A4" s="111"/>
      <c r="B4" s="21" t="s">
        <v>218</v>
      </c>
      <c r="C4" s="21" t="s">
        <v>239</v>
      </c>
      <c r="D4" s="21" t="s">
        <v>222</v>
      </c>
      <c r="E4" s="21" t="s">
        <v>3</v>
      </c>
      <c r="F4" s="14">
        <v>1</v>
      </c>
      <c r="G4" s="21" t="s">
        <v>172</v>
      </c>
      <c r="H4" s="21" t="s">
        <v>242</v>
      </c>
      <c r="I4" s="190">
        <v>1610.5769230769231</v>
      </c>
      <c r="J4" s="191"/>
      <c r="K4" s="189">
        <f t="shared" ref="K4:K7" si="1">I4+J4</f>
        <v>1610.5769230769231</v>
      </c>
      <c r="L4" s="70">
        <v>1</v>
      </c>
      <c r="M4" s="213">
        <v>2015</v>
      </c>
      <c r="N4" s="153" t="s">
        <v>424</v>
      </c>
      <c r="O4" s="45"/>
      <c r="Y4" s="8" t="str">
        <f>IF(A4="","",IFERROR(IF(VLOOKUP(A4,Entry!$D:$D,1,FALSE)=A4,"",ROW()),ROW()))</f>
        <v/>
      </c>
      <c r="Z4" s="8">
        <f t="shared" ref="Z4:Z67" si="2">Z3+1</f>
        <v>3</v>
      </c>
      <c r="AA4" s="8" t="str">
        <f t="shared" si="0"/>
        <v/>
      </c>
      <c r="AG4" s="8" t="str">
        <f>IF(A4="","",IFERROR(IF(VLOOKUP(A4,Entry!$D:$D,1,FALSE)=A4,TRUE,FALSE),FALSE))</f>
        <v/>
      </c>
    </row>
    <row r="5" spans="1:33" ht="15" customHeight="1" x14ac:dyDescent="0.2">
      <c r="A5" s="111"/>
      <c r="B5" s="21" t="s">
        <v>214</v>
      </c>
      <c r="C5" s="21" t="s">
        <v>238</v>
      </c>
      <c r="D5" s="21" t="s">
        <v>222</v>
      </c>
      <c r="E5" s="21" t="s">
        <v>3</v>
      </c>
      <c r="F5" s="14">
        <v>1</v>
      </c>
      <c r="G5" s="21" t="s">
        <v>9</v>
      </c>
      <c r="H5" s="21" t="s">
        <v>243</v>
      </c>
      <c r="I5" s="190">
        <v>204.32692307692307</v>
      </c>
      <c r="J5" s="191">
        <v>100000</v>
      </c>
      <c r="K5" s="189">
        <f t="shared" si="1"/>
        <v>100204.32692307692</v>
      </c>
      <c r="L5" s="70">
        <v>1</v>
      </c>
      <c r="M5" s="213">
        <v>2015</v>
      </c>
      <c r="N5" s="153" t="s">
        <v>425</v>
      </c>
      <c r="O5" s="45"/>
      <c r="Y5" s="8" t="str">
        <f>IF(A5="","",IFERROR(IF(VLOOKUP(A5,Entry!$D:$D,1,FALSE)=A5,"",ROW()),ROW()))</f>
        <v/>
      </c>
      <c r="Z5" s="8">
        <f t="shared" si="2"/>
        <v>4</v>
      </c>
      <c r="AA5" s="8" t="str">
        <f t="shared" si="0"/>
        <v/>
      </c>
      <c r="AG5" s="8" t="str">
        <f>IF(A5="","",IFERROR(IF(VLOOKUP(A5,Entry!$D:$D,1,FALSE)=A5,TRUE,FALSE),FALSE))</f>
        <v/>
      </c>
    </row>
    <row r="6" spans="1:33" ht="15" customHeight="1" x14ac:dyDescent="0.2">
      <c r="A6" s="111"/>
      <c r="B6" s="21" t="s">
        <v>214</v>
      </c>
      <c r="C6" s="21" t="s">
        <v>10</v>
      </c>
      <c r="D6" s="21" t="s">
        <v>222</v>
      </c>
      <c r="E6" s="21" t="s">
        <v>3</v>
      </c>
      <c r="F6" s="14">
        <v>1</v>
      </c>
      <c r="G6" s="21" t="s">
        <v>10</v>
      </c>
      <c r="H6" s="21" t="s">
        <v>243</v>
      </c>
      <c r="I6" s="190">
        <v>204.32692307692307</v>
      </c>
      <c r="J6" s="191">
        <v>250000</v>
      </c>
      <c r="K6" s="189">
        <f t="shared" si="1"/>
        <v>250204.32692307694</v>
      </c>
      <c r="L6" s="70">
        <v>1</v>
      </c>
      <c r="M6" s="213">
        <v>2016</v>
      </c>
      <c r="N6" s="153" t="s">
        <v>420</v>
      </c>
      <c r="O6" s="45"/>
      <c r="Y6" s="8" t="str">
        <f>IF(A6="","",IFERROR(IF(VLOOKUP(A6,Entry!$D:$D,1,FALSE)=A6,"",ROW()),ROW()))</f>
        <v/>
      </c>
      <c r="Z6" s="8">
        <f t="shared" si="2"/>
        <v>5</v>
      </c>
      <c r="AA6" s="8" t="str">
        <f t="shared" si="0"/>
        <v/>
      </c>
      <c r="AG6" s="8" t="str">
        <f>IF(A6="","",IFERROR(IF(VLOOKUP(A6,Entry!$D:$D,1,FALSE)=A6,TRUE,FALSE),FALSE))</f>
        <v/>
      </c>
    </row>
    <row r="7" spans="1:33" ht="15" customHeight="1" x14ac:dyDescent="0.2">
      <c r="A7" s="112"/>
      <c r="B7" s="22" t="s">
        <v>231</v>
      </c>
      <c r="C7" s="22" t="s">
        <v>232</v>
      </c>
      <c r="D7" s="22" t="s">
        <v>222</v>
      </c>
      <c r="E7" s="22" t="s">
        <v>3</v>
      </c>
      <c r="F7" s="15">
        <v>1</v>
      </c>
      <c r="G7" s="22" t="s">
        <v>172</v>
      </c>
      <c r="H7" s="22" t="s">
        <v>244</v>
      </c>
      <c r="I7" s="192">
        <v>24820.192307692309</v>
      </c>
      <c r="J7" s="193"/>
      <c r="K7" s="189">
        <f t="shared" si="1"/>
        <v>24820.192307692309</v>
      </c>
      <c r="L7" s="71">
        <v>1</v>
      </c>
      <c r="M7" s="214">
        <v>2016</v>
      </c>
      <c r="N7" s="154" t="s">
        <v>421</v>
      </c>
      <c r="O7" s="46"/>
      <c r="Y7" s="8" t="str">
        <f>IF(A7="","",IFERROR(IF(VLOOKUP(A7,Entry!$D:$D,1,FALSE)=A7,"",ROW()),ROW()))</f>
        <v/>
      </c>
      <c r="Z7" s="8">
        <f t="shared" si="2"/>
        <v>6</v>
      </c>
      <c r="AA7" s="8" t="str">
        <f t="shared" si="0"/>
        <v/>
      </c>
      <c r="AG7" s="8" t="str">
        <f>IF(A7="","",IFERROR(IF(VLOOKUP(A7,Entry!$D:$D,1,FALSE)=A7,TRUE,FALSE),FALSE))</f>
        <v/>
      </c>
    </row>
    <row r="8" spans="1:33" ht="17.25" customHeight="1" x14ac:dyDescent="0.2">
      <c r="A8" s="113" t="s">
        <v>213</v>
      </c>
      <c r="B8" s="19"/>
      <c r="C8" s="19"/>
      <c r="D8" s="19"/>
      <c r="E8" s="19"/>
      <c r="F8" s="18"/>
      <c r="G8" s="19"/>
      <c r="H8" s="19"/>
      <c r="I8" s="194">
        <f t="shared" ref="I8:K8" si="3">SUM(I9:I13)</f>
        <v>121755.76923076923</v>
      </c>
      <c r="J8" s="195">
        <f t="shared" si="3"/>
        <v>800000</v>
      </c>
      <c r="K8" s="195">
        <f t="shared" si="3"/>
        <v>921755.76923076925</v>
      </c>
      <c r="L8" s="104">
        <f>IFERROR(SUMPRODUCT(K9:K13,L9:L13)/SUM(K9:K13),0)</f>
        <v>0.65455245319864064</v>
      </c>
      <c r="M8" s="215"/>
      <c r="N8" s="155"/>
      <c r="O8" s="47"/>
      <c r="Y8" s="8" t="str">
        <f>IF(A8="","",IFERROR(IF(VLOOKUP(A8,Entry!$D:$D,1,FALSE)=A8,"",ROW()),ROW()))</f>
        <v/>
      </c>
      <c r="Z8" s="8">
        <f t="shared" si="2"/>
        <v>7</v>
      </c>
      <c r="AA8" s="8" t="str">
        <f t="shared" si="0"/>
        <v/>
      </c>
      <c r="AG8" s="8" t="b">
        <f>IF(A8="","",IFERROR(IF(VLOOKUP(A8,Entry!$D:$D,1,FALSE)=A8,TRUE,FALSE),FALSE))</f>
        <v>1</v>
      </c>
    </row>
    <row r="9" spans="1:33" ht="15" customHeight="1" x14ac:dyDescent="0.2">
      <c r="A9" s="110"/>
      <c r="B9" s="20" t="s">
        <v>220</v>
      </c>
      <c r="C9" s="20" t="s">
        <v>221</v>
      </c>
      <c r="D9" s="20" t="s">
        <v>222</v>
      </c>
      <c r="E9" s="20" t="s">
        <v>3</v>
      </c>
      <c r="F9" s="16">
        <v>1</v>
      </c>
      <c r="G9" s="20" t="s">
        <v>31</v>
      </c>
      <c r="H9" s="20" t="s">
        <v>253</v>
      </c>
      <c r="I9" s="187">
        <v>47198.076923076922</v>
      </c>
      <c r="J9" s="188"/>
      <c r="K9" s="189">
        <f t="shared" ref="K9:K72" si="4">I9+J9</f>
        <v>47198.076923076922</v>
      </c>
      <c r="L9" s="72">
        <v>1</v>
      </c>
      <c r="M9" s="212">
        <v>2015</v>
      </c>
      <c r="N9" s="152" t="s">
        <v>428</v>
      </c>
      <c r="O9" s="44"/>
      <c r="Y9" s="8" t="str">
        <f>IF(A9="","",IFERROR(IF(VLOOKUP(A9,Entry!$D:$D,1,FALSE)=A9,"",ROW()),ROW()))</f>
        <v/>
      </c>
      <c r="Z9" s="8">
        <f t="shared" si="2"/>
        <v>8</v>
      </c>
      <c r="AA9" s="8" t="str">
        <f t="shared" si="0"/>
        <v/>
      </c>
      <c r="AG9" s="8" t="str">
        <f>IF(A9="","",IFERROR(IF(VLOOKUP(A9,Entry!$D:$D,1,FALSE)=A9,TRUE,FALSE),FALSE))</f>
        <v/>
      </c>
    </row>
    <row r="10" spans="1:33" ht="15" customHeight="1" x14ac:dyDescent="0.2">
      <c r="A10" s="111"/>
      <c r="B10" s="21" t="s">
        <v>214</v>
      </c>
      <c r="C10" s="21" t="s">
        <v>219</v>
      </c>
      <c r="D10" s="21" t="s">
        <v>222</v>
      </c>
      <c r="E10" s="21" t="s">
        <v>3</v>
      </c>
      <c r="F10" s="14">
        <v>1</v>
      </c>
      <c r="G10" s="21" t="s">
        <v>9</v>
      </c>
      <c r="H10" s="21"/>
      <c r="I10" s="190"/>
      <c r="J10" s="191">
        <v>250000</v>
      </c>
      <c r="K10" s="189">
        <f t="shared" si="4"/>
        <v>250000</v>
      </c>
      <c r="L10" s="73">
        <v>0.1</v>
      </c>
      <c r="M10" s="213">
        <v>2015</v>
      </c>
      <c r="N10" s="153" t="s">
        <v>420</v>
      </c>
      <c r="O10" s="45"/>
      <c r="Y10" s="8" t="str">
        <f>IF(A10="","",IFERROR(IF(VLOOKUP(A10,Entry!$D:$D,1,FALSE)=A10,"",ROW()),ROW()))</f>
        <v/>
      </c>
      <c r="Z10" s="8">
        <f t="shared" si="2"/>
        <v>9</v>
      </c>
      <c r="AA10" s="8" t="str">
        <f t="shared" si="0"/>
        <v/>
      </c>
      <c r="AG10" s="8" t="str">
        <f>IF(A10="","",IFERROR(IF(VLOOKUP(A10,Entry!$D:$D,1,FALSE)=A10,TRUE,FALSE),FALSE))</f>
        <v/>
      </c>
    </row>
    <row r="11" spans="1:33" ht="15" customHeight="1" x14ac:dyDescent="0.2">
      <c r="A11" s="111"/>
      <c r="B11" s="21" t="s">
        <v>214</v>
      </c>
      <c r="C11" s="21" t="s">
        <v>216</v>
      </c>
      <c r="D11" s="21" t="s">
        <v>222</v>
      </c>
      <c r="E11" s="21" t="s">
        <v>3</v>
      </c>
      <c r="F11" s="14">
        <v>1</v>
      </c>
      <c r="G11" s="21" t="s">
        <v>9</v>
      </c>
      <c r="H11" s="21"/>
      <c r="I11" s="190"/>
      <c r="J11" s="191">
        <v>150000</v>
      </c>
      <c r="K11" s="189">
        <f t="shared" si="4"/>
        <v>150000</v>
      </c>
      <c r="L11" s="73">
        <v>0.75</v>
      </c>
      <c r="M11" s="213">
        <v>2015</v>
      </c>
      <c r="N11" s="153" t="s">
        <v>421</v>
      </c>
      <c r="O11" s="45"/>
      <c r="Y11" s="8" t="str">
        <f>IF(A11="","",IFERROR(IF(VLOOKUP(A11,Entry!$D:$D,1,FALSE)=A11,"",ROW()),ROW()))</f>
        <v/>
      </c>
      <c r="Z11" s="8">
        <f t="shared" si="2"/>
        <v>10</v>
      </c>
      <c r="AA11" s="8" t="str">
        <f t="shared" si="0"/>
        <v/>
      </c>
      <c r="AG11" s="8" t="str">
        <f>IF(A11="","",IFERROR(IF(VLOOKUP(A11,Entry!$D:$D,1,FALSE)=A11,TRUE,FALSE),FALSE))</f>
        <v/>
      </c>
    </row>
    <row r="12" spans="1:33" ht="15" customHeight="1" x14ac:dyDescent="0.2">
      <c r="A12" s="111"/>
      <c r="B12" s="21" t="s">
        <v>214</v>
      </c>
      <c r="C12" s="21" t="s">
        <v>215</v>
      </c>
      <c r="D12" s="21" t="s">
        <v>222</v>
      </c>
      <c r="E12" s="21" t="s">
        <v>3</v>
      </c>
      <c r="F12" s="14">
        <v>1</v>
      </c>
      <c r="G12" s="21" t="s">
        <v>10</v>
      </c>
      <c r="H12" s="21"/>
      <c r="I12" s="190"/>
      <c r="J12" s="191">
        <v>400000</v>
      </c>
      <c r="K12" s="189">
        <f t="shared" si="4"/>
        <v>400000</v>
      </c>
      <c r="L12" s="73">
        <v>1</v>
      </c>
      <c r="M12" s="213">
        <v>2015</v>
      </c>
      <c r="N12" s="153" t="s">
        <v>421</v>
      </c>
      <c r="O12" s="45"/>
      <c r="Y12" s="8" t="str">
        <f>IF(A12="","",IFERROR(IF(VLOOKUP(A12,Entry!$D:$D,1,FALSE)=A12,"",ROW()),ROW()))</f>
        <v/>
      </c>
      <c r="Z12" s="8">
        <f t="shared" si="2"/>
        <v>11</v>
      </c>
      <c r="AA12" s="8" t="str">
        <f t="shared" si="0"/>
        <v/>
      </c>
      <c r="AG12" s="8" t="str">
        <f>IF(A12="","",IFERROR(IF(VLOOKUP(A12,Entry!$D:$D,1,FALSE)=A12,TRUE,FALSE),FALSE))</f>
        <v/>
      </c>
    </row>
    <row r="13" spans="1:33" ht="15" customHeight="1" x14ac:dyDescent="0.2">
      <c r="A13" s="112"/>
      <c r="B13" s="22" t="s">
        <v>218</v>
      </c>
      <c r="C13" s="22" t="s">
        <v>217</v>
      </c>
      <c r="D13" s="22" t="s">
        <v>222</v>
      </c>
      <c r="E13" s="22" t="s">
        <v>3</v>
      </c>
      <c r="F13" s="15">
        <v>1</v>
      </c>
      <c r="G13" s="22" t="s">
        <v>31</v>
      </c>
      <c r="H13" s="22" t="s">
        <v>254</v>
      </c>
      <c r="I13" s="192">
        <v>74557.692307692312</v>
      </c>
      <c r="J13" s="193"/>
      <c r="K13" s="189">
        <f t="shared" si="4"/>
        <v>74557.692307692312</v>
      </c>
      <c r="L13" s="74">
        <v>0.25</v>
      </c>
      <c r="M13" s="214">
        <v>2015</v>
      </c>
      <c r="N13" s="154" t="s">
        <v>422</v>
      </c>
      <c r="O13" s="46"/>
      <c r="Y13" s="8" t="str">
        <f>IF(A13="","",IFERROR(IF(VLOOKUP(A13,Entry!$D:$D,1,FALSE)=A13,"",ROW()),ROW()))</f>
        <v/>
      </c>
      <c r="Z13" s="8">
        <f t="shared" si="2"/>
        <v>12</v>
      </c>
      <c r="AA13" s="8" t="str">
        <f t="shared" si="0"/>
        <v/>
      </c>
      <c r="AG13" s="8" t="str">
        <f>IF(A13="","",IFERROR(IF(VLOOKUP(A13,Entry!$D:$D,1,FALSE)=A13,TRUE,FALSE),FALSE))</f>
        <v/>
      </c>
    </row>
    <row r="14" spans="1:33" ht="17.25" customHeight="1" x14ac:dyDescent="0.2">
      <c r="A14" s="113" t="s">
        <v>228</v>
      </c>
      <c r="B14" s="19"/>
      <c r="C14" s="19"/>
      <c r="D14" s="19"/>
      <c r="E14" s="19"/>
      <c r="F14" s="18"/>
      <c r="G14" s="19"/>
      <c r="H14" s="19"/>
      <c r="I14" s="194">
        <f t="shared" ref="I14:K14" si="5">SUM(I15:I19)</f>
        <v>37075.961538461539</v>
      </c>
      <c r="J14" s="195">
        <f t="shared" si="5"/>
        <v>125000</v>
      </c>
      <c r="K14" s="195">
        <f t="shared" si="5"/>
        <v>162075.96153846153</v>
      </c>
      <c r="L14" s="104">
        <f>IFERROR(SUMPRODUCT(K15:K19,L15:L19)/SUM(K15:K19),0)</f>
        <v>0.4260692101875308</v>
      </c>
      <c r="M14" s="215"/>
      <c r="N14" s="155"/>
      <c r="O14" s="47"/>
      <c r="Y14" s="8" t="str">
        <f>IF(A14="","",IFERROR(IF(VLOOKUP(A14,Entry!$D:$D,1,FALSE)=A14,"",ROW()),ROW()))</f>
        <v/>
      </c>
      <c r="Z14" s="8">
        <f t="shared" si="2"/>
        <v>13</v>
      </c>
      <c r="AA14" s="8" t="str">
        <f t="shared" si="0"/>
        <v/>
      </c>
      <c r="AG14" s="8" t="b">
        <f>IF(A14="","",IFERROR(IF(VLOOKUP(A14,Entry!$D:$D,1,FALSE)=A14,TRUE,FALSE),FALSE))</f>
        <v>1</v>
      </c>
    </row>
    <row r="15" spans="1:33" ht="15" customHeight="1" x14ac:dyDescent="0.2">
      <c r="A15" s="110"/>
      <c r="B15" s="20" t="s">
        <v>220</v>
      </c>
      <c r="C15" s="20" t="s">
        <v>229</v>
      </c>
      <c r="D15" s="20" t="s">
        <v>222</v>
      </c>
      <c r="E15" s="20" t="s">
        <v>3</v>
      </c>
      <c r="F15" s="16">
        <v>1</v>
      </c>
      <c r="G15" s="20" t="s">
        <v>172</v>
      </c>
      <c r="H15" s="20" t="s">
        <v>241</v>
      </c>
      <c r="I15" s="187">
        <v>8217.3076923076915</v>
      </c>
      <c r="J15" s="188"/>
      <c r="K15" s="189">
        <f t="shared" ref="K15" si="6">I15+J15</f>
        <v>8217.3076923076915</v>
      </c>
      <c r="L15" s="72">
        <v>0.25</v>
      </c>
      <c r="M15" s="212">
        <v>2015</v>
      </c>
      <c r="N15" s="152" t="s">
        <v>423</v>
      </c>
      <c r="O15" s="44"/>
      <c r="Y15" s="8" t="str">
        <f>IF(A15="","",IFERROR(IF(VLOOKUP(A15,Entry!$D:$D,1,FALSE)=A15,"",ROW()),ROW()))</f>
        <v/>
      </c>
      <c r="Z15" s="8">
        <f t="shared" si="2"/>
        <v>14</v>
      </c>
      <c r="AA15" s="8" t="str">
        <f t="shared" si="0"/>
        <v/>
      </c>
      <c r="AG15" s="8" t="str">
        <f>IF(A15="","",IFERROR(IF(VLOOKUP(A15,Entry!$D:$D,1,FALSE)=A15,TRUE,FALSE),FALSE))</f>
        <v/>
      </c>
    </row>
    <row r="16" spans="1:33" ht="15" customHeight="1" x14ac:dyDescent="0.2">
      <c r="A16" s="111"/>
      <c r="B16" s="21" t="s">
        <v>214</v>
      </c>
      <c r="C16" s="21" t="s">
        <v>233</v>
      </c>
      <c r="D16" s="21" t="s">
        <v>222</v>
      </c>
      <c r="E16" s="21" t="s">
        <v>3</v>
      </c>
      <c r="F16" s="14">
        <v>1</v>
      </c>
      <c r="G16" s="21" t="s">
        <v>11</v>
      </c>
      <c r="H16" s="21"/>
      <c r="I16" s="190"/>
      <c r="J16" s="191">
        <v>125000</v>
      </c>
      <c r="K16" s="189">
        <f t="shared" si="4"/>
        <v>125000</v>
      </c>
      <c r="L16" s="73">
        <v>0.5</v>
      </c>
      <c r="M16" s="213">
        <v>2015</v>
      </c>
      <c r="N16" s="153" t="s">
        <v>423</v>
      </c>
      <c r="O16" s="45"/>
      <c r="Y16" s="8" t="str">
        <f>IF(A16="","",IFERROR(IF(VLOOKUP(A16,Entry!$D:$D,1,FALSE)=A16,"",ROW()),ROW()))</f>
        <v/>
      </c>
      <c r="Z16" s="8">
        <f t="shared" si="2"/>
        <v>15</v>
      </c>
      <c r="AA16" s="8" t="str">
        <f t="shared" si="0"/>
        <v/>
      </c>
      <c r="AG16" s="8" t="str">
        <f>IF(A16="","",IFERROR(IF(VLOOKUP(A16,Entry!$D:$D,1,FALSE)=A16,TRUE,FALSE),FALSE))</f>
        <v/>
      </c>
    </row>
    <row r="17" spans="1:33" ht="15" customHeight="1" x14ac:dyDescent="0.2">
      <c r="A17" s="111"/>
      <c r="B17" s="21" t="s">
        <v>218</v>
      </c>
      <c r="C17" s="21" t="s">
        <v>230</v>
      </c>
      <c r="D17" s="21" t="s">
        <v>222</v>
      </c>
      <c r="E17" s="21" t="s">
        <v>3</v>
      </c>
      <c r="F17" s="14">
        <v>1</v>
      </c>
      <c r="G17" s="21" t="s">
        <v>172</v>
      </c>
      <c r="H17" s="21" t="s">
        <v>255</v>
      </c>
      <c r="I17" s="190">
        <v>4038.4615384615381</v>
      </c>
      <c r="J17" s="191"/>
      <c r="K17" s="189">
        <f t="shared" si="4"/>
        <v>4038.4615384615381</v>
      </c>
      <c r="L17" s="73">
        <v>0.5</v>
      </c>
      <c r="M17" s="213">
        <v>2015</v>
      </c>
      <c r="N17" s="153" t="s">
        <v>425</v>
      </c>
      <c r="O17" s="45"/>
      <c r="Y17" s="8" t="str">
        <f>IF(A17="","",IFERROR(IF(VLOOKUP(A17,Entry!$D:$D,1,FALSE)=A17,"",ROW()),ROW()))</f>
        <v/>
      </c>
      <c r="Z17" s="8">
        <f t="shared" si="2"/>
        <v>16</v>
      </c>
      <c r="AA17" s="8" t="str">
        <f t="shared" si="0"/>
        <v/>
      </c>
      <c r="AG17" s="8" t="str">
        <f>IF(A17="","",IFERROR(IF(VLOOKUP(A17,Entry!$D:$D,1,FALSE)=A17,TRUE,FALSE),FALSE))</f>
        <v/>
      </c>
    </row>
    <row r="18" spans="1:33" ht="15" customHeight="1" x14ac:dyDescent="0.2">
      <c r="A18" s="111"/>
      <c r="B18" s="21" t="s">
        <v>231</v>
      </c>
      <c r="C18" s="21" t="s">
        <v>232</v>
      </c>
      <c r="D18" s="21" t="s">
        <v>44</v>
      </c>
      <c r="E18" s="21" t="s">
        <v>5</v>
      </c>
      <c r="F18" s="65">
        <v>0.8</v>
      </c>
      <c r="G18" s="21" t="s">
        <v>172</v>
      </c>
      <c r="H18" s="21" t="s">
        <v>244</v>
      </c>
      <c r="I18" s="190">
        <v>24820.192307692309</v>
      </c>
      <c r="J18" s="191"/>
      <c r="K18" s="189">
        <f t="shared" si="4"/>
        <v>24820.192307692309</v>
      </c>
      <c r="L18" s="73">
        <v>0.1</v>
      </c>
      <c r="M18" s="213">
        <v>2015</v>
      </c>
      <c r="N18" s="153" t="s">
        <v>426</v>
      </c>
      <c r="O18" s="45"/>
      <c r="Y18" s="8" t="str">
        <f>IF(A18="","",IFERROR(IF(VLOOKUP(A18,Entry!$D:$D,1,FALSE)=A18,"",ROW()),ROW()))</f>
        <v/>
      </c>
      <c r="Z18" s="8">
        <f t="shared" si="2"/>
        <v>17</v>
      </c>
      <c r="AA18" s="8" t="str">
        <f t="shared" si="0"/>
        <v/>
      </c>
      <c r="AG18" s="8" t="str">
        <f>IF(A18="","",IFERROR(IF(VLOOKUP(A18,Entry!$D:$D,1,FALSE)=A18,TRUE,FALSE),FALSE))</f>
        <v/>
      </c>
    </row>
    <row r="19" spans="1:33" ht="15" customHeight="1" x14ac:dyDescent="0.2">
      <c r="A19" s="112"/>
      <c r="B19" s="22"/>
      <c r="C19" s="22"/>
      <c r="D19" s="22"/>
      <c r="E19" s="22"/>
      <c r="F19" s="15"/>
      <c r="G19" s="22"/>
      <c r="H19" s="22"/>
      <c r="I19" s="192"/>
      <c r="J19" s="193"/>
      <c r="K19" s="189">
        <f t="shared" si="4"/>
        <v>0</v>
      </c>
      <c r="L19" s="74"/>
      <c r="M19" s="214"/>
      <c r="N19" s="154"/>
      <c r="O19" s="46"/>
      <c r="Y19" s="8" t="str">
        <f>IF(A19="","",IFERROR(IF(VLOOKUP(A19,Entry!$D:$D,1,FALSE)=A19,"",ROW()),ROW()))</f>
        <v/>
      </c>
      <c r="Z19" s="8">
        <f t="shared" si="2"/>
        <v>18</v>
      </c>
      <c r="AA19" s="8" t="str">
        <f t="shared" si="0"/>
        <v/>
      </c>
      <c r="AG19" s="8" t="str">
        <f>IF(A19="","",IFERROR(IF(VLOOKUP(A19,Entry!$D:$D,1,FALSE)=A19,TRUE,FALSE),FALSE))</f>
        <v/>
      </c>
    </row>
    <row r="20" spans="1:33" ht="17.25" customHeight="1" x14ac:dyDescent="0.2">
      <c r="A20" s="113" t="s">
        <v>234</v>
      </c>
      <c r="B20" s="19"/>
      <c r="C20" s="19"/>
      <c r="D20" s="19"/>
      <c r="E20" s="19"/>
      <c r="F20" s="18"/>
      <c r="G20" s="19"/>
      <c r="H20" s="19"/>
      <c r="I20" s="194">
        <f t="shared" ref="I20:K20" si="7">SUM(I21:I25)</f>
        <v>79176.442307692312</v>
      </c>
      <c r="J20" s="195">
        <f t="shared" si="7"/>
        <v>500000</v>
      </c>
      <c r="K20" s="195">
        <f t="shared" si="7"/>
        <v>579176.44230769225</v>
      </c>
      <c r="L20" s="104">
        <f>IFERROR(SUMPRODUCT(K21:K25,L21:L25)/SUM(K21:K25),0)</f>
        <v>0.12278500556576107</v>
      </c>
      <c r="M20" s="215"/>
      <c r="N20" s="155"/>
      <c r="O20" s="47"/>
      <c r="Y20" s="8" t="str">
        <f>IF(A20="","",IFERROR(IF(VLOOKUP(A20,Entry!$D:$D,1,FALSE)=A20,"",ROW()),ROW()))</f>
        <v/>
      </c>
      <c r="Z20" s="8">
        <f t="shared" si="2"/>
        <v>19</v>
      </c>
      <c r="AA20" s="8" t="str">
        <f t="shared" si="0"/>
        <v/>
      </c>
      <c r="AG20" s="8" t="b">
        <f>IF(A20="","",IFERROR(IF(VLOOKUP(A20,Entry!$D:$D,1,FALSE)=A20,TRUE,FALSE),FALSE))</f>
        <v>1</v>
      </c>
    </row>
    <row r="21" spans="1:33" ht="15" customHeight="1" x14ac:dyDescent="0.2">
      <c r="A21" s="110"/>
      <c r="B21" s="20" t="s">
        <v>220</v>
      </c>
      <c r="C21" s="20" t="s">
        <v>235</v>
      </c>
      <c r="D21" s="20" t="s">
        <v>222</v>
      </c>
      <c r="E21" s="20" t="s">
        <v>3</v>
      </c>
      <c r="F21" s="16">
        <v>1</v>
      </c>
      <c r="G21" s="20" t="s">
        <v>172</v>
      </c>
      <c r="H21" s="20" t="s">
        <v>257</v>
      </c>
      <c r="I21" s="187">
        <v>3221.1538461538462</v>
      </c>
      <c r="J21" s="188"/>
      <c r="K21" s="189">
        <f t="shared" ref="K21" si="8">I21+J21</f>
        <v>3221.1538461538462</v>
      </c>
      <c r="L21" s="72">
        <v>0.9</v>
      </c>
      <c r="M21" s="212">
        <v>2015</v>
      </c>
      <c r="N21" s="152" t="s">
        <v>420</v>
      </c>
      <c r="O21" s="44"/>
      <c r="Y21" s="8" t="str">
        <f>IF(A21="","",IFERROR(IF(VLOOKUP(A21,Entry!$D:$D,1,FALSE)=A21,"",ROW()),ROW()))</f>
        <v/>
      </c>
      <c r="Z21" s="8">
        <f t="shared" si="2"/>
        <v>20</v>
      </c>
      <c r="AA21" s="8" t="str">
        <f t="shared" si="0"/>
        <v/>
      </c>
      <c r="AG21" s="8" t="str">
        <f>IF(A21="","",IFERROR(IF(VLOOKUP(A21,Entry!$D:$D,1,FALSE)=A21,TRUE,FALSE),FALSE))</f>
        <v/>
      </c>
    </row>
    <row r="22" spans="1:33" ht="15" customHeight="1" x14ac:dyDescent="0.2">
      <c r="A22" s="111"/>
      <c r="B22" s="21" t="s">
        <v>218</v>
      </c>
      <c r="C22" s="21" t="s">
        <v>237</v>
      </c>
      <c r="D22" s="21" t="s">
        <v>222</v>
      </c>
      <c r="E22" s="21" t="s">
        <v>3</v>
      </c>
      <c r="F22" s="14">
        <v>1</v>
      </c>
      <c r="G22" s="21" t="s">
        <v>172</v>
      </c>
      <c r="H22" s="21" t="s">
        <v>258</v>
      </c>
      <c r="I22" s="190">
        <v>10080.288461538461</v>
      </c>
      <c r="J22" s="191"/>
      <c r="K22" s="189">
        <f t="shared" si="4"/>
        <v>10080.288461538461</v>
      </c>
      <c r="L22" s="73">
        <v>0.5</v>
      </c>
      <c r="M22" s="213">
        <v>2015</v>
      </c>
      <c r="N22" s="153" t="s">
        <v>421</v>
      </c>
      <c r="O22" s="45"/>
      <c r="Y22" s="8" t="str">
        <f>IF(A22="","",IFERROR(IF(VLOOKUP(A22,Entry!$D:$D,1,FALSE)=A22,"",ROW()),ROW()))</f>
        <v/>
      </c>
      <c r="Z22" s="8">
        <f t="shared" si="2"/>
        <v>21</v>
      </c>
      <c r="AA22" s="8" t="str">
        <f t="shared" si="0"/>
        <v/>
      </c>
      <c r="AG22" s="8" t="str">
        <f>IF(A22="","",IFERROR(IF(VLOOKUP(A22,Entry!$D:$D,1,FALSE)=A22,TRUE,FALSE),FALSE))</f>
        <v/>
      </c>
    </row>
    <row r="23" spans="1:33" ht="15" customHeight="1" x14ac:dyDescent="0.2">
      <c r="A23" s="111"/>
      <c r="B23" s="21" t="s">
        <v>214</v>
      </c>
      <c r="C23" s="21" t="s">
        <v>9</v>
      </c>
      <c r="D23" s="21" t="s">
        <v>44</v>
      </c>
      <c r="E23" s="21" t="s">
        <v>4</v>
      </c>
      <c r="F23" s="14">
        <v>0</v>
      </c>
      <c r="G23" s="21" t="s">
        <v>9</v>
      </c>
      <c r="H23" s="21"/>
      <c r="I23" s="190"/>
      <c r="J23" s="191">
        <v>100000</v>
      </c>
      <c r="K23" s="189">
        <f t="shared" si="4"/>
        <v>100000</v>
      </c>
      <c r="L23" s="73">
        <v>0.1</v>
      </c>
      <c r="M23" s="213">
        <v>2015</v>
      </c>
      <c r="N23" s="153" t="s">
        <v>423</v>
      </c>
      <c r="O23" s="45"/>
      <c r="Y23" s="8" t="str">
        <f>IF(A23="","",IFERROR(IF(VLOOKUP(A23,Entry!$D:$D,1,FALSE)=A23,"",ROW()),ROW()))</f>
        <v/>
      </c>
      <c r="Z23" s="8">
        <f t="shared" si="2"/>
        <v>22</v>
      </c>
      <c r="AA23" s="8" t="str">
        <f t="shared" si="0"/>
        <v/>
      </c>
      <c r="AG23" s="8" t="str">
        <f>IF(A23="","",IFERROR(IF(VLOOKUP(A23,Entry!$D:$D,1,FALSE)=A23,TRUE,FALSE),FALSE))</f>
        <v/>
      </c>
    </row>
    <row r="24" spans="1:33" ht="15" customHeight="1" x14ac:dyDescent="0.2">
      <c r="A24" s="111"/>
      <c r="B24" s="21" t="s">
        <v>214</v>
      </c>
      <c r="C24" s="21" t="s">
        <v>10</v>
      </c>
      <c r="D24" s="21" t="s">
        <v>41</v>
      </c>
      <c r="E24" s="21" t="s">
        <v>4</v>
      </c>
      <c r="F24" s="14">
        <v>0</v>
      </c>
      <c r="G24" s="21" t="s">
        <v>9</v>
      </c>
      <c r="H24" s="21"/>
      <c r="I24" s="190"/>
      <c r="J24" s="191">
        <v>400000</v>
      </c>
      <c r="K24" s="189">
        <f t="shared" si="4"/>
        <v>400000</v>
      </c>
      <c r="L24" s="73">
        <v>0.1</v>
      </c>
      <c r="M24" s="213">
        <v>2015</v>
      </c>
      <c r="N24" s="153" t="s">
        <v>428</v>
      </c>
      <c r="O24" s="45"/>
      <c r="Y24" s="8" t="str">
        <f>IF(A24="","",IFERROR(IF(VLOOKUP(A24,Entry!$D:$D,1,FALSE)=A24,"",ROW()),ROW()))</f>
        <v/>
      </c>
      <c r="Z24" s="8">
        <f t="shared" si="2"/>
        <v>23</v>
      </c>
      <c r="AA24" s="8" t="str">
        <f t="shared" si="0"/>
        <v/>
      </c>
      <c r="AG24" s="8" t="str">
        <f>IF(A24="","",IFERROR(IF(VLOOKUP(A24,Entry!$D:$D,1,FALSE)=A24,TRUE,FALSE),FALSE))</f>
        <v/>
      </c>
    </row>
    <row r="25" spans="1:33" ht="15" customHeight="1" x14ac:dyDescent="0.2">
      <c r="A25" s="112"/>
      <c r="B25" s="22" t="s">
        <v>218</v>
      </c>
      <c r="C25" s="22" t="s">
        <v>236</v>
      </c>
      <c r="D25" s="22" t="s">
        <v>44</v>
      </c>
      <c r="E25" s="22" t="s">
        <v>4</v>
      </c>
      <c r="F25" s="15">
        <v>0</v>
      </c>
      <c r="G25" s="22" t="s">
        <v>172</v>
      </c>
      <c r="H25" s="22" t="s">
        <v>256</v>
      </c>
      <c r="I25" s="192">
        <v>65875</v>
      </c>
      <c r="J25" s="193"/>
      <c r="K25" s="189">
        <f t="shared" si="4"/>
        <v>65875</v>
      </c>
      <c r="L25" s="74">
        <v>0.2</v>
      </c>
      <c r="M25" s="214">
        <v>2015</v>
      </c>
      <c r="N25" s="154" t="s">
        <v>429</v>
      </c>
      <c r="O25" s="46"/>
      <c r="Y25" s="8" t="str">
        <f>IF(A25="","",IFERROR(IF(VLOOKUP(A25,Entry!$D:$D,1,FALSE)=A25,"",ROW()),ROW()))</f>
        <v/>
      </c>
      <c r="Z25" s="8">
        <f t="shared" si="2"/>
        <v>24</v>
      </c>
      <c r="AA25" s="8" t="str">
        <f t="shared" si="0"/>
        <v/>
      </c>
      <c r="AG25" s="8" t="str">
        <f>IF(A25="","",IFERROR(IF(VLOOKUP(A25,Entry!$D:$D,1,FALSE)=A25,TRUE,FALSE),FALSE))</f>
        <v/>
      </c>
    </row>
    <row r="26" spans="1:33" ht="17.25" customHeight="1" x14ac:dyDescent="0.2">
      <c r="A26" s="113" t="s">
        <v>245</v>
      </c>
      <c r="B26" s="19"/>
      <c r="C26" s="19"/>
      <c r="D26" s="19"/>
      <c r="E26" s="19"/>
      <c r="F26" s="18"/>
      <c r="G26" s="19"/>
      <c r="H26" s="19"/>
      <c r="I26" s="194">
        <f t="shared" ref="I26:K26" si="9">SUM(I27:I31)</f>
        <v>70693.26923076922</v>
      </c>
      <c r="J26" s="195">
        <f t="shared" si="9"/>
        <v>850000</v>
      </c>
      <c r="K26" s="195">
        <f t="shared" si="9"/>
        <v>920693.26923076925</v>
      </c>
      <c r="L26" s="104">
        <f>IFERROR(SUMPRODUCT(K27:K31,L27:L31)/SUM(K27:K31),0)</f>
        <v>0.10511205498365049</v>
      </c>
      <c r="M26" s="215"/>
      <c r="N26" s="155"/>
      <c r="O26" s="47"/>
      <c r="Y26" s="8" t="str">
        <f>IF(A26="","",IFERROR(IF(VLOOKUP(A26,Entry!$D:$D,1,FALSE)=A26,"",ROW()),ROW()))</f>
        <v/>
      </c>
      <c r="Z26" s="8">
        <f t="shared" si="2"/>
        <v>25</v>
      </c>
      <c r="AA26" s="8" t="str">
        <f t="shared" si="0"/>
        <v/>
      </c>
      <c r="AG26" s="8" t="b">
        <f>IF(A26="","",IFERROR(IF(VLOOKUP(A26,Entry!$D:$D,1,FALSE)=A26,TRUE,FALSE),FALSE))</f>
        <v>1</v>
      </c>
    </row>
    <row r="27" spans="1:33" ht="15" customHeight="1" x14ac:dyDescent="0.2">
      <c r="A27" s="110"/>
      <c r="B27" s="20" t="s">
        <v>220</v>
      </c>
      <c r="C27" s="20" t="s">
        <v>246</v>
      </c>
      <c r="D27" s="20" t="s">
        <v>222</v>
      </c>
      <c r="E27" s="20" t="s">
        <v>3</v>
      </c>
      <c r="F27" s="16">
        <v>1</v>
      </c>
      <c r="G27" s="20" t="s">
        <v>172</v>
      </c>
      <c r="H27" s="20" t="s">
        <v>259</v>
      </c>
      <c r="I27" s="187">
        <v>2620.1923076923076</v>
      </c>
      <c r="J27" s="188"/>
      <c r="K27" s="189">
        <f t="shared" ref="K27" si="10">I27+J27</f>
        <v>2620.1923076923076</v>
      </c>
      <c r="L27" s="72">
        <v>1</v>
      </c>
      <c r="M27" s="212">
        <v>2015</v>
      </c>
      <c r="N27" s="152" t="s">
        <v>422</v>
      </c>
      <c r="O27" s="44"/>
      <c r="Y27" s="8" t="str">
        <f>IF(A27="","",IFERROR(IF(VLOOKUP(A27,Entry!$D:$D,1,FALSE)=A27,"",ROW()),ROW()))</f>
        <v/>
      </c>
      <c r="Z27" s="8">
        <f t="shared" si="2"/>
        <v>26</v>
      </c>
      <c r="AA27" s="8" t="str">
        <f t="shared" si="0"/>
        <v/>
      </c>
      <c r="AG27" s="8" t="str">
        <f>IF(A27="","",IFERROR(IF(VLOOKUP(A27,Entry!$D:$D,1,FALSE)=A27,TRUE,FALSE),FALSE))</f>
        <v/>
      </c>
    </row>
    <row r="28" spans="1:33" ht="15" customHeight="1" x14ac:dyDescent="0.2">
      <c r="A28" s="111"/>
      <c r="B28" s="21" t="s">
        <v>218</v>
      </c>
      <c r="C28" s="21" t="s">
        <v>251</v>
      </c>
      <c r="D28" s="21" t="s">
        <v>44</v>
      </c>
      <c r="E28" s="21" t="s">
        <v>5</v>
      </c>
      <c r="F28" s="65">
        <v>0.5</v>
      </c>
      <c r="G28" s="21" t="s">
        <v>172</v>
      </c>
      <c r="H28" s="21" t="s">
        <v>241</v>
      </c>
      <c r="I28" s="190">
        <v>8217.3076923076915</v>
      </c>
      <c r="J28" s="191"/>
      <c r="K28" s="189">
        <f t="shared" si="4"/>
        <v>8217.3076923076915</v>
      </c>
      <c r="L28" s="73">
        <v>0.75</v>
      </c>
      <c r="M28" s="213">
        <v>2015</v>
      </c>
      <c r="N28" s="153" t="s">
        <v>423</v>
      </c>
      <c r="O28" s="45"/>
      <c r="Y28" s="8" t="str">
        <f>IF(A28="","",IFERROR(IF(VLOOKUP(A28,Entry!$D:$D,1,FALSE)=A28,"",ROW()),ROW()))</f>
        <v/>
      </c>
      <c r="Z28" s="8">
        <f t="shared" si="2"/>
        <v>27</v>
      </c>
      <c r="AA28" s="8" t="str">
        <f t="shared" si="0"/>
        <v/>
      </c>
      <c r="AG28" s="8" t="str">
        <f>IF(A28="","",IFERROR(IF(VLOOKUP(A28,Entry!$D:$D,1,FALSE)=A28,TRUE,FALSE),FALSE))</f>
        <v/>
      </c>
    </row>
    <row r="29" spans="1:33" ht="15" customHeight="1" x14ac:dyDescent="0.2">
      <c r="A29" s="111"/>
      <c r="B29" s="21" t="s">
        <v>9</v>
      </c>
      <c r="C29" s="21" t="s">
        <v>248</v>
      </c>
      <c r="D29" s="21" t="s">
        <v>44</v>
      </c>
      <c r="E29" s="21" t="s">
        <v>5</v>
      </c>
      <c r="F29" s="65">
        <v>0.7</v>
      </c>
      <c r="G29" s="21" t="s">
        <v>9</v>
      </c>
      <c r="H29" s="21"/>
      <c r="I29" s="190"/>
      <c r="J29" s="191">
        <v>200000</v>
      </c>
      <c r="K29" s="189">
        <f t="shared" si="4"/>
        <v>200000</v>
      </c>
      <c r="L29" s="73">
        <v>0.1</v>
      </c>
      <c r="M29" s="213">
        <v>2015</v>
      </c>
      <c r="N29" s="153" t="s">
        <v>422</v>
      </c>
      <c r="O29" s="45"/>
      <c r="Y29" s="8" t="str">
        <f>IF(A29="","",IFERROR(IF(VLOOKUP(A29,Entry!$D:$D,1,FALSE)=A29,"",ROW()),ROW()))</f>
        <v/>
      </c>
      <c r="Z29" s="8">
        <f t="shared" si="2"/>
        <v>28</v>
      </c>
      <c r="AA29" s="8" t="str">
        <f t="shared" si="0"/>
        <v/>
      </c>
      <c r="AG29" s="8" t="str">
        <f>IF(A29="","",IFERROR(IF(VLOOKUP(A29,Entry!$D:$D,1,FALSE)=A29,TRUE,FALSE),FALSE))</f>
        <v/>
      </c>
    </row>
    <row r="30" spans="1:33" ht="15" customHeight="1" x14ac:dyDescent="0.2">
      <c r="A30" s="111"/>
      <c r="B30" s="21" t="s">
        <v>247</v>
      </c>
      <c r="C30" s="21" t="s">
        <v>249</v>
      </c>
      <c r="D30" s="21" t="s">
        <v>44</v>
      </c>
      <c r="E30" s="21" t="s">
        <v>5</v>
      </c>
      <c r="F30" s="65">
        <v>0.6</v>
      </c>
      <c r="G30" s="21" t="s">
        <v>10</v>
      </c>
      <c r="H30" s="21"/>
      <c r="I30" s="190"/>
      <c r="J30" s="191">
        <v>650000</v>
      </c>
      <c r="K30" s="189">
        <f t="shared" si="4"/>
        <v>650000</v>
      </c>
      <c r="L30" s="73">
        <v>0.1</v>
      </c>
      <c r="M30" s="213">
        <v>2015</v>
      </c>
      <c r="N30" s="153" t="s">
        <v>430</v>
      </c>
      <c r="O30" s="45"/>
      <c r="Y30" s="8" t="str">
        <f>IF(A30="","",IFERROR(IF(VLOOKUP(A30,Entry!$D:$D,1,FALSE)=A30,"",ROW()),ROW()))</f>
        <v/>
      </c>
      <c r="Z30" s="8">
        <f t="shared" si="2"/>
        <v>29</v>
      </c>
      <c r="AA30" s="8" t="str">
        <f t="shared" si="0"/>
        <v/>
      </c>
      <c r="AG30" s="8" t="str">
        <f>IF(A30="","",IFERROR(IF(VLOOKUP(A30,Entry!$D:$D,1,FALSE)=A30,TRUE,FALSE),FALSE))</f>
        <v/>
      </c>
    </row>
    <row r="31" spans="1:33" ht="15" customHeight="1" x14ac:dyDescent="0.2">
      <c r="A31" s="112"/>
      <c r="B31" s="22" t="s">
        <v>231</v>
      </c>
      <c r="C31" s="22" t="s">
        <v>250</v>
      </c>
      <c r="D31" s="22" t="s">
        <v>44</v>
      </c>
      <c r="E31" s="22" t="s">
        <v>5</v>
      </c>
      <c r="F31" s="66">
        <v>0.2</v>
      </c>
      <c r="G31" s="22" t="s">
        <v>172</v>
      </c>
      <c r="H31" s="22" t="s">
        <v>260</v>
      </c>
      <c r="I31" s="192">
        <v>59855.769230769227</v>
      </c>
      <c r="J31" s="193"/>
      <c r="K31" s="189">
        <f t="shared" si="4"/>
        <v>59855.769230769227</v>
      </c>
      <c r="L31" s="74">
        <v>0.05</v>
      </c>
      <c r="M31" s="214">
        <v>2016</v>
      </c>
      <c r="N31" s="154" t="s">
        <v>421</v>
      </c>
      <c r="O31" s="46"/>
      <c r="Y31" s="8" t="str">
        <f>IF(A31="","",IFERROR(IF(VLOOKUP(A31,Entry!$D:$D,1,FALSE)=A31,"",ROW()),ROW()))</f>
        <v/>
      </c>
      <c r="Z31" s="8">
        <f t="shared" si="2"/>
        <v>30</v>
      </c>
      <c r="AA31" s="8" t="str">
        <f t="shared" si="0"/>
        <v/>
      </c>
      <c r="AG31" s="8" t="str">
        <f>IF(A31="","",IFERROR(IF(VLOOKUP(A31,Entry!$D:$D,1,FALSE)=A31,TRUE,FALSE),FALSE))</f>
        <v/>
      </c>
    </row>
    <row r="32" spans="1:33" ht="17.25" customHeight="1" x14ac:dyDescent="0.2">
      <c r="A32" s="113" t="s">
        <v>434</v>
      </c>
      <c r="B32" s="19"/>
      <c r="C32" s="19"/>
      <c r="D32" s="19"/>
      <c r="E32" s="19"/>
      <c r="F32" s="18"/>
      <c r="G32" s="19"/>
      <c r="H32" s="19"/>
      <c r="I32" s="194">
        <f t="shared" ref="I32:K32" si="11">SUM(I33:I37)</f>
        <v>0</v>
      </c>
      <c r="J32" s="195">
        <f t="shared" si="11"/>
        <v>0</v>
      </c>
      <c r="K32" s="195">
        <f t="shared" si="11"/>
        <v>0</v>
      </c>
      <c r="L32" s="104">
        <f>IFERROR(SUMPRODUCT(K33:K37,L33:L37)/SUM(K33:K37),0)</f>
        <v>0</v>
      </c>
      <c r="M32" s="215"/>
      <c r="N32" s="155"/>
      <c r="O32" s="47"/>
      <c r="Y32" s="8" t="str">
        <f>IF(A32="","",IFERROR(IF(VLOOKUP(A32,Entry!$D:$D,1,FALSE)=A32,"",ROW()),ROW()))</f>
        <v/>
      </c>
      <c r="Z32" s="8">
        <f t="shared" si="2"/>
        <v>31</v>
      </c>
      <c r="AA32" s="8" t="str">
        <f t="shared" si="0"/>
        <v/>
      </c>
      <c r="AG32" s="8" t="b">
        <f>IF(A32="","",IFERROR(IF(VLOOKUP(A32,Entry!$D:$D,1,FALSE)=A32,TRUE,FALSE),FALSE))</f>
        <v>1</v>
      </c>
    </row>
    <row r="33" spans="1:33" ht="15" customHeight="1" x14ac:dyDescent="0.2">
      <c r="A33" s="110"/>
      <c r="B33" s="20"/>
      <c r="C33" s="20"/>
      <c r="D33" s="20"/>
      <c r="E33" s="20"/>
      <c r="F33" s="16"/>
      <c r="G33" s="20"/>
      <c r="H33" s="20"/>
      <c r="I33" s="187"/>
      <c r="J33" s="188"/>
      <c r="K33" s="189">
        <f t="shared" ref="K33" si="12">I33+J33</f>
        <v>0</v>
      </c>
      <c r="L33" s="72"/>
      <c r="M33" s="212"/>
      <c r="N33" s="152"/>
      <c r="O33" s="44"/>
      <c r="Y33" s="8" t="str">
        <f>IF(A33="","",IFERROR(IF(VLOOKUP(A33,Entry!$D:$D,1,FALSE)=A33,"",ROW()),ROW()))</f>
        <v/>
      </c>
      <c r="Z33" s="8">
        <f t="shared" si="2"/>
        <v>32</v>
      </c>
      <c r="AA33" s="8" t="str">
        <f t="shared" si="0"/>
        <v/>
      </c>
      <c r="AG33" s="8" t="str">
        <f>IF(A33="","",IFERROR(IF(VLOOKUP(A33,Entry!$D:$D,1,FALSE)=A33,TRUE,FALSE),FALSE))</f>
        <v/>
      </c>
    </row>
    <row r="34" spans="1:33" ht="15" customHeight="1" x14ac:dyDescent="0.2">
      <c r="A34" s="111"/>
      <c r="B34" s="21"/>
      <c r="C34" s="21"/>
      <c r="D34" s="21"/>
      <c r="E34" s="21"/>
      <c r="F34" s="14"/>
      <c r="G34" s="21"/>
      <c r="H34" s="21"/>
      <c r="I34" s="190"/>
      <c r="J34" s="191"/>
      <c r="K34" s="189">
        <f t="shared" si="4"/>
        <v>0</v>
      </c>
      <c r="L34" s="73"/>
      <c r="M34" s="213"/>
      <c r="N34" s="153"/>
      <c r="O34" s="45"/>
      <c r="Y34" s="8" t="str">
        <f>IF(A34="","",IFERROR(IF(VLOOKUP(A34,Entry!$D:$D,1,FALSE)=A34,"",ROW()),ROW()))</f>
        <v/>
      </c>
      <c r="Z34" s="8">
        <f t="shared" si="2"/>
        <v>33</v>
      </c>
      <c r="AA34" s="8" t="str">
        <f t="shared" si="0"/>
        <v/>
      </c>
      <c r="AG34" s="8" t="str">
        <f>IF(A34="","",IFERROR(IF(VLOOKUP(A34,Entry!$D:$D,1,FALSE)=A34,TRUE,FALSE),FALSE))</f>
        <v/>
      </c>
    </row>
    <row r="35" spans="1:33" ht="15" customHeight="1" x14ac:dyDescent="0.2">
      <c r="A35" s="111"/>
      <c r="B35" s="21"/>
      <c r="C35" s="21"/>
      <c r="D35" s="21"/>
      <c r="E35" s="21"/>
      <c r="F35" s="14"/>
      <c r="G35" s="21"/>
      <c r="H35" s="21"/>
      <c r="I35" s="190"/>
      <c r="J35" s="191"/>
      <c r="K35" s="189">
        <f t="shared" si="4"/>
        <v>0</v>
      </c>
      <c r="L35" s="73"/>
      <c r="M35" s="213"/>
      <c r="N35" s="153"/>
      <c r="O35" s="45"/>
      <c r="Y35" s="8" t="str">
        <f>IF(A35="","",IFERROR(IF(VLOOKUP(A35,Entry!$D:$D,1,FALSE)=A35,"",ROW()),ROW()))</f>
        <v/>
      </c>
      <c r="Z35" s="8">
        <f t="shared" si="2"/>
        <v>34</v>
      </c>
      <c r="AA35" s="8" t="str">
        <f t="shared" si="0"/>
        <v/>
      </c>
      <c r="AG35" s="8" t="str">
        <f>IF(A35="","",IFERROR(IF(VLOOKUP(A35,Entry!$D:$D,1,FALSE)=A35,TRUE,FALSE),FALSE))</f>
        <v/>
      </c>
    </row>
    <row r="36" spans="1:33" ht="15" customHeight="1" x14ac:dyDescent="0.2">
      <c r="A36" s="111"/>
      <c r="B36" s="21"/>
      <c r="C36" s="21"/>
      <c r="D36" s="21"/>
      <c r="E36" s="21"/>
      <c r="F36" s="14"/>
      <c r="G36" s="21"/>
      <c r="H36" s="21"/>
      <c r="I36" s="190"/>
      <c r="J36" s="191"/>
      <c r="K36" s="189">
        <f t="shared" si="4"/>
        <v>0</v>
      </c>
      <c r="L36" s="73"/>
      <c r="M36" s="213"/>
      <c r="N36" s="153"/>
      <c r="O36" s="45"/>
      <c r="Y36" s="8" t="str">
        <f>IF(A36="","",IFERROR(IF(VLOOKUP(A36,Entry!$D:$D,1,FALSE)=A36,"",ROW()),ROW()))</f>
        <v/>
      </c>
      <c r="Z36" s="8">
        <f t="shared" si="2"/>
        <v>35</v>
      </c>
      <c r="AA36" s="8" t="str">
        <f t="shared" si="0"/>
        <v/>
      </c>
      <c r="AG36" s="8" t="str">
        <f>IF(A36="","",IFERROR(IF(VLOOKUP(A36,Entry!$D:$D,1,FALSE)=A36,TRUE,FALSE),FALSE))</f>
        <v/>
      </c>
    </row>
    <row r="37" spans="1:33" ht="15" customHeight="1" x14ac:dyDescent="0.2">
      <c r="A37" s="112"/>
      <c r="B37" s="22"/>
      <c r="C37" s="22"/>
      <c r="D37" s="22"/>
      <c r="E37" s="22"/>
      <c r="F37" s="15"/>
      <c r="G37" s="22"/>
      <c r="H37" s="22"/>
      <c r="I37" s="192"/>
      <c r="J37" s="193"/>
      <c r="K37" s="189">
        <f t="shared" si="4"/>
        <v>0</v>
      </c>
      <c r="L37" s="74"/>
      <c r="M37" s="214"/>
      <c r="N37" s="154"/>
      <c r="O37" s="46"/>
      <c r="Y37" s="8" t="str">
        <f>IF(A37="","",IFERROR(IF(VLOOKUP(A37,Entry!$D:$D,1,FALSE)=A37,"",ROW()),ROW()))</f>
        <v/>
      </c>
      <c r="Z37" s="8">
        <f t="shared" si="2"/>
        <v>36</v>
      </c>
      <c r="AA37" s="8" t="str">
        <f t="shared" si="0"/>
        <v/>
      </c>
      <c r="AG37" s="8" t="str">
        <f>IF(A37="","",IFERROR(IF(VLOOKUP(A37,Entry!$D:$D,1,FALSE)=A37,TRUE,FALSE),FALSE))</f>
        <v/>
      </c>
    </row>
    <row r="38" spans="1:33" ht="17.25" customHeight="1" x14ac:dyDescent="0.2">
      <c r="A38" s="113" t="s">
        <v>435</v>
      </c>
      <c r="B38" s="19"/>
      <c r="C38" s="19"/>
      <c r="D38" s="19"/>
      <c r="E38" s="19"/>
      <c r="F38" s="18"/>
      <c r="G38" s="19"/>
      <c r="H38" s="19"/>
      <c r="I38" s="194">
        <f t="shared" ref="I38:K38" si="13">SUM(I39:I43)</f>
        <v>0</v>
      </c>
      <c r="J38" s="195">
        <f t="shared" si="13"/>
        <v>0</v>
      </c>
      <c r="K38" s="195">
        <f t="shared" si="13"/>
        <v>0</v>
      </c>
      <c r="L38" s="104">
        <f>IFERROR(SUMPRODUCT(K39:K43,L39:L43)/SUM(K39:K43),0)</f>
        <v>0</v>
      </c>
      <c r="M38" s="215"/>
      <c r="N38" s="155"/>
      <c r="O38" s="47"/>
      <c r="Y38" s="8">
        <f>IF(A38="","",IFERROR(IF(VLOOKUP(A38,Entry!$D:$D,1,FALSE)=A38,"",ROW()),ROW()))</f>
        <v>38</v>
      </c>
      <c r="Z38" s="8">
        <f t="shared" si="2"/>
        <v>37</v>
      </c>
      <c r="AA38" s="8" t="str">
        <f t="shared" si="0"/>
        <v/>
      </c>
      <c r="AG38" s="8" t="b">
        <f>IF(A38="","",IFERROR(IF(VLOOKUP(A38,Entry!$D:$D,1,FALSE)=A38,TRUE,FALSE),FALSE))</f>
        <v>0</v>
      </c>
    </row>
    <row r="39" spans="1:33" ht="15" customHeight="1" x14ac:dyDescent="0.2">
      <c r="A39" s="110"/>
      <c r="B39" s="20"/>
      <c r="C39" s="20"/>
      <c r="D39" s="20"/>
      <c r="E39" s="20"/>
      <c r="F39" s="16"/>
      <c r="G39" s="20"/>
      <c r="H39" s="20"/>
      <c r="I39" s="187"/>
      <c r="J39" s="188"/>
      <c r="K39" s="189">
        <f t="shared" ref="K39" si="14">I39+J39</f>
        <v>0</v>
      </c>
      <c r="L39" s="72"/>
      <c r="M39" s="212"/>
      <c r="N39" s="152"/>
      <c r="O39" s="44"/>
      <c r="Y39" s="8" t="str">
        <f>IF(A39="","",IFERROR(IF(VLOOKUP(A39,Entry!$D:$D,1,FALSE)=A39,"",ROW()),ROW()))</f>
        <v/>
      </c>
      <c r="Z39" s="8">
        <f t="shared" si="2"/>
        <v>38</v>
      </c>
      <c r="AA39" s="8" t="str">
        <f t="shared" si="0"/>
        <v/>
      </c>
      <c r="AG39" s="8" t="str">
        <f>IF(A39="","",IFERROR(IF(VLOOKUP(A39,Entry!$D:$D,1,FALSE)=A39,TRUE,FALSE),FALSE))</f>
        <v/>
      </c>
    </row>
    <row r="40" spans="1:33" ht="15" customHeight="1" x14ac:dyDescent="0.2">
      <c r="A40" s="111"/>
      <c r="B40" s="21"/>
      <c r="C40" s="21"/>
      <c r="D40" s="21"/>
      <c r="E40" s="21"/>
      <c r="F40" s="14"/>
      <c r="G40" s="21"/>
      <c r="H40" s="21"/>
      <c r="I40" s="190"/>
      <c r="J40" s="191"/>
      <c r="K40" s="189">
        <f t="shared" si="4"/>
        <v>0</v>
      </c>
      <c r="L40" s="73"/>
      <c r="M40" s="213"/>
      <c r="N40" s="153"/>
      <c r="O40" s="45"/>
      <c r="Y40" s="8" t="str">
        <f>IF(A40="","",IFERROR(IF(VLOOKUP(A40,Entry!$D:$D,1,FALSE)=A40,"",ROW()),ROW()))</f>
        <v/>
      </c>
      <c r="Z40" s="8">
        <f t="shared" si="2"/>
        <v>39</v>
      </c>
      <c r="AA40" s="8" t="str">
        <f t="shared" si="0"/>
        <v/>
      </c>
      <c r="AG40" s="8" t="str">
        <f>IF(A40="","",IFERROR(IF(VLOOKUP(A40,Entry!$D:$D,1,FALSE)=A40,TRUE,FALSE),FALSE))</f>
        <v/>
      </c>
    </row>
    <row r="41" spans="1:33" ht="15" customHeight="1" x14ac:dyDescent="0.2">
      <c r="A41" s="111"/>
      <c r="B41" s="21"/>
      <c r="C41" s="21"/>
      <c r="D41" s="21"/>
      <c r="E41" s="21"/>
      <c r="F41" s="14"/>
      <c r="G41" s="21"/>
      <c r="H41" s="21"/>
      <c r="I41" s="190"/>
      <c r="J41" s="191"/>
      <c r="K41" s="189">
        <f t="shared" si="4"/>
        <v>0</v>
      </c>
      <c r="L41" s="73"/>
      <c r="M41" s="213"/>
      <c r="N41" s="153"/>
      <c r="O41" s="45"/>
      <c r="Y41" s="8" t="str">
        <f>IF(A41="","",IFERROR(IF(VLOOKUP(A41,Entry!$D:$D,1,FALSE)=A41,"",ROW()),ROW()))</f>
        <v/>
      </c>
      <c r="Z41" s="8">
        <f t="shared" si="2"/>
        <v>40</v>
      </c>
      <c r="AA41" s="8" t="str">
        <f t="shared" si="0"/>
        <v/>
      </c>
      <c r="AG41" s="8" t="str">
        <f>IF(A41="","",IFERROR(IF(VLOOKUP(A41,Entry!$D:$D,1,FALSE)=A41,TRUE,FALSE),FALSE))</f>
        <v/>
      </c>
    </row>
    <row r="42" spans="1:33" ht="15" customHeight="1" x14ac:dyDescent="0.2">
      <c r="A42" s="111"/>
      <c r="B42" s="21"/>
      <c r="C42" s="21"/>
      <c r="D42" s="21"/>
      <c r="E42" s="21"/>
      <c r="F42" s="14"/>
      <c r="G42" s="21"/>
      <c r="H42" s="21"/>
      <c r="I42" s="190"/>
      <c r="J42" s="191"/>
      <c r="K42" s="189">
        <f t="shared" si="4"/>
        <v>0</v>
      </c>
      <c r="L42" s="73"/>
      <c r="M42" s="213"/>
      <c r="N42" s="153"/>
      <c r="O42" s="45"/>
      <c r="Y42" s="8" t="str">
        <f>IF(A42="","",IFERROR(IF(VLOOKUP(A42,Entry!$D:$D,1,FALSE)=A42,"",ROW()),ROW()))</f>
        <v/>
      </c>
      <c r="Z42" s="8">
        <f t="shared" si="2"/>
        <v>41</v>
      </c>
      <c r="AA42" s="8" t="str">
        <f t="shared" si="0"/>
        <v/>
      </c>
      <c r="AG42" s="8" t="str">
        <f>IF(A42="","",IFERROR(IF(VLOOKUP(A42,Entry!$D:$D,1,FALSE)=A42,TRUE,FALSE),FALSE))</f>
        <v/>
      </c>
    </row>
    <row r="43" spans="1:33" ht="15" customHeight="1" x14ac:dyDescent="0.2">
      <c r="A43" s="112"/>
      <c r="B43" s="22"/>
      <c r="C43" s="22"/>
      <c r="D43" s="22"/>
      <c r="E43" s="22"/>
      <c r="F43" s="15"/>
      <c r="G43" s="22"/>
      <c r="H43" s="22"/>
      <c r="I43" s="192"/>
      <c r="J43" s="193"/>
      <c r="K43" s="189">
        <f t="shared" si="4"/>
        <v>0</v>
      </c>
      <c r="L43" s="74"/>
      <c r="M43" s="214"/>
      <c r="N43" s="154"/>
      <c r="O43" s="46"/>
      <c r="Y43" s="8" t="str">
        <f>IF(A43="","",IFERROR(IF(VLOOKUP(A43,Entry!$D:$D,1,FALSE)=A43,"",ROW()),ROW()))</f>
        <v/>
      </c>
      <c r="Z43" s="8">
        <f t="shared" si="2"/>
        <v>42</v>
      </c>
      <c r="AA43" s="8" t="str">
        <f t="shared" si="0"/>
        <v/>
      </c>
      <c r="AG43" s="8" t="str">
        <f>IF(A43="","",IFERROR(IF(VLOOKUP(A43,Entry!$D:$D,1,FALSE)=A43,TRUE,FALSE),FALSE))</f>
        <v/>
      </c>
    </row>
    <row r="44" spans="1:33" ht="17.25" customHeight="1" x14ac:dyDescent="0.2">
      <c r="A44" s="113"/>
      <c r="B44" s="19"/>
      <c r="C44" s="19"/>
      <c r="D44" s="19"/>
      <c r="E44" s="19"/>
      <c r="F44" s="18"/>
      <c r="G44" s="19"/>
      <c r="H44" s="19"/>
      <c r="I44" s="194">
        <f t="shared" ref="I44:K44" si="15">SUM(I45:I49)</f>
        <v>0</v>
      </c>
      <c r="J44" s="195">
        <f t="shared" si="15"/>
        <v>0</v>
      </c>
      <c r="K44" s="195">
        <f t="shared" si="15"/>
        <v>0</v>
      </c>
      <c r="L44" s="104">
        <f t="shared" ref="L44" si="16">IFERROR(SUMPRODUCT(K45:K49,L45:L49)/SUM(K45:K49),0)</f>
        <v>0</v>
      </c>
      <c r="M44" s="215"/>
      <c r="N44" s="155"/>
      <c r="O44" s="47"/>
      <c r="Y44" s="8" t="str">
        <f>IF(A44="","",IFERROR(IF(VLOOKUP(A44,Entry!$D:$D,1,FALSE)=A44,"",ROW()),ROW()))</f>
        <v/>
      </c>
      <c r="Z44" s="8">
        <f t="shared" si="2"/>
        <v>43</v>
      </c>
      <c r="AA44" s="8" t="str">
        <f t="shared" si="0"/>
        <v/>
      </c>
      <c r="AG44" s="8" t="str">
        <f>IF(A44="","",IFERROR(IF(VLOOKUP(A44,Entry!$D:$D,1,FALSE)=A44,TRUE,FALSE),FALSE))</f>
        <v/>
      </c>
    </row>
    <row r="45" spans="1:33" ht="15" customHeight="1" x14ac:dyDescent="0.2">
      <c r="A45" s="110"/>
      <c r="B45" s="20"/>
      <c r="C45" s="20"/>
      <c r="D45" s="20"/>
      <c r="E45" s="20"/>
      <c r="F45" s="16"/>
      <c r="G45" s="20"/>
      <c r="H45" s="20"/>
      <c r="I45" s="187"/>
      <c r="J45" s="188"/>
      <c r="K45" s="189">
        <f t="shared" ref="K45" si="17">I45+J45</f>
        <v>0</v>
      </c>
      <c r="L45" s="72"/>
      <c r="M45" s="212"/>
      <c r="N45" s="152"/>
      <c r="O45" s="44"/>
      <c r="Y45" s="8" t="str">
        <f>IF(A45="","",IFERROR(IF(VLOOKUP(A45,Entry!$D:$D,1,FALSE)=A45,"",ROW()),ROW()))</f>
        <v/>
      </c>
      <c r="Z45" s="8">
        <f t="shared" si="2"/>
        <v>44</v>
      </c>
      <c r="AA45" s="8" t="str">
        <f t="shared" si="0"/>
        <v/>
      </c>
      <c r="AG45" s="8" t="str">
        <f>IF(A45="","",IFERROR(IF(VLOOKUP(A45,Entry!$D:$D,1,FALSE)=A45,TRUE,FALSE),FALSE))</f>
        <v/>
      </c>
    </row>
    <row r="46" spans="1:33" ht="15" customHeight="1" x14ac:dyDescent="0.2">
      <c r="A46" s="111"/>
      <c r="B46" s="21"/>
      <c r="C46" s="21"/>
      <c r="D46" s="21"/>
      <c r="E46" s="21"/>
      <c r="F46" s="14"/>
      <c r="G46" s="21"/>
      <c r="H46" s="21"/>
      <c r="I46" s="190"/>
      <c r="J46" s="191"/>
      <c r="K46" s="189">
        <f t="shared" si="4"/>
        <v>0</v>
      </c>
      <c r="L46" s="73"/>
      <c r="M46" s="213"/>
      <c r="N46" s="153"/>
      <c r="O46" s="45"/>
      <c r="Y46" s="8" t="str">
        <f>IF(A46="","",IFERROR(IF(VLOOKUP(A46,Entry!$D:$D,1,FALSE)=A46,"",ROW()),ROW()))</f>
        <v/>
      </c>
      <c r="Z46" s="8">
        <f t="shared" si="2"/>
        <v>45</v>
      </c>
      <c r="AA46" s="8" t="str">
        <f t="shared" si="0"/>
        <v/>
      </c>
      <c r="AG46" s="8" t="str">
        <f>IF(A46="","",IFERROR(IF(VLOOKUP(A46,Entry!$D:$D,1,FALSE)=A46,TRUE,FALSE),FALSE))</f>
        <v/>
      </c>
    </row>
    <row r="47" spans="1:33" ht="15" customHeight="1" x14ac:dyDescent="0.2">
      <c r="A47" s="111"/>
      <c r="B47" s="21"/>
      <c r="C47" s="21"/>
      <c r="D47" s="21"/>
      <c r="E47" s="21"/>
      <c r="F47" s="14"/>
      <c r="G47" s="21"/>
      <c r="H47" s="21"/>
      <c r="I47" s="190"/>
      <c r="J47" s="191"/>
      <c r="K47" s="189">
        <f t="shared" si="4"/>
        <v>0</v>
      </c>
      <c r="L47" s="73"/>
      <c r="M47" s="213"/>
      <c r="N47" s="153"/>
      <c r="O47" s="45"/>
      <c r="Y47" s="8" t="str">
        <f>IF(A47="","",IFERROR(IF(VLOOKUP(A47,Entry!$D:$D,1,FALSE)=A47,"",ROW()),ROW()))</f>
        <v/>
      </c>
      <c r="Z47" s="8">
        <f t="shared" si="2"/>
        <v>46</v>
      </c>
      <c r="AA47" s="8" t="str">
        <f t="shared" si="0"/>
        <v/>
      </c>
      <c r="AG47" s="8" t="str">
        <f>IF(A47="","",IFERROR(IF(VLOOKUP(A47,Entry!$D:$D,1,FALSE)=A47,TRUE,FALSE),FALSE))</f>
        <v/>
      </c>
    </row>
    <row r="48" spans="1:33" ht="15" customHeight="1" x14ac:dyDescent="0.2">
      <c r="A48" s="111"/>
      <c r="B48" s="21"/>
      <c r="C48" s="21"/>
      <c r="D48" s="21"/>
      <c r="E48" s="21"/>
      <c r="F48" s="14"/>
      <c r="G48" s="21"/>
      <c r="H48" s="21"/>
      <c r="I48" s="190"/>
      <c r="J48" s="191"/>
      <c r="K48" s="189">
        <f t="shared" si="4"/>
        <v>0</v>
      </c>
      <c r="L48" s="73"/>
      <c r="M48" s="213"/>
      <c r="N48" s="153"/>
      <c r="O48" s="45"/>
      <c r="Y48" s="8" t="str">
        <f>IF(A48="","",IFERROR(IF(VLOOKUP(A48,Entry!$D:$D,1,FALSE)=A48,"",ROW()),ROW()))</f>
        <v/>
      </c>
      <c r="Z48" s="8">
        <f t="shared" si="2"/>
        <v>47</v>
      </c>
      <c r="AA48" s="8" t="str">
        <f t="shared" si="0"/>
        <v/>
      </c>
      <c r="AG48" s="8" t="str">
        <f>IF(A48="","",IFERROR(IF(VLOOKUP(A48,Entry!$D:$D,1,FALSE)=A48,TRUE,FALSE),FALSE))</f>
        <v/>
      </c>
    </row>
    <row r="49" spans="1:33" ht="15" customHeight="1" x14ac:dyDescent="0.2">
      <c r="A49" s="112"/>
      <c r="B49" s="22"/>
      <c r="C49" s="22"/>
      <c r="D49" s="22"/>
      <c r="E49" s="22"/>
      <c r="F49" s="15"/>
      <c r="G49" s="22"/>
      <c r="H49" s="22"/>
      <c r="I49" s="192"/>
      <c r="J49" s="193"/>
      <c r="K49" s="189">
        <f t="shared" si="4"/>
        <v>0</v>
      </c>
      <c r="L49" s="74"/>
      <c r="M49" s="214"/>
      <c r="N49" s="154"/>
      <c r="O49" s="46"/>
      <c r="Y49" s="8" t="str">
        <f>IF(A49="","",IFERROR(IF(VLOOKUP(A49,Entry!$D:$D,1,FALSE)=A49,"",ROW()),ROW()))</f>
        <v/>
      </c>
      <c r="Z49" s="8">
        <f t="shared" si="2"/>
        <v>48</v>
      </c>
      <c r="AA49" s="8" t="str">
        <f t="shared" si="0"/>
        <v/>
      </c>
      <c r="AG49" s="8" t="str">
        <f>IF(A49="","",IFERROR(IF(VLOOKUP(A49,Entry!$D:$D,1,FALSE)=A49,TRUE,FALSE),FALSE))</f>
        <v/>
      </c>
    </row>
    <row r="50" spans="1:33" ht="17.25" customHeight="1" x14ac:dyDescent="0.2">
      <c r="A50" s="113"/>
      <c r="B50" s="19"/>
      <c r="C50" s="19"/>
      <c r="D50" s="19"/>
      <c r="E50" s="19"/>
      <c r="F50" s="18"/>
      <c r="G50" s="19"/>
      <c r="H50" s="19"/>
      <c r="I50" s="194">
        <f t="shared" ref="I50:K50" si="18">SUM(I51:I55)</f>
        <v>0</v>
      </c>
      <c r="J50" s="195">
        <f t="shared" si="18"/>
        <v>0</v>
      </c>
      <c r="K50" s="195">
        <f t="shared" si="18"/>
        <v>0</v>
      </c>
      <c r="L50" s="104">
        <f t="shared" ref="L50" si="19">IFERROR(SUMPRODUCT(K51:K55,L51:L55)/SUM(K51:K55),0)</f>
        <v>0</v>
      </c>
      <c r="M50" s="215"/>
      <c r="N50" s="155"/>
      <c r="O50" s="47"/>
      <c r="Y50" s="8" t="str">
        <f>IF(A50="","",IFERROR(IF(VLOOKUP(A50,Entry!$D:$D,1,FALSE)=A50,"",ROW()),ROW()))</f>
        <v/>
      </c>
      <c r="Z50" s="8">
        <f t="shared" si="2"/>
        <v>49</v>
      </c>
      <c r="AA50" s="8" t="str">
        <f t="shared" si="0"/>
        <v/>
      </c>
      <c r="AG50" s="8" t="str">
        <f>IF(A50="","",IFERROR(IF(VLOOKUP(A50,Entry!$D:$D,1,FALSE)=A50,TRUE,FALSE),FALSE))</f>
        <v/>
      </c>
    </row>
    <row r="51" spans="1:33" ht="15" customHeight="1" x14ac:dyDescent="0.2">
      <c r="A51" s="110"/>
      <c r="B51" s="20"/>
      <c r="C51" s="20"/>
      <c r="D51" s="20"/>
      <c r="E51" s="20"/>
      <c r="F51" s="16"/>
      <c r="G51" s="20"/>
      <c r="H51" s="20"/>
      <c r="I51" s="187"/>
      <c r="J51" s="188"/>
      <c r="K51" s="189">
        <f t="shared" ref="K51" si="20">I51+J51</f>
        <v>0</v>
      </c>
      <c r="L51" s="72"/>
      <c r="M51" s="212"/>
      <c r="N51" s="152"/>
      <c r="O51" s="44"/>
      <c r="Y51" s="8" t="str">
        <f>IF(A51="","",IFERROR(IF(VLOOKUP(A51,Entry!$D:$D,1,FALSE)=A51,"",ROW()),ROW()))</f>
        <v/>
      </c>
      <c r="Z51" s="8">
        <f t="shared" si="2"/>
        <v>50</v>
      </c>
      <c r="AA51" s="8" t="str">
        <f t="shared" si="0"/>
        <v/>
      </c>
      <c r="AG51" s="8" t="str">
        <f>IF(A51="","",IFERROR(IF(VLOOKUP(A51,Entry!$D:$D,1,FALSE)=A51,TRUE,FALSE),FALSE))</f>
        <v/>
      </c>
    </row>
    <row r="52" spans="1:33" ht="15" customHeight="1" x14ac:dyDescent="0.2">
      <c r="A52" s="111"/>
      <c r="B52" s="21"/>
      <c r="C52" s="21"/>
      <c r="D52" s="21"/>
      <c r="E52" s="21"/>
      <c r="F52" s="14"/>
      <c r="G52" s="21"/>
      <c r="H52" s="21"/>
      <c r="I52" s="190"/>
      <c r="J52" s="191"/>
      <c r="K52" s="189">
        <f t="shared" si="4"/>
        <v>0</v>
      </c>
      <c r="L52" s="73"/>
      <c r="M52" s="213"/>
      <c r="N52" s="153"/>
      <c r="O52" s="45"/>
      <c r="Y52" s="8" t="str">
        <f>IF(A52="","",IFERROR(IF(VLOOKUP(A52,Entry!$D:$D,1,FALSE)=A52,"",ROW()),ROW()))</f>
        <v/>
      </c>
      <c r="Z52" s="8">
        <f t="shared" si="2"/>
        <v>51</v>
      </c>
      <c r="AA52" s="8" t="str">
        <f t="shared" si="0"/>
        <v/>
      </c>
      <c r="AG52" s="8" t="str">
        <f>IF(A52="","",IFERROR(IF(VLOOKUP(A52,Entry!$D:$D,1,FALSE)=A52,TRUE,FALSE),FALSE))</f>
        <v/>
      </c>
    </row>
    <row r="53" spans="1:33" ht="15" customHeight="1" x14ac:dyDescent="0.2">
      <c r="A53" s="111"/>
      <c r="B53" s="21"/>
      <c r="C53" s="21"/>
      <c r="D53" s="21"/>
      <c r="E53" s="21"/>
      <c r="F53" s="14"/>
      <c r="G53" s="21"/>
      <c r="H53" s="21"/>
      <c r="I53" s="190"/>
      <c r="J53" s="191"/>
      <c r="K53" s="189">
        <f t="shared" si="4"/>
        <v>0</v>
      </c>
      <c r="L53" s="73"/>
      <c r="M53" s="213"/>
      <c r="N53" s="153"/>
      <c r="O53" s="45"/>
      <c r="Y53" s="8" t="str">
        <f>IF(A53="","",IFERROR(IF(VLOOKUP(A53,Entry!$D:$D,1,FALSE)=A53,"",ROW()),ROW()))</f>
        <v/>
      </c>
      <c r="Z53" s="8">
        <f t="shared" si="2"/>
        <v>52</v>
      </c>
      <c r="AA53" s="8" t="str">
        <f t="shared" si="0"/>
        <v/>
      </c>
      <c r="AG53" s="8" t="str">
        <f>IF(A53="","",IFERROR(IF(VLOOKUP(A53,Entry!$D:$D,1,FALSE)=A53,TRUE,FALSE),FALSE))</f>
        <v/>
      </c>
    </row>
    <row r="54" spans="1:33" ht="15" customHeight="1" x14ac:dyDescent="0.2">
      <c r="A54" s="111"/>
      <c r="B54" s="21"/>
      <c r="C54" s="21"/>
      <c r="D54" s="21"/>
      <c r="E54" s="21"/>
      <c r="F54" s="14"/>
      <c r="G54" s="21"/>
      <c r="H54" s="21"/>
      <c r="I54" s="190"/>
      <c r="J54" s="191"/>
      <c r="K54" s="189">
        <f t="shared" si="4"/>
        <v>0</v>
      </c>
      <c r="L54" s="73"/>
      <c r="M54" s="213"/>
      <c r="N54" s="153"/>
      <c r="O54" s="45"/>
      <c r="Y54" s="8" t="str">
        <f>IF(A54="","",IFERROR(IF(VLOOKUP(A54,Entry!$D:$D,1,FALSE)=A54,"",ROW()),ROW()))</f>
        <v/>
      </c>
      <c r="Z54" s="8">
        <f t="shared" si="2"/>
        <v>53</v>
      </c>
      <c r="AA54" s="8" t="str">
        <f t="shared" si="0"/>
        <v/>
      </c>
      <c r="AG54" s="8" t="str">
        <f>IF(A54="","",IFERROR(IF(VLOOKUP(A54,Entry!$D:$D,1,FALSE)=A54,TRUE,FALSE),FALSE))</f>
        <v/>
      </c>
    </row>
    <row r="55" spans="1:33" ht="15" customHeight="1" x14ac:dyDescent="0.2">
      <c r="A55" s="112"/>
      <c r="B55" s="22"/>
      <c r="C55" s="22"/>
      <c r="D55" s="22"/>
      <c r="E55" s="22"/>
      <c r="F55" s="15"/>
      <c r="G55" s="22"/>
      <c r="H55" s="22"/>
      <c r="I55" s="192"/>
      <c r="J55" s="193"/>
      <c r="K55" s="189">
        <f t="shared" si="4"/>
        <v>0</v>
      </c>
      <c r="L55" s="74"/>
      <c r="M55" s="214"/>
      <c r="N55" s="154"/>
      <c r="O55" s="46"/>
      <c r="Y55" s="8" t="str">
        <f>IF(A55="","",IFERROR(IF(VLOOKUP(A55,Entry!$D:$D,1,FALSE)=A55,"",ROW()),ROW()))</f>
        <v/>
      </c>
      <c r="Z55" s="8">
        <f t="shared" si="2"/>
        <v>54</v>
      </c>
      <c r="AA55" s="8" t="str">
        <f t="shared" si="0"/>
        <v/>
      </c>
      <c r="AG55" s="8" t="str">
        <f>IF(A55="","",IFERROR(IF(VLOOKUP(A55,Entry!$D:$D,1,FALSE)=A55,TRUE,FALSE),FALSE))</f>
        <v/>
      </c>
    </row>
    <row r="56" spans="1:33" ht="17.25" customHeight="1" x14ac:dyDescent="0.2">
      <c r="A56" s="113"/>
      <c r="B56" s="19"/>
      <c r="C56" s="19"/>
      <c r="D56" s="19"/>
      <c r="E56" s="19"/>
      <c r="F56" s="18"/>
      <c r="G56" s="19"/>
      <c r="H56" s="19"/>
      <c r="I56" s="194">
        <f t="shared" ref="I56:K56" si="21">SUM(I57:I61)</f>
        <v>0</v>
      </c>
      <c r="J56" s="195">
        <f t="shared" si="21"/>
        <v>0</v>
      </c>
      <c r="K56" s="195">
        <f t="shared" si="21"/>
        <v>0</v>
      </c>
      <c r="L56" s="104">
        <f t="shared" ref="L56" si="22">IFERROR(SUMPRODUCT(K57:K61,L57:L61)/SUM(K57:K61),0)</f>
        <v>0</v>
      </c>
      <c r="M56" s="215"/>
      <c r="N56" s="155"/>
      <c r="O56" s="47"/>
      <c r="Y56" s="8" t="str">
        <f>IF(A56="","",IFERROR(IF(VLOOKUP(A56,Entry!$D:$D,1,FALSE)=A56,"",ROW()),ROW()))</f>
        <v/>
      </c>
      <c r="Z56" s="8">
        <f t="shared" si="2"/>
        <v>55</v>
      </c>
      <c r="AA56" s="8" t="str">
        <f t="shared" si="0"/>
        <v/>
      </c>
      <c r="AG56" s="8" t="str">
        <f>IF(A56="","",IFERROR(IF(VLOOKUP(A56,Entry!$D:$D,1,FALSE)=A56,TRUE,FALSE),FALSE))</f>
        <v/>
      </c>
    </row>
    <row r="57" spans="1:33" ht="15" customHeight="1" x14ac:dyDescent="0.2">
      <c r="A57" s="110"/>
      <c r="B57" s="20"/>
      <c r="C57" s="20"/>
      <c r="D57" s="20"/>
      <c r="E57" s="20"/>
      <c r="F57" s="16"/>
      <c r="G57" s="20"/>
      <c r="H57" s="20"/>
      <c r="I57" s="187"/>
      <c r="J57" s="188"/>
      <c r="K57" s="189">
        <f t="shared" ref="K57" si="23">I57+J57</f>
        <v>0</v>
      </c>
      <c r="L57" s="72"/>
      <c r="M57" s="212"/>
      <c r="N57" s="152"/>
      <c r="O57" s="44"/>
      <c r="Y57" s="8" t="str">
        <f>IF(A57="","",IFERROR(IF(VLOOKUP(A57,Entry!$D:$D,1,FALSE)=A57,"",ROW()),ROW()))</f>
        <v/>
      </c>
      <c r="Z57" s="8">
        <f t="shared" si="2"/>
        <v>56</v>
      </c>
      <c r="AA57" s="8" t="str">
        <f t="shared" si="0"/>
        <v/>
      </c>
      <c r="AG57" s="8" t="str">
        <f>IF(A57="","",IFERROR(IF(VLOOKUP(A57,Entry!$D:$D,1,FALSE)=A57,TRUE,FALSE),FALSE))</f>
        <v/>
      </c>
    </row>
    <row r="58" spans="1:33" ht="15" customHeight="1" x14ac:dyDescent="0.2">
      <c r="A58" s="111"/>
      <c r="B58" s="21"/>
      <c r="C58" s="21"/>
      <c r="D58" s="21"/>
      <c r="E58" s="21"/>
      <c r="F58" s="14"/>
      <c r="G58" s="21"/>
      <c r="H58" s="21"/>
      <c r="I58" s="190"/>
      <c r="J58" s="191"/>
      <c r="K58" s="189">
        <f t="shared" si="4"/>
        <v>0</v>
      </c>
      <c r="L58" s="73"/>
      <c r="M58" s="213"/>
      <c r="N58" s="153"/>
      <c r="O58" s="45"/>
      <c r="Y58" s="8" t="str">
        <f>IF(A58="","",IFERROR(IF(VLOOKUP(A58,Entry!$D:$D,1,FALSE)=A58,"",ROW()),ROW()))</f>
        <v/>
      </c>
      <c r="Z58" s="8">
        <f t="shared" si="2"/>
        <v>57</v>
      </c>
      <c r="AA58" s="8" t="str">
        <f t="shared" si="0"/>
        <v/>
      </c>
      <c r="AG58" s="8" t="str">
        <f>IF(A58="","",IFERROR(IF(VLOOKUP(A58,Entry!$D:$D,1,FALSE)=A58,TRUE,FALSE),FALSE))</f>
        <v/>
      </c>
    </row>
    <row r="59" spans="1:33" ht="15" customHeight="1" x14ac:dyDescent="0.2">
      <c r="A59" s="111"/>
      <c r="B59" s="21"/>
      <c r="C59" s="21"/>
      <c r="D59" s="21"/>
      <c r="E59" s="21"/>
      <c r="F59" s="14"/>
      <c r="G59" s="21"/>
      <c r="H59" s="21"/>
      <c r="I59" s="190"/>
      <c r="J59" s="191"/>
      <c r="K59" s="189">
        <f t="shared" si="4"/>
        <v>0</v>
      </c>
      <c r="L59" s="73"/>
      <c r="M59" s="213"/>
      <c r="N59" s="153"/>
      <c r="O59" s="45"/>
      <c r="Y59" s="8" t="str">
        <f>IF(A59="","",IFERROR(IF(VLOOKUP(A59,Entry!$D:$D,1,FALSE)=A59,"",ROW()),ROW()))</f>
        <v/>
      </c>
      <c r="Z59" s="8">
        <f t="shared" si="2"/>
        <v>58</v>
      </c>
      <c r="AA59" s="8" t="str">
        <f t="shared" si="0"/>
        <v/>
      </c>
      <c r="AG59" s="8" t="str">
        <f>IF(A59="","",IFERROR(IF(VLOOKUP(A59,Entry!$D:$D,1,FALSE)=A59,TRUE,FALSE),FALSE))</f>
        <v/>
      </c>
    </row>
    <row r="60" spans="1:33" ht="15" customHeight="1" x14ac:dyDescent="0.2">
      <c r="A60" s="111"/>
      <c r="B60" s="21"/>
      <c r="C60" s="21"/>
      <c r="D60" s="21"/>
      <c r="E60" s="21"/>
      <c r="F60" s="14"/>
      <c r="G60" s="21"/>
      <c r="H60" s="21"/>
      <c r="I60" s="190"/>
      <c r="J60" s="191"/>
      <c r="K60" s="189">
        <f t="shared" si="4"/>
        <v>0</v>
      </c>
      <c r="L60" s="73"/>
      <c r="M60" s="213"/>
      <c r="N60" s="153"/>
      <c r="O60" s="45"/>
      <c r="Y60" s="8" t="str">
        <f>IF(A60="","",IFERROR(IF(VLOOKUP(A60,Entry!$D:$D,1,FALSE)=A60,"",ROW()),ROW()))</f>
        <v/>
      </c>
      <c r="Z60" s="8">
        <f t="shared" si="2"/>
        <v>59</v>
      </c>
      <c r="AA60" s="8" t="str">
        <f t="shared" si="0"/>
        <v/>
      </c>
      <c r="AG60" s="8" t="str">
        <f>IF(A60="","",IFERROR(IF(VLOOKUP(A60,Entry!$D:$D,1,FALSE)=A60,TRUE,FALSE),FALSE))</f>
        <v/>
      </c>
    </row>
    <row r="61" spans="1:33" ht="15" customHeight="1" x14ac:dyDescent="0.2">
      <c r="A61" s="112"/>
      <c r="B61" s="22"/>
      <c r="C61" s="22"/>
      <c r="D61" s="22"/>
      <c r="E61" s="22"/>
      <c r="F61" s="15"/>
      <c r="G61" s="22"/>
      <c r="H61" s="22"/>
      <c r="I61" s="192"/>
      <c r="J61" s="193"/>
      <c r="K61" s="189">
        <f t="shared" si="4"/>
        <v>0</v>
      </c>
      <c r="L61" s="74"/>
      <c r="M61" s="214"/>
      <c r="N61" s="154"/>
      <c r="O61" s="46"/>
      <c r="Y61" s="8" t="str">
        <f>IF(A61="","",IFERROR(IF(VLOOKUP(A61,Entry!$D:$D,1,FALSE)=A61,"",ROW()),ROW()))</f>
        <v/>
      </c>
      <c r="Z61" s="8">
        <f t="shared" si="2"/>
        <v>60</v>
      </c>
      <c r="AA61" s="8" t="str">
        <f t="shared" si="0"/>
        <v/>
      </c>
      <c r="AG61" s="8" t="str">
        <f>IF(A61="","",IFERROR(IF(VLOOKUP(A61,Entry!$D:$D,1,FALSE)=A61,TRUE,FALSE),FALSE))</f>
        <v/>
      </c>
    </row>
    <row r="62" spans="1:33" ht="17.25" customHeight="1" x14ac:dyDescent="0.2">
      <c r="A62" s="113"/>
      <c r="B62" s="19"/>
      <c r="C62" s="19"/>
      <c r="D62" s="19"/>
      <c r="E62" s="19"/>
      <c r="F62" s="18"/>
      <c r="G62" s="19"/>
      <c r="H62" s="19"/>
      <c r="I62" s="194">
        <f t="shared" ref="I62:K62" si="24">SUM(I63:I67)</f>
        <v>0</v>
      </c>
      <c r="J62" s="195">
        <f t="shared" si="24"/>
        <v>0</v>
      </c>
      <c r="K62" s="195">
        <f t="shared" si="24"/>
        <v>0</v>
      </c>
      <c r="L62" s="104">
        <f t="shared" ref="L62" si="25">IFERROR(SUMPRODUCT(K63:K67,L63:L67)/SUM(K63:K67),0)</f>
        <v>0</v>
      </c>
      <c r="M62" s="215"/>
      <c r="N62" s="155"/>
      <c r="O62" s="47"/>
      <c r="Y62" s="8" t="str">
        <f>IF(A62="","",IFERROR(IF(VLOOKUP(A62,Entry!$D:$D,1,FALSE)=A62,"",ROW()),ROW()))</f>
        <v/>
      </c>
      <c r="Z62" s="8">
        <f t="shared" si="2"/>
        <v>61</v>
      </c>
      <c r="AA62" s="8" t="str">
        <f t="shared" si="0"/>
        <v/>
      </c>
      <c r="AG62" s="8" t="str">
        <f>IF(A62="","",IFERROR(IF(VLOOKUP(A62,Entry!$D:$D,1,FALSE)=A62,TRUE,FALSE),FALSE))</f>
        <v/>
      </c>
    </row>
    <row r="63" spans="1:33" ht="15" customHeight="1" x14ac:dyDescent="0.2">
      <c r="A63" s="110"/>
      <c r="B63" s="20"/>
      <c r="C63" s="20"/>
      <c r="D63" s="20"/>
      <c r="E63" s="20"/>
      <c r="F63" s="16"/>
      <c r="G63" s="20"/>
      <c r="H63" s="20"/>
      <c r="I63" s="187"/>
      <c r="J63" s="188"/>
      <c r="K63" s="189">
        <f t="shared" ref="K63" si="26">I63+J63</f>
        <v>0</v>
      </c>
      <c r="L63" s="72"/>
      <c r="M63" s="212"/>
      <c r="N63" s="152"/>
      <c r="O63" s="44"/>
      <c r="Y63" s="8" t="str">
        <f>IF(A63="","",IFERROR(IF(VLOOKUP(A63,Entry!$D:$D,1,FALSE)=A63,"",ROW()),ROW()))</f>
        <v/>
      </c>
      <c r="Z63" s="8">
        <f t="shared" si="2"/>
        <v>62</v>
      </c>
      <c r="AA63" s="8" t="str">
        <f t="shared" si="0"/>
        <v/>
      </c>
      <c r="AG63" s="8" t="str">
        <f>IF(A63="","",IFERROR(IF(VLOOKUP(A63,Entry!$D:$D,1,FALSE)=A63,TRUE,FALSE),FALSE))</f>
        <v/>
      </c>
    </row>
    <row r="64" spans="1:33" ht="15" customHeight="1" x14ac:dyDescent="0.2">
      <c r="A64" s="111"/>
      <c r="B64" s="21"/>
      <c r="C64" s="21"/>
      <c r="D64" s="21"/>
      <c r="E64" s="21"/>
      <c r="F64" s="14"/>
      <c r="G64" s="21"/>
      <c r="H64" s="21"/>
      <c r="I64" s="190"/>
      <c r="J64" s="191"/>
      <c r="K64" s="189">
        <f t="shared" si="4"/>
        <v>0</v>
      </c>
      <c r="L64" s="73"/>
      <c r="M64" s="213"/>
      <c r="N64" s="153"/>
      <c r="O64" s="45"/>
      <c r="Y64" s="8" t="str">
        <f>IF(A64="","",IFERROR(IF(VLOOKUP(A64,Entry!$D:$D,1,FALSE)=A64,"",ROW()),ROW()))</f>
        <v/>
      </c>
      <c r="Z64" s="8">
        <f t="shared" si="2"/>
        <v>63</v>
      </c>
      <c r="AA64" s="8" t="str">
        <f t="shared" si="0"/>
        <v/>
      </c>
      <c r="AG64" s="8" t="str">
        <f>IF(A64="","",IFERROR(IF(VLOOKUP(A64,Entry!$D:$D,1,FALSE)=A64,TRUE,FALSE),FALSE))</f>
        <v/>
      </c>
    </row>
    <row r="65" spans="1:33" ht="15" customHeight="1" x14ac:dyDescent="0.2">
      <c r="A65" s="111"/>
      <c r="B65" s="21"/>
      <c r="C65" s="21"/>
      <c r="D65" s="21"/>
      <c r="E65" s="21"/>
      <c r="F65" s="14"/>
      <c r="G65" s="21"/>
      <c r="H65" s="21"/>
      <c r="I65" s="190"/>
      <c r="J65" s="191"/>
      <c r="K65" s="189">
        <f t="shared" si="4"/>
        <v>0</v>
      </c>
      <c r="L65" s="73"/>
      <c r="M65" s="213"/>
      <c r="N65" s="153"/>
      <c r="O65" s="45"/>
      <c r="Y65" s="8" t="str">
        <f>IF(A65="","",IFERROR(IF(VLOOKUP(A65,Entry!$D:$D,1,FALSE)=A65,"",ROW()),ROW()))</f>
        <v/>
      </c>
      <c r="Z65" s="8">
        <f t="shared" si="2"/>
        <v>64</v>
      </c>
      <c r="AA65" s="8" t="str">
        <f t="shared" si="0"/>
        <v/>
      </c>
      <c r="AG65" s="8" t="str">
        <f>IF(A65="","",IFERROR(IF(VLOOKUP(A65,Entry!$D:$D,1,FALSE)=A65,TRUE,FALSE),FALSE))</f>
        <v/>
      </c>
    </row>
    <row r="66" spans="1:33" ht="15" customHeight="1" x14ac:dyDescent="0.2">
      <c r="A66" s="111"/>
      <c r="B66" s="21"/>
      <c r="C66" s="21"/>
      <c r="D66" s="21"/>
      <c r="E66" s="21"/>
      <c r="F66" s="14"/>
      <c r="G66" s="21"/>
      <c r="H66" s="21"/>
      <c r="I66" s="190"/>
      <c r="J66" s="191"/>
      <c r="K66" s="189">
        <f t="shared" si="4"/>
        <v>0</v>
      </c>
      <c r="L66" s="73"/>
      <c r="M66" s="213"/>
      <c r="N66" s="153"/>
      <c r="O66" s="45"/>
      <c r="Y66" s="8" t="str">
        <f>IF(A66="","",IFERROR(IF(VLOOKUP(A66,Entry!$D:$D,1,FALSE)=A66,"",ROW()),ROW()))</f>
        <v/>
      </c>
      <c r="Z66" s="8">
        <f t="shared" si="2"/>
        <v>65</v>
      </c>
      <c r="AA66" s="8" t="str">
        <f t="shared" ref="AA66:AA129" si="27">IFERROR(INDEX($A:$A,SMALL($Y$2:$Y$2000,Z66)),"")</f>
        <v/>
      </c>
      <c r="AG66" s="8" t="str">
        <f>IF(A66="","",IFERROR(IF(VLOOKUP(A66,Entry!$D:$D,1,FALSE)=A66,TRUE,FALSE),FALSE))</f>
        <v/>
      </c>
    </row>
    <row r="67" spans="1:33" ht="15" customHeight="1" x14ac:dyDescent="0.2">
      <c r="A67" s="112"/>
      <c r="B67" s="22"/>
      <c r="C67" s="22"/>
      <c r="D67" s="22"/>
      <c r="E67" s="22"/>
      <c r="F67" s="15"/>
      <c r="G67" s="22"/>
      <c r="H67" s="22"/>
      <c r="I67" s="192"/>
      <c r="J67" s="193"/>
      <c r="K67" s="189">
        <f t="shared" si="4"/>
        <v>0</v>
      </c>
      <c r="L67" s="74"/>
      <c r="M67" s="214"/>
      <c r="N67" s="154"/>
      <c r="O67" s="46"/>
      <c r="Y67" s="8" t="str">
        <f>IF(A67="","",IFERROR(IF(VLOOKUP(A67,Entry!$D:$D,1,FALSE)=A67,"",ROW()),ROW()))</f>
        <v/>
      </c>
      <c r="Z67" s="8">
        <f t="shared" si="2"/>
        <v>66</v>
      </c>
      <c r="AA67" s="8" t="str">
        <f t="shared" si="27"/>
        <v/>
      </c>
      <c r="AG67" s="8" t="str">
        <f>IF(A67="","",IFERROR(IF(VLOOKUP(A67,Entry!$D:$D,1,FALSE)=A67,TRUE,FALSE),FALSE))</f>
        <v/>
      </c>
    </row>
    <row r="68" spans="1:33" ht="17.25" customHeight="1" x14ac:dyDescent="0.2">
      <c r="A68" s="113"/>
      <c r="B68" s="19"/>
      <c r="C68" s="19"/>
      <c r="D68" s="19"/>
      <c r="E68" s="19"/>
      <c r="F68" s="18"/>
      <c r="G68" s="19"/>
      <c r="H68" s="19"/>
      <c r="I68" s="194">
        <f t="shared" ref="I68:K68" si="28">SUM(I69:I73)</f>
        <v>0</v>
      </c>
      <c r="J68" s="195">
        <f t="shared" si="28"/>
        <v>0</v>
      </c>
      <c r="K68" s="195">
        <f t="shared" si="28"/>
        <v>0</v>
      </c>
      <c r="L68" s="104">
        <f t="shared" ref="L68" si="29">IFERROR(SUMPRODUCT(K69:K73,L69:L73)/SUM(K69:K73),0)</f>
        <v>0</v>
      </c>
      <c r="M68" s="215"/>
      <c r="N68" s="155"/>
      <c r="O68" s="47"/>
      <c r="Y68" s="8" t="str">
        <f>IF(A68="","",IFERROR(IF(VLOOKUP(A68,Entry!$D:$D,1,FALSE)=A68,"",ROW()),ROW()))</f>
        <v/>
      </c>
      <c r="Z68" s="8">
        <f t="shared" ref="Z68:Z131" si="30">Z67+1</f>
        <v>67</v>
      </c>
      <c r="AA68" s="8" t="str">
        <f t="shared" si="27"/>
        <v/>
      </c>
      <c r="AG68" s="8" t="str">
        <f>IF(A68="","",IFERROR(IF(VLOOKUP(A68,Entry!$D:$D,1,FALSE)=A68,TRUE,FALSE),FALSE))</f>
        <v/>
      </c>
    </row>
    <row r="69" spans="1:33" ht="15" customHeight="1" x14ac:dyDescent="0.2">
      <c r="A69" s="110"/>
      <c r="B69" s="20"/>
      <c r="C69" s="20"/>
      <c r="D69" s="20"/>
      <c r="E69" s="20"/>
      <c r="F69" s="16"/>
      <c r="G69" s="20"/>
      <c r="H69" s="20"/>
      <c r="I69" s="187"/>
      <c r="J69" s="188"/>
      <c r="K69" s="189">
        <f t="shared" ref="K69" si="31">I69+J69</f>
        <v>0</v>
      </c>
      <c r="L69" s="72"/>
      <c r="M69" s="212"/>
      <c r="N69" s="152"/>
      <c r="O69" s="44"/>
      <c r="Y69" s="8" t="str">
        <f>IF(A69="","",IFERROR(IF(VLOOKUP(A69,Entry!$D:$D,1,FALSE)=A69,"",ROW()),ROW()))</f>
        <v/>
      </c>
      <c r="Z69" s="8">
        <f t="shared" si="30"/>
        <v>68</v>
      </c>
      <c r="AA69" s="8" t="str">
        <f t="shared" si="27"/>
        <v/>
      </c>
      <c r="AG69" s="8" t="str">
        <f>IF(A69="","",IFERROR(IF(VLOOKUP(A69,Entry!$D:$D,1,FALSE)=A69,TRUE,FALSE),FALSE))</f>
        <v/>
      </c>
    </row>
    <row r="70" spans="1:33" ht="15" customHeight="1" x14ac:dyDescent="0.2">
      <c r="A70" s="111"/>
      <c r="B70" s="21"/>
      <c r="C70" s="21"/>
      <c r="D70" s="21"/>
      <c r="E70" s="21"/>
      <c r="F70" s="14"/>
      <c r="G70" s="21"/>
      <c r="H70" s="21"/>
      <c r="I70" s="190"/>
      <c r="J70" s="191"/>
      <c r="K70" s="189">
        <f t="shared" si="4"/>
        <v>0</v>
      </c>
      <c r="L70" s="73"/>
      <c r="M70" s="213"/>
      <c r="N70" s="153"/>
      <c r="O70" s="45"/>
      <c r="Y70" s="8" t="str">
        <f>IF(A70="","",IFERROR(IF(VLOOKUP(A70,Entry!$D:$D,1,FALSE)=A70,"",ROW()),ROW()))</f>
        <v/>
      </c>
      <c r="Z70" s="8">
        <f t="shared" si="30"/>
        <v>69</v>
      </c>
      <c r="AA70" s="8" t="str">
        <f t="shared" si="27"/>
        <v/>
      </c>
      <c r="AG70" s="8" t="str">
        <f>IF(A70="","",IFERROR(IF(VLOOKUP(A70,Entry!$D:$D,1,FALSE)=A70,TRUE,FALSE),FALSE))</f>
        <v/>
      </c>
    </row>
    <row r="71" spans="1:33" ht="15" customHeight="1" x14ac:dyDescent="0.2">
      <c r="A71" s="111"/>
      <c r="B71" s="21"/>
      <c r="C71" s="21"/>
      <c r="D71" s="21"/>
      <c r="E71" s="21"/>
      <c r="F71" s="14"/>
      <c r="G71" s="21"/>
      <c r="H71" s="21"/>
      <c r="I71" s="190"/>
      <c r="J71" s="191"/>
      <c r="K71" s="189">
        <f t="shared" si="4"/>
        <v>0</v>
      </c>
      <c r="L71" s="73"/>
      <c r="M71" s="213"/>
      <c r="N71" s="153"/>
      <c r="O71" s="45"/>
      <c r="Y71" s="8" t="str">
        <f>IF(A71="","",IFERROR(IF(VLOOKUP(A71,Entry!$D:$D,1,FALSE)=A71,"",ROW()),ROW()))</f>
        <v/>
      </c>
      <c r="Z71" s="8">
        <f t="shared" si="30"/>
        <v>70</v>
      </c>
      <c r="AA71" s="8" t="str">
        <f t="shared" si="27"/>
        <v/>
      </c>
      <c r="AG71" s="8" t="str">
        <f>IF(A71="","",IFERROR(IF(VLOOKUP(A71,Entry!$D:$D,1,FALSE)=A71,TRUE,FALSE),FALSE))</f>
        <v/>
      </c>
    </row>
    <row r="72" spans="1:33" ht="15" customHeight="1" x14ac:dyDescent="0.2">
      <c r="A72" s="111"/>
      <c r="B72" s="21"/>
      <c r="C72" s="21"/>
      <c r="D72" s="21"/>
      <c r="E72" s="21"/>
      <c r="F72" s="14"/>
      <c r="G72" s="21"/>
      <c r="H72" s="21"/>
      <c r="I72" s="190"/>
      <c r="J72" s="191"/>
      <c r="K72" s="189">
        <f t="shared" si="4"/>
        <v>0</v>
      </c>
      <c r="L72" s="73"/>
      <c r="M72" s="213"/>
      <c r="N72" s="153"/>
      <c r="O72" s="45"/>
      <c r="Y72" s="8" t="str">
        <f>IF(A72="","",IFERROR(IF(VLOOKUP(A72,Entry!$D:$D,1,FALSE)=A72,"",ROW()),ROW()))</f>
        <v/>
      </c>
      <c r="Z72" s="8">
        <f t="shared" si="30"/>
        <v>71</v>
      </c>
      <c r="AA72" s="8" t="str">
        <f t="shared" si="27"/>
        <v/>
      </c>
      <c r="AG72" s="8" t="str">
        <f>IF(A72="","",IFERROR(IF(VLOOKUP(A72,Entry!$D:$D,1,FALSE)=A72,TRUE,FALSE),FALSE))</f>
        <v/>
      </c>
    </row>
    <row r="73" spans="1:33" ht="15" customHeight="1" x14ac:dyDescent="0.2">
      <c r="A73" s="112"/>
      <c r="B73" s="22"/>
      <c r="C73" s="22"/>
      <c r="D73" s="22"/>
      <c r="E73" s="22"/>
      <c r="F73" s="15"/>
      <c r="G73" s="22"/>
      <c r="H73" s="22"/>
      <c r="I73" s="192"/>
      <c r="J73" s="193"/>
      <c r="K73" s="189">
        <f t="shared" ref="K73:K136" si="32">I73+J73</f>
        <v>0</v>
      </c>
      <c r="L73" s="74"/>
      <c r="M73" s="214"/>
      <c r="N73" s="154"/>
      <c r="O73" s="46"/>
      <c r="Y73" s="8" t="str">
        <f>IF(A73="","",IFERROR(IF(VLOOKUP(A73,Entry!$D:$D,1,FALSE)=A73,"",ROW()),ROW()))</f>
        <v/>
      </c>
      <c r="Z73" s="8">
        <f t="shared" si="30"/>
        <v>72</v>
      </c>
      <c r="AA73" s="8" t="str">
        <f t="shared" si="27"/>
        <v/>
      </c>
      <c r="AG73" s="8" t="str">
        <f>IF(A73="","",IFERROR(IF(VLOOKUP(A73,Entry!$D:$D,1,FALSE)=A73,TRUE,FALSE),FALSE))</f>
        <v/>
      </c>
    </row>
    <row r="74" spans="1:33" ht="17.25" customHeight="1" x14ac:dyDescent="0.2">
      <c r="A74" s="113"/>
      <c r="B74" s="19"/>
      <c r="C74" s="19"/>
      <c r="D74" s="19"/>
      <c r="E74" s="19"/>
      <c r="F74" s="18"/>
      <c r="G74" s="19"/>
      <c r="H74" s="19"/>
      <c r="I74" s="194">
        <f t="shared" ref="I74:K74" si="33">SUM(I75:I79)</f>
        <v>0</v>
      </c>
      <c r="J74" s="195">
        <f t="shared" si="33"/>
        <v>0</v>
      </c>
      <c r="K74" s="195">
        <f t="shared" si="33"/>
        <v>0</v>
      </c>
      <c r="L74" s="104">
        <f t="shared" ref="L74" si="34">IFERROR(SUMPRODUCT(K75:K79,L75:L79)/SUM(K75:K79),0)</f>
        <v>0</v>
      </c>
      <c r="M74" s="215"/>
      <c r="N74" s="155"/>
      <c r="O74" s="47"/>
      <c r="Y74" s="8" t="str">
        <f>IF(A74="","",IFERROR(IF(VLOOKUP(A74,Entry!$D:$D,1,FALSE)=A74,"",ROW()),ROW()))</f>
        <v/>
      </c>
      <c r="Z74" s="8">
        <f t="shared" si="30"/>
        <v>73</v>
      </c>
      <c r="AA74" s="8" t="str">
        <f t="shared" si="27"/>
        <v/>
      </c>
      <c r="AG74" s="8" t="str">
        <f>IF(A74="","",IFERROR(IF(VLOOKUP(A74,Entry!$D:$D,1,FALSE)=A74,TRUE,FALSE),FALSE))</f>
        <v/>
      </c>
    </row>
    <row r="75" spans="1:33" ht="15" customHeight="1" x14ac:dyDescent="0.2">
      <c r="A75" s="110"/>
      <c r="B75" s="20"/>
      <c r="C75" s="20"/>
      <c r="D75" s="20"/>
      <c r="E75" s="20"/>
      <c r="F75" s="16"/>
      <c r="G75" s="20"/>
      <c r="H75" s="20"/>
      <c r="I75" s="187"/>
      <c r="J75" s="188"/>
      <c r="K75" s="189">
        <f t="shared" ref="K75" si="35">I75+J75</f>
        <v>0</v>
      </c>
      <c r="L75" s="72"/>
      <c r="M75" s="212"/>
      <c r="N75" s="152"/>
      <c r="O75" s="44"/>
      <c r="Y75" s="8" t="str">
        <f>IF(A75="","",IFERROR(IF(VLOOKUP(A75,Entry!$D:$D,1,FALSE)=A75,"",ROW()),ROW()))</f>
        <v/>
      </c>
      <c r="Z75" s="8">
        <f t="shared" si="30"/>
        <v>74</v>
      </c>
      <c r="AA75" s="8" t="str">
        <f t="shared" si="27"/>
        <v/>
      </c>
      <c r="AG75" s="8" t="str">
        <f>IF(A75="","",IFERROR(IF(VLOOKUP(A75,Entry!$D:$D,1,FALSE)=A75,TRUE,FALSE),FALSE))</f>
        <v/>
      </c>
    </row>
    <row r="76" spans="1:33" ht="15" customHeight="1" x14ac:dyDescent="0.2">
      <c r="A76" s="111"/>
      <c r="B76" s="21"/>
      <c r="C76" s="21"/>
      <c r="D76" s="21"/>
      <c r="E76" s="21"/>
      <c r="F76" s="14"/>
      <c r="G76" s="21"/>
      <c r="H76" s="21"/>
      <c r="I76" s="190"/>
      <c r="J76" s="191"/>
      <c r="K76" s="189">
        <f t="shared" si="32"/>
        <v>0</v>
      </c>
      <c r="L76" s="73"/>
      <c r="M76" s="213"/>
      <c r="N76" s="153"/>
      <c r="O76" s="45"/>
      <c r="Y76" s="8" t="str">
        <f>IF(A76="","",IFERROR(IF(VLOOKUP(A76,Entry!$D:$D,1,FALSE)=A76,"",ROW()),ROW()))</f>
        <v/>
      </c>
      <c r="Z76" s="8">
        <f t="shared" si="30"/>
        <v>75</v>
      </c>
      <c r="AA76" s="8" t="str">
        <f t="shared" si="27"/>
        <v/>
      </c>
      <c r="AG76" s="8" t="str">
        <f>IF(A76="","",IFERROR(IF(VLOOKUP(A76,Entry!$D:$D,1,FALSE)=A76,TRUE,FALSE),FALSE))</f>
        <v/>
      </c>
    </row>
    <row r="77" spans="1:33" ht="15" customHeight="1" x14ac:dyDescent="0.2">
      <c r="A77" s="111"/>
      <c r="B77" s="21"/>
      <c r="C77" s="21"/>
      <c r="D77" s="21"/>
      <c r="E77" s="21"/>
      <c r="F77" s="14"/>
      <c r="G77" s="21"/>
      <c r="H77" s="21"/>
      <c r="I77" s="190"/>
      <c r="J77" s="191"/>
      <c r="K77" s="189">
        <f t="shared" si="32"/>
        <v>0</v>
      </c>
      <c r="L77" s="73"/>
      <c r="M77" s="213"/>
      <c r="N77" s="153"/>
      <c r="O77" s="45"/>
      <c r="Y77" s="8" t="str">
        <f>IF(A77="","",IFERROR(IF(VLOOKUP(A77,Entry!$D:$D,1,FALSE)=A77,"",ROW()),ROW()))</f>
        <v/>
      </c>
      <c r="Z77" s="8">
        <f t="shared" si="30"/>
        <v>76</v>
      </c>
      <c r="AA77" s="8" t="str">
        <f t="shared" si="27"/>
        <v/>
      </c>
      <c r="AG77" s="8" t="str">
        <f>IF(A77="","",IFERROR(IF(VLOOKUP(A77,Entry!$D:$D,1,FALSE)=A77,TRUE,FALSE),FALSE))</f>
        <v/>
      </c>
    </row>
    <row r="78" spans="1:33" ht="15" customHeight="1" x14ac:dyDescent="0.2">
      <c r="A78" s="111"/>
      <c r="B78" s="21"/>
      <c r="C78" s="21"/>
      <c r="D78" s="21"/>
      <c r="E78" s="21"/>
      <c r="F78" s="14"/>
      <c r="G78" s="21"/>
      <c r="H78" s="21"/>
      <c r="I78" s="190"/>
      <c r="J78" s="191"/>
      <c r="K78" s="189">
        <f t="shared" si="32"/>
        <v>0</v>
      </c>
      <c r="L78" s="73"/>
      <c r="M78" s="213"/>
      <c r="N78" s="153"/>
      <c r="O78" s="45"/>
      <c r="Y78" s="8" t="str">
        <f>IF(A78="","",IFERROR(IF(VLOOKUP(A78,Entry!$D:$D,1,FALSE)=A78,"",ROW()),ROW()))</f>
        <v/>
      </c>
      <c r="Z78" s="8">
        <f t="shared" si="30"/>
        <v>77</v>
      </c>
      <c r="AA78" s="8" t="str">
        <f t="shared" si="27"/>
        <v/>
      </c>
      <c r="AG78" s="8" t="str">
        <f>IF(A78="","",IFERROR(IF(VLOOKUP(A78,Entry!$D:$D,1,FALSE)=A78,TRUE,FALSE),FALSE))</f>
        <v/>
      </c>
    </row>
    <row r="79" spans="1:33" ht="15" customHeight="1" x14ac:dyDescent="0.2">
      <c r="A79" s="112"/>
      <c r="B79" s="22"/>
      <c r="C79" s="22"/>
      <c r="D79" s="22"/>
      <c r="E79" s="22"/>
      <c r="F79" s="15"/>
      <c r="G79" s="22"/>
      <c r="H79" s="22"/>
      <c r="I79" s="192"/>
      <c r="J79" s="193"/>
      <c r="K79" s="189">
        <f t="shared" si="32"/>
        <v>0</v>
      </c>
      <c r="L79" s="74"/>
      <c r="M79" s="214"/>
      <c r="N79" s="154"/>
      <c r="O79" s="46"/>
      <c r="Y79" s="8" t="str">
        <f>IF(A79="","",IFERROR(IF(VLOOKUP(A79,Entry!$D:$D,1,FALSE)=A79,"",ROW()),ROW()))</f>
        <v/>
      </c>
      <c r="Z79" s="8">
        <f t="shared" si="30"/>
        <v>78</v>
      </c>
      <c r="AA79" s="8" t="str">
        <f t="shared" si="27"/>
        <v/>
      </c>
      <c r="AG79" s="8" t="str">
        <f>IF(A79="","",IFERROR(IF(VLOOKUP(A79,Entry!$D:$D,1,FALSE)=A79,TRUE,FALSE),FALSE))</f>
        <v/>
      </c>
    </row>
    <row r="80" spans="1:33" ht="17.25" customHeight="1" x14ac:dyDescent="0.2">
      <c r="A80" s="113"/>
      <c r="B80" s="19"/>
      <c r="C80" s="19"/>
      <c r="D80" s="19"/>
      <c r="E80" s="19"/>
      <c r="F80" s="18"/>
      <c r="G80" s="19"/>
      <c r="H80" s="19"/>
      <c r="I80" s="194">
        <f t="shared" ref="I80:K80" si="36">SUM(I81:I85)</f>
        <v>0</v>
      </c>
      <c r="J80" s="195">
        <f t="shared" si="36"/>
        <v>0</v>
      </c>
      <c r="K80" s="195">
        <f t="shared" si="36"/>
        <v>0</v>
      </c>
      <c r="L80" s="104">
        <f t="shared" ref="L80" si="37">IFERROR(SUMPRODUCT(K81:K85,L81:L85)/SUM(K81:K85),0)</f>
        <v>0</v>
      </c>
      <c r="M80" s="215"/>
      <c r="N80" s="155"/>
      <c r="O80" s="47"/>
      <c r="Y80" s="8" t="str">
        <f>IF(A80="","",IFERROR(IF(VLOOKUP(A80,Entry!$D:$D,1,FALSE)=A80,"",ROW()),ROW()))</f>
        <v/>
      </c>
      <c r="Z80" s="8">
        <f t="shared" si="30"/>
        <v>79</v>
      </c>
      <c r="AA80" s="8" t="str">
        <f t="shared" si="27"/>
        <v/>
      </c>
      <c r="AG80" s="8" t="str">
        <f>IF(A80="","",IFERROR(IF(VLOOKUP(A80,Entry!$D:$D,1,FALSE)=A80,TRUE,FALSE),FALSE))</f>
        <v/>
      </c>
    </row>
    <row r="81" spans="1:33" ht="15" customHeight="1" x14ac:dyDescent="0.2">
      <c r="A81" s="110"/>
      <c r="B81" s="20"/>
      <c r="C81" s="20"/>
      <c r="D81" s="20"/>
      <c r="E81" s="20"/>
      <c r="F81" s="16"/>
      <c r="G81" s="20"/>
      <c r="H81" s="20"/>
      <c r="I81" s="187"/>
      <c r="J81" s="188"/>
      <c r="K81" s="189">
        <f t="shared" ref="K81" si="38">I81+J81</f>
        <v>0</v>
      </c>
      <c r="L81" s="72"/>
      <c r="M81" s="212"/>
      <c r="N81" s="152"/>
      <c r="O81" s="44"/>
      <c r="Y81" s="8" t="str">
        <f>IF(A81="","",IFERROR(IF(VLOOKUP(A81,Entry!$D:$D,1,FALSE)=A81,"",ROW()),ROW()))</f>
        <v/>
      </c>
      <c r="Z81" s="8">
        <f t="shared" si="30"/>
        <v>80</v>
      </c>
      <c r="AA81" s="8" t="str">
        <f t="shared" si="27"/>
        <v/>
      </c>
      <c r="AG81" s="8" t="str">
        <f>IF(A81="","",IFERROR(IF(VLOOKUP(A81,Entry!$D:$D,1,FALSE)=A81,TRUE,FALSE),FALSE))</f>
        <v/>
      </c>
    </row>
    <row r="82" spans="1:33" ht="15" customHeight="1" x14ac:dyDescent="0.2">
      <c r="A82" s="111"/>
      <c r="B82" s="21"/>
      <c r="C82" s="21"/>
      <c r="D82" s="21"/>
      <c r="E82" s="21"/>
      <c r="F82" s="14"/>
      <c r="G82" s="21"/>
      <c r="H82" s="21"/>
      <c r="I82" s="190"/>
      <c r="J82" s="191"/>
      <c r="K82" s="189">
        <f t="shared" si="32"/>
        <v>0</v>
      </c>
      <c r="L82" s="73"/>
      <c r="M82" s="213"/>
      <c r="N82" s="153"/>
      <c r="O82" s="45"/>
      <c r="Y82" s="8" t="str">
        <f>IF(A82="","",IFERROR(IF(VLOOKUP(A82,Entry!$D:$D,1,FALSE)=A82,"",ROW()),ROW()))</f>
        <v/>
      </c>
      <c r="Z82" s="8">
        <f t="shared" si="30"/>
        <v>81</v>
      </c>
      <c r="AA82" s="8" t="str">
        <f t="shared" si="27"/>
        <v/>
      </c>
      <c r="AG82" s="8" t="str">
        <f>IF(A82="","",IFERROR(IF(VLOOKUP(A82,Entry!$D:$D,1,FALSE)=A82,TRUE,FALSE),FALSE))</f>
        <v/>
      </c>
    </row>
    <row r="83" spans="1:33" ht="15" customHeight="1" x14ac:dyDescent="0.2">
      <c r="A83" s="111"/>
      <c r="B83" s="21"/>
      <c r="C83" s="21"/>
      <c r="D83" s="21"/>
      <c r="E83" s="21"/>
      <c r="F83" s="14"/>
      <c r="G83" s="21"/>
      <c r="H83" s="21"/>
      <c r="I83" s="190"/>
      <c r="J83" s="191"/>
      <c r="K83" s="189">
        <f t="shared" si="32"/>
        <v>0</v>
      </c>
      <c r="L83" s="73"/>
      <c r="M83" s="213"/>
      <c r="N83" s="153"/>
      <c r="O83" s="45"/>
      <c r="Y83" s="8" t="str">
        <f>IF(A83="","",IFERROR(IF(VLOOKUP(A83,Entry!$D:$D,1,FALSE)=A83,"",ROW()),ROW()))</f>
        <v/>
      </c>
      <c r="Z83" s="8">
        <f t="shared" si="30"/>
        <v>82</v>
      </c>
      <c r="AA83" s="8" t="str">
        <f t="shared" si="27"/>
        <v/>
      </c>
      <c r="AG83" s="8" t="str">
        <f>IF(A83="","",IFERROR(IF(VLOOKUP(A83,Entry!$D:$D,1,FALSE)=A83,TRUE,FALSE),FALSE))</f>
        <v/>
      </c>
    </row>
    <row r="84" spans="1:33" ht="15" customHeight="1" x14ac:dyDescent="0.2">
      <c r="A84" s="111"/>
      <c r="B84" s="21"/>
      <c r="C84" s="21"/>
      <c r="D84" s="21"/>
      <c r="E84" s="21"/>
      <c r="F84" s="14"/>
      <c r="G84" s="21"/>
      <c r="H84" s="21"/>
      <c r="I84" s="190"/>
      <c r="J84" s="191"/>
      <c r="K84" s="189">
        <f t="shared" si="32"/>
        <v>0</v>
      </c>
      <c r="L84" s="73"/>
      <c r="M84" s="213"/>
      <c r="N84" s="153"/>
      <c r="O84" s="45"/>
      <c r="Y84" s="8" t="str">
        <f>IF(A84="","",IFERROR(IF(VLOOKUP(A84,Entry!$D:$D,1,FALSE)=A84,"",ROW()),ROW()))</f>
        <v/>
      </c>
      <c r="Z84" s="8">
        <f t="shared" si="30"/>
        <v>83</v>
      </c>
      <c r="AA84" s="8" t="str">
        <f t="shared" si="27"/>
        <v/>
      </c>
      <c r="AG84" s="8" t="str">
        <f>IF(A84="","",IFERROR(IF(VLOOKUP(A84,Entry!$D:$D,1,FALSE)=A84,TRUE,FALSE),FALSE))</f>
        <v/>
      </c>
    </row>
    <row r="85" spans="1:33" ht="15" customHeight="1" x14ac:dyDescent="0.2">
      <c r="A85" s="112"/>
      <c r="B85" s="22"/>
      <c r="C85" s="22"/>
      <c r="D85" s="22"/>
      <c r="E85" s="22"/>
      <c r="F85" s="15"/>
      <c r="G85" s="22"/>
      <c r="H85" s="22"/>
      <c r="I85" s="192"/>
      <c r="J85" s="193"/>
      <c r="K85" s="189">
        <f t="shared" si="32"/>
        <v>0</v>
      </c>
      <c r="L85" s="74"/>
      <c r="M85" s="214"/>
      <c r="N85" s="154"/>
      <c r="O85" s="46"/>
      <c r="Y85" s="8" t="str">
        <f>IF(A85="","",IFERROR(IF(VLOOKUP(A85,Entry!$D:$D,1,FALSE)=A85,"",ROW()),ROW()))</f>
        <v/>
      </c>
      <c r="Z85" s="8">
        <f t="shared" si="30"/>
        <v>84</v>
      </c>
      <c r="AA85" s="8" t="str">
        <f t="shared" si="27"/>
        <v/>
      </c>
      <c r="AG85" s="8" t="str">
        <f>IF(A85="","",IFERROR(IF(VLOOKUP(A85,Entry!$D:$D,1,FALSE)=A85,TRUE,FALSE),FALSE))</f>
        <v/>
      </c>
    </row>
    <row r="86" spans="1:33" ht="17.25" customHeight="1" x14ac:dyDescent="0.2">
      <c r="A86" s="113"/>
      <c r="B86" s="19"/>
      <c r="C86" s="19"/>
      <c r="D86" s="19"/>
      <c r="E86" s="19"/>
      <c r="F86" s="18"/>
      <c r="G86" s="19"/>
      <c r="H86" s="19"/>
      <c r="I86" s="194">
        <f t="shared" ref="I86:K86" si="39">SUM(I87:I91)</f>
        <v>0</v>
      </c>
      <c r="J86" s="195">
        <f t="shared" si="39"/>
        <v>0</v>
      </c>
      <c r="K86" s="195">
        <f t="shared" si="39"/>
        <v>0</v>
      </c>
      <c r="L86" s="104">
        <f t="shared" ref="L86" si="40">IFERROR(SUMPRODUCT(K87:K91,L87:L91)/SUM(K87:K91),0)</f>
        <v>0</v>
      </c>
      <c r="M86" s="215"/>
      <c r="N86" s="155"/>
      <c r="O86" s="47"/>
      <c r="Y86" s="8" t="str">
        <f>IF(A86="","",IFERROR(IF(VLOOKUP(A86,Entry!$D:$D,1,FALSE)=A86,"",ROW()),ROW()))</f>
        <v/>
      </c>
      <c r="Z86" s="8">
        <f t="shared" si="30"/>
        <v>85</v>
      </c>
      <c r="AA86" s="8" t="str">
        <f t="shared" si="27"/>
        <v/>
      </c>
      <c r="AG86" s="8" t="str">
        <f>IF(A86="","",IFERROR(IF(VLOOKUP(A86,Entry!$D:$D,1,FALSE)=A86,TRUE,FALSE),FALSE))</f>
        <v/>
      </c>
    </row>
    <row r="87" spans="1:33" ht="15" customHeight="1" x14ac:dyDescent="0.2">
      <c r="A87" s="110"/>
      <c r="B87" s="20"/>
      <c r="C87" s="20"/>
      <c r="D87" s="20"/>
      <c r="E87" s="20"/>
      <c r="F87" s="16"/>
      <c r="G87" s="20"/>
      <c r="H87" s="20"/>
      <c r="I87" s="187"/>
      <c r="J87" s="188"/>
      <c r="K87" s="189">
        <f t="shared" ref="K87" si="41">I87+J87</f>
        <v>0</v>
      </c>
      <c r="L87" s="72"/>
      <c r="M87" s="212"/>
      <c r="N87" s="152"/>
      <c r="O87" s="44"/>
      <c r="Y87" s="8" t="str">
        <f>IF(A87="","",IFERROR(IF(VLOOKUP(A87,Entry!$D:$D,1,FALSE)=A87,"",ROW()),ROW()))</f>
        <v/>
      </c>
      <c r="Z87" s="8">
        <f t="shared" si="30"/>
        <v>86</v>
      </c>
      <c r="AA87" s="8" t="str">
        <f t="shared" si="27"/>
        <v/>
      </c>
      <c r="AG87" s="8" t="str">
        <f>IF(A87="","",IFERROR(IF(VLOOKUP(A87,Entry!$D:$D,1,FALSE)=A87,TRUE,FALSE),FALSE))</f>
        <v/>
      </c>
    </row>
    <row r="88" spans="1:33" ht="15" customHeight="1" x14ac:dyDescent="0.2">
      <c r="A88" s="111"/>
      <c r="B88" s="21"/>
      <c r="C88" s="21"/>
      <c r="D88" s="21"/>
      <c r="E88" s="21"/>
      <c r="F88" s="14"/>
      <c r="G88" s="21"/>
      <c r="H88" s="21"/>
      <c r="I88" s="190"/>
      <c r="J88" s="191"/>
      <c r="K88" s="189">
        <f t="shared" si="32"/>
        <v>0</v>
      </c>
      <c r="L88" s="73"/>
      <c r="M88" s="213"/>
      <c r="N88" s="153"/>
      <c r="O88" s="45"/>
      <c r="Y88" s="8" t="str">
        <f>IF(A88="","",IFERROR(IF(VLOOKUP(A88,Entry!$D:$D,1,FALSE)=A88,"",ROW()),ROW()))</f>
        <v/>
      </c>
      <c r="Z88" s="8">
        <f t="shared" si="30"/>
        <v>87</v>
      </c>
      <c r="AA88" s="8" t="str">
        <f t="shared" si="27"/>
        <v/>
      </c>
      <c r="AG88" s="8" t="str">
        <f>IF(A88="","",IFERROR(IF(VLOOKUP(A88,Entry!$D:$D,1,FALSE)=A88,TRUE,FALSE),FALSE))</f>
        <v/>
      </c>
    </row>
    <row r="89" spans="1:33" ht="15" customHeight="1" x14ac:dyDescent="0.2">
      <c r="A89" s="111"/>
      <c r="B89" s="21"/>
      <c r="C89" s="21"/>
      <c r="D89" s="21"/>
      <c r="E89" s="21"/>
      <c r="F89" s="14"/>
      <c r="G89" s="21"/>
      <c r="H89" s="21"/>
      <c r="I89" s="190"/>
      <c r="J89" s="191"/>
      <c r="K89" s="189">
        <f t="shared" si="32"/>
        <v>0</v>
      </c>
      <c r="L89" s="73"/>
      <c r="M89" s="213"/>
      <c r="N89" s="153"/>
      <c r="O89" s="45"/>
      <c r="Y89" s="8" t="str">
        <f>IF(A89="","",IFERROR(IF(VLOOKUP(A89,Entry!$D:$D,1,FALSE)=A89,"",ROW()),ROW()))</f>
        <v/>
      </c>
      <c r="Z89" s="8">
        <f t="shared" si="30"/>
        <v>88</v>
      </c>
      <c r="AA89" s="8" t="str">
        <f t="shared" si="27"/>
        <v/>
      </c>
      <c r="AG89" s="8" t="str">
        <f>IF(A89="","",IFERROR(IF(VLOOKUP(A89,Entry!$D:$D,1,FALSE)=A89,TRUE,FALSE),FALSE))</f>
        <v/>
      </c>
    </row>
    <row r="90" spans="1:33" ht="15" customHeight="1" x14ac:dyDescent="0.2">
      <c r="A90" s="111"/>
      <c r="B90" s="21"/>
      <c r="C90" s="21"/>
      <c r="D90" s="21"/>
      <c r="E90" s="21"/>
      <c r="F90" s="14"/>
      <c r="G90" s="21"/>
      <c r="H90" s="21"/>
      <c r="I90" s="190"/>
      <c r="J90" s="191"/>
      <c r="K90" s="189">
        <f t="shared" si="32"/>
        <v>0</v>
      </c>
      <c r="L90" s="73"/>
      <c r="M90" s="213"/>
      <c r="N90" s="153"/>
      <c r="O90" s="45"/>
      <c r="Y90" s="8" t="str">
        <f>IF(A90="","",IFERROR(IF(VLOOKUP(A90,Entry!$D:$D,1,FALSE)=A90,"",ROW()),ROW()))</f>
        <v/>
      </c>
      <c r="Z90" s="8">
        <f t="shared" si="30"/>
        <v>89</v>
      </c>
      <c r="AA90" s="8" t="str">
        <f t="shared" si="27"/>
        <v/>
      </c>
      <c r="AG90" s="8" t="str">
        <f>IF(A90="","",IFERROR(IF(VLOOKUP(A90,Entry!$D:$D,1,FALSE)=A90,TRUE,FALSE),FALSE))</f>
        <v/>
      </c>
    </row>
    <row r="91" spans="1:33" ht="15" customHeight="1" x14ac:dyDescent="0.2">
      <c r="A91" s="112"/>
      <c r="B91" s="22"/>
      <c r="C91" s="22"/>
      <c r="D91" s="22"/>
      <c r="E91" s="22"/>
      <c r="F91" s="15"/>
      <c r="G91" s="22"/>
      <c r="H91" s="22"/>
      <c r="I91" s="192"/>
      <c r="J91" s="193"/>
      <c r="K91" s="189">
        <f t="shared" si="32"/>
        <v>0</v>
      </c>
      <c r="L91" s="74"/>
      <c r="M91" s="214"/>
      <c r="N91" s="154"/>
      <c r="O91" s="46"/>
      <c r="Y91" s="8" t="str">
        <f>IF(A91="","",IFERROR(IF(VLOOKUP(A91,Entry!$D:$D,1,FALSE)=A91,"",ROW()),ROW()))</f>
        <v/>
      </c>
      <c r="Z91" s="8">
        <f t="shared" si="30"/>
        <v>90</v>
      </c>
      <c r="AA91" s="8" t="str">
        <f t="shared" si="27"/>
        <v/>
      </c>
      <c r="AG91" s="8" t="str">
        <f>IF(A91="","",IFERROR(IF(VLOOKUP(A91,Entry!$D:$D,1,FALSE)=A91,TRUE,FALSE),FALSE))</f>
        <v/>
      </c>
    </row>
    <row r="92" spans="1:33" ht="17.25" customHeight="1" x14ac:dyDescent="0.2">
      <c r="A92" s="113"/>
      <c r="B92" s="19"/>
      <c r="C92" s="19"/>
      <c r="D92" s="19"/>
      <c r="E92" s="19"/>
      <c r="F92" s="18"/>
      <c r="G92" s="19"/>
      <c r="H92" s="19"/>
      <c r="I92" s="194">
        <f t="shared" ref="I92:K92" si="42">SUM(I93:I97)</f>
        <v>0</v>
      </c>
      <c r="J92" s="195">
        <f t="shared" si="42"/>
        <v>0</v>
      </c>
      <c r="K92" s="195">
        <f t="shared" si="42"/>
        <v>0</v>
      </c>
      <c r="L92" s="104">
        <f t="shared" ref="L92" si="43">IFERROR(SUMPRODUCT(K93:K97,L93:L97)/SUM(K93:K97),0)</f>
        <v>0</v>
      </c>
      <c r="M92" s="215"/>
      <c r="N92" s="155"/>
      <c r="O92" s="47"/>
      <c r="Y92" s="8" t="str">
        <f>IF(A92="","",IFERROR(IF(VLOOKUP(A92,Entry!$D:$D,1,FALSE)=A92,"",ROW()),ROW()))</f>
        <v/>
      </c>
      <c r="Z92" s="8">
        <f t="shared" si="30"/>
        <v>91</v>
      </c>
      <c r="AA92" s="8" t="str">
        <f t="shared" si="27"/>
        <v/>
      </c>
      <c r="AG92" s="8" t="str">
        <f>IF(A92="","",IFERROR(IF(VLOOKUP(A92,Entry!$D:$D,1,FALSE)=A92,TRUE,FALSE),FALSE))</f>
        <v/>
      </c>
    </row>
    <row r="93" spans="1:33" ht="15" customHeight="1" x14ac:dyDescent="0.2">
      <c r="A93" s="110"/>
      <c r="B93" s="20"/>
      <c r="C93" s="20"/>
      <c r="D93" s="20"/>
      <c r="E93" s="20"/>
      <c r="F93" s="16"/>
      <c r="G93" s="20"/>
      <c r="H93" s="20"/>
      <c r="I93" s="187"/>
      <c r="J93" s="188"/>
      <c r="K93" s="189">
        <f t="shared" ref="K93" si="44">I93+J93</f>
        <v>0</v>
      </c>
      <c r="L93" s="72"/>
      <c r="M93" s="212"/>
      <c r="N93" s="152"/>
      <c r="O93" s="44"/>
      <c r="Y93" s="8" t="str">
        <f>IF(A93="","",IFERROR(IF(VLOOKUP(A93,Entry!$D:$D,1,FALSE)=A93,"",ROW()),ROW()))</f>
        <v/>
      </c>
      <c r="Z93" s="8">
        <f t="shared" si="30"/>
        <v>92</v>
      </c>
      <c r="AA93" s="8" t="str">
        <f t="shared" si="27"/>
        <v/>
      </c>
      <c r="AG93" s="8" t="str">
        <f>IF(A93="","",IFERROR(IF(VLOOKUP(A93,Entry!$D:$D,1,FALSE)=A93,TRUE,FALSE),FALSE))</f>
        <v/>
      </c>
    </row>
    <row r="94" spans="1:33" ht="15" customHeight="1" x14ac:dyDescent="0.2">
      <c r="A94" s="111"/>
      <c r="B94" s="21"/>
      <c r="C94" s="21"/>
      <c r="D94" s="21"/>
      <c r="E94" s="21"/>
      <c r="F94" s="14"/>
      <c r="G94" s="21"/>
      <c r="H94" s="21"/>
      <c r="I94" s="190"/>
      <c r="J94" s="191"/>
      <c r="K94" s="189">
        <f t="shared" si="32"/>
        <v>0</v>
      </c>
      <c r="L94" s="73"/>
      <c r="M94" s="213"/>
      <c r="N94" s="153"/>
      <c r="O94" s="45"/>
      <c r="Y94" s="8" t="str">
        <f>IF(A94="","",IFERROR(IF(VLOOKUP(A94,Entry!$D:$D,1,FALSE)=A94,"",ROW()),ROW()))</f>
        <v/>
      </c>
      <c r="Z94" s="8">
        <f t="shared" si="30"/>
        <v>93</v>
      </c>
      <c r="AA94" s="8" t="str">
        <f t="shared" si="27"/>
        <v/>
      </c>
      <c r="AG94" s="8" t="str">
        <f>IF(A94="","",IFERROR(IF(VLOOKUP(A94,Entry!$D:$D,1,FALSE)=A94,TRUE,FALSE),FALSE))</f>
        <v/>
      </c>
    </row>
    <row r="95" spans="1:33" ht="15" customHeight="1" x14ac:dyDescent="0.2">
      <c r="A95" s="111"/>
      <c r="B95" s="21"/>
      <c r="C95" s="21"/>
      <c r="D95" s="21"/>
      <c r="E95" s="21"/>
      <c r="F95" s="14"/>
      <c r="G95" s="21"/>
      <c r="H95" s="21"/>
      <c r="I95" s="190"/>
      <c r="J95" s="191"/>
      <c r="K95" s="189">
        <f t="shared" si="32"/>
        <v>0</v>
      </c>
      <c r="L95" s="73"/>
      <c r="M95" s="213"/>
      <c r="N95" s="153"/>
      <c r="O95" s="45"/>
      <c r="Y95" s="8" t="str">
        <f>IF(A95="","",IFERROR(IF(VLOOKUP(A95,Entry!$D:$D,1,FALSE)=A95,"",ROW()),ROW()))</f>
        <v/>
      </c>
      <c r="Z95" s="8">
        <f t="shared" si="30"/>
        <v>94</v>
      </c>
      <c r="AA95" s="8" t="str">
        <f t="shared" si="27"/>
        <v/>
      </c>
      <c r="AG95" s="8" t="str">
        <f>IF(A95="","",IFERROR(IF(VLOOKUP(A95,Entry!$D:$D,1,FALSE)=A95,TRUE,FALSE),FALSE))</f>
        <v/>
      </c>
    </row>
    <row r="96" spans="1:33" ht="15" customHeight="1" x14ac:dyDescent="0.2">
      <c r="A96" s="111"/>
      <c r="B96" s="21"/>
      <c r="C96" s="21"/>
      <c r="D96" s="21"/>
      <c r="E96" s="21"/>
      <c r="F96" s="14"/>
      <c r="G96" s="21"/>
      <c r="H96" s="21"/>
      <c r="I96" s="190"/>
      <c r="J96" s="191"/>
      <c r="K96" s="189">
        <f t="shared" si="32"/>
        <v>0</v>
      </c>
      <c r="L96" s="73"/>
      <c r="M96" s="213"/>
      <c r="N96" s="153"/>
      <c r="O96" s="45"/>
      <c r="Y96" s="8" t="str">
        <f>IF(A96="","",IFERROR(IF(VLOOKUP(A96,Entry!$D:$D,1,FALSE)=A96,"",ROW()),ROW()))</f>
        <v/>
      </c>
      <c r="Z96" s="8">
        <f t="shared" si="30"/>
        <v>95</v>
      </c>
      <c r="AA96" s="8" t="str">
        <f t="shared" si="27"/>
        <v/>
      </c>
      <c r="AG96" s="8" t="str">
        <f>IF(A96="","",IFERROR(IF(VLOOKUP(A96,Entry!$D:$D,1,FALSE)=A96,TRUE,FALSE),FALSE))</f>
        <v/>
      </c>
    </row>
    <row r="97" spans="1:33" ht="15" customHeight="1" x14ac:dyDescent="0.2">
      <c r="A97" s="112"/>
      <c r="B97" s="22"/>
      <c r="C97" s="22"/>
      <c r="D97" s="22"/>
      <c r="E97" s="22"/>
      <c r="F97" s="15"/>
      <c r="G97" s="22"/>
      <c r="H97" s="22"/>
      <c r="I97" s="192"/>
      <c r="J97" s="193"/>
      <c r="K97" s="189">
        <f t="shared" si="32"/>
        <v>0</v>
      </c>
      <c r="L97" s="74"/>
      <c r="M97" s="214"/>
      <c r="N97" s="154"/>
      <c r="O97" s="46"/>
      <c r="Y97" s="8" t="str">
        <f>IF(A97="","",IFERROR(IF(VLOOKUP(A97,Entry!$D:$D,1,FALSE)=A97,"",ROW()),ROW()))</f>
        <v/>
      </c>
      <c r="Z97" s="8">
        <f t="shared" si="30"/>
        <v>96</v>
      </c>
      <c r="AA97" s="8" t="str">
        <f t="shared" si="27"/>
        <v/>
      </c>
      <c r="AG97" s="8" t="str">
        <f>IF(A97="","",IFERROR(IF(VLOOKUP(A97,Entry!$D:$D,1,FALSE)=A97,TRUE,FALSE),FALSE))</f>
        <v/>
      </c>
    </row>
    <row r="98" spans="1:33" ht="17.25" customHeight="1" x14ac:dyDescent="0.2">
      <c r="A98" s="113"/>
      <c r="B98" s="19"/>
      <c r="C98" s="19"/>
      <c r="D98" s="19"/>
      <c r="E98" s="19"/>
      <c r="F98" s="18"/>
      <c r="G98" s="19"/>
      <c r="H98" s="19"/>
      <c r="I98" s="194">
        <f t="shared" ref="I98:K98" si="45">SUM(I99:I103)</f>
        <v>0</v>
      </c>
      <c r="J98" s="195">
        <f t="shared" si="45"/>
        <v>0</v>
      </c>
      <c r="K98" s="195">
        <f t="shared" si="45"/>
        <v>0</v>
      </c>
      <c r="L98" s="104">
        <f t="shared" ref="L98" si="46">IFERROR(SUMPRODUCT(K99:K103,L99:L103)/SUM(K99:K103),0)</f>
        <v>0</v>
      </c>
      <c r="M98" s="215"/>
      <c r="N98" s="155"/>
      <c r="O98" s="47"/>
      <c r="Y98" s="8" t="str">
        <f>IF(A98="","",IFERROR(IF(VLOOKUP(A98,Entry!$D:$D,1,FALSE)=A98,"",ROW()),ROW()))</f>
        <v/>
      </c>
      <c r="Z98" s="8">
        <f t="shared" si="30"/>
        <v>97</v>
      </c>
      <c r="AA98" s="8" t="str">
        <f t="shared" si="27"/>
        <v/>
      </c>
      <c r="AG98" s="8" t="str">
        <f>IF(A98="","",IFERROR(IF(VLOOKUP(A98,Entry!$D:$D,1,FALSE)=A98,TRUE,FALSE),FALSE))</f>
        <v/>
      </c>
    </row>
    <row r="99" spans="1:33" ht="15" customHeight="1" x14ac:dyDescent="0.2">
      <c r="A99" s="110"/>
      <c r="B99" s="20"/>
      <c r="C99" s="20"/>
      <c r="D99" s="20"/>
      <c r="E99" s="20"/>
      <c r="F99" s="16"/>
      <c r="G99" s="20"/>
      <c r="H99" s="20"/>
      <c r="I99" s="187"/>
      <c r="J99" s="188"/>
      <c r="K99" s="189">
        <f t="shared" ref="K99" si="47">I99+J99</f>
        <v>0</v>
      </c>
      <c r="L99" s="72"/>
      <c r="M99" s="212"/>
      <c r="N99" s="152"/>
      <c r="O99" s="44"/>
      <c r="Y99" s="8" t="str">
        <f>IF(A99="","",IFERROR(IF(VLOOKUP(A99,Entry!$D:$D,1,FALSE)=A99,"",ROW()),ROW()))</f>
        <v/>
      </c>
      <c r="Z99" s="8">
        <f t="shared" si="30"/>
        <v>98</v>
      </c>
      <c r="AA99" s="8" t="str">
        <f t="shared" si="27"/>
        <v/>
      </c>
      <c r="AG99" s="8" t="str">
        <f>IF(A99="","",IFERROR(IF(VLOOKUP(A99,Entry!$D:$D,1,FALSE)=A99,TRUE,FALSE),FALSE))</f>
        <v/>
      </c>
    </row>
    <row r="100" spans="1:33" ht="15" customHeight="1" x14ac:dyDescent="0.2">
      <c r="A100" s="111"/>
      <c r="B100" s="21"/>
      <c r="C100" s="21"/>
      <c r="D100" s="21"/>
      <c r="E100" s="21"/>
      <c r="F100" s="14"/>
      <c r="G100" s="21"/>
      <c r="H100" s="21"/>
      <c r="I100" s="190"/>
      <c r="J100" s="191"/>
      <c r="K100" s="189">
        <f t="shared" si="32"/>
        <v>0</v>
      </c>
      <c r="L100" s="73"/>
      <c r="M100" s="213"/>
      <c r="N100" s="153"/>
      <c r="O100" s="45"/>
      <c r="Y100" s="8" t="str">
        <f>IF(A100="","",IFERROR(IF(VLOOKUP(A100,Entry!$D:$D,1,FALSE)=A100,"",ROW()),ROW()))</f>
        <v/>
      </c>
      <c r="Z100" s="8">
        <f t="shared" si="30"/>
        <v>99</v>
      </c>
      <c r="AA100" s="8" t="str">
        <f t="shared" si="27"/>
        <v/>
      </c>
      <c r="AG100" s="8" t="str">
        <f>IF(A100="","",IFERROR(IF(VLOOKUP(A100,Entry!$D:$D,1,FALSE)=A100,TRUE,FALSE),FALSE))</f>
        <v/>
      </c>
    </row>
    <row r="101" spans="1:33" ht="15" customHeight="1" x14ac:dyDescent="0.2">
      <c r="A101" s="111"/>
      <c r="B101" s="21"/>
      <c r="C101" s="21"/>
      <c r="D101" s="21"/>
      <c r="E101" s="21"/>
      <c r="F101" s="14"/>
      <c r="G101" s="21"/>
      <c r="H101" s="21"/>
      <c r="I101" s="190"/>
      <c r="J101" s="191"/>
      <c r="K101" s="189">
        <f t="shared" si="32"/>
        <v>0</v>
      </c>
      <c r="L101" s="73"/>
      <c r="M101" s="213"/>
      <c r="N101" s="153"/>
      <c r="O101" s="45"/>
      <c r="Y101" s="8" t="str">
        <f>IF(A101="","",IFERROR(IF(VLOOKUP(A101,Entry!$D:$D,1,FALSE)=A101,"",ROW()),ROW()))</f>
        <v/>
      </c>
      <c r="Z101" s="8">
        <f t="shared" si="30"/>
        <v>100</v>
      </c>
      <c r="AA101" s="8" t="str">
        <f t="shared" si="27"/>
        <v/>
      </c>
      <c r="AG101" s="8" t="str">
        <f>IF(A101="","",IFERROR(IF(VLOOKUP(A101,Entry!$D:$D,1,FALSE)=A101,TRUE,FALSE),FALSE))</f>
        <v/>
      </c>
    </row>
    <row r="102" spans="1:33" ht="15" customHeight="1" x14ac:dyDescent="0.2">
      <c r="A102" s="111"/>
      <c r="B102" s="21"/>
      <c r="C102" s="21"/>
      <c r="D102" s="21"/>
      <c r="E102" s="21"/>
      <c r="F102" s="14"/>
      <c r="G102" s="21"/>
      <c r="H102" s="21"/>
      <c r="I102" s="190"/>
      <c r="J102" s="191"/>
      <c r="K102" s="189">
        <f t="shared" si="32"/>
        <v>0</v>
      </c>
      <c r="L102" s="73"/>
      <c r="M102" s="213"/>
      <c r="N102" s="153"/>
      <c r="O102" s="45"/>
      <c r="Y102" s="8" t="str">
        <f>IF(A102="","",IFERROR(IF(VLOOKUP(A102,Entry!$D:$D,1,FALSE)=A102,"",ROW()),ROW()))</f>
        <v/>
      </c>
      <c r="Z102" s="8">
        <f t="shared" si="30"/>
        <v>101</v>
      </c>
      <c r="AA102" s="8" t="str">
        <f t="shared" si="27"/>
        <v/>
      </c>
      <c r="AG102" s="8" t="str">
        <f>IF(A102="","",IFERROR(IF(VLOOKUP(A102,Entry!$D:$D,1,FALSE)=A102,TRUE,FALSE),FALSE))</f>
        <v/>
      </c>
    </row>
    <row r="103" spans="1:33" ht="15" customHeight="1" x14ac:dyDescent="0.2">
      <c r="A103" s="112"/>
      <c r="B103" s="22"/>
      <c r="C103" s="22"/>
      <c r="D103" s="22"/>
      <c r="E103" s="22"/>
      <c r="F103" s="15"/>
      <c r="G103" s="22"/>
      <c r="H103" s="22"/>
      <c r="I103" s="192"/>
      <c r="J103" s="193"/>
      <c r="K103" s="189">
        <f t="shared" si="32"/>
        <v>0</v>
      </c>
      <c r="L103" s="74"/>
      <c r="M103" s="214"/>
      <c r="N103" s="154"/>
      <c r="O103" s="46"/>
      <c r="Y103" s="8" t="str">
        <f>IF(A103="","",IFERROR(IF(VLOOKUP(A103,Entry!$D:$D,1,FALSE)=A103,"",ROW()),ROW()))</f>
        <v/>
      </c>
      <c r="Z103" s="8">
        <f t="shared" si="30"/>
        <v>102</v>
      </c>
      <c r="AA103" s="8" t="str">
        <f t="shared" si="27"/>
        <v/>
      </c>
      <c r="AG103" s="8" t="str">
        <f>IF(A103="","",IFERROR(IF(VLOOKUP(A103,Entry!$D:$D,1,FALSE)=A103,TRUE,FALSE),FALSE))</f>
        <v/>
      </c>
    </row>
    <row r="104" spans="1:33" ht="17.25" customHeight="1" x14ac:dyDescent="0.2">
      <c r="A104" s="113"/>
      <c r="B104" s="19"/>
      <c r="C104" s="19"/>
      <c r="D104" s="19"/>
      <c r="E104" s="19"/>
      <c r="F104" s="18"/>
      <c r="G104" s="19"/>
      <c r="H104" s="19"/>
      <c r="I104" s="194">
        <f t="shared" ref="I104:K104" si="48">SUM(I105:I109)</f>
        <v>0</v>
      </c>
      <c r="J104" s="195">
        <f t="shared" si="48"/>
        <v>0</v>
      </c>
      <c r="K104" s="195">
        <f t="shared" si="48"/>
        <v>0</v>
      </c>
      <c r="L104" s="104">
        <f t="shared" ref="L104" si="49">IFERROR(SUMPRODUCT(K105:K109,L105:L109)/SUM(K105:K109),0)</f>
        <v>0</v>
      </c>
      <c r="M104" s="215"/>
      <c r="N104" s="155"/>
      <c r="O104" s="47"/>
      <c r="Y104" s="8" t="str">
        <f>IF(A104="","",IFERROR(IF(VLOOKUP(A104,Entry!$D:$D,1,FALSE)=A104,"",ROW()),ROW()))</f>
        <v/>
      </c>
      <c r="Z104" s="8">
        <f t="shared" si="30"/>
        <v>103</v>
      </c>
      <c r="AA104" s="8" t="str">
        <f t="shared" si="27"/>
        <v/>
      </c>
      <c r="AG104" s="8" t="str">
        <f>IF(A104="","",IFERROR(IF(VLOOKUP(A104,Entry!$D:$D,1,FALSE)=A104,TRUE,FALSE),FALSE))</f>
        <v/>
      </c>
    </row>
    <row r="105" spans="1:33" ht="15" customHeight="1" x14ac:dyDescent="0.2">
      <c r="A105" s="110"/>
      <c r="B105" s="20"/>
      <c r="C105" s="20"/>
      <c r="D105" s="20"/>
      <c r="E105" s="20"/>
      <c r="F105" s="16"/>
      <c r="G105" s="20"/>
      <c r="H105" s="20"/>
      <c r="I105" s="187"/>
      <c r="J105" s="188"/>
      <c r="K105" s="189">
        <f t="shared" ref="K105" si="50">I105+J105</f>
        <v>0</v>
      </c>
      <c r="L105" s="72"/>
      <c r="M105" s="212"/>
      <c r="N105" s="152"/>
      <c r="O105" s="44"/>
      <c r="Y105" s="8" t="str">
        <f>IF(A105="","",IFERROR(IF(VLOOKUP(A105,Entry!$D:$D,1,FALSE)=A105,"",ROW()),ROW()))</f>
        <v/>
      </c>
      <c r="Z105" s="8">
        <f t="shared" si="30"/>
        <v>104</v>
      </c>
      <c r="AA105" s="8" t="str">
        <f t="shared" si="27"/>
        <v/>
      </c>
      <c r="AG105" s="8" t="str">
        <f>IF(A105="","",IFERROR(IF(VLOOKUP(A105,Entry!$D:$D,1,FALSE)=A105,TRUE,FALSE),FALSE))</f>
        <v/>
      </c>
    </row>
    <row r="106" spans="1:33" ht="15" customHeight="1" x14ac:dyDescent="0.2">
      <c r="A106" s="111"/>
      <c r="B106" s="21"/>
      <c r="C106" s="21"/>
      <c r="D106" s="21"/>
      <c r="E106" s="21"/>
      <c r="F106" s="14"/>
      <c r="G106" s="21"/>
      <c r="H106" s="21"/>
      <c r="I106" s="190"/>
      <c r="J106" s="191"/>
      <c r="K106" s="189">
        <f t="shared" si="32"/>
        <v>0</v>
      </c>
      <c r="L106" s="73"/>
      <c r="M106" s="213"/>
      <c r="N106" s="153"/>
      <c r="O106" s="45"/>
      <c r="Y106" s="8" t="str">
        <f>IF(A106="","",IFERROR(IF(VLOOKUP(A106,Entry!$D:$D,1,FALSE)=A106,"",ROW()),ROW()))</f>
        <v/>
      </c>
      <c r="Z106" s="8">
        <f t="shared" si="30"/>
        <v>105</v>
      </c>
      <c r="AA106" s="8" t="str">
        <f t="shared" si="27"/>
        <v/>
      </c>
      <c r="AG106" s="8" t="str">
        <f>IF(A106="","",IFERROR(IF(VLOOKUP(A106,Entry!$D:$D,1,FALSE)=A106,TRUE,FALSE),FALSE))</f>
        <v/>
      </c>
    </row>
    <row r="107" spans="1:33" ht="15" customHeight="1" x14ac:dyDescent="0.2">
      <c r="A107" s="111"/>
      <c r="B107" s="21"/>
      <c r="C107" s="21"/>
      <c r="D107" s="21"/>
      <c r="E107" s="21"/>
      <c r="F107" s="14"/>
      <c r="G107" s="21"/>
      <c r="H107" s="21"/>
      <c r="I107" s="190"/>
      <c r="J107" s="191"/>
      <c r="K107" s="189">
        <f t="shared" si="32"/>
        <v>0</v>
      </c>
      <c r="L107" s="73"/>
      <c r="M107" s="213"/>
      <c r="N107" s="153"/>
      <c r="O107" s="45"/>
      <c r="Y107" s="8" t="str">
        <f>IF(A107="","",IFERROR(IF(VLOOKUP(A107,Entry!$D:$D,1,FALSE)=A107,"",ROW()),ROW()))</f>
        <v/>
      </c>
      <c r="Z107" s="8">
        <f t="shared" si="30"/>
        <v>106</v>
      </c>
      <c r="AA107" s="8" t="str">
        <f t="shared" si="27"/>
        <v/>
      </c>
      <c r="AG107" s="8" t="str">
        <f>IF(A107="","",IFERROR(IF(VLOOKUP(A107,Entry!$D:$D,1,FALSE)=A107,TRUE,FALSE),FALSE))</f>
        <v/>
      </c>
    </row>
    <row r="108" spans="1:33" ht="15" customHeight="1" x14ac:dyDescent="0.2">
      <c r="A108" s="111"/>
      <c r="B108" s="21"/>
      <c r="C108" s="21"/>
      <c r="D108" s="21"/>
      <c r="E108" s="21"/>
      <c r="F108" s="14"/>
      <c r="G108" s="21"/>
      <c r="H108" s="21"/>
      <c r="I108" s="190"/>
      <c r="J108" s="191"/>
      <c r="K108" s="189">
        <f t="shared" si="32"/>
        <v>0</v>
      </c>
      <c r="L108" s="73"/>
      <c r="M108" s="213"/>
      <c r="N108" s="153"/>
      <c r="O108" s="45"/>
      <c r="Y108" s="8" t="str">
        <f>IF(A108="","",IFERROR(IF(VLOOKUP(A108,Entry!$D:$D,1,FALSE)=A108,"",ROW()),ROW()))</f>
        <v/>
      </c>
      <c r="Z108" s="8">
        <f t="shared" si="30"/>
        <v>107</v>
      </c>
      <c r="AA108" s="8" t="str">
        <f t="shared" si="27"/>
        <v/>
      </c>
      <c r="AG108" s="8" t="str">
        <f>IF(A108="","",IFERROR(IF(VLOOKUP(A108,Entry!$D:$D,1,FALSE)=A108,TRUE,FALSE),FALSE))</f>
        <v/>
      </c>
    </row>
    <row r="109" spans="1:33" ht="15" customHeight="1" x14ac:dyDescent="0.2">
      <c r="A109" s="112"/>
      <c r="B109" s="22"/>
      <c r="C109" s="22"/>
      <c r="D109" s="22"/>
      <c r="E109" s="22"/>
      <c r="F109" s="15"/>
      <c r="G109" s="22"/>
      <c r="H109" s="22"/>
      <c r="I109" s="192"/>
      <c r="J109" s="193"/>
      <c r="K109" s="189">
        <f t="shared" si="32"/>
        <v>0</v>
      </c>
      <c r="L109" s="74"/>
      <c r="M109" s="214"/>
      <c r="N109" s="154"/>
      <c r="O109" s="46"/>
      <c r="Y109" s="8" t="str">
        <f>IF(A109="","",IFERROR(IF(VLOOKUP(A109,Entry!$D:$D,1,FALSE)=A109,"",ROW()),ROW()))</f>
        <v/>
      </c>
      <c r="Z109" s="8">
        <f t="shared" si="30"/>
        <v>108</v>
      </c>
      <c r="AA109" s="8" t="str">
        <f t="shared" si="27"/>
        <v/>
      </c>
      <c r="AG109" s="8" t="str">
        <f>IF(A109="","",IFERROR(IF(VLOOKUP(A109,Entry!$D:$D,1,FALSE)=A109,TRUE,FALSE),FALSE))</f>
        <v/>
      </c>
    </row>
    <row r="110" spans="1:33" ht="17.25" customHeight="1" x14ac:dyDescent="0.2">
      <c r="A110" s="113"/>
      <c r="B110" s="19"/>
      <c r="C110" s="19"/>
      <c r="D110" s="19"/>
      <c r="E110" s="19"/>
      <c r="F110" s="18"/>
      <c r="G110" s="19"/>
      <c r="H110" s="19"/>
      <c r="I110" s="194">
        <f t="shared" ref="I110:K110" si="51">SUM(I111:I115)</f>
        <v>0</v>
      </c>
      <c r="J110" s="195">
        <f t="shared" si="51"/>
        <v>0</v>
      </c>
      <c r="K110" s="195">
        <f t="shared" si="51"/>
        <v>0</v>
      </c>
      <c r="L110" s="104">
        <f t="shared" ref="L110" si="52">IFERROR(SUMPRODUCT(K111:K115,L111:L115)/SUM(K111:K115),0)</f>
        <v>0</v>
      </c>
      <c r="M110" s="215"/>
      <c r="N110" s="155"/>
      <c r="O110" s="47"/>
      <c r="Y110" s="8" t="str">
        <f>IF(A110="","",IFERROR(IF(VLOOKUP(A110,Entry!$D:$D,1,FALSE)=A110,"",ROW()),ROW()))</f>
        <v/>
      </c>
      <c r="Z110" s="8">
        <f t="shared" si="30"/>
        <v>109</v>
      </c>
      <c r="AA110" s="8" t="str">
        <f t="shared" si="27"/>
        <v/>
      </c>
      <c r="AG110" s="8" t="str">
        <f>IF(A110="","",IFERROR(IF(VLOOKUP(A110,Entry!$D:$D,1,FALSE)=A110,TRUE,FALSE),FALSE))</f>
        <v/>
      </c>
    </row>
    <row r="111" spans="1:33" ht="15" customHeight="1" x14ac:dyDescent="0.2">
      <c r="A111" s="110"/>
      <c r="B111" s="20"/>
      <c r="C111" s="20"/>
      <c r="D111" s="20"/>
      <c r="E111" s="20"/>
      <c r="F111" s="16"/>
      <c r="G111" s="20"/>
      <c r="H111" s="20"/>
      <c r="I111" s="187"/>
      <c r="J111" s="188"/>
      <c r="K111" s="189">
        <f t="shared" ref="K111" si="53">I111+J111</f>
        <v>0</v>
      </c>
      <c r="L111" s="72"/>
      <c r="M111" s="212"/>
      <c r="N111" s="152"/>
      <c r="O111" s="44"/>
      <c r="Y111" s="8" t="str">
        <f>IF(A111="","",IFERROR(IF(VLOOKUP(A111,Entry!$D:$D,1,FALSE)=A111,"",ROW()),ROW()))</f>
        <v/>
      </c>
      <c r="Z111" s="8">
        <f t="shared" si="30"/>
        <v>110</v>
      </c>
      <c r="AA111" s="8" t="str">
        <f t="shared" si="27"/>
        <v/>
      </c>
      <c r="AG111" s="8" t="str">
        <f>IF(A111="","",IFERROR(IF(VLOOKUP(A111,Entry!$D:$D,1,FALSE)=A111,TRUE,FALSE),FALSE))</f>
        <v/>
      </c>
    </row>
    <row r="112" spans="1:33" ht="15" customHeight="1" x14ac:dyDescent="0.2">
      <c r="A112" s="111"/>
      <c r="B112" s="21"/>
      <c r="C112" s="21"/>
      <c r="D112" s="21"/>
      <c r="E112" s="21"/>
      <c r="F112" s="14"/>
      <c r="G112" s="21"/>
      <c r="H112" s="21"/>
      <c r="I112" s="190"/>
      <c r="J112" s="191"/>
      <c r="K112" s="189">
        <f t="shared" si="32"/>
        <v>0</v>
      </c>
      <c r="L112" s="73"/>
      <c r="M112" s="213"/>
      <c r="N112" s="153"/>
      <c r="O112" s="45"/>
      <c r="Y112" s="8" t="str">
        <f>IF(A112="","",IFERROR(IF(VLOOKUP(A112,Entry!$D:$D,1,FALSE)=A112,"",ROW()),ROW()))</f>
        <v/>
      </c>
      <c r="Z112" s="8">
        <f t="shared" si="30"/>
        <v>111</v>
      </c>
      <c r="AA112" s="8" t="str">
        <f t="shared" si="27"/>
        <v/>
      </c>
      <c r="AG112" s="8" t="str">
        <f>IF(A112="","",IFERROR(IF(VLOOKUP(A112,Entry!$D:$D,1,FALSE)=A112,TRUE,FALSE),FALSE))</f>
        <v/>
      </c>
    </row>
    <row r="113" spans="1:33" ht="15" customHeight="1" x14ac:dyDescent="0.2">
      <c r="A113" s="111"/>
      <c r="B113" s="21"/>
      <c r="C113" s="21"/>
      <c r="D113" s="21"/>
      <c r="E113" s="21"/>
      <c r="F113" s="14"/>
      <c r="G113" s="21"/>
      <c r="H113" s="21"/>
      <c r="I113" s="190"/>
      <c r="J113" s="191"/>
      <c r="K113" s="189">
        <f t="shared" si="32"/>
        <v>0</v>
      </c>
      <c r="L113" s="73"/>
      <c r="M113" s="213"/>
      <c r="N113" s="153"/>
      <c r="O113" s="45"/>
      <c r="Y113" s="8" t="str">
        <f>IF(A113="","",IFERROR(IF(VLOOKUP(A113,Entry!$D:$D,1,FALSE)=A113,"",ROW()),ROW()))</f>
        <v/>
      </c>
      <c r="Z113" s="8">
        <f t="shared" si="30"/>
        <v>112</v>
      </c>
      <c r="AA113" s="8" t="str">
        <f t="shared" si="27"/>
        <v/>
      </c>
      <c r="AG113" s="8" t="str">
        <f>IF(A113="","",IFERROR(IF(VLOOKUP(A113,Entry!$D:$D,1,FALSE)=A113,TRUE,FALSE),FALSE))</f>
        <v/>
      </c>
    </row>
    <row r="114" spans="1:33" ht="15" customHeight="1" x14ac:dyDescent="0.2">
      <c r="A114" s="111"/>
      <c r="B114" s="21"/>
      <c r="C114" s="21"/>
      <c r="D114" s="21"/>
      <c r="E114" s="21"/>
      <c r="F114" s="14"/>
      <c r="G114" s="21"/>
      <c r="H114" s="21"/>
      <c r="I114" s="190"/>
      <c r="J114" s="191"/>
      <c r="K114" s="189">
        <f t="shared" si="32"/>
        <v>0</v>
      </c>
      <c r="L114" s="73"/>
      <c r="M114" s="213"/>
      <c r="N114" s="153"/>
      <c r="O114" s="45"/>
      <c r="Y114" s="8" t="str">
        <f>IF(A114="","",IFERROR(IF(VLOOKUP(A114,Entry!$D:$D,1,FALSE)=A114,"",ROW()),ROW()))</f>
        <v/>
      </c>
      <c r="Z114" s="8">
        <f t="shared" si="30"/>
        <v>113</v>
      </c>
      <c r="AA114" s="8" t="str">
        <f t="shared" si="27"/>
        <v/>
      </c>
      <c r="AG114" s="8" t="str">
        <f>IF(A114="","",IFERROR(IF(VLOOKUP(A114,Entry!$D:$D,1,FALSE)=A114,TRUE,FALSE),FALSE))</f>
        <v/>
      </c>
    </row>
    <row r="115" spans="1:33" ht="15" customHeight="1" x14ac:dyDescent="0.2">
      <c r="A115" s="112"/>
      <c r="B115" s="22"/>
      <c r="C115" s="22"/>
      <c r="D115" s="22"/>
      <c r="E115" s="22"/>
      <c r="F115" s="15"/>
      <c r="G115" s="22"/>
      <c r="H115" s="22"/>
      <c r="I115" s="192"/>
      <c r="J115" s="193"/>
      <c r="K115" s="189">
        <f t="shared" si="32"/>
        <v>0</v>
      </c>
      <c r="L115" s="74"/>
      <c r="M115" s="214"/>
      <c r="N115" s="154"/>
      <c r="O115" s="46"/>
      <c r="Y115" s="8" t="str">
        <f>IF(A115="","",IFERROR(IF(VLOOKUP(A115,Entry!$D:$D,1,FALSE)=A115,"",ROW()),ROW()))</f>
        <v/>
      </c>
      <c r="Z115" s="8">
        <f t="shared" si="30"/>
        <v>114</v>
      </c>
      <c r="AA115" s="8" t="str">
        <f t="shared" si="27"/>
        <v/>
      </c>
      <c r="AG115" s="8" t="str">
        <f>IF(A115="","",IFERROR(IF(VLOOKUP(A115,Entry!$D:$D,1,FALSE)=A115,TRUE,FALSE),FALSE))</f>
        <v/>
      </c>
    </row>
    <row r="116" spans="1:33" ht="17.25" customHeight="1" x14ac:dyDescent="0.2">
      <c r="A116" s="113"/>
      <c r="B116" s="19"/>
      <c r="C116" s="19"/>
      <c r="D116" s="19"/>
      <c r="E116" s="19"/>
      <c r="F116" s="18"/>
      <c r="G116" s="19"/>
      <c r="H116" s="19"/>
      <c r="I116" s="194">
        <f t="shared" ref="I116:K116" si="54">SUM(I117:I121)</f>
        <v>0</v>
      </c>
      <c r="J116" s="195">
        <f t="shared" si="54"/>
        <v>0</v>
      </c>
      <c r="K116" s="195">
        <f t="shared" si="54"/>
        <v>0</v>
      </c>
      <c r="L116" s="104">
        <f t="shared" ref="L116" si="55">IFERROR(SUMPRODUCT(K117:K121,L117:L121)/SUM(K117:K121),0)</f>
        <v>0</v>
      </c>
      <c r="M116" s="215"/>
      <c r="N116" s="155"/>
      <c r="O116" s="47"/>
      <c r="Y116" s="8" t="str">
        <f>IF(A116="","",IFERROR(IF(VLOOKUP(A116,Entry!$D:$D,1,FALSE)=A116,"",ROW()),ROW()))</f>
        <v/>
      </c>
      <c r="Z116" s="8">
        <f t="shared" si="30"/>
        <v>115</v>
      </c>
      <c r="AA116" s="8" t="str">
        <f t="shared" si="27"/>
        <v/>
      </c>
      <c r="AG116" s="8" t="str">
        <f>IF(A116="","",IFERROR(IF(VLOOKUP(A116,Entry!$D:$D,1,FALSE)=A116,TRUE,FALSE),FALSE))</f>
        <v/>
      </c>
    </row>
    <row r="117" spans="1:33" ht="15" customHeight="1" x14ac:dyDescent="0.2">
      <c r="A117" s="110"/>
      <c r="B117" s="20"/>
      <c r="C117" s="20"/>
      <c r="D117" s="20"/>
      <c r="E117" s="20"/>
      <c r="F117" s="16"/>
      <c r="G117" s="20"/>
      <c r="H117" s="20"/>
      <c r="I117" s="187"/>
      <c r="J117" s="188"/>
      <c r="K117" s="189">
        <f t="shared" ref="K117" si="56">I117+J117</f>
        <v>0</v>
      </c>
      <c r="L117" s="72"/>
      <c r="M117" s="212"/>
      <c r="N117" s="152"/>
      <c r="O117" s="44"/>
      <c r="Y117" s="8" t="str">
        <f>IF(A117="","",IFERROR(IF(VLOOKUP(A117,Entry!$D:$D,1,FALSE)=A117,"",ROW()),ROW()))</f>
        <v/>
      </c>
      <c r="Z117" s="8">
        <f t="shared" si="30"/>
        <v>116</v>
      </c>
      <c r="AA117" s="8" t="str">
        <f t="shared" si="27"/>
        <v/>
      </c>
      <c r="AG117" s="8" t="str">
        <f>IF(A117="","",IFERROR(IF(VLOOKUP(A117,Entry!$D:$D,1,FALSE)=A117,TRUE,FALSE),FALSE))</f>
        <v/>
      </c>
    </row>
    <row r="118" spans="1:33" ht="15" customHeight="1" x14ac:dyDescent="0.2">
      <c r="A118" s="111"/>
      <c r="B118" s="21"/>
      <c r="C118" s="21"/>
      <c r="D118" s="21"/>
      <c r="E118" s="21"/>
      <c r="F118" s="14"/>
      <c r="G118" s="21"/>
      <c r="H118" s="21"/>
      <c r="I118" s="190"/>
      <c r="J118" s="191"/>
      <c r="K118" s="189">
        <f t="shared" si="32"/>
        <v>0</v>
      </c>
      <c r="L118" s="73"/>
      <c r="M118" s="213"/>
      <c r="N118" s="153"/>
      <c r="O118" s="45"/>
      <c r="Y118" s="8" t="str">
        <f>IF(A118="","",IFERROR(IF(VLOOKUP(A118,Entry!$D:$D,1,FALSE)=A118,"",ROW()),ROW()))</f>
        <v/>
      </c>
      <c r="Z118" s="8">
        <f t="shared" si="30"/>
        <v>117</v>
      </c>
      <c r="AA118" s="8" t="str">
        <f t="shared" si="27"/>
        <v/>
      </c>
      <c r="AG118" s="8" t="str">
        <f>IF(A118="","",IFERROR(IF(VLOOKUP(A118,Entry!$D:$D,1,FALSE)=A118,TRUE,FALSE),FALSE))</f>
        <v/>
      </c>
    </row>
    <row r="119" spans="1:33" ht="15" customHeight="1" x14ac:dyDescent="0.2">
      <c r="A119" s="111"/>
      <c r="B119" s="21"/>
      <c r="C119" s="21"/>
      <c r="D119" s="21"/>
      <c r="E119" s="21"/>
      <c r="F119" s="14"/>
      <c r="G119" s="21"/>
      <c r="H119" s="21"/>
      <c r="I119" s="190"/>
      <c r="J119" s="191"/>
      <c r="K119" s="189">
        <f t="shared" si="32"/>
        <v>0</v>
      </c>
      <c r="L119" s="73"/>
      <c r="M119" s="213"/>
      <c r="N119" s="153"/>
      <c r="O119" s="45"/>
      <c r="Y119" s="8" t="str">
        <f>IF(A119="","",IFERROR(IF(VLOOKUP(A119,Entry!$D:$D,1,FALSE)=A119,"",ROW()),ROW()))</f>
        <v/>
      </c>
      <c r="Z119" s="8">
        <f t="shared" si="30"/>
        <v>118</v>
      </c>
      <c r="AA119" s="8" t="str">
        <f t="shared" si="27"/>
        <v/>
      </c>
      <c r="AG119" s="8" t="str">
        <f>IF(A119="","",IFERROR(IF(VLOOKUP(A119,Entry!$D:$D,1,FALSE)=A119,TRUE,FALSE),FALSE))</f>
        <v/>
      </c>
    </row>
    <row r="120" spans="1:33" ht="15" customHeight="1" x14ac:dyDescent="0.2">
      <c r="A120" s="111"/>
      <c r="B120" s="21"/>
      <c r="C120" s="21"/>
      <c r="D120" s="21"/>
      <c r="E120" s="21"/>
      <c r="F120" s="14"/>
      <c r="G120" s="21"/>
      <c r="H120" s="21"/>
      <c r="I120" s="190"/>
      <c r="J120" s="191"/>
      <c r="K120" s="189">
        <f t="shared" si="32"/>
        <v>0</v>
      </c>
      <c r="L120" s="73"/>
      <c r="M120" s="213"/>
      <c r="N120" s="153"/>
      <c r="O120" s="45"/>
      <c r="Y120" s="8" t="str">
        <f>IF(A120="","",IFERROR(IF(VLOOKUP(A120,Entry!$D:$D,1,FALSE)=A120,"",ROW()),ROW()))</f>
        <v/>
      </c>
      <c r="Z120" s="8">
        <f t="shared" si="30"/>
        <v>119</v>
      </c>
      <c r="AA120" s="8" t="str">
        <f t="shared" si="27"/>
        <v/>
      </c>
      <c r="AG120" s="8" t="str">
        <f>IF(A120="","",IFERROR(IF(VLOOKUP(A120,Entry!$D:$D,1,FALSE)=A120,TRUE,FALSE),FALSE))</f>
        <v/>
      </c>
    </row>
    <row r="121" spans="1:33" ht="15" customHeight="1" x14ac:dyDescent="0.2">
      <c r="A121" s="112"/>
      <c r="B121" s="22"/>
      <c r="C121" s="22"/>
      <c r="D121" s="22"/>
      <c r="E121" s="22"/>
      <c r="F121" s="15"/>
      <c r="G121" s="22"/>
      <c r="H121" s="22"/>
      <c r="I121" s="192"/>
      <c r="J121" s="193"/>
      <c r="K121" s="189">
        <f t="shared" si="32"/>
        <v>0</v>
      </c>
      <c r="L121" s="74"/>
      <c r="M121" s="214"/>
      <c r="N121" s="154"/>
      <c r="O121" s="46"/>
      <c r="Y121" s="8" t="str">
        <f>IF(A121="","",IFERROR(IF(VLOOKUP(A121,Entry!$D:$D,1,FALSE)=A121,"",ROW()),ROW()))</f>
        <v/>
      </c>
      <c r="Z121" s="8">
        <f t="shared" si="30"/>
        <v>120</v>
      </c>
      <c r="AA121" s="8" t="str">
        <f t="shared" si="27"/>
        <v/>
      </c>
      <c r="AG121" s="8" t="str">
        <f>IF(A121="","",IFERROR(IF(VLOOKUP(A121,Entry!$D:$D,1,FALSE)=A121,TRUE,FALSE),FALSE))</f>
        <v/>
      </c>
    </row>
    <row r="122" spans="1:33" ht="17.25" customHeight="1" x14ac:dyDescent="0.2">
      <c r="A122" s="113"/>
      <c r="B122" s="19"/>
      <c r="C122" s="19"/>
      <c r="D122" s="19"/>
      <c r="E122" s="19"/>
      <c r="F122" s="18"/>
      <c r="G122" s="19"/>
      <c r="H122" s="19"/>
      <c r="I122" s="194">
        <f t="shared" ref="I122:K122" si="57">SUM(I123:I127)</f>
        <v>0</v>
      </c>
      <c r="J122" s="195">
        <f t="shared" si="57"/>
        <v>0</v>
      </c>
      <c r="K122" s="195">
        <f t="shared" si="57"/>
        <v>0</v>
      </c>
      <c r="L122" s="104">
        <f t="shared" ref="L122" si="58">IFERROR(SUMPRODUCT(K123:K127,L123:L127)/SUM(K123:K127),0)</f>
        <v>0</v>
      </c>
      <c r="M122" s="215"/>
      <c r="N122" s="155"/>
      <c r="O122" s="47"/>
      <c r="Y122" s="8" t="str">
        <f>IF(A122="","",IFERROR(IF(VLOOKUP(A122,Entry!$D:$D,1,FALSE)=A122,"",ROW()),ROW()))</f>
        <v/>
      </c>
      <c r="Z122" s="8">
        <f t="shared" si="30"/>
        <v>121</v>
      </c>
      <c r="AA122" s="8" t="str">
        <f t="shared" si="27"/>
        <v/>
      </c>
      <c r="AG122" s="8" t="str">
        <f>IF(A122="","",IFERROR(IF(VLOOKUP(A122,Entry!$D:$D,1,FALSE)=A122,TRUE,FALSE),FALSE))</f>
        <v/>
      </c>
    </row>
    <row r="123" spans="1:33" ht="15" customHeight="1" x14ac:dyDescent="0.2">
      <c r="A123" s="110"/>
      <c r="B123" s="20"/>
      <c r="C123" s="20"/>
      <c r="D123" s="20"/>
      <c r="E123" s="20"/>
      <c r="F123" s="16"/>
      <c r="G123" s="20"/>
      <c r="H123" s="20"/>
      <c r="I123" s="187"/>
      <c r="J123" s="188"/>
      <c r="K123" s="189">
        <f t="shared" ref="K123" si="59">I123+J123</f>
        <v>0</v>
      </c>
      <c r="L123" s="72"/>
      <c r="M123" s="212"/>
      <c r="N123" s="152"/>
      <c r="O123" s="44"/>
      <c r="Y123" s="8" t="str">
        <f>IF(A123="","",IFERROR(IF(VLOOKUP(A123,Entry!$D:$D,1,FALSE)=A123,"",ROW()),ROW()))</f>
        <v/>
      </c>
      <c r="Z123" s="8">
        <f t="shared" si="30"/>
        <v>122</v>
      </c>
      <c r="AA123" s="8" t="str">
        <f t="shared" si="27"/>
        <v/>
      </c>
      <c r="AG123" s="8" t="str">
        <f>IF(A123="","",IFERROR(IF(VLOOKUP(A123,Entry!$D:$D,1,FALSE)=A123,TRUE,FALSE),FALSE))</f>
        <v/>
      </c>
    </row>
    <row r="124" spans="1:33" ht="15" customHeight="1" x14ac:dyDescent="0.2">
      <c r="A124" s="111"/>
      <c r="B124" s="21"/>
      <c r="C124" s="21"/>
      <c r="D124" s="21"/>
      <c r="E124" s="21"/>
      <c r="F124" s="14"/>
      <c r="G124" s="21"/>
      <c r="H124" s="21"/>
      <c r="I124" s="190"/>
      <c r="J124" s="191"/>
      <c r="K124" s="189">
        <f t="shared" si="32"/>
        <v>0</v>
      </c>
      <c r="L124" s="73"/>
      <c r="M124" s="213"/>
      <c r="N124" s="153"/>
      <c r="O124" s="45"/>
      <c r="Y124" s="8" t="str">
        <f>IF(A124="","",IFERROR(IF(VLOOKUP(A124,Entry!$D:$D,1,FALSE)=A124,"",ROW()),ROW()))</f>
        <v/>
      </c>
      <c r="Z124" s="8">
        <f t="shared" si="30"/>
        <v>123</v>
      </c>
      <c r="AA124" s="8" t="str">
        <f t="shared" si="27"/>
        <v/>
      </c>
      <c r="AG124" s="8" t="str">
        <f>IF(A124="","",IFERROR(IF(VLOOKUP(A124,Entry!$D:$D,1,FALSE)=A124,TRUE,FALSE),FALSE))</f>
        <v/>
      </c>
    </row>
    <row r="125" spans="1:33" ht="15" customHeight="1" x14ac:dyDescent="0.2">
      <c r="A125" s="111"/>
      <c r="B125" s="21"/>
      <c r="C125" s="21"/>
      <c r="D125" s="21"/>
      <c r="E125" s="21"/>
      <c r="F125" s="14"/>
      <c r="G125" s="21"/>
      <c r="H125" s="21"/>
      <c r="I125" s="190"/>
      <c r="J125" s="191"/>
      <c r="K125" s="189">
        <f t="shared" si="32"/>
        <v>0</v>
      </c>
      <c r="L125" s="73"/>
      <c r="M125" s="213"/>
      <c r="N125" s="153"/>
      <c r="O125" s="45"/>
      <c r="Y125" s="8" t="str">
        <f>IF(A125="","",IFERROR(IF(VLOOKUP(A125,Entry!$D:$D,1,FALSE)=A125,"",ROW()),ROW()))</f>
        <v/>
      </c>
      <c r="Z125" s="8">
        <f t="shared" si="30"/>
        <v>124</v>
      </c>
      <c r="AA125" s="8" t="str">
        <f t="shared" si="27"/>
        <v/>
      </c>
      <c r="AG125" s="8" t="str">
        <f>IF(A125="","",IFERROR(IF(VLOOKUP(A125,Entry!$D:$D,1,FALSE)=A125,TRUE,FALSE),FALSE))</f>
        <v/>
      </c>
    </row>
    <row r="126" spans="1:33" ht="15" customHeight="1" x14ac:dyDescent="0.2">
      <c r="A126" s="111"/>
      <c r="B126" s="21"/>
      <c r="C126" s="21"/>
      <c r="D126" s="21"/>
      <c r="E126" s="21"/>
      <c r="F126" s="14"/>
      <c r="G126" s="21"/>
      <c r="H126" s="21"/>
      <c r="I126" s="190"/>
      <c r="J126" s="191"/>
      <c r="K126" s="189">
        <f t="shared" si="32"/>
        <v>0</v>
      </c>
      <c r="L126" s="73"/>
      <c r="M126" s="213"/>
      <c r="N126" s="153"/>
      <c r="O126" s="45"/>
      <c r="Y126" s="8" t="str">
        <f>IF(A126="","",IFERROR(IF(VLOOKUP(A126,Entry!$D:$D,1,FALSE)=A126,"",ROW()),ROW()))</f>
        <v/>
      </c>
      <c r="Z126" s="8">
        <f t="shared" si="30"/>
        <v>125</v>
      </c>
      <c r="AA126" s="8" t="str">
        <f t="shared" si="27"/>
        <v/>
      </c>
      <c r="AG126" s="8" t="str">
        <f>IF(A126="","",IFERROR(IF(VLOOKUP(A126,Entry!$D:$D,1,FALSE)=A126,TRUE,FALSE),FALSE))</f>
        <v/>
      </c>
    </row>
    <row r="127" spans="1:33" ht="15" customHeight="1" x14ac:dyDescent="0.2">
      <c r="A127" s="112"/>
      <c r="B127" s="22"/>
      <c r="C127" s="22"/>
      <c r="D127" s="22"/>
      <c r="E127" s="22"/>
      <c r="F127" s="15"/>
      <c r="G127" s="22"/>
      <c r="H127" s="22"/>
      <c r="I127" s="192"/>
      <c r="J127" s="193"/>
      <c r="K127" s="189">
        <f t="shared" si="32"/>
        <v>0</v>
      </c>
      <c r="L127" s="74"/>
      <c r="M127" s="214"/>
      <c r="N127" s="154"/>
      <c r="O127" s="46"/>
      <c r="Y127" s="8" t="str">
        <f>IF(A127="","",IFERROR(IF(VLOOKUP(A127,Entry!$D:$D,1,FALSE)=A127,"",ROW()),ROW()))</f>
        <v/>
      </c>
      <c r="Z127" s="8">
        <f t="shared" si="30"/>
        <v>126</v>
      </c>
      <c r="AA127" s="8" t="str">
        <f t="shared" si="27"/>
        <v/>
      </c>
      <c r="AG127" s="8" t="str">
        <f>IF(A127="","",IFERROR(IF(VLOOKUP(A127,Entry!$D:$D,1,FALSE)=A127,TRUE,FALSE),FALSE))</f>
        <v/>
      </c>
    </row>
    <row r="128" spans="1:33" ht="17.25" customHeight="1" x14ac:dyDescent="0.2">
      <c r="A128" s="113"/>
      <c r="B128" s="19"/>
      <c r="C128" s="19"/>
      <c r="D128" s="19"/>
      <c r="E128" s="19"/>
      <c r="F128" s="18"/>
      <c r="G128" s="19"/>
      <c r="H128" s="19"/>
      <c r="I128" s="194">
        <f t="shared" ref="I128:K128" si="60">SUM(I129:I133)</f>
        <v>0</v>
      </c>
      <c r="J128" s="195">
        <f t="shared" si="60"/>
        <v>0</v>
      </c>
      <c r="K128" s="195">
        <f t="shared" si="60"/>
        <v>0</v>
      </c>
      <c r="L128" s="104">
        <f t="shared" ref="L128" si="61">IFERROR(SUMPRODUCT(K129:K133,L129:L133)/SUM(K129:K133),0)</f>
        <v>0</v>
      </c>
      <c r="M128" s="215"/>
      <c r="N128" s="155"/>
      <c r="O128" s="47"/>
      <c r="Y128" s="8" t="str">
        <f>IF(A128="","",IFERROR(IF(VLOOKUP(A128,Entry!$D:$D,1,FALSE)=A128,"",ROW()),ROW()))</f>
        <v/>
      </c>
      <c r="Z128" s="8">
        <f t="shared" si="30"/>
        <v>127</v>
      </c>
      <c r="AA128" s="8" t="str">
        <f t="shared" si="27"/>
        <v/>
      </c>
      <c r="AG128" s="8" t="str">
        <f>IF(A128="","",IFERROR(IF(VLOOKUP(A128,Entry!$D:$D,1,FALSE)=A128,TRUE,FALSE),FALSE))</f>
        <v/>
      </c>
    </row>
    <row r="129" spans="1:33" ht="15" customHeight="1" x14ac:dyDescent="0.2">
      <c r="A129" s="110"/>
      <c r="B129" s="20"/>
      <c r="C129" s="20"/>
      <c r="D129" s="20"/>
      <c r="E129" s="20"/>
      <c r="F129" s="16"/>
      <c r="G129" s="20"/>
      <c r="H129" s="20"/>
      <c r="I129" s="187"/>
      <c r="J129" s="188"/>
      <c r="K129" s="189">
        <f t="shared" ref="K129" si="62">I129+J129</f>
        <v>0</v>
      </c>
      <c r="L129" s="72"/>
      <c r="M129" s="212"/>
      <c r="N129" s="152"/>
      <c r="O129" s="44"/>
      <c r="Y129" s="8" t="str">
        <f>IF(A129="","",IFERROR(IF(VLOOKUP(A129,Entry!$D:$D,1,FALSE)=A129,"",ROW()),ROW()))</f>
        <v/>
      </c>
      <c r="Z129" s="8">
        <f t="shared" si="30"/>
        <v>128</v>
      </c>
      <c r="AA129" s="8" t="str">
        <f t="shared" si="27"/>
        <v/>
      </c>
      <c r="AG129" s="8" t="str">
        <f>IF(A129="","",IFERROR(IF(VLOOKUP(A129,Entry!$D:$D,1,FALSE)=A129,TRUE,FALSE),FALSE))</f>
        <v/>
      </c>
    </row>
    <row r="130" spans="1:33" ht="15" customHeight="1" x14ac:dyDescent="0.2">
      <c r="A130" s="111"/>
      <c r="B130" s="21"/>
      <c r="C130" s="21"/>
      <c r="D130" s="21"/>
      <c r="E130" s="21"/>
      <c r="F130" s="14"/>
      <c r="G130" s="21"/>
      <c r="H130" s="21"/>
      <c r="I130" s="190"/>
      <c r="J130" s="191"/>
      <c r="K130" s="189">
        <f t="shared" si="32"/>
        <v>0</v>
      </c>
      <c r="L130" s="73"/>
      <c r="M130" s="213"/>
      <c r="N130" s="153"/>
      <c r="O130" s="45"/>
      <c r="Y130" s="8" t="str">
        <f>IF(A130="","",IFERROR(IF(VLOOKUP(A130,Entry!$D:$D,1,FALSE)=A130,"",ROW()),ROW()))</f>
        <v/>
      </c>
      <c r="Z130" s="8">
        <f t="shared" si="30"/>
        <v>129</v>
      </c>
      <c r="AA130" s="8" t="str">
        <f t="shared" ref="AA130:AA193" si="63">IFERROR(INDEX($A:$A,SMALL($Y$2:$Y$2000,Z130)),"")</f>
        <v/>
      </c>
      <c r="AG130" s="8" t="str">
        <f>IF(A130="","",IFERROR(IF(VLOOKUP(A130,Entry!$D:$D,1,FALSE)=A130,TRUE,FALSE),FALSE))</f>
        <v/>
      </c>
    </row>
    <row r="131" spans="1:33" ht="15" customHeight="1" x14ac:dyDescent="0.2">
      <c r="A131" s="111"/>
      <c r="B131" s="21"/>
      <c r="C131" s="21"/>
      <c r="D131" s="21"/>
      <c r="E131" s="21"/>
      <c r="F131" s="14"/>
      <c r="G131" s="21"/>
      <c r="H131" s="21"/>
      <c r="I131" s="190"/>
      <c r="J131" s="191"/>
      <c r="K131" s="189">
        <f t="shared" si="32"/>
        <v>0</v>
      </c>
      <c r="L131" s="73"/>
      <c r="M131" s="213"/>
      <c r="N131" s="153"/>
      <c r="O131" s="45"/>
      <c r="Y131" s="8" t="str">
        <f>IF(A131="","",IFERROR(IF(VLOOKUP(A131,Entry!$D:$D,1,FALSE)=A131,"",ROW()),ROW()))</f>
        <v/>
      </c>
      <c r="Z131" s="8">
        <f t="shared" si="30"/>
        <v>130</v>
      </c>
      <c r="AA131" s="8" t="str">
        <f t="shared" si="63"/>
        <v/>
      </c>
      <c r="AG131" s="8" t="str">
        <f>IF(A131="","",IFERROR(IF(VLOOKUP(A131,Entry!$D:$D,1,FALSE)=A131,TRUE,FALSE),FALSE))</f>
        <v/>
      </c>
    </row>
    <row r="132" spans="1:33" ht="15" customHeight="1" x14ac:dyDescent="0.2">
      <c r="A132" s="111"/>
      <c r="B132" s="21"/>
      <c r="C132" s="21"/>
      <c r="D132" s="21"/>
      <c r="E132" s="21"/>
      <c r="F132" s="14"/>
      <c r="G132" s="21"/>
      <c r="H132" s="21"/>
      <c r="I132" s="190"/>
      <c r="J132" s="191"/>
      <c r="K132" s="189">
        <f t="shared" si="32"/>
        <v>0</v>
      </c>
      <c r="L132" s="73"/>
      <c r="M132" s="213"/>
      <c r="N132" s="153"/>
      <c r="O132" s="45"/>
      <c r="Y132" s="8" t="str">
        <f>IF(A132="","",IFERROR(IF(VLOOKUP(A132,Entry!$D:$D,1,FALSE)=A132,"",ROW()),ROW()))</f>
        <v/>
      </c>
      <c r="Z132" s="8">
        <f t="shared" ref="Z132:Z195" si="64">Z131+1</f>
        <v>131</v>
      </c>
      <c r="AA132" s="8" t="str">
        <f t="shared" si="63"/>
        <v/>
      </c>
      <c r="AG132" s="8" t="str">
        <f>IF(A132="","",IFERROR(IF(VLOOKUP(A132,Entry!$D:$D,1,FALSE)=A132,TRUE,FALSE),FALSE))</f>
        <v/>
      </c>
    </row>
    <row r="133" spans="1:33" ht="15" customHeight="1" x14ac:dyDescent="0.2">
      <c r="A133" s="112"/>
      <c r="B133" s="22"/>
      <c r="C133" s="22"/>
      <c r="D133" s="22"/>
      <c r="E133" s="22"/>
      <c r="F133" s="15"/>
      <c r="G133" s="22"/>
      <c r="H133" s="22"/>
      <c r="I133" s="192"/>
      <c r="J133" s="193"/>
      <c r="K133" s="189">
        <f t="shared" si="32"/>
        <v>0</v>
      </c>
      <c r="L133" s="74"/>
      <c r="M133" s="214"/>
      <c r="N133" s="154"/>
      <c r="O133" s="46"/>
      <c r="Y133" s="8" t="str">
        <f>IF(A133="","",IFERROR(IF(VLOOKUP(A133,Entry!$D:$D,1,FALSE)=A133,"",ROW()),ROW()))</f>
        <v/>
      </c>
      <c r="Z133" s="8">
        <f t="shared" si="64"/>
        <v>132</v>
      </c>
      <c r="AA133" s="8" t="str">
        <f t="shared" si="63"/>
        <v/>
      </c>
      <c r="AG133" s="8" t="str">
        <f>IF(A133="","",IFERROR(IF(VLOOKUP(A133,Entry!$D:$D,1,FALSE)=A133,TRUE,FALSE),FALSE))</f>
        <v/>
      </c>
    </row>
    <row r="134" spans="1:33" ht="17.25" customHeight="1" x14ac:dyDescent="0.2">
      <c r="A134" s="113"/>
      <c r="B134" s="19"/>
      <c r="C134" s="19"/>
      <c r="D134" s="19"/>
      <c r="E134" s="19"/>
      <c r="F134" s="18"/>
      <c r="G134" s="19"/>
      <c r="H134" s="19"/>
      <c r="I134" s="194">
        <f t="shared" ref="I134:K134" si="65">SUM(I135:I139)</f>
        <v>0</v>
      </c>
      <c r="J134" s="195">
        <f t="shared" si="65"/>
        <v>0</v>
      </c>
      <c r="K134" s="195">
        <f t="shared" si="65"/>
        <v>0</v>
      </c>
      <c r="L134" s="104">
        <f t="shared" ref="L134" si="66">IFERROR(SUMPRODUCT(K135:K139,L135:L139)/SUM(K135:K139),0)</f>
        <v>0</v>
      </c>
      <c r="M134" s="215"/>
      <c r="N134" s="155"/>
      <c r="O134" s="47"/>
      <c r="Y134" s="8" t="str">
        <f>IF(A134="","",IFERROR(IF(VLOOKUP(A134,Entry!$D:$D,1,FALSE)=A134,"",ROW()),ROW()))</f>
        <v/>
      </c>
      <c r="Z134" s="8">
        <f t="shared" si="64"/>
        <v>133</v>
      </c>
      <c r="AA134" s="8" t="str">
        <f t="shared" si="63"/>
        <v/>
      </c>
      <c r="AG134" s="8" t="str">
        <f>IF(A134="","",IFERROR(IF(VLOOKUP(A134,Entry!$D:$D,1,FALSE)=A134,TRUE,FALSE),FALSE))</f>
        <v/>
      </c>
    </row>
    <row r="135" spans="1:33" ht="15" customHeight="1" x14ac:dyDescent="0.2">
      <c r="A135" s="110"/>
      <c r="B135" s="20"/>
      <c r="C135" s="20"/>
      <c r="D135" s="20"/>
      <c r="E135" s="20"/>
      <c r="F135" s="16"/>
      <c r="G135" s="20"/>
      <c r="H135" s="20"/>
      <c r="I135" s="187"/>
      <c r="J135" s="188"/>
      <c r="K135" s="189">
        <f t="shared" ref="K135" si="67">I135+J135</f>
        <v>0</v>
      </c>
      <c r="L135" s="72"/>
      <c r="M135" s="212"/>
      <c r="N135" s="152"/>
      <c r="O135" s="44"/>
      <c r="Y135" s="8" t="str">
        <f>IF(A135="","",IFERROR(IF(VLOOKUP(A135,Entry!$D:$D,1,FALSE)=A135,"",ROW()),ROW()))</f>
        <v/>
      </c>
      <c r="Z135" s="8">
        <f t="shared" si="64"/>
        <v>134</v>
      </c>
      <c r="AA135" s="8" t="str">
        <f t="shared" si="63"/>
        <v/>
      </c>
      <c r="AG135" s="8" t="str">
        <f>IF(A135="","",IFERROR(IF(VLOOKUP(A135,Entry!$D:$D,1,FALSE)=A135,TRUE,FALSE),FALSE))</f>
        <v/>
      </c>
    </row>
    <row r="136" spans="1:33" ht="15" customHeight="1" x14ac:dyDescent="0.2">
      <c r="A136" s="111"/>
      <c r="B136" s="21"/>
      <c r="C136" s="21"/>
      <c r="D136" s="21"/>
      <c r="E136" s="21"/>
      <c r="F136" s="14"/>
      <c r="G136" s="21"/>
      <c r="H136" s="21"/>
      <c r="I136" s="190"/>
      <c r="J136" s="191"/>
      <c r="K136" s="189">
        <f t="shared" si="32"/>
        <v>0</v>
      </c>
      <c r="L136" s="73"/>
      <c r="M136" s="213"/>
      <c r="N136" s="153"/>
      <c r="O136" s="45"/>
      <c r="Y136" s="8" t="str">
        <f>IF(A136="","",IFERROR(IF(VLOOKUP(A136,Entry!$D:$D,1,FALSE)=A136,"",ROW()),ROW()))</f>
        <v/>
      </c>
      <c r="Z136" s="8">
        <f t="shared" si="64"/>
        <v>135</v>
      </c>
      <c r="AA136" s="8" t="str">
        <f t="shared" si="63"/>
        <v/>
      </c>
      <c r="AG136" s="8" t="str">
        <f>IF(A136="","",IFERROR(IF(VLOOKUP(A136,Entry!$D:$D,1,FALSE)=A136,TRUE,FALSE),FALSE))</f>
        <v/>
      </c>
    </row>
    <row r="137" spans="1:33" ht="15" customHeight="1" x14ac:dyDescent="0.2">
      <c r="A137" s="111"/>
      <c r="B137" s="21"/>
      <c r="C137" s="21"/>
      <c r="D137" s="21"/>
      <c r="E137" s="21"/>
      <c r="F137" s="14"/>
      <c r="G137" s="21"/>
      <c r="H137" s="21"/>
      <c r="I137" s="190"/>
      <c r="J137" s="191"/>
      <c r="K137" s="189">
        <f t="shared" ref="K137:K199" si="68">I137+J137</f>
        <v>0</v>
      </c>
      <c r="L137" s="73"/>
      <c r="M137" s="213"/>
      <c r="N137" s="153"/>
      <c r="O137" s="45"/>
      <c r="Y137" s="8" t="str">
        <f>IF(A137="","",IFERROR(IF(VLOOKUP(A137,Entry!$D:$D,1,FALSE)=A137,"",ROW()),ROW()))</f>
        <v/>
      </c>
      <c r="Z137" s="8">
        <f t="shared" si="64"/>
        <v>136</v>
      </c>
      <c r="AA137" s="8" t="str">
        <f t="shared" si="63"/>
        <v/>
      </c>
      <c r="AG137" s="8" t="str">
        <f>IF(A137="","",IFERROR(IF(VLOOKUP(A137,Entry!$D:$D,1,FALSE)=A137,TRUE,FALSE),FALSE))</f>
        <v/>
      </c>
    </row>
    <row r="138" spans="1:33" ht="15" customHeight="1" x14ac:dyDescent="0.2">
      <c r="A138" s="111"/>
      <c r="B138" s="21"/>
      <c r="C138" s="21"/>
      <c r="D138" s="21"/>
      <c r="E138" s="21"/>
      <c r="F138" s="14"/>
      <c r="G138" s="21"/>
      <c r="H138" s="21"/>
      <c r="I138" s="190"/>
      <c r="J138" s="191"/>
      <c r="K138" s="189">
        <f t="shared" si="68"/>
        <v>0</v>
      </c>
      <c r="L138" s="73"/>
      <c r="M138" s="213"/>
      <c r="N138" s="153"/>
      <c r="O138" s="45"/>
      <c r="Y138" s="8" t="str">
        <f>IF(A138="","",IFERROR(IF(VLOOKUP(A138,Entry!$D:$D,1,FALSE)=A138,"",ROW()),ROW()))</f>
        <v/>
      </c>
      <c r="Z138" s="8">
        <f t="shared" si="64"/>
        <v>137</v>
      </c>
      <c r="AA138" s="8" t="str">
        <f t="shared" si="63"/>
        <v/>
      </c>
      <c r="AG138" s="8" t="str">
        <f>IF(A138="","",IFERROR(IF(VLOOKUP(A138,Entry!$D:$D,1,FALSE)=A138,TRUE,FALSE),FALSE))</f>
        <v/>
      </c>
    </row>
    <row r="139" spans="1:33" ht="15" customHeight="1" x14ac:dyDescent="0.2">
      <c r="A139" s="112"/>
      <c r="B139" s="22"/>
      <c r="C139" s="22"/>
      <c r="D139" s="22"/>
      <c r="E139" s="22"/>
      <c r="F139" s="15"/>
      <c r="G139" s="22"/>
      <c r="H139" s="22"/>
      <c r="I139" s="192"/>
      <c r="J139" s="193"/>
      <c r="K139" s="189">
        <f t="shared" si="68"/>
        <v>0</v>
      </c>
      <c r="L139" s="74"/>
      <c r="M139" s="214"/>
      <c r="N139" s="154"/>
      <c r="O139" s="46"/>
      <c r="Y139" s="8" t="str">
        <f>IF(A139="","",IFERROR(IF(VLOOKUP(A139,Entry!$D:$D,1,FALSE)=A139,"",ROW()),ROW()))</f>
        <v/>
      </c>
      <c r="Z139" s="8">
        <f t="shared" si="64"/>
        <v>138</v>
      </c>
      <c r="AA139" s="8" t="str">
        <f t="shared" si="63"/>
        <v/>
      </c>
      <c r="AG139" s="8" t="str">
        <f>IF(A139="","",IFERROR(IF(VLOOKUP(A139,Entry!$D:$D,1,FALSE)=A139,TRUE,FALSE),FALSE))</f>
        <v/>
      </c>
    </row>
    <row r="140" spans="1:33" ht="17.25" customHeight="1" x14ac:dyDescent="0.2">
      <c r="A140" s="113"/>
      <c r="B140" s="19"/>
      <c r="C140" s="19"/>
      <c r="D140" s="19"/>
      <c r="E140" s="19"/>
      <c r="F140" s="18"/>
      <c r="G140" s="19"/>
      <c r="H140" s="19"/>
      <c r="I140" s="194">
        <f t="shared" ref="I140:K140" si="69">SUM(I141:I145)</f>
        <v>0</v>
      </c>
      <c r="J140" s="195">
        <f t="shared" si="69"/>
        <v>0</v>
      </c>
      <c r="K140" s="195">
        <f t="shared" si="69"/>
        <v>0</v>
      </c>
      <c r="L140" s="104">
        <f t="shared" ref="L140" si="70">IFERROR(SUMPRODUCT(K141:K145,L141:L145)/SUM(K141:K145),0)</f>
        <v>0</v>
      </c>
      <c r="M140" s="215"/>
      <c r="N140" s="155"/>
      <c r="O140" s="47"/>
      <c r="Y140" s="8" t="str">
        <f>IF(A140="","",IFERROR(IF(VLOOKUP(A140,Entry!$D:$D,1,FALSE)=A140,"",ROW()),ROW()))</f>
        <v/>
      </c>
      <c r="Z140" s="8">
        <f t="shared" si="64"/>
        <v>139</v>
      </c>
      <c r="AA140" s="8" t="str">
        <f t="shared" si="63"/>
        <v/>
      </c>
      <c r="AG140" s="8" t="str">
        <f>IF(A140="","",IFERROR(IF(VLOOKUP(A140,Entry!$D:$D,1,FALSE)=A140,TRUE,FALSE),FALSE))</f>
        <v/>
      </c>
    </row>
    <row r="141" spans="1:33" ht="15" customHeight="1" x14ac:dyDescent="0.2">
      <c r="A141" s="110"/>
      <c r="B141" s="20"/>
      <c r="C141" s="20"/>
      <c r="D141" s="20"/>
      <c r="E141" s="20"/>
      <c r="F141" s="16"/>
      <c r="G141" s="20"/>
      <c r="H141" s="20"/>
      <c r="I141" s="187"/>
      <c r="J141" s="188"/>
      <c r="K141" s="189">
        <f t="shared" ref="K141" si="71">I141+J141</f>
        <v>0</v>
      </c>
      <c r="L141" s="72"/>
      <c r="M141" s="212"/>
      <c r="N141" s="152"/>
      <c r="O141" s="44"/>
      <c r="Y141" s="8" t="str">
        <f>IF(A141="","",IFERROR(IF(VLOOKUP(A141,Entry!$D:$D,1,FALSE)=A141,"",ROW()),ROW()))</f>
        <v/>
      </c>
      <c r="Z141" s="8">
        <f t="shared" si="64"/>
        <v>140</v>
      </c>
      <c r="AA141" s="8" t="str">
        <f t="shared" si="63"/>
        <v/>
      </c>
      <c r="AG141" s="8" t="str">
        <f>IF(A141="","",IFERROR(IF(VLOOKUP(A141,Entry!$D:$D,1,FALSE)=A141,TRUE,FALSE),FALSE))</f>
        <v/>
      </c>
    </row>
    <row r="142" spans="1:33" ht="15" customHeight="1" x14ac:dyDescent="0.2">
      <c r="A142" s="111"/>
      <c r="B142" s="21"/>
      <c r="C142" s="21"/>
      <c r="D142" s="21"/>
      <c r="E142" s="21"/>
      <c r="F142" s="14"/>
      <c r="G142" s="21"/>
      <c r="H142" s="21"/>
      <c r="I142" s="190"/>
      <c r="J142" s="191"/>
      <c r="K142" s="189">
        <f t="shared" si="68"/>
        <v>0</v>
      </c>
      <c r="L142" s="73"/>
      <c r="M142" s="213"/>
      <c r="N142" s="153"/>
      <c r="O142" s="45"/>
      <c r="Y142" s="8" t="str">
        <f>IF(A142="","",IFERROR(IF(VLOOKUP(A142,Entry!$D:$D,1,FALSE)=A142,"",ROW()),ROW()))</f>
        <v/>
      </c>
      <c r="Z142" s="8">
        <f t="shared" si="64"/>
        <v>141</v>
      </c>
      <c r="AA142" s="8" t="str">
        <f t="shared" si="63"/>
        <v/>
      </c>
      <c r="AG142" s="8" t="str">
        <f>IF(A142="","",IFERROR(IF(VLOOKUP(A142,Entry!$D:$D,1,FALSE)=A142,TRUE,FALSE),FALSE))</f>
        <v/>
      </c>
    </row>
    <row r="143" spans="1:33" ht="15" customHeight="1" x14ac:dyDescent="0.2">
      <c r="A143" s="111"/>
      <c r="B143" s="21"/>
      <c r="C143" s="21"/>
      <c r="D143" s="21"/>
      <c r="E143" s="21"/>
      <c r="F143" s="14"/>
      <c r="G143" s="21"/>
      <c r="H143" s="21"/>
      <c r="I143" s="190"/>
      <c r="J143" s="191"/>
      <c r="K143" s="189">
        <f t="shared" si="68"/>
        <v>0</v>
      </c>
      <c r="L143" s="73"/>
      <c r="M143" s="213"/>
      <c r="N143" s="153"/>
      <c r="O143" s="45"/>
      <c r="Y143" s="8" t="str">
        <f>IF(A143="","",IFERROR(IF(VLOOKUP(A143,Entry!$D:$D,1,FALSE)=A143,"",ROW()),ROW()))</f>
        <v/>
      </c>
      <c r="Z143" s="8">
        <f t="shared" si="64"/>
        <v>142</v>
      </c>
      <c r="AA143" s="8" t="str">
        <f t="shared" si="63"/>
        <v/>
      </c>
      <c r="AG143" s="8" t="str">
        <f>IF(A143="","",IFERROR(IF(VLOOKUP(A143,Entry!$D:$D,1,FALSE)=A143,TRUE,FALSE),FALSE))</f>
        <v/>
      </c>
    </row>
    <row r="144" spans="1:33" ht="15" customHeight="1" x14ac:dyDescent="0.2">
      <c r="A144" s="111"/>
      <c r="B144" s="21"/>
      <c r="C144" s="21"/>
      <c r="D144" s="21"/>
      <c r="E144" s="21"/>
      <c r="F144" s="14"/>
      <c r="G144" s="21"/>
      <c r="H144" s="21"/>
      <c r="I144" s="190"/>
      <c r="J144" s="191"/>
      <c r="K144" s="189">
        <f t="shared" si="68"/>
        <v>0</v>
      </c>
      <c r="L144" s="73"/>
      <c r="M144" s="213"/>
      <c r="N144" s="153"/>
      <c r="O144" s="45"/>
      <c r="Y144" s="8" t="str">
        <f>IF(A144="","",IFERROR(IF(VLOOKUP(A144,Entry!$D:$D,1,FALSE)=A144,"",ROW()),ROW()))</f>
        <v/>
      </c>
      <c r="Z144" s="8">
        <f t="shared" si="64"/>
        <v>143</v>
      </c>
      <c r="AA144" s="8" t="str">
        <f t="shared" si="63"/>
        <v/>
      </c>
      <c r="AG144" s="8" t="str">
        <f>IF(A144="","",IFERROR(IF(VLOOKUP(A144,Entry!$D:$D,1,FALSE)=A144,TRUE,FALSE),FALSE))</f>
        <v/>
      </c>
    </row>
    <row r="145" spans="1:33" ht="15" customHeight="1" x14ac:dyDescent="0.2">
      <c r="A145" s="112"/>
      <c r="B145" s="22"/>
      <c r="C145" s="22"/>
      <c r="D145" s="22"/>
      <c r="E145" s="22"/>
      <c r="F145" s="15"/>
      <c r="G145" s="22"/>
      <c r="H145" s="22"/>
      <c r="I145" s="192"/>
      <c r="J145" s="193"/>
      <c r="K145" s="189">
        <f t="shared" si="68"/>
        <v>0</v>
      </c>
      <c r="L145" s="74"/>
      <c r="M145" s="214"/>
      <c r="N145" s="154"/>
      <c r="O145" s="46"/>
      <c r="Y145" s="8" t="str">
        <f>IF(A145="","",IFERROR(IF(VLOOKUP(A145,Entry!$D:$D,1,FALSE)=A145,"",ROW()),ROW()))</f>
        <v/>
      </c>
      <c r="Z145" s="8">
        <f t="shared" si="64"/>
        <v>144</v>
      </c>
      <c r="AA145" s="8" t="str">
        <f t="shared" si="63"/>
        <v/>
      </c>
      <c r="AG145" s="8" t="str">
        <f>IF(A145="","",IFERROR(IF(VLOOKUP(A145,Entry!$D:$D,1,FALSE)=A145,TRUE,FALSE),FALSE))</f>
        <v/>
      </c>
    </row>
    <row r="146" spans="1:33" ht="17.25" customHeight="1" x14ac:dyDescent="0.2">
      <c r="A146" s="113"/>
      <c r="B146" s="19"/>
      <c r="C146" s="19"/>
      <c r="D146" s="19"/>
      <c r="E146" s="19"/>
      <c r="F146" s="18"/>
      <c r="G146" s="19"/>
      <c r="H146" s="19"/>
      <c r="I146" s="194">
        <f t="shared" ref="I146:K146" si="72">SUM(I147:I151)</f>
        <v>0</v>
      </c>
      <c r="J146" s="195">
        <f t="shared" si="72"/>
        <v>0</v>
      </c>
      <c r="K146" s="195">
        <f t="shared" si="72"/>
        <v>0</v>
      </c>
      <c r="L146" s="104">
        <f t="shared" ref="L146" si="73">IFERROR(SUMPRODUCT(K147:K151,L147:L151)/SUM(K147:K151),0)</f>
        <v>0</v>
      </c>
      <c r="M146" s="215"/>
      <c r="N146" s="155"/>
      <c r="O146" s="47"/>
      <c r="Y146" s="8" t="str">
        <f>IF(A146="","",IFERROR(IF(VLOOKUP(A146,Entry!$D:$D,1,FALSE)=A146,"",ROW()),ROW()))</f>
        <v/>
      </c>
      <c r="Z146" s="8">
        <f t="shared" si="64"/>
        <v>145</v>
      </c>
      <c r="AA146" s="8" t="str">
        <f t="shared" si="63"/>
        <v/>
      </c>
      <c r="AG146" s="8" t="str">
        <f>IF(A146="","",IFERROR(IF(VLOOKUP(A146,Entry!$D:$D,1,FALSE)=A146,TRUE,FALSE),FALSE))</f>
        <v/>
      </c>
    </row>
    <row r="147" spans="1:33" ht="15" customHeight="1" x14ac:dyDescent="0.2">
      <c r="A147" s="110"/>
      <c r="B147" s="20"/>
      <c r="C147" s="20"/>
      <c r="D147" s="20"/>
      <c r="E147" s="20"/>
      <c r="F147" s="16"/>
      <c r="G147" s="20"/>
      <c r="H147" s="20"/>
      <c r="I147" s="187"/>
      <c r="J147" s="188"/>
      <c r="K147" s="189">
        <f t="shared" ref="K147" si="74">I147+J147</f>
        <v>0</v>
      </c>
      <c r="L147" s="72"/>
      <c r="M147" s="212"/>
      <c r="N147" s="152"/>
      <c r="O147" s="44"/>
      <c r="Y147" s="8" t="str">
        <f>IF(A147="","",IFERROR(IF(VLOOKUP(A147,Entry!$D:$D,1,FALSE)=A147,"",ROW()),ROW()))</f>
        <v/>
      </c>
      <c r="Z147" s="8">
        <f t="shared" si="64"/>
        <v>146</v>
      </c>
      <c r="AA147" s="8" t="str">
        <f t="shared" si="63"/>
        <v/>
      </c>
      <c r="AG147" s="8" t="str">
        <f>IF(A147="","",IFERROR(IF(VLOOKUP(A147,Entry!$D:$D,1,FALSE)=A147,TRUE,FALSE),FALSE))</f>
        <v/>
      </c>
    </row>
    <row r="148" spans="1:33" ht="15" customHeight="1" x14ac:dyDescent="0.2">
      <c r="A148" s="111"/>
      <c r="B148" s="21"/>
      <c r="C148" s="21"/>
      <c r="D148" s="21"/>
      <c r="E148" s="21"/>
      <c r="F148" s="14"/>
      <c r="G148" s="21"/>
      <c r="H148" s="21"/>
      <c r="I148" s="190"/>
      <c r="J148" s="191"/>
      <c r="K148" s="189">
        <f t="shared" si="68"/>
        <v>0</v>
      </c>
      <c r="L148" s="73"/>
      <c r="M148" s="213"/>
      <c r="N148" s="153"/>
      <c r="O148" s="45"/>
      <c r="Y148" s="8" t="str">
        <f>IF(A148="","",IFERROR(IF(VLOOKUP(A148,Entry!$D:$D,1,FALSE)=A148,"",ROW()),ROW()))</f>
        <v/>
      </c>
      <c r="Z148" s="8">
        <f t="shared" si="64"/>
        <v>147</v>
      </c>
      <c r="AA148" s="8" t="str">
        <f t="shared" si="63"/>
        <v/>
      </c>
      <c r="AG148" s="8" t="str">
        <f>IF(A148="","",IFERROR(IF(VLOOKUP(A148,Entry!$D:$D,1,FALSE)=A148,TRUE,FALSE),FALSE))</f>
        <v/>
      </c>
    </row>
    <row r="149" spans="1:33" ht="15" customHeight="1" x14ac:dyDescent="0.2">
      <c r="A149" s="111"/>
      <c r="B149" s="21"/>
      <c r="C149" s="21"/>
      <c r="D149" s="21"/>
      <c r="E149" s="21"/>
      <c r="F149" s="14"/>
      <c r="G149" s="21"/>
      <c r="H149" s="21"/>
      <c r="I149" s="190"/>
      <c r="J149" s="191"/>
      <c r="K149" s="189">
        <f t="shared" si="68"/>
        <v>0</v>
      </c>
      <c r="L149" s="73"/>
      <c r="M149" s="213"/>
      <c r="N149" s="153"/>
      <c r="O149" s="45"/>
      <c r="Y149" s="8" t="str">
        <f>IF(A149="","",IFERROR(IF(VLOOKUP(A149,Entry!$D:$D,1,FALSE)=A149,"",ROW()),ROW()))</f>
        <v/>
      </c>
      <c r="Z149" s="8">
        <f t="shared" si="64"/>
        <v>148</v>
      </c>
      <c r="AA149" s="8" t="str">
        <f t="shared" si="63"/>
        <v/>
      </c>
      <c r="AG149" s="8" t="str">
        <f>IF(A149="","",IFERROR(IF(VLOOKUP(A149,Entry!$D:$D,1,FALSE)=A149,TRUE,FALSE),FALSE))</f>
        <v/>
      </c>
    </row>
    <row r="150" spans="1:33" ht="15" customHeight="1" x14ac:dyDescent="0.2">
      <c r="A150" s="111"/>
      <c r="B150" s="21"/>
      <c r="C150" s="21"/>
      <c r="D150" s="21"/>
      <c r="E150" s="21"/>
      <c r="F150" s="14"/>
      <c r="G150" s="21"/>
      <c r="H150" s="21"/>
      <c r="I150" s="190"/>
      <c r="J150" s="191"/>
      <c r="K150" s="189">
        <f t="shared" si="68"/>
        <v>0</v>
      </c>
      <c r="L150" s="73"/>
      <c r="M150" s="213"/>
      <c r="N150" s="153"/>
      <c r="O150" s="45"/>
      <c r="Y150" s="8" t="str">
        <f>IF(A150="","",IFERROR(IF(VLOOKUP(A150,Entry!$D:$D,1,FALSE)=A150,"",ROW()),ROW()))</f>
        <v/>
      </c>
      <c r="Z150" s="8">
        <f t="shared" si="64"/>
        <v>149</v>
      </c>
      <c r="AA150" s="8" t="str">
        <f t="shared" si="63"/>
        <v/>
      </c>
      <c r="AG150" s="8" t="str">
        <f>IF(A150="","",IFERROR(IF(VLOOKUP(A150,Entry!$D:$D,1,FALSE)=A150,TRUE,FALSE),FALSE))</f>
        <v/>
      </c>
    </row>
    <row r="151" spans="1:33" ht="15" customHeight="1" x14ac:dyDescent="0.2">
      <c r="A151" s="112"/>
      <c r="B151" s="22"/>
      <c r="C151" s="22"/>
      <c r="D151" s="22"/>
      <c r="E151" s="22"/>
      <c r="F151" s="15"/>
      <c r="G151" s="22"/>
      <c r="H151" s="22"/>
      <c r="I151" s="192"/>
      <c r="J151" s="193"/>
      <c r="K151" s="189">
        <f t="shared" si="68"/>
        <v>0</v>
      </c>
      <c r="L151" s="74"/>
      <c r="M151" s="214"/>
      <c r="N151" s="154"/>
      <c r="O151" s="46"/>
      <c r="Y151" s="8" t="str">
        <f>IF(A151="","",IFERROR(IF(VLOOKUP(A151,Entry!$D:$D,1,FALSE)=A151,"",ROW()),ROW()))</f>
        <v/>
      </c>
      <c r="Z151" s="8">
        <f t="shared" si="64"/>
        <v>150</v>
      </c>
      <c r="AA151" s="8" t="str">
        <f t="shared" si="63"/>
        <v/>
      </c>
      <c r="AG151" s="8" t="str">
        <f>IF(A151="","",IFERROR(IF(VLOOKUP(A151,Entry!$D:$D,1,FALSE)=A151,TRUE,FALSE),FALSE))</f>
        <v/>
      </c>
    </row>
    <row r="152" spans="1:33" ht="17.25" customHeight="1" x14ac:dyDescent="0.2">
      <c r="A152" s="113"/>
      <c r="B152" s="19"/>
      <c r="C152" s="19"/>
      <c r="D152" s="19"/>
      <c r="E152" s="19"/>
      <c r="F152" s="18"/>
      <c r="G152" s="19"/>
      <c r="H152" s="19"/>
      <c r="I152" s="194">
        <f t="shared" ref="I152:K152" si="75">SUM(I153:I157)</f>
        <v>0</v>
      </c>
      <c r="J152" s="195">
        <f t="shared" si="75"/>
        <v>0</v>
      </c>
      <c r="K152" s="195">
        <f t="shared" si="75"/>
        <v>0</v>
      </c>
      <c r="L152" s="104">
        <f t="shared" ref="L152" si="76">IFERROR(SUMPRODUCT(K153:K157,L153:L157)/SUM(K153:K157),0)</f>
        <v>0</v>
      </c>
      <c r="M152" s="215"/>
      <c r="N152" s="155"/>
      <c r="O152" s="47"/>
      <c r="Y152" s="8" t="str">
        <f>IF(A152="","",IFERROR(IF(VLOOKUP(A152,Entry!$D:$D,1,FALSE)=A152,"",ROW()),ROW()))</f>
        <v/>
      </c>
      <c r="Z152" s="8">
        <f t="shared" si="64"/>
        <v>151</v>
      </c>
      <c r="AA152" s="8" t="str">
        <f t="shared" si="63"/>
        <v/>
      </c>
      <c r="AG152" s="8" t="str">
        <f>IF(A152="","",IFERROR(IF(VLOOKUP(A152,Entry!$D:$D,1,FALSE)=A152,TRUE,FALSE),FALSE))</f>
        <v/>
      </c>
    </row>
    <row r="153" spans="1:33" ht="15" customHeight="1" x14ac:dyDescent="0.2">
      <c r="A153" s="110"/>
      <c r="B153" s="20"/>
      <c r="C153" s="20"/>
      <c r="D153" s="20"/>
      <c r="E153" s="20"/>
      <c r="F153" s="16"/>
      <c r="G153" s="20"/>
      <c r="H153" s="20"/>
      <c r="I153" s="187"/>
      <c r="J153" s="188"/>
      <c r="K153" s="189">
        <f t="shared" ref="K153" si="77">I153+J153</f>
        <v>0</v>
      </c>
      <c r="L153" s="72"/>
      <c r="M153" s="212"/>
      <c r="N153" s="152"/>
      <c r="O153" s="44"/>
      <c r="Y153" s="8" t="str">
        <f>IF(A153="","",IFERROR(IF(VLOOKUP(A153,Entry!$D:$D,1,FALSE)=A153,"",ROW()),ROW()))</f>
        <v/>
      </c>
      <c r="Z153" s="8">
        <f t="shared" si="64"/>
        <v>152</v>
      </c>
      <c r="AA153" s="8" t="str">
        <f t="shared" si="63"/>
        <v/>
      </c>
      <c r="AG153" s="8" t="str">
        <f>IF(A153="","",IFERROR(IF(VLOOKUP(A153,Entry!$D:$D,1,FALSE)=A153,TRUE,FALSE),FALSE))</f>
        <v/>
      </c>
    </row>
    <row r="154" spans="1:33" ht="15" customHeight="1" x14ac:dyDescent="0.2">
      <c r="A154" s="111"/>
      <c r="B154" s="21"/>
      <c r="C154" s="21"/>
      <c r="D154" s="21"/>
      <c r="E154" s="21"/>
      <c r="F154" s="14"/>
      <c r="G154" s="21"/>
      <c r="H154" s="21"/>
      <c r="I154" s="190"/>
      <c r="J154" s="191"/>
      <c r="K154" s="189">
        <f t="shared" si="68"/>
        <v>0</v>
      </c>
      <c r="L154" s="73"/>
      <c r="M154" s="213"/>
      <c r="N154" s="153"/>
      <c r="O154" s="45"/>
      <c r="Y154" s="8" t="str">
        <f>IF(A154="","",IFERROR(IF(VLOOKUP(A154,Entry!$D:$D,1,FALSE)=A154,"",ROW()),ROW()))</f>
        <v/>
      </c>
      <c r="Z154" s="8">
        <f t="shared" si="64"/>
        <v>153</v>
      </c>
      <c r="AA154" s="8" t="str">
        <f t="shared" si="63"/>
        <v/>
      </c>
      <c r="AG154" s="8" t="str">
        <f>IF(A154="","",IFERROR(IF(VLOOKUP(A154,Entry!$D:$D,1,FALSE)=A154,TRUE,FALSE),FALSE))</f>
        <v/>
      </c>
    </row>
    <row r="155" spans="1:33" ht="15" customHeight="1" x14ac:dyDescent="0.2">
      <c r="A155" s="111"/>
      <c r="B155" s="21"/>
      <c r="C155" s="21"/>
      <c r="D155" s="21"/>
      <c r="E155" s="21"/>
      <c r="F155" s="14"/>
      <c r="G155" s="21"/>
      <c r="H155" s="21"/>
      <c r="I155" s="190"/>
      <c r="J155" s="191"/>
      <c r="K155" s="189">
        <f t="shared" si="68"/>
        <v>0</v>
      </c>
      <c r="L155" s="73"/>
      <c r="M155" s="213"/>
      <c r="N155" s="153"/>
      <c r="O155" s="45"/>
      <c r="Y155" s="8" t="str">
        <f>IF(A155="","",IFERROR(IF(VLOOKUP(A155,Entry!$D:$D,1,FALSE)=A155,"",ROW()),ROW()))</f>
        <v/>
      </c>
      <c r="Z155" s="8">
        <f t="shared" si="64"/>
        <v>154</v>
      </c>
      <c r="AA155" s="8" t="str">
        <f t="shared" si="63"/>
        <v/>
      </c>
      <c r="AG155" s="8" t="str">
        <f>IF(A155="","",IFERROR(IF(VLOOKUP(A155,Entry!$D:$D,1,FALSE)=A155,TRUE,FALSE),FALSE))</f>
        <v/>
      </c>
    </row>
    <row r="156" spans="1:33" ht="15" customHeight="1" x14ac:dyDescent="0.2">
      <c r="A156" s="111"/>
      <c r="B156" s="21"/>
      <c r="C156" s="21"/>
      <c r="D156" s="21"/>
      <c r="E156" s="21"/>
      <c r="F156" s="14"/>
      <c r="G156" s="21"/>
      <c r="H156" s="21"/>
      <c r="I156" s="190"/>
      <c r="J156" s="191"/>
      <c r="K156" s="189">
        <f t="shared" si="68"/>
        <v>0</v>
      </c>
      <c r="L156" s="73"/>
      <c r="M156" s="213"/>
      <c r="N156" s="153"/>
      <c r="O156" s="45"/>
      <c r="Y156" s="8" t="str">
        <f>IF(A156="","",IFERROR(IF(VLOOKUP(A156,Entry!$D:$D,1,FALSE)=A156,"",ROW()),ROW()))</f>
        <v/>
      </c>
      <c r="Z156" s="8">
        <f t="shared" si="64"/>
        <v>155</v>
      </c>
      <c r="AA156" s="8" t="str">
        <f t="shared" si="63"/>
        <v/>
      </c>
      <c r="AG156" s="8" t="str">
        <f>IF(A156="","",IFERROR(IF(VLOOKUP(A156,Entry!$D:$D,1,FALSE)=A156,TRUE,FALSE),FALSE))</f>
        <v/>
      </c>
    </row>
    <row r="157" spans="1:33" ht="15" customHeight="1" x14ac:dyDescent="0.2">
      <c r="A157" s="112"/>
      <c r="B157" s="22"/>
      <c r="C157" s="22"/>
      <c r="D157" s="22"/>
      <c r="E157" s="22"/>
      <c r="F157" s="15"/>
      <c r="G157" s="22"/>
      <c r="H157" s="22"/>
      <c r="I157" s="192"/>
      <c r="J157" s="193"/>
      <c r="K157" s="189">
        <f t="shared" si="68"/>
        <v>0</v>
      </c>
      <c r="L157" s="74"/>
      <c r="M157" s="214"/>
      <c r="N157" s="154"/>
      <c r="O157" s="46"/>
      <c r="Y157" s="8" t="str">
        <f>IF(A157="","",IFERROR(IF(VLOOKUP(A157,Entry!$D:$D,1,FALSE)=A157,"",ROW()),ROW()))</f>
        <v/>
      </c>
      <c r="Z157" s="8">
        <f t="shared" si="64"/>
        <v>156</v>
      </c>
      <c r="AA157" s="8" t="str">
        <f t="shared" si="63"/>
        <v/>
      </c>
      <c r="AG157" s="8" t="str">
        <f>IF(A157="","",IFERROR(IF(VLOOKUP(A157,Entry!$D:$D,1,FALSE)=A157,TRUE,FALSE),FALSE))</f>
        <v/>
      </c>
    </row>
    <row r="158" spans="1:33" ht="17.25" customHeight="1" x14ac:dyDescent="0.2">
      <c r="A158" s="113"/>
      <c r="B158" s="19"/>
      <c r="C158" s="19"/>
      <c r="D158" s="19"/>
      <c r="E158" s="19"/>
      <c r="F158" s="18"/>
      <c r="G158" s="19"/>
      <c r="H158" s="19"/>
      <c r="I158" s="194">
        <f t="shared" ref="I158:K158" si="78">SUM(I159:I163)</f>
        <v>0</v>
      </c>
      <c r="J158" s="195">
        <f t="shared" si="78"/>
        <v>0</v>
      </c>
      <c r="K158" s="195">
        <f t="shared" si="78"/>
        <v>0</v>
      </c>
      <c r="L158" s="104">
        <f t="shared" ref="L158" si="79">IFERROR(SUMPRODUCT(K159:K163,L159:L163)/SUM(K159:K163),0)</f>
        <v>0</v>
      </c>
      <c r="M158" s="215"/>
      <c r="N158" s="155"/>
      <c r="O158" s="47"/>
      <c r="Y158" s="8" t="str">
        <f>IF(A158="","",IFERROR(IF(VLOOKUP(A158,Entry!$D:$D,1,FALSE)=A158,"",ROW()),ROW()))</f>
        <v/>
      </c>
      <c r="Z158" s="8">
        <f t="shared" si="64"/>
        <v>157</v>
      </c>
      <c r="AA158" s="8" t="str">
        <f t="shared" si="63"/>
        <v/>
      </c>
      <c r="AG158" s="8" t="str">
        <f>IF(A158="","",IFERROR(IF(VLOOKUP(A158,Entry!$D:$D,1,FALSE)=A158,TRUE,FALSE),FALSE))</f>
        <v/>
      </c>
    </row>
    <row r="159" spans="1:33" ht="15" customHeight="1" x14ac:dyDescent="0.2">
      <c r="A159" s="110"/>
      <c r="B159" s="20"/>
      <c r="C159" s="20"/>
      <c r="D159" s="20"/>
      <c r="E159" s="20"/>
      <c r="F159" s="16"/>
      <c r="G159" s="20"/>
      <c r="H159" s="20"/>
      <c r="I159" s="187"/>
      <c r="J159" s="188"/>
      <c r="K159" s="189">
        <f t="shared" ref="K159" si="80">I159+J159</f>
        <v>0</v>
      </c>
      <c r="L159" s="72"/>
      <c r="M159" s="212"/>
      <c r="N159" s="152"/>
      <c r="O159" s="44"/>
      <c r="Y159" s="8" t="str">
        <f>IF(A159="","",IFERROR(IF(VLOOKUP(A159,Entry!$D:$D,1,FALSE)=A159,"",ROW()),ROW()))</f>
        <v/>
      </c>
      <c r="Z159" s="8">
        <f t="shared" si="64"/>
        <v>158</v>
      </c>
      <c r="AA159" s="8" t="str">
        <f t="shared" si="63"/>
        <v/>
      </c>
      <c r="AG159" s="8" t="str">
        <f>IF(A159="","",IFERROR(IF(VLOOKUP(A159,Entry!$D:$D,1,FALSE)=A159,TRUE,FALSE),FALSE))</f>
        <v/>
      </c>
    </row>
    <row r="160" spans="1:33" ht="15" customHeight="1" x14ac:dyDescent="0.2">
      <c r="A160" s="111"/>
      <c r="B160" s="21"/>
      <c r="C160" s="21"/>
      <c r="D160" s="21"/>
      <c r="E160" s="21"/>
      <c r="F160" s="14"/>
      <c r="G160" s="21"/>
      <c r="H160" s="21"/>
      <c r="I160" s="190"/>
      <c r="J160" s="191"/>
      <c r="K160" s="189">
        <f t="shared" si="68"/>
        <v>0</v>
      </c>
      <c r="L160" s="73"/>
      <c r="M160" s="213"/>
      <c r="N160" s="153"/>
      <c r="O160" s="45"/>
      <c r="Y160" s="8" t="str">
        <f>IF(A160="","",IFERROR(IF(VLOOKUP(A160,Entry!$D:$D,1,FALSE)=A160,"",ROW()),ROW()))</f>
        <v/>
      </c>
      <c r="Z160" s="8">
        <f t="shared" si="64"/>
        <v>159</v>
      </c>
      <c r="AA160" s="8" t="str">
        <f t="shared" si="63"/>
        <v/>
      </c>
      <c r="AG160" s="8" t="str">
        <f>IF(A160="","",IFERROR(IF(VLOOKUP(A160,Entry!$D:$D,1,FALSE)=A160,TRUE,FALSE),FALSE))</f>
        <v/>
      </c>
    </row>
    <row r="161" spans="1:33" ht="15" customHeight="1" x14ac:dyDescent="0.2">
      <c r="A161" s="111"/>
      <c r="B161" s="21"/>
      <c r="C161" s="21"/>
      <c r="D161" s="21"/>
      <c r="E161" s="21"/>
      <c r="F161" s="14"/>
      <c r="G161" s="21"/>
      <c r="H161" s="21"/>
      <c r="I161" s="190"/>
      <c r="J161" s="191"/>
      <c r="K161" s="189">
        <f t="shared" si="68"/>
        <v>0</v>
      </c>
      <c r="L161" s="73"/>
      <c r="M161" s="213"/>
      <c r="N161" s="153"/>
      <c r="O161" s="45"/>
      <c r="Y161" s="8" t="str">
        <f>IF(A161="","",IFERROR(IF(VLOOKUP(A161,Entry!$D:$D,1,FALSE)=A161,"",ROW()),ROW()))</f>
        <v/>
      </c>
      <c r="Z161" s="8">
        <f t="shared" si="64"/>
        <v>160</v>
      </c>
      <c r="AA161" s="8" t="str">
        <f t="shared" si="63"/>
        <v/>
      </c>
      <c r="AG161" s="8" t="str">
        <f>IF(A161="","",IFERROR(IF(VLOOKUP(A161,Entry!$D:$D,1,FALSE)=A161,TRUE,FALSE),FALSE))</f>
        <v/>
      </c>
    </row>
    <row r="162" spans="1:33" ht="15" customHeight="1" x14ac:dyDescent="0.2">
      <c r="A162" s="111"/>
      <c r="B162" s="21"/>
      <c r="C162" s="21"/>
      <c r="D162" s="21"/>
      <c r="E162" s="21"/>
      <c r="F162" s="14"/>
      <c r="G162" s="21"/>
      <c r="H162" s="21"/>
      <c r="I162" s="190"/>
      <c r="J162" s="191"/>
      <c r="K162" s="189">
        <f t="shared" si="68"/>
        <v>0</v>
      </c>
      <c r="L162" s="73"/>
      <c r="M162" s="213"/>
      <c r="N162" s="153"/>
      <c r="O162" s="45"/>
      <c r="Y162" s="8" t="str">
        <f>IF(A162="","",IFERROR(IF(VLOOKUP(A162,Entry!$D:$D,1,FALSE)=A162,"",ROW()),ROW()))</f>
        <v/>
      </c>
      <c r="Z162" s="8">
        <f t="shared" si="64"/>
        <v>161</v>
      </c>
      <c r="AA162" s="8" t="str">
        <f t="shared" si="63"/>
        <v/>
      </c>
      <c r="AG162" s="8" t="str">
        <f>IF(A162="","",IFERROR(IF(VLOOKUP(A162,Entry!$D:$D,1,FALSE)=A162,TRUE,FALSE),FALSE))</f>
        <v/>
      </c>
    </row>
    <row r="163" spans="1:33" ht="15" customHeight="1" x14ac:dyDescent="0.2">
      <c r="A163" s="112"/>
      <c r="B163" s="22"/>
      <c r="C163" s="22"/>
      <c r="D163" s="22"/>
      <c r="E163" s="22"/>
      <c r="F163" s="15"/>
      <c r="G163" s="22"/>
      <c r="H163" s="22"/>
      <c r="I163" s="192"/>
      <c r="J163" s="193"/>
      <c r="K163" s="189">
        <f t="shared" si="68"/>
        <v>0</v>
      </c>
      <c r="L163" s="74"/>
      <c r="M163" s="214"/>
      <c r="N163" s="154"/>
      <c r="O163" s="46"/>
      <c r="Y163" s="8" t="str">
        <f>IF(A163="","",IFERROR(IF(VLOOKUP(A163,Entry!$D:$D,1,FALSE)=A163,"",ROW()),ROW()))</f>
        <v/>
      </c>
      <c r="Z163" s="8">
        <f t="shared" si="64"/>
        <v>162</v>
      </c>
      <c r="AA163" s="8" t="str">
        <f t="shared" si="63"/>
        <v/>
      </c>
      <c r="AG163" s="8" t="str">
        <f>IF(A163="","",IFERROR(IF(VLOOKUP(A163,Entry!$D:$D,1,FALSE)=A163,TRUE,FALSE),FALSE))</f>
        <v/>
      </c>
    </row>
    <row r="164" spans="1:33" ht="17.25" customHeight="1" x14ac:dyDescent="0.2">
      <c r="A164" s="113"/>
      <c r="B164" s="19"/>
      <c r="C164" s="19"/>
      <c r="D164" s="19"/>
      <c r="E164" s="19"/>
      <c r="F164" s="18"/>
      <c r="G164" s="19"/>
      <c r="H164" s="19"/>
      <c r="I164" s="194">
        <f t="shared" ref="I164:K164" si="81">SUM(I165:I169)</f>
        <v>0</v>
      </c>
      <c r="J164" s="195">
        <f t="shared" si="81"/>
        <v>0</v>
      </c>
      <c r="K164" s="195">
        <f t="shared" si="81"/>
        <v>0</v>
      </c>
      <c r="L164" s="104">
        <f t="shared" ref="L164" si="82">IFERROR(SUMPRODUCT(K165:K169,L165:L169)/SUM(K165:K169),0)</f>
        <v>0</v>
      </c>
      <c r="M164" s="215"/>
      <c r="N164" s="155"/>
      <c r="O164" s="47"/>
      <c r="Y164" s="8" t="str">
        <f>IF(A164="","",IFERROR(IF(VLOOKUP(A164,Entry!$D:$D,1,FALSE)=A164,"",ROW()),ROW()))</f>
        <v/>
      </c>
      <c r="Z164" s="8">
        <f t="shared" si="64"/>
        <v>163</v>
      </c>
      <c r="AA164" s="8" t="str">
        <f t="shared" si="63"/>
        <v/>
      </c>
      <c r="AG164" s="8" t="str">
        <f>IF(A164="","",IFERROR(IF(VLOOKUP(A164,Entry!$D:$D,1,FALSE)=A164,TRUE,FALSE),FALSE))</f>
        <v/>
      </c>
    </row>
    <row r="165" spans="1:33" ht="15" customHeight="1" x14ac:dyDescent="0.2">
      <c r="A165" s="110"/>
      <c r="B165" s="20"/>
      <c r="C165" s="20"/>
      <c r="D165" s="20"/>
      <c r="E165" s="20"/>
      <c r="F165" s="16"/>
      <c r="G165" s="20"/>
      <c r="H165" s="20"/>
      <c r="I165" s="187"/>
      <c r="J165" s="188"/>
      <c r="K165" s="189">
        <f t="shared" ref="K165" si="83">I165+J165</f>
        <v>0</v>
      </c>
      <c r="L165" s="72"/>
      <c r="M165" s="212"/>
      <c r="N165" s="152"/>
      <c r="O165" s="44"/>
      <c r="Y165" s="8" t="str">
        <f>IF(A165="","",IFERROR(IF(VLOOKUP(A165,Entry!$D:$D,1,FALSE)=A165,"",ROW()),ROW()))</f>
        <v/>
      </c>
      <c r="Z165" s="8">
        <f t="shared" si="64"/>
        <v>164</v>
      </c>
      <c r="AA165" s="8" t="str">
        <f t="shared" si="63"/>
        <v/>
      </c>
      <c r="AG165" s="8" t="str">
        <f>IF(A165="","",IFERROR(IF(VLOOKUP(A165,Entry!$D:$D,1,FALSE)=A165,TRUE,FALSE),FALSE))</f>
        <v/>
      </c>
    </row>
    <row r="166" spans="1:33" ht="15" customHeight="1" x14ac:dyDescent="0.2">
      <c r="A166" s="111"/>
      <c r="B166" s="21"/>
      <c r="C166" s="21"/>
      <c r="D166" s="21"/>
      <c r="E166" s="21"/>
      <c r="F166" s="14"/>
      <c r="G166" s="21"/>
      <c r="H166" s="21"/>
      <c r="I166" s="190"/>
      <c r="J166" s="191"/>
      <c r="K166" s="189">
        <f t="shared" si="68"/>
        <v>0</v>
      </c>
      <c r="L166" s="73"/>
      <c r="M166" s="213"/>
      <c r="N166" s="153"/>
      <c r="O166" s="45"/>
      <c r="Y166" s="8" t="str">
        <f>IF(A166="","",IFERROR(IF(VLOOKUP(A166,Entry!$D:$D,1,FALSE)=A166,"",ROW()),ROW()))</f>
        <v/>
      </c>
      <c r="Z166" s="8">
        <f t="shared" si="64"/>
        <v>165</v>
      </c>
      <c r="AA166" s="8" t="str">
        <f t="shared" si="63"/>
        <v/>
      </c>
      <c r="AG166" s="8" t="str">
        <f>IF(A166="","",IFERROR(IF(VLOOKUP(A166,Entry!$D:$D,1,FALSE)=A166,TRUE,FALSE),FALSE))</f>
        <v/>
      </c>
    </row>
    <row r="167" spans="1:33" ht="15" customHeight="1" x14ac:dyDescent="0.2">
      <c r="A167" s="111"/>
      <c r="B167" s="21"/>
      <c r="C167" s="21"/>
      <c r="D167" s="21"/>
      <c r="E167" s="21"/>
      <c r="F167" s="14"/>
      <c r="G167" s="21"/>
      <c r="H167" s="21"/>
      <c r="I167" s="190"/>
      <c r="J167" s="191"/>
      <c r="K167" s="189">
        <f t="shared" si="68"/>
        <v>0</v>
      </c>
      <c r="L167" s="73"/>
      <c r="M167" s="213"/>
      <c r="N167" s="153"/>
      <c r="O167" s="45"/>
      <c r="Y167" s="8" t="str">
        <f>IF(A167="","",IFERROR(IF(VLOOKUP(A167,Entry!$D:$D,1,FALSE)=A167,"",ROW()),ROW()))</f>
        <v/>
      </c>
      <c r="Z167" s="8">
        <f t="shared" si="64"/>
        <v>166</v>
      </c>
      <c r="AA167" s="8" t="str">
        <f t="shared" si="63"/>
        <v/>
      </c>
      <c r="AG167" s="8" t="str">
        <f>IF(A167="","",IFERROR(IF(VLOOKUP(A167,Entry!$D:$D,1,FALSE)=A167,TRUE,FALSE),FALSE))</f>
        <v/>
      </c>
    </row>
    <row r="168" spans="1:33" ht="15" customHeight="1" x14ac:dyDescent="0.2">
      <c r="A168" s="111"/>
      <c r="B168" s="21"/>
      <c r="C168" s="21"/>
      <c r="D168" s="21"/>
      <c r="E168" s="21"/>
      <c r="F168" s="14"/>
      <c r="G168" s="21"/>
      <c r="H168" s="21"/>
      <c r="I168" s="190"/>
      <c r="J168" s="191"/>
      <c r="K168" s="189">
        <f t="shared" si="68"/>
        <v>0</v>
      </c>
      <c r="L168" s="73"/>
      <c r="M168" s="213"/>
      <c r="N168" s="153"/>
      <c r="O168" s="45"/>
      <c r="Y168" s="8" t="str">
        <f>IF(A168="","",IFERROR(IF(VLOOKUP(A168,Entry!$D:$D,1,FALSE)=A168,"",ROW()),ROW()))</f>
        <v/>
      </c>
      <c r="Z168" s="8">
        <f t="shared" si="64"/>
        <v>167</v>
      </c>
      <c r="AA168" s="8" t="str">
        <f t="shared" si="63"/>
        <v/>
      </c>
      <c r="AG168" s="8" t="str">
        <f>IF(A168="","",IFERROR(IF(VLOOKUP(A168,Entry!$D:$D,1,FALSE)=A168,TRUE,FALSE),FALSE))</f>
        <v/>
      </c>
    </row>
    <row r="169" spans="1:33" ht="15" customHeight="1" x14ac:dyDescent="0.2">
      <c r="A169" s="112"/>
      <c r="B169" s="22"/>
      <c r="C169" s="22"/>
      <c r="D169" s="22"/>
      <c r="E169" s="22"/>
      <c r="F169" s="15"/>
      <c r="G169" s="22"/>
      <c r="H169" s="22"/>
      <c r="I169" s="192"/>
      <c r="J169" s="193"/>
      <c r="K169" s="189">
        <f t="shared" si="68"/>
        <v>0</v>
      </c>
      <c r="L169" s="74"/>
      <c r="M169" s="214"/>
      <c r="N169" s="154"/>
      <c r="O169" s="46"/>
      <c r="Y169" s="8" t="str">
        <f>IF(A169="","",IFERROR(IF(VLOOKUP(A169,Entry!$D:$D,1,FALSE)=A169,"",ROW()),ROW()))</f>
        <v/>
      </c>
      <c r="Z169" s="8">
        <f t="shared" si="64"/>
        <v>168</v>
      </c>
      <c r="AA169" s="8" t="str">
        <f t="shared" si="63"/>
        <v/>
      </c>
      <c r="AG169" s="8" t="str">
        <f>IF(A169="","",IFERROR(IF(VLOOKUP(A169,Entry!$D:$D,1,FALSE)=A169,TRUE,FALSE),FALSE))</f>
        <v/>
      </c>
    </row>
    <row r="170" spans="1:33" ht="17.25" customHeight="1" x14ac:dyDescent="0.2">
      <c r="A170" s="113"/>
      <c r="B170" s="19"/>
      <c r="C170" s="19"/>
      <c r="D170" s="19"/>
      <c r="E170" s="19"/>
      <c r="F170" s="18"/>
      <c r="G170" s="19"/>
      <c r="H170" s="19"/>
      <c r="I170" s="194">
        <f t="shared" ref="I170:K170" si="84">SUM(I171:I175)</f>
        <v>0</v>
      </c>
      <c r="J170" s="195">
        <f t="shared" si="84"/>
        <v>0</v>
      </c>
      <c r="K170" s="195">
        <f t="shared" si="84"/>
        <v>0</v>
      </c>
      <c r="L170" s="104">
        <f t="shared" ref="L170" si="85">IFERROR(SUMPRODUCT(K171:K175,L171:L175)/SUM(K171:K175),0)</f>
        <v>0</v>
      </c>
      <c r="M170" s="215"/>
      <c r="N170" s="155"/>
      <c r="O170" s="47"/>
      <c r="Y170" s="8" t="str">
        <f>IF(A170="","",IFERROR(IF(VLOOKUP(A170,Entry!$D:$D,1,FALSE)=A170,"",ROW()),ROW()))</f>
        <v/>
      </c>
      <c r="Z170" s="8">
        <f t="shared" si="64"/>
        <v>169</v>
      </c>
      <c r="AA170" s="8" t="str">
        <f t="shared" si="63"/>
        <v/>
      </c>
      <c r="AG170" s="8" t="str">
        <f>IF(A170="","",IFERROR(IF(VLOOKUP(A170,Entry!$D:$D,1,FALSE)=A170,TRUE,FALSE),FALSE))</f>
        <v/>
      </c>
    </row>
    <row r="171" spans="1:33" ht="15" customHeight="1" x14ac:dyDescent="0.2">
      <c r="A171" s="110"/>
      <c r="B171" s="20"/>
      <c r="C171" s="20"/>
      <c r="D171" s="20"/>
      <c r="E171" s="20"/>
      <c r="F171" s="16"/>
      <c r="G171" s="20"/>
      <c r="H171" s="20"/>
      <c r="I171" s="187"/>
      <c r="J171" s="188"/>
      <c r="K171" s="189">
        <f t="shared" ref="K171" si="86">I171+J171</f>
        <v>0</v>
      </c>
      <c r="L171" s="72"/>
      <c r="M171" s="212"/>
      <c r="N171" s="152"/>
      <c r="O171" s="44"/>
      <c r="Y171" s="8" t="str">
        <f>IF(A171="","",IFERROR(IF(VLOOKUP(A171,Entry!$D:$D,1,FALSE)=A171,"",ROW()),ROW()))</f>
        <v/>
      </c>
      <c r="Z171" s="8">
        <f t="shared" si="64"/>
        <v>170</v>
      </c>
      <c r="AA171" s="8" t="str">
        <f t="shared" si="63"/>
        <v/>
      </c>
      <c r="AG171" s="8" t="str">
        <f>IF(A171="","",IFERROR(IF(VLOOKUP(A171,Entry!$D:$D,1,FALSE)=A171,TRUE,FALSE),FALSE))</f>
        <v/>
      </c>
    </row>
    <row r="172" spans="1:33" ht="15" customHeight="1" x14ac:dyDescent="0.2">
      <c r="A172" s="111"/>
      <c r="B172" s="21"/>
      <c r="C172" s="21"/>
      <c r="D172" s="21"/>
      <c r="E172" s="21"/>
      <c r="F172" s="14"/>
      <c r="G172" s="21"/>
      <c r="H172" s="21"/>
      <c r="I172" s="190"/>
      <c r="J172" s="191"/>
      <c r="K172" s="189">
        <f t="shared" si="68"/>
        <v>0</v>
      </c>
      <c r="L172" s="73"/>
      <c r="M172" s="213"/>
      <c r="N172" s="153"/>
      <c r="O172" s="45"/>
      <c r="Y172" s="8" t="str">
        <f>IF(A172="","",IFERROR(IF(VLOOKUP(A172,Entry!$D:$D,1,FALSE)=A172,"",ROW()),ROW()))</f>
        <v/>
      </c>
      <c r="Z172" s="8">
        <f t="shared" si="64"/>
        <v>171</v>
      </c>
      <c r="AA172" s="8" t="str">
        <f t="shared" si="63"/>
        <v/>
      </c>
      <c r="AG172" s="8" t="str">
        <f>IF(A172="","",IFERROR(IF(VLOOKUP(A172,Entry!$D:$D,1,FALSE)=A172,TRUE,FALSE),FALSE))</f>
        <v/>
      </c>
    </row>
    <row r="173" spans="1:33" ht="15" customHeight="1" x14ac:dyDescent="0.2">
      <c r="A173" s="111"/>
      <c r="B173" s="21"/>
      <c r="C173" s="21"/>
      <c r="D173" s="21"/>
      <c r="E173" s="21"/>
      <c r="F173" s="14"/>
      <c r="G173" s="21"/>
      <c r="H173" s="21"/>
      <c r="I173" s="190"/>
      <c r="J173" s="191"/>
      <c r="K173" s="189">
        <f t="shared" si="68"/>
        <v>0</v>
      </c>
      <c r="L173" s="73"/>
      <c r="M173" s="213"/>
      <c r="N173" s="153"/>
      <c r="O173" s="45"/>
      <c r="Y173" s="8" t="str">
        <f>IF(A173="","",IFERROR(IF(VLOOKUP(A173,Entry!$D:$D,1,FALSE)=A173,"",ROW()),ROW()))</f>
        <v/>
      </c>
      <c r="Z173" s="8">
        <f t="shared" si="64"/>
        <v>172</v>
      </c>
      <c r="AA173" s="8" t="str">
        <f t="shared" si="63"/>
        <v/>
      </c>
      <c r="AG173" s="8" t="str">
        <f>IF(A173="","",IFERROR(IF(VLOOKUP(A173,Entry!$D:$D,1,FALSE)=A173,TRUE,FALSE),FALSE))</f>
        <v/>
      </c>
    </row>
    <row r="174" spans="1:33" ht="15" customHeight="1" x14ac:dyDescent="0.2">
      <c r="A174" s="111"/>
      <c r="B174" s="21"/>
      <c r="C174" s="21"/>
      <c r="D174" s="21"/>
      <c r="E174" s="21"/>
      <c r="F174" s="14"/>
      <c r="G174" s="21"/>
      <c r="H174" s="21"/>
      <c r="I174" s="190"/>
      <c r="J174" s="191"/>
      <c r="K174" s="189">
        <f t="shared" si="68"/>
        <v>0</v>
      </c>
      <c r="L174" s="73"/>
      <c r="M174" s="213"/>
      <c r="N174" s="153"/>
      <c r="O174" s="45"/>
      <c r="Y174" s="8" t="str">
        <f>IF(A174="","",IFERROR(IF(VLOOKUP(A174,Entry!$D:$D,1,FALSE)=A174,"",ROW()),ROW()))</f>
        <v/>
      </c>
      <c r="Z174" s="8">
        <f t="shared" si="64"/>
        <v>173</v>
      </c>
      <c r="AA174" s="8" t="str">
        <f t="shared" si="63"/>
        <v/>
      </c>
      <c r="AG174" s="8" t="str">
        <f>IF(A174="","",IFERROR(IF(VLOOKUP(A174,Entry!$D:$D,1,FALSE)=A174,TRUE,FALSE),FALSE))</f>
        <v/>
      </c>
    </row>
    <row r="175" spans="1:33" ht="15" customHeight="1" x14ac:dyDescent="0.2">
      <c r="A175" s="112"/>
      <c r="B175" s="22"/>
      <c r="C175" s="22"/>
      <c r="D175" s="22"/>
      <c r="E175" s="22"/>
      <c r="F175" s="15"/>
      <c r="G175" s="22"/>
      <c r="H175" s="22"/>
      <c r="I175" s="192"/>
      <c r="J175" s="193"/>
      <c r="K175" s="189">
        <f t="shared" si="68"/>
        <v>0</v>
      </c>
      <c r="L175" s="74"/>
      <c r="M175" s="214"/>
      <c r="N175" s="154"/>
      <c r="O175" s="46"/>
      <c r="Y175" s="8" t="str">
        <f>IF(A175="","",IFERROR(IF(VLOOKUP(A175,Entry!$D:$D,1,FALSE)=A175,"",ROW()),ROW()))</f>
        <v/>
      </c>
      <c r="Z175" s="8">
        <f t="shared" si="64"/>
        <v>174</v>
      </c>
      <c r="AA175" s="8" t="str">
        <f t="shared" si="63"/>
        <v/>
      </c>
      <c r="AG175" s="8" t="str">
        <f>IF(A175="","",IFERROR(IF(VLOOKUP(A175,Entry!$D:$D,1,FALSE)=A175,TRUE,FALSE),FALSE))</f>
        <v/>
      </c>
    </row>
    <row r="176" spans="1:33" ht="17.25" customHeight="1" x14ac:dyDescent="0.2">
      <c r="A176" s="113"/>
      <c r="B176" s="19"/>
      <c r="C176" s="19"/>
      <c r="D176" s="19"/>
      <c r="E176" s="19"/>
      <c r="F176" s="18"/>
      <c r="G176" s="19"/>
      <c r="H176" s="19"/>
      <c r="I176" s="194">
        <f t="shared" ref="I176:K176" si="87">SUM(I177:I181)</f>
        <v>0</v>
      </c>
      <c r="J176" s="195">
        <f t="shared" si="87"/>
        <v>0</v>
      </c>
      <c r="K176" s="195">
        <f t="shared" si="87"/>
        <v>0</v>
      </c>
      <c r="L176" s="104">
        <f t="shared" ref="L176" si="88">IFERROR(SUMPRODUCT(K177:K181,L177:L181)/SUM(K177:K181),0)</f>
        <v>0</v>
      </c>
      <c r="M176" s="215"/>
      <c r="N176" s="155"/>
      <c r="O176" s="47"/>
      <c r="Y176" s="8" t="str">
        <f>IF(A176="","",IFERROR(IF(VLOOKUP(A176,Entry!$D:$D,1,FALSE)=A176,"",ROW()),ROW()))</f>
        <v/>
      </c>
      <c r="Z176" s="8">
        <f t="shared" si="64"/>
        <v>175</v>
      </c>
      <c r="AA176" s="8" t="str">
        <f t="shared" si="63"/>
        <v/>
      </c>
      <c r="AG176" s="8" t="str">
        <f>IF(A176="","",IFERROR(IF(VLOOKUP(A176,Entry!$D:$D,1,FALSE)=A176,TRUE,FALSE),FALSE))</f>
        <v/>
      </c>
    </row>
    <row r="177" spans="1:33" ht="15" customHeight="1" x14ac:dyDescent="0.2">
      <c r="A177" s="110"/>
      <c r="B177" s="20"/>
      <c r="C177" s="20"/>
      <c r="D177" s="20"/>
      <c r="E177" s="20"/>
      <c r="F177" s="16"/>
      <c r="G177" s="20"/>
      <c r="H177" s="20"/>
      <c r="I177" s="187"/>
      <c r="J177" s="188"/>
      <c r="K177" s="189">
        <f t="shared" ref="K177" si="89">I177+J177</f>
        <v>0</v>
      </c>
      <c r="L177" s="72"/>
      <c r="M177" s="212"/>
      <c r="N177" s="152"/>
      <c r="O177" s="44"/>
      <c r="Y177" s="8" t="str">
        <f>IF(A177="","",IFERROR(IF(VLOOKUP(A177,Entry!$D:$D,1,FALSE)=A177,"",ROW()),ROW()))</f>
        <v/>
      </c>
      <c r="Z177" s="8">
        <f t="shared" si="64"/>
        <v>176</v>
      </c>
      <c r="AA177" s="8" t="str">
        <f t="shared" si="63"/>
        <v/>
      </c>
      <c r="AG177" s="8" t="str">
        <f>IF(A177="","",IFERROR(IF(VLOOKUP(A177,Entry!$D:$D,1,FALSE)=A177,TRUE,FALSE),FALSE))</f>
        <v/>
      </c>
    </row>
    <row r="178" spans="1:33" ht="15" customHeight="1" x14ac:dyDescent="0.2">
      <c r="A178" s="111"/>
      <c r="B178" s="21"/>
      <c r="C178" s="21"/>
      <c r="D178" s="21"/>
      <c r="E178" s="21"/>
      <c r="F178" s="14"/>
      <c r="G178" s="21"/>
      <c r="H178" s="21"/>
      <c r="I178" s="190"/>
      <c r="J178" s="191"/>
      <c r="K178" s="189">
        <f t="shared" si="68"/>
        <v>0</v>
      </c>
      <c r="L178" s="73"/>
      <c r="M178" s="213"/>
      <c r="N178" s="153"/>
      <c r="O178" s="45"/>
      <c r="Y178" s="8" t="str">
        <f>IF(A178="","",IFERROR(IF(VLOOKUP(A178,Entry!$D:$D,1,FALSE)=A178,"",ROW()),ROW()))</f>
        <v/>
      </c>
      <c r="Z178" s="8">
        <f t="shared" si="64"/>
        <v>177</v>
      </c>
      <c r="AA178" s="8" t="str">
        <f t="shared" si="63"/>
        <v/>
      </c>
      <c r="AG178" s="8" t="str">
        <f>IF(A178="","",IFERROR(IF(VLOOKUP(A178,Entry!$D:$D,1,FALSE)=A178,TRUE,FALSE),FALSE))</f>
        <v/>
      </c>
    </row>
    <row r="179" spans="1:33" ht="15" customHeight="1" x14ac:dyDescent="0.2">
      <c r="A179" s="111"/>
      <c r="B179" s="21"/>
      <c r="C179" s="21"/>
      <c r="D179" s="21"/>
      <c r="E179" s="21"/>
      <c r="F179" s="14"/>
      <c r="G179" s="21"/>
      <c r="H179" s="21"/>
      <c r="I179" s="190"/>
      <c r="J179" s="191"/>
      <c r="K179" s="189">
        <f t="shared" si="68"/>
        <v>0</v>
      </c>
      <c r="L179" s="73"/>
      <c r="M179" s="213"/>
      <c r="N179" s="153"/>
      <c r="O179" s="45"/>
      <c r="Y179" s="8" t="str">
        <f>IF(A179="","",IFERROR(IF(VLOOKUP(A179,Entry!$D:$D,1,FALSE)=A179,"",ROW()),ROW()))</f>
        <v/>
      </c>
      <c r="Z179" s="8">
        <f t="shared" si="64"/>
        <v>178</v>
      </c>
      <c r="AA179" s="8" t="str">
        <f t="shared" si="63"/>
        <v/>
      </c>
      <c r="AG179" s="8" t="str">
        <f>IF(A179="","",IFERROR(IF(VLOOKUP(A179,Entry!$D:$D,1,FALSE)=A179,TRUE,FALSE),FALSE))</f>
        <v/>
      </c>
    </row>
    <row r="180" spans="1:33" ht="15" customHeight="1" x14ac:dyDescent="0.2">
      <c r="A180" s="111"/>
      <c r="B180" s="21"/>
      <c r="C180" s="21"/>
      <c r="D180" s="21"/>
      <c r="E180" s="21"/>
      <c r="F180" s="14"/>
      <c r="G180" s="21"/>
      <c r="H180" s="21"/>
      <c r="I180" s="190"/>
      <c r="J180" s="191"/>
      <c r="K180" s="189">
        <f t="shared" si="68"/>
        <v>0</v>
      </c>
      <c r="L180" s="73"/>
      <c r="M180" s="213"/>
      <c r="N180" s="153"/>
      <c r="O180" s="45"/>
      <c r="Y180" s="8" t="str">
        <f>IF(A180="","",IFERROR(IF(VLOOKUP(A180,Entry!$D:$D,1,FALSE)=A180,"",ROW()),ROW()))</f>
        <v/>
      </c>
      <c r="Z180" s="8">
        <f t="shared" si="64"/>
        <v>179</v>
      </c>
      <c r="AA180" s="8" t="str">
        <f t="shared" si="63"/>
        <v/>
      </c>
      <c r="AG180" s="8" t="str">
        <f>IF(A180="","",IFERROR(IF(VLOOKUP(A180,Entry!$D:$D,1,FALSE)=A180,TRUE,FALSE),FALSE))</f>
        <v/>
      </c>
    </row>
    <row r="181" spans="1:33" ht="15" customHeight="1" x14ac:dyDescent="0.2">
      <c r="A181" s="112"/>
      <c r="B181" s="22"/>
      <c r="C181" s="22"/>
      <c r="D181" s="22"/>
      <c r="E181" s="22"/>
      <c r="F181" s="15"/>
      <c r="G181" s="22"/>
      <c r="H181" s="22"/>
      <c r="I181" s="192"/>
      <c r="J181" s="193"/>
      <c r="K181" s="189">
        <f t="shared" si="68"/>
        <v>0</v>
      </c>
      <c r="L181" s="74"/>
      <c r="M181" s="214"/>
      <c r="N181" s="154"/>
      <c r="O181" s="46"/>
      <c r="Y181" s="8" t="str">
        <f>IF(A181="","",IFERROR(IF(VLOOKUP(A181,Entry!$D:$D,1,FALSE)=A181,"",ROW()),ROW()))</f>
        <v/>
      </c>
      <c r="Z181" s="8">
        <f t="shared" si="64"/>
        <v>180</v>
      </c>
      <c r="AA181" s="8" t="str">
        <f t="shared" si="63"/>
        <v/>
      </c>
      <c r="AG181" s="8" t="str">
        <f>IF(A181="","",IFERROR(IF(VLOOKUP(A181,Entry!$D:$D,1,FALSE)=A181,TRUE,FALSE),FALSE))</f>
        <v/>
      </c>
    </row>
    <row r="182" spans="1:33" ht="17.25" customHeight="1" x14ac:dyDescent="0.2">
      <c r="A182" s="113"/>
      <c r="B182" s="19"/>
      <c r="C182" s="19"/>
      <c r="D182" s="19"/>
      <c r="E182" s="19"/>
      <c r="F182" s="18"/>
      <c r="G182" s="19"/>
      <c r="H182" s="19"/>
      <c r="I182" s="194">
        <f t="shared" ref="I182:K182" si="90">SUM(I183:I187)</f>
        <v>0</v>
      </c>
      <c r="J182" s="195">
        <f t="shared" si="90"/>
        <v>0</v>
      </c>
      <c r="K182" s="195">
        <f t="shared" si="90"/>
        <v>0</v>
      </c>
      <c r="L182" s="104">
        <f t="shared" ref="L182" si="91">IFERROR(SUMPRODUCT(K183:K187,L183:L187)/SUM(K183:K187),0)</f>
        <v>0</v>
      </c>
      <c r="M182" s="215"/>
      <c r="N182" s="155"/>
      <c r="O182" s="47"/>
      <c r="Y182" s="8" t="str">
        <f>IF(A182="","",IFERROR(IF(VLOOKUP(A182,Entry!$D:$D,1,FALSE)=A182,"",ROW()),ROW()))</f>
        <v/>
      </c>
      <c r="Z182" s="8">
        <f t="shared" si="64"/>
        <v>181</v>
      </c>
      <c r="AA182" s="8" t="str">
        <f t="shared" si="63"/>
        <v/>
      </c>
      <c r="AG182" s="8" t="str">
        <f>IF(A182="","",IFERROR(IF(VLOOKUP(A182,Entry!$D:$D,1,FALSE)=A182,TRUE,FALSE),FALSE))</f>
        <v/>
      </c>
    </row>
    <row r="183" spans="1:33" ht="15" customHeight="1" x14ac:dyDescent="0.2">
      <c r="A183" s="110"/>
      <c r="B183" s="20"/>
      <c r="C183" s="20"/>
      <c r="D183" s="20"/>
      <c r="E183" s="20"/>
      <c r="F183" s="16"/>
      <c r="G183" s="20"/>
      <c r="H183" s="20"/>
      <c r="I183" s="187"/>
      <c r="J183" s="188"/>
      <c r="K183" s="189">
        <f t="shared" ref="K183" si="92">I183+J183</f>
        <v>0</v>
      </c>
      <c r="L183" s="72"/>
      <c r="M183" s="212"/>
      <c r="N183" s="152"/>
      <c r="O183" s="44"/>
      <c r="Y183" s="8" t="str">
        <f>IF(A183="","",IFERROR(IF(VLOOKUP(A183,Entry!$D:$D,1,FALSE)=A183,"",ROW()),ROW()))</f>
        <v/>
      </c>
      <c r="Z183" s="8">
        <f t="shared" si="64"/>
        <v>182</v>
      </c>
      <c r="AA183" s="8" t="str">
        <f t="shared" si="63"/>
        <v/>
      </c>
      <c r="AG183" s="8" t="str">
        <f>IF(A183="","",IFERROR(IF(VLOOKUP(A183,Entry!$D:$D,1,FALSE)=A183,TRUE,FALSE),FALSE))</f>
        <v/>
      </c>
    </row>
    <row r="184" spans="1:33" ht="15" customHeight="1" x14ac:dyDescent="0.2">
      <c r="A184" s="111"/>
      <c r="B184" s="21"/>
      <c r="C184" s="21"/>
      <c r="D184" s="21"/>
      <c r="E184" s="21"/>
      <c r="F184" s="14"/>
      <c r="G184" s="21"/>
      <c r="H184" s="21"/>
      <c r="I184" s="190"/>
      <c r="J184" s="191"/>
      <c r="K184" s="189">
        <f t="shared" si="68"/>
        <v>0</v>
      </c>
      <c r="L184" s="73"/>
      <c r="M184" s="213"/>
      <c r="N184" s="153"/>
      <c r="O184" s="45"/>
      <c r="Y184" s="8" t="str">
        <f>IF(A184="","",IFERROR(IF(VLOOKUP(A184,Entry!$D:$D,1,FALSE)=A184,"",ROW()),ROW()))</f>
        <v/>
      </c>
      <c r="Z184" s="8">
        <f t="shared" si="64"/>
        <v>183</v>
      </c>
      <c r="AA184" s="8" t="str">
        <f t="shared" si="63"/>
        <v/>
      </c>
      <c r="AG184" s="8" t="str">
        <f>IF(A184="","",IFERROR(IF(VLOOKUP(A184,Entry!$D:$D,1,FALSE)=A184,TRUE,FALSE),FALSE))</f>
        <v/>
      </c>
    </row>
    <row r="185" spans="1:33" ht="15" customHeight="1" x14ac:dyDescent="0.2">
      <c r="A185" s="111"/>
      <c r="B185" s="21"/>
      <c r="C185" s="21"/>
      <c r="D185" s="21"/>
      <c r="E185" s="21"/>
      <c r="F185" s="14"/>
      <c r="G185" s="21"/>
      <c r="H185" s="21"/>
      <c r="I185" s="190"/>
      <c r="J185" s="191"/>
      <c r="K185" s="189">
        <f t="shared" si="68"/>
        <v>0</v>
      </c>
      <c r="L185" s="73"/>
      <c r="M185" s="213"/>
      <c r="N185" s="153"/>
      <c r="O185" s="45"/>
      <c r="Y185" s="8" t="str">
        <f>IF(A185="","",IFERROR(IF(VLOOKUP(A185,Entry!$D:$D,1,FALSE)=A185,"",ROW()),ROW()))</f>
        <v/>
      </c>
      <c r="Z185" s="8">
        <f t="shared" si="64"/>
        <v>184</v>
      </c>
      <c r="AA185" s="8" t="str">
        <f t="shared" si="63"/>
        <v/>
      </c>
      <c r="AG185" s="8" t="str">
        <f>IF(A185="","",IFERROR(IF(VLOOKUP(A185,Entry!$D:$D,1,FALSE)=A185,TRUE,FALSE),FALSE))</f>
        <v/>
      </c>
    </row>
    <row r="186" spans="1:33" ht="15" customHeight="1" x14ac:dyDescent="0.2">
      <c r="A186" s="111"/>
      <c r="B186" s="21"/>
      <c r="C186" s="21"/>
      <c r="D186" s="21"/>
      <c r="E186" s="21"/>
      <c r="F186" s="14"/>
      <c r="G186" s="21"/>
      <c r="H186" s="21"/>
      <c r="I186" s="190"/>
      <c r="J186" s="191"/>
      <c r="K186" s="189">
        <f t="shared" si="68"/>
        <v>0</v>
      </c>
      <c r="L186" s="73"/>
      <c r="M186" s="213"/>
      <c r="N186" s="153"/>
      <c r="O186" s="45"/>
      <c r="Y186" s="8" t="str">
        <f>IF(A186="","",IFERROR(IF(VLOOKUP(A186,Entry!$D:$D,1,FALSE)=A186,"",ROW()),ROW()))</f>
        <v/>
      </c>
      <c r="Z186" s="8">
        <f t="shared" si="64"/>
        <v>185</v>
      </c>
      <c r="AA186" s="8" t="str">
        <f t="shared" si="63"/>
        <v/>
      </c>
      <c r="AG186" s="8" t="str">
        <f>IF(A186="","",IFERROR(IF(VLOOKUP(A186,Entry!$D:$D,1,FALSE)=A186,TRUE,FALSE),FALSE))</f>
        <v/>
      </c>
    </row>
    <row r="187" spans="1:33" ht="15" customHeight="1" x14ac:dyDescent="0.2">
      <c r="A187" s="112"/>
      <c r="B187" s="22"/>
      <c r="C187" s="22"/>
      <c r="D187" s="22"/>
      <c r="E187" s="22"/>
      <c r="F187" s="15"/>
      <c r="G187" s="22"/>
      <c r="H187" s="22"/>
      <c r="I187" s="192"/>
      <c r="J187" s="193"/>
      <c r="K187" s="189">
        <f t="shared" si="68"/>
        <v>0</v>
      </c>
      <c r="L187" s="74"/>
      <c r="M187" s="214"/>
      <c r="N187" s="154"/>
      <c r="O187" s="46"/>
      <c r="Y187" s="8" t="str">
        <f>IF(A187="","",IFERROR(IF(VLOOKUP(A187,Entry!$D:$D,1,FALSE)=A187,"",ROW()),ROW()))</f>
        <v/>
      </c>
      <c r="Z187" s="8">
        <f t="shared" si="64"/>
        <v>186</v>
      </c>
      <c r="AA187" s="8" t="str">
        <f t="shared" si="63"/>
        <v/>
      </c>
      <c r="AG187" s="8" t="str">
        <f>IF(A187="","",IFERROR(IF(VLOOKUP(A187,Entry!$D:$D,1,FALSE)=A187,TRUE,FALSE),FALSE))</f>
        <v/>
      </c>
    </row>
    <row r="188" spans="1:33" ht="17.25" customHeight="1" x14ac:dyDescent="0.2">
      <c r="A188" s="113"/>
      <c r="B188" s="19"/>
      <c r="C188" s="19"/>
      <c r="D188" s="19"/>
      <c r="E188" s="19"/>
      <c r="F188" s="18"/>
      <c r="G188" s="19"/>
      <c r="H188" s="19"/>
      <c r="I188" s="194">
        <f t="shared" ref="I188:K188" si="93">SUM(I189:I193)</f>
        <v>0</v>
      </c>
      <c r="J188" s="195">
        <f t="shared" si="93"/>
        <v>0</v>
      </c>
      <c r="K188" s="195">
        <f t="shared" si="93"/>
        <v>0</v>
      </c>
      <c r="L188" s="104">
        <f t="shared" ref="L188" si="94">IFERROR(SUMPRODUCT(K189:K193,L189:L193)/SUM(K189:K193),0)</f>
        <v>0</v>
      </c>
      <c r="M188" s="215"/>
      <c r="N188" s="155"/>
      <c r="O188" s="47"/>
      <c r="Y188" s="8" t="str">
        <f>IF(A188="","",IFERROR(IF(VLOOKUP(A188,Entry!$D:$D,1,FALSE)=A188,"",ROW()),ROW()))</f>
        <v/>
      </c>
      <c r="Z188" s="8">
        <f t="shared" si="64"/>
        <v>187</v>
      </c>
      <c r="AA188" s="8" t="str">
        <f t="shared" si="63"/>
        <v/>
      </c>
      <c r="AG188" s="8" t="str">
        <f>IF(A188="","",IFERROR(IF(VLOOKUP(A188,Entry!$D:$D,1,FALSE)=A188,TRUE,FALSE),FALSE))</f>
        <v/>
      </c>
    </row>
    <row r="189" spans="1:33" ht="15" customHeight="1" x14ac:dyDescent="0.2">
      <c r="A189" s="110"/>
      <c r="B189" s="20"/>
      <c r="C189" s="20"/>
      <c r="D189" s="20"/>
      <c r="E189" s="20"/>
      <c r="F189" s="16"/>
      <c r="G189" s="20"/>
      <c r="H189" s="20"/>
      <c r="I189" s="187"/>
      <c r="J189" s="188"/>
      <c r="K189" s="189">
        <f t="shared" ref="K189" si="95">I189+J189</f>
        <v>0</v>
      </c>
      <c r="L189" s="72"/>
      <c r="M189" s="212"/>
      <c r="N189" s="152"/>
      <c r="O189" s="44"/>
      <c r="Y189" s="8" t="str">
        <f>IF(A189="","",IFERROR(IF(VLOOKUP(A189,Entry!$D:$D,1,FALSE)=A189,"",ROW()),ROW()))</f>
        <v/>
      </c>
      <c r="Z189" s="8">
        <f t="shared" si="64"/>
        <v>188</v>
      </c>
      <c r="AA189" s="8" t="str">
        <f t="shared" si="63"/>
        <v/>
      </c>
      <c r="AG189" s="8" t="str">
        <f>IF(A189="","",IFERROR(IF(VLOOKUP(A189,Entry!$D:$D,1,FALSE)=A189,TRUE,FALSE),FALSE))</f>
        <v/>
      </c>
    </row>
    <row r="190" spans="1:33" ht="15" customHeight="1" x14ac:dyDescent="0.2">
      <c r="A190" s="111"/>
      <c r="B190" s="21"/>
      <c r="C190" s="21"/>
      <c r="D190" s="21"/>
      <c r="E190" s="21"/>
      <c r="F190" s="14"/>
      <c r="G190" s="21"/>
      <c r="H190" s="21"/>
      <c r="I190" s="190"/>
      <c r="J190" s="191"/>
      <c r="K190" s="189">
        <f t="shared" si="68"/>
        <v>0</v>
      </c>
      <c r="L190" s="73"/>
      <c r="M190" s="213"/>
      <c r="N190" s="153"/>
      <c r="O190" s="45"/>
      <c r="Y190" s="8" t="str">
        <f>IF(A190="","",IFERROR(IF(VLOOKUP(A190,Entry!$D:$D,1,FALSE)=A190,"",ROW()),ROW()))</f>
        <v/>
      </c>
      <c r="Z190" s="8">
        <f t="shared" si="64"/>
        <v>189</v>
      </c>
      <c r="AA190" s="8" t="str">
        <f t="shared" si="63"/>
        <v/>
      </c>
      <c r="AG190" s="8" t="str">
        <f>IF(A190="","",IFERROR(IF(VLOOKUP(A190,Entry!$D:$D,1,FALSE)=A190,TRUE,FALSE),FALSE))</f>
        <v/>
      </c>
    </row>
    <row r="191" spans="1:33" ht="15" customHeight="1" x14ac:dyDescent="0.2">
      <c r="A191" s="111"/>
      <c r="B191" s="21"/>
      <c r="C191" s="21"/>
      <c r="D191" s="21"/>
      <c r="E191" s="21"/>
      <c r="F191" s="14"/>
      <c r="G191" s="21"/>
      <c r="H191" s="21"/>
      <c r="I191" s="190"/>
      <c r="J191" s="191"/>
      <c r="K191" s="189">
        <f t="shared" si="68"/>
        <v>0</v>
      </c>
      <c r="L191" s="73"/>
      <c r="M191" s="213"/>
      <c r="N191" s="153"/>
      <c r="O191" s="45"/>
      <c r="Y191" s="8" t="str">
        <f>IF(A191="","",IFERROR(IF(VLOOKUP(A191,Entry!$D:$D,1,FALSE)=A191,"",ROW()),ROW()))</f>
        <v/>
      </c>
      <c r="Z191" s="8">
        <f t="shared" si="64"/>
        <v>190</v>
      </c>
      <c r="AA191" s="8" t="str">
        <f t="shared" si="63"/>
        <v/>
      </c>
      <c r="AG191" s="8" t="str">
        <f>IF(A191="","",IFERROR(IF(VLOOKUP(A191,Entry!$D:$D,1,FALSE)=A191,TRUE,FALSE),FALSE))</f>
        <v/>
      </c>
    </row>
    <row r="192" spans="1:33" ht="15" customHeight="1" x14ac:dyDescent="0.2">
      <c r="A192" s="111"/>
      <c r="B192" s="21"/>
      <c r="C192" s="21"/>
      <c r="D192" s="21"/>
      <c r="E192" s="21"/>
      <c r="F192" s="14"/>
      <c r="G192" s="21"/>
      <c r="H192" s="21"/>
      <c r="I192" s="190"/>
      <c r="J192" s="191"/>
      <c r="K192" s="189">
        <f t="shared" si="68"/>
        <v>0</v>
      </c>
      <c r="L192" s="73"/>
      <c r="M192" s="213"/>
      <c r="N192" s="153"/>
      <c r="O192" s="45"/>
      <c r="Y192" s="8" t="str">
        <f>IF(A192="","",IFERROR(IF(VLOOKUP(A192,Entry!$D:$D,1,FALSE)=A192,"",ROW()),ROW()))</f>
        <v/>
      </c>
      <c r="Z192" s="8">
        <f t="shared" si="64"/>
        <v>191</v>
      </c>
      <c r="AA192" s="8" t="str">
        <f t="shared" si="63"/>
        <v/>
      </c>
      <c r="AG192" s="8" t="str">
        <f>IF(A192="","",IFERROR(IF(VLOOKUP(A192,Entry!$D:$D,1,FALSE)=A192,TRUE,FALSE),FALSE))</f>
        <v/>
      </c>
    </row>
    <row r="193" spans="1:33" ht="15" customHeight="1" x14ac:dyDescent="0.2">
      <c r="A193" s="112"/>
      <c r="B193" s="22"/>
      <c r="C193" s="22"/>
      <c r="D193" s="22"/>
      <c r="E193" s="22"/>
      <c r="F193" s="15"/>
      <c r="G193" s="22"/>
      <c r="H193" s="22"/>
      <c r="I193" s="192"/>
      <c r="J193" s="193"/>
      <c r="K193" s="189">
        <f t="shared" si="68"/>
        <v>0</v>
      </c>
      <c r="L193" s="74"/>
      <c r="M193" s="214"/>
      <c r="N193" s="154"/>
      <c r="O193" s="46"/>
      <c r="Y193" s="8" t="str">
        <f>IF(A193="","",IFERROR(IF(VLOOKUP(A193,Entry!$D:$D,1,FALSE)=A193,"",ROW()),ROW()))</f>
        <v/>
      </c>
      <c r="Z193" s="8">
        <f t="shared" si="64"/>
        <v>192</v>
      </c>
      <c r="AA193" s="8" t="str">
        <f t="shared" si="63"/>
        <v/>
      </c>
      <c r="AG193" s="8" t="str">
        <f>IF(A193="","",IFERROR(IF(VLOOKUP(A193,Entry!$D:$D,1,FALSE)=A193,TRUE,FALSE),FALSE))</f>
        <v/>
      </c>
    </row>
    <row r="194" spans="1:33" ht="17.25" customHeight="1" x14ac:dyDescent="0.2">
      <c r="A194" s="113"/>
      <c r="B194" s="19"/>
      <c r="C194" s="19"/>
      <c r="D194" s="19"/>
      <c r="E194" s="19"/>
      <c r="F194" s="18"/>
      <c r="G194" s="19"/>
      <c r="H194" s="19"/>
      <c r="I194" s="194">
        <f t="shared" ref="I194:K194" si="96">SUM(I195:I199)</f>
        <v>0</v>
      </c>
      <c r="J194" s="195">
        <f t="shared" si="96"/>
        <v>0</v>
      </c>
      <c r="K194" s="195">
        <f t="shared" si="96"/>
        <v>0</v>
      </c>
      <c r="L194" s="104">
        <f t="shared" ref="L194" si="97">IFERROR(SUMPRODUCT(K195:K199,L195:L199)/SUM(K195:K199),0)</f>
        <v>0</v>
      </c>
      <c r="M194" s="215"/>
      <c r="N194" s="155"/>
      <c r="O194" s="47"/>
      <c r="Y194" s="8" t="str">
        <f>IF(A194="","",IFERROR(IF(VLOOKUP(A194,Entry!$D:$D,1,FALSE)=A194,"",ROW()),ROW()))</f>
        <v/>
      </c>
      <c r="Z194" s="8">
        <f t="shared" si="64"/>
        <v>193</v>
      </c>
      <c r="AA194" s="8" t="str">
        <f t="shared" ref="AA194:AA216" si="98">IFERROR(INDEX($A:$A,SMALL($Y$2:$Y$2000,Z194)),"")</f>
        <v/>
      </c>
      <c r="AG194" s="8" t="str">
        <f>IF(A194="","",IFERROR(IF(VLOOKUP(A194,Entry!$D:$D,1,FALSE)=A194,TRUE,FALSE),FALSE))</f>
        <v/>
      </c>
    </row>
    <row r="195" spans="1:33" ht="15" customHeight="1" x14ac:dyDescent="0.2">
      <c r="A195" s="110"/>
      <c r="B195" s="20"/>
      <c r="C195" s="20"/>
      <c r="D195" s="20"/>
      <c r="E195" s="20"/>
      <c r="F195" s="16"/>
      <c r="G195" s="20"/>
      <c r="H195" s="20"/>
      <c r="I195" s="187"/>
      <c r="J195" s="188"/>
      <c r="K195" s="189">
        <f t="shared" ref="K195" si="99">I195+J195</f>
        <v>0</v>
      </c>
      <c r="L195" s="72"/>
      <c r="M195" s="212"/>
      <c r="N195" s="152"/>
      <c r="O195" s="44"/>
      <c r="Y195" s="8" t="str">
        <f>IF(A195="","",IFERROR(IF(VLOOKUP(A195,Entry!$D:$D,1,FALSE)=A195,"",ROW()),ROW()))</f>
        <v/>
      </c>
      <c r="Z195" s="8">
        <f t="shared" si="64"/>
        <v>194</v>
      </c>
      <c r="AA195" s="8" t="str">
        <f t="shared" si="98"/>
        <v/>
      </c>
      <c r="AG195" s="8" t="str">
        <f>IF(A195="","",IFERROR(IF(VLOOKUP(A195,Entry!$D:$D,1,FALSE)=A195,TRUE,FALSE),FALSE))</f>
        <v/>
      </c>
    </row>
    <row r="196" spans="1:33" ht="15" customHeight="1" x14ac:dyDescent="0.2">
      <c r="A196" s="111"/>
      <c r="B196" s="21"/>
      <c r="C196" s="21"/>
      <c r="D196" s="21"/>
      <c r="E196" s="21"/>
      <c r="F196" s="14"/>
      <c r="G196" s="21"/>
      <c r="H196" s="21"/>
      <c r="I196" s="190"/>
      <c r="J196" s="191"/>
      <c r="K196" s="189">
        <f t="shared" si="68"/>
        <v>0</v>
      </c>
      <c r="L196" s="73"/>
      <c r="M196" s="213"/>
      <c r="N196" s="153"/>
      <c r="O196" s="45"/>
      <c r="Y196" s="8" t="str">
        <f>IF(A196="","",IFERROR(IF(VLOOKUP(A196,Entry!$D:$D,1,FALSE)=A196,"",ROW()),ROW()))</f>
        <v/>
      </c>
      <c r="Z196" s="8">
        <f t="shared" ref="Z196:Z216" si="100">Z195+1</f>
        <v>195</v>
      </c>
      <c r="AA196" s="8" t="str">
        <f t="shared" si="98"/>
        <v/>
      </c>
      <c r="AG196" s="8" t="str">
        <f>IF(A196="","",IFERROR(IF(VLOOKUP(A196,Entry!$D:$D,1,FALSE)=A196,TRUE,FALSE),FALSE))</f>
        <v/>
      </c>
    </row>
    <row r="197" spans="1:33" ht="15" customHeight="1" x14ac:dyDescent="0.2">
      <c r="A197" s="111"/>
      <c r="B197" s="21"/>
      <c r="C197" s="21"/>
      <c r="D197" s="21"/>
      <c r="E197" s="21"/>
      <c r="F197" s="14"/>
      <c r="G197" s="21"/>
      <c r="H197" s="21"/>
      <c r="I197" s="190"/>
      <c r="J197" s="191"/>
      <c r="K197" s="189">
        <f t="shared" si="68"/>
        <v>0</v>
      </c>
      <c r="L197" s="73"/>
      <c r="M197" s="213"/>
      <c r="N197" s="153"/>
      <c r="O197" s="45"/>
      <c r="Y197" s="8" t="str">
        <f>IF(A197="","",IFERROR(IF(VLOOKUP(A197,Entry!$D:$D,1,FALSE)=A197,"",ROW()),ROW()))</f>
        <v/>
      </c>
      <c r="Z197" s="8">
        <f t="shared" si="100"/>
        <v>196</v>
      </c>
      <c r="AA197" s="8" t="str">
        <f t="shared" si="98"/>
        <v/>
      </c>
      <c r="AG197" s="8" t="str">
        <f>IF(A197="","",IFERROR(IF(VLOOKUP(A197,Entry!$D:$D,1,FALSE)=A197,TRUE,FALSE),FALSE))</f>
        <v/>
      </c>
    </row>
    <row r="198" spans="1:33" ht="15" customHeight="1" x14ac:dyDescent="0.2">
      <c r="A198" s="111"/>
      <c r="B198" s="21"/>
      <c r="C198" s="21"/>
      <c r="D198" s="21"/>
      <c r="E198" s="21"/>
      <c r="F198" s="14"/>
      <c r="G198" s="21"/>
      <c r="H198" s="21"/>
      <c r="I198" s="190"/>
      <c r="J198" s="191"/>
      <c r="K198" s="189">
        <f t="shared" si="68"/>
        <v>0</v>
      </c>
      <c r="L198" s="73"/>
      <c r="M198" s="213"/>
      <c r="N198" s="153"/>
      <c r="O198" s="45"/>
      <c r="Y198" s="8" t="str">
        <f>IF(A198="","",IFERROR(IF(VLOOKUP(A198,Entry!$D:$D,1,FALSE)=A198,"",ROW()),ROW()))</f>
        <v/>
      </c>
      <c r="Z198" s="8">
        <f t="shared" si="100"/>
        <v>197</v>
      </c>
      <c r="AA198" s="8" t="str">
        <f t="shared" si="98"/>
        <v/>
      </c>
      <c r="AG198" s="8" t="str">
        <f>IF(A198="","",IFERROR(IF(VLOOKUP(A198,Entry!$D:$D,1,FALSE)=A198,TRUE,FALSE),FALSE))</f>
        <v/>
      </c>
    </row>
    <row r="199" spans="1:33" ht="15" customHeight="1" x14ac:dyDescent="0.2">
      <c r="A199" s="112"/>
      <c r="B199" s="22"/>
      <c r="C199" s="22"/>
      <c r="D199" s="22"/>
      <c r="E199" s="22"/>
      <c r="F199" s="15"/>
      <c r="G199" s="22"/>
      <c r="H199" s="22"/>
      <c r="I199" s="192"/>
      <c r="J199" s="193"/>
      <c r="K199" s="189">
        <f t="shared" si="68"/>
        <v>0</v>
      </c>
      <c r="L199" s="74"/>
      <c r="M199" s="214"/>
      <c r="N199" s="154"/>
      <c r="O199" s="46"/>
      <c r="Y199" s="8" t="str">
        <f>IF(A199="","",IFERROR(IF(VLOOKUP(A199,Entry!$D:$D,1,FALSE)=A199,"",ROW()),ROW()))</f>
        <v/>
      </c>
      <c r="Z199" s="8">
        <f t="shared" si="100"/>
        <v>198</v>
      </c>
      <c r="AA199" s="8" t="str">
        <f t="shared" si="98"/>
        <v/>
      </c>
      <c r="AG199" s="8" t="str">
        <f>IF(A199="","",IFERROR(IF(VLOOKUP(A199,Entry!$D:$D,1,FALSE)=A199,TRUE,FALSE),FALSE))</f>
        <v/>
      </c>
    </row>
    <row r="200" spans="1:33" ht="17.25" customHeight="1" x14ac:dyDescent="0.2">
      <c r="A200" s="113"/>
      <c r="B200" s="19"/>
      <c r="C200" s="19"/>
      <c r="D200" s="19"/>
      <c r="E200" s="19"/>
      <c r="F200" s="18"/>
      <c r="G200" s="19"/>
      <c r="H200" s="19"/>
      <c r="I200" s="194">
        <f t="shared" ref="I200:K200" si="101">SUM(I201:I205)</f>
        <v>0</v>
      </c>
      <c r="J200" s="195">
        <f t="shared" si="101"/>
        <v>0</v>
      </c>
      <c r="K200" s="195">
        <f t="shared" si="101"/>
        <v>0</v>
      </c>
      <c r="L200" s="104">
        <f t="shared" ref="L200" si="102">IFERROR(SUMPRODUCT(K201:K205,L201:L205)/SUM(K201:K205),0)</f>
        <v>0</v>
      </c>
      <c r="M200" s="215"/>
      <c r="N200" s="155"/>
      <c r="O200" s="47"/>
      <c r="Y200" s="8" t="str">
        <f>IF(A200="","",IFERROR(IF(VLOOKUP(A200,Entry!$D:$D,1,FALSE)=A200,"",ROW()),ROW()))</f>
        <v/>
      </c>
      <c r="Z200" s="8">
        <f t="shared" si="100"/>
        <v>199</v>
      </c>
      <c r="AA200" s="8" t="str">
        <f t="shared" si="98"/>
        <v/>
      </c>
      <c r="AG200" s="8" t="str">
        <f>IF(A200="","",IFERROR(IF(VLOOKUP(A200,Entry!$D:$D,1,FALSE)=A200,TRUE,FALSE),FALSE))</f>
        <v/>
      </c>
    </row>
    <row r="201" spans="1:33" ht="15" customHeight="1" x14ac:dyDescent="0.2">
      <c r="A201" s="110"/>
      <c r="B201" s="20"/>
      <c r="C201" s="20"/>
      <c r="D201" s="20"/>
      <c r="E201" s="20"/>
      <c r="F201" s="16"/>
      <c r="G201" s="20"/>
      <c r="H201" s="20"/>
      <c r="I201" s="187"/>
      <c r="J201" s="188"/>
      <c r="K201" s="189">
        <f t="shared" ref="K201:K264" si="103">I201+J201</f>
        <v>0</v>
      </c>
      <c r="L201" s="72"/>
      <c r="M201" s="212"/>
      <c r="N201" s="152"/>
      <c r="O201" s="44"/>
      <c r="Y201" s="8" t="str">
        <f>IF(A201="","",IFERROR(IF(VLOOKUP(A201,Entry!$D:$D,1,FALSE)=A201,"",ROW()),ROW()))</f>
        <v/>
      </c>
      <c r="Z201" s="8">
        <f t="shared" si="100"/>
        <v>200</v>
      </c>
      <c r="AA201" s="8" t="str">
        <f t="shared" si="98"/>
        <v/>
      </c>
      <c r="AG201" s="8" t="str">
        <f>IF(A201="","",IFERROR(IF(VLOOKUP(A201,Entry!$D:$D,1,FALSE)=A201,TRUE,FALSE),FALSE))</f>
        <v/>
      </c>
    </row>
    <row r="202" spans="1:33" ht="15" customHeight="1" x14ac:dyDescent="0.2">
      <c r="A202" s="111"/>
      <c r="B202" s="21"/>
      <c r="C202" s="21"/>
      <c r="D202" s="21"/>
      <c r="E202" s="21"/>
      <c r="F202" s="14"/>
      <c r="G202" s="21"/>
      <c r="H202" s="21"/>
      <c r="I202" s="190"/>
      <c r="J202" s="191"/>
      <c r="K202" s="189">
        <f t="shared" si="103"/>
        <v>0</v>
      </c>
      <c r="L202" s="73"/>
      <c r="M202" s="213"/>
      <c r="N202" s="153"/>
      <c r="O202" s="45"/>
      <c r="Y202" s="8" t="str">
        <f>IF(A202="","",IFERROR(IF(VLOOKUP(A202,Entry!$D:$D,1,FALSE)=A202,"",ROW()),ROW()))</f>
        <v/>
      </c>
      <c r="Z202" s="8">
        <f t="shared" si="100"/>
        <v>201</v>
      </c>
      <c r="AA202" s="8" t="str">
        <f t="shared" si="98"/>
        <v/>
      </c>
      <c r="AG202" s="8" t="str">
        <f>IF(A202="","",IFERROR(IF(VLOOKUP(A202,Entry!$D:$D,1,FALSE)=A202,TRUE,FALSE),FALSE))</f>
        <v/>
      </c>
    </row>
    <row r="203" spans="1:33" ht="15" customHeight="1" x14ac:dyDescent="0.2">
      <c r="A203" s="111"/>
      <c r="B203" s="21"/>
      <c r="C203" s="21"/>
      <c r="D203" s="21"/>
      <c r="E203" s="21"/>
      <c r="F203" s="14"/>
      <c r="G203" s="21"/>
      <c r="H203" s="21"/>
      <c r="I203" s="190"/>
      <c r="J203" s="191"/>
      <c r="K203" s="189">
        <f t="shared" si="103"/>
        <v>0</v>
      </c>
      <c r="L203" s="73"/>
      <c r="M203" s="213"/>
      <c r="N203" s="153"/>
      <c r="O203" s="45"/>
      <c r="Y203" s="8" t="str">
        <f>IF(A203="","",IFERROR(IF(VLOOKUP(A203,Entry!$D:$D,1,FALSE)=A203,"",ROW()),ROW()))</f>
        <v/>
      </c>
      <c r="Z203" s="8">
        <f t="shared" si="100"/>
        <v>202</v>
      </c>
      <c r="AA203" s="8" t="str">
        <f t="shared" si="98"/>
        <v/>
      </c>
      <c r="AG203" s="8" t="str">
        <f>IF(A203="","",IFERROR(IF(VLOOKUP(A203,Entry!$D:$D,1,FALSE)=A203,TRUE,FALSE),FALSE))</f>
        <v/>
      </c>
    </row>
    <row r="204" spans="1:33" ht="15" customHeight="1" x14ac:dyDescent="0.2">
      <c r="A204" s="111"/>
      <c r="B204" s="21"/>
      <c r="C204" s="21"/>
      <c r="D204" s="21"/>
      <c r="E204" s="21"/>
      <c r="F204" s="14"/>
      <c r="G204" s="21"/>
      <c r="H204" s="21"/>
      <c r="I204" s="190"/>
      <c r="J204" s="191"/>
      <c r="K204" s="189">
        <f t="shared" si="103"/>
        <v>0</v>
      </c>
      <c r="L204" s="73"/>
      <c r="M204" s="213"/>
      <c r="N204" s="153"/>
      <c r="O204" s="45"/>
      <c r="Y204" s="8" t="str">
        <f>IF(A204="","",IFERROR(IF(VLOOKUP(A204,Entry!$D:$D,1,FALSE)=A204,"",ROW()),ROW()))</f>
        <v/>
      </c>
      <c r="Z204" s="8">
        <f t="shared" si="100"/>
        <v>203</v>
      </c>
      <c r="AA204" s="8" t="str">
        <f t="shared" si="98"/>
        <v/>
      </c>
      <c r="AG204" s="8" t="str">
        <f>IF(A204="","",IFERROR(IF(VLOOKUP(A204,Entry!$D:$D,1,FALSE)=A204,TRUE,FALSE),FALSE))</f>
        <v/>
      </c>
    </row>
    <row r="205" spans="1:33" ht="15" customHeight="1" x14ac:dyDescent="0.2">
      <c r="A205" s="112"/>
      <c r="B205" s="22"/>
      <c r="C205" s="22"/>
      <c r="D205" s="22"/>
      <c r="E205" s="22"/>
      <c r="F205" s="15"/>
      <c r="G205" s="22"/>
      <c r="H205" s="22"/>
      <c r="I205" s="192"/>
      <c r="J205" s="193"/>
      <c r="K205" s="189">
        <f t="shared" si="103"/>
        <v>0</v>
      </c>
      <c r="L205" s="74"/>
      <c r="M205" s="214"/>
      <c r="N205" s="154"/>
      <c r="O205" s="46"/>
      <c r="Y205" s="8" t="str">
        <f>IF(A205="","",IFERROR(IF(VLOOKUP(A205,Entry!$D:$D,1,FALSE)=A205,"",ROW()),ROW()))</f>
        <v/>
      </c>
      <c r="Z205" s="8">
        <f t="shared" si="100"/>
        <v>204</v>
      </c>
      <c r="AA205" s="8" t="str">
        <f t="shared" si="98"/>
        <v/>
      </c>
      <c r="AG205" s="8" t="str">
        <f>IF(A205="","",IFERROR(IF(VLOOKUP(A205,Entry!$D:$D,1,FALSE)=A205,TRUE,FALSE),FALSE))</f>
        <v/>
      </c>
    </row>
    <row r="206" spans="1:33" ht="17.25" customHeight="1" x14ac:dyDescent="0.2">
      <c r="A206" s="113"/>
      <c r="B206" s="19"/>
      <c r="C206" s="19"/>
      <c r="D206" s="19"/>
      <c r="E206" s="19"/>
      <c r="F206" s="18"/>
      <c r="G206" s="19"/>
      <c r="H206" s="19"/>
      <c r="I206" s="194">
        <f t="shared" ref="I206:K206" si="104">SUM(I207:I211)</f>
        <v>0</v>
      </c>
      <c r="J206" s="195">
        <f t="shared" si="104"/>
        <v>0</v>
      </c>
      <c r="K206" s="195">
        <f t="shared" si="104"/>
        <v>0</v>
      </c>
      <c r="L206" s="104">
        <f t="shared" ref="L206" si="105">IFERROR(SUMPRODUCT(K207:K211,L207:L211)/SUM(K207:K211),0)</f>
        <v>0</v>
      </c>
      <c r="M206" s="215"/>
      <c r="N206" s="155"/>
      <c r="O206" s="47"/>
      <c r="Y206" s="8" t="str">
        <f>IF(A206="","",IFERROR(IF(VLOOKUP(A206,Entry!$D:$D,1,FALSE)=A206,"",ROW()),ROW()))</f>
        <v/>
      </c>
      <c r="Z206" s="8">
        <f t="shared" si="100"/>
        <v>205</v>
      </c>
      <c r="AA206" s="8" t="str">
        <f t="shared" si="98"/>
        <v/>
      </c>
      <c r="AG206" s="8" t="str">
        <f>IF(A206="","",IFERROR(IF(VLOOKUP(A206,Entry!$D:$D,1,FALSE)=A206,TRUE,FALSE),FALSE))</f>
        <v/>
      </c>
    </row>
    <row r="207" spans="1:33" ht="15" customHeight="1" x14ac:dyDescent="0.2">
      <c r="A207" s="110"/>
      <c r="B207" s="20"/>
      <c r="C207" s="20"/>
      <c r="D207" s="20"/>
      <c r="E207" s="20"/>
      <c r="F207" s="16"/>
      <c r="G207" s="20"/>
      <c r="H207" s="20"/>
      <c r="I207" s="187"/>
      <c r="J207" s="188"/>
      <c r="K207" s="189">
        <f t="shared" ref="K207" si="106">I207+J207</f>
        <v>0</v>
      </c>
      <c r="L207" s="72"/>
      <c r="M207" s="212"/>
      <c r="N207" s="152"/>
      <c r="O207" s="44"/>
      <c r="Y207" s="8" t="str">
        <f>IF(A207="","",IFERROR(IF(VLOOKUP(A207,Entry!$D:$D,1,FALSE)=A207,"",ROW()),ROW()))</f>
        <v/>
      </c>
      <c r="Z207" s="8">
        <f t="shared" si="100"/>
        <v>206</v>
      </c>
      <c r="AA207" s="8" t="str">
        <f t="shared" si="98"/>
        <v/>
      </c>
      <c r="AG207" s="8" t="str">
        <f>IF(A207="","",IFERROR(IF(VLOOKUP(A207,Entry!$D:$D,1,FALSE)=A207,TRUE,FALSE),FALSE))</f>
        <v/>
      </c>
    </row>
    <row r="208" spans="1:33" ht="15" customHeight="1" x14ac:dyDescent="0.2">
      <c r="A208" s="111"/>
      <c r="B208" s="21"/>
      <c r="C208" s="21"/>
      <c r="D208" s="21"/>
      <c r="E208" s="21"/>
      <c r="F208" s="14"/>
      <c r="G208" s="21"/>
      <c r="H208" s="21"/>
      <c r="I208" s="190"/>
      <c r="J208" s="191"/>
      <c r="K208" s="189">
        <f t="shared" si="103"/>
        <v>0</v>
      </c>
      <c r="L208" s="73"/>
      <c r="M208" s="213"/>
      <c r="N208" s="153"/>
      <c r="O208" s="45"/>
      <c r="Y208" s="8" t="str">
        <f>IF(A208="","",IFERROR(IF(VLOOKUP(A208,Entry!$D:$D,1,FALSE)=A208,"",ROW()),ROW()))</f>
        <v/>
      </c>
      <c r="Z208" s="8">
        <f t="shared" si="100"/>
        <v>207</v>
      </c>
      <c r="AA208" s="8" t="str">
        <f t="shared" si="98"/>
        <v/>
      </c>
      <c r="AG208" s="8" t="str">
        <f>IF(A208="","",IFERROR(IF(VLOOKUP(A208,Entry!$D:$D,1,FALSE)=A208,TRUE,FALSE),FALSE))</f>
        <v/>
      </c>
    </row>
    <row r="209" spans="1:33" ht="15" customHeight="1" x14ac:dyDescent="0.2">
      <c r="A209" s="111"/>
      <c r="B209" s="21"/>
      <c r="C209" s="21"/>
      <c r="D209" s="21"/>
      <c r="E209" s="21"/>
      <c r="F209" s="14"/>
      <c r="G209" s="21"/>
      <c r="H209" s="21"/>
      <c r="I209" s="190"/>
      <c r="J209" s="191"/>
      <c r="K209" s="189">
        <f t="shared" si="103"/>
        <v>0</v>
      </c>
      <c r="L209" s="73"/>
      <c r="M209" s="213"/>
      <c r="N209" s="153"/>
      <c r="O209" s="45"/>
      <c r="Y209" s="8" t="str">
        <f>IF(A209="","",IFERROR(IF(VLOOKUP(A209,Entry!$D:$D,1,FALSE)=A209,"",ROW()),ROW()))</f>
        <v/>
      </c>
      <c r="Z209" s="8">
        <f t="shared" si="100"/>
        <v>208</v>
      </c>
      <c r="AA209" s="8" t="str">
        <f t="shared" si="98"/>
        <v/>
      </c>
      <c r="AG209" s="8" t="str">
        <f>IF(A209="","",IFERROR(IF(VLOOKUP(A209,Entry!$D:$D,1,FALSE)=A209,TRUE,FALSE),FALSE))</f>
        <v/>
      </c>
    </row>
    <row r="210" spans="1:33" ht="15" customHeight="1" x14ac:dyDescent="0.2">
      <c r="A210" s="111"/>
      <c r="B210" s="21"/>
      <c r="C210" s="21"/>
      <c r="D210" s="21"/>
      <c r="E210" s="21"/>
      <c r="F210" s="14"/>
      <c r="G210" s="21"/>
      <c r="H210" s="21"/>
      <c r="I210" s="190"/>
      <c r="J210" s="191"/>
      <c r="K210" s="189">
        <f t="shared" si="103"/>
        <v>0</v>
      </c>
      <c r="L210" s="73"/>
      <c r="M210" s="213"/>
      <c r="N210" s="153"/>
      <c r="O210" s="45"/>
      <c r="Y210" s="8" t="str">
        <f>IF(A210="","",IFERROR(IF(VLOOKUP(A210,Entry!$D:$D,1,FALSE)=A210,"",ROW()),ROW()))</f>
        <v/>
      </c>
      <c r="Z210" s="8">
        <f t="shared" si="100"/>
        <v>209</v>
      </c>
      <c r="AA210" s="8" t="str">
        <f t="shared" si="98"/>
        <v/>
      </c>
      <c r="AG210" s="8" t="str">
        <f>IF(A210="","",IFERROR(IF(VLOOKUP(A210,Entry!$D:$D,1,FALSE)=A210,TRUE,FALSE),FALSE))</f>
        <v/>
      </c>
    </row>
    <row r="211" spans="1:33" ht="15" customHeight="1" x14ac:dyDescent="0.2">
      <c r="A211" s="112"/>
      <c r="B211" s="22"/>
      <c r="C211" s="22"/>
      <c r="D211" s="22"/>
      <c r="E211" s="22"/>
      <c r="F211" s="15"/>
      <c r="G211" s="22"/>
      <c r="H211" s="22"/>
      <c r="I211" s="192"/>
      <c r="J211" s="193"/>
      <c r="K211" s="189">
        <f t="shared" si="103"/>
        <v>0</v>
      </c>
      <c r="L211" s="74"/>
      <c r="M211" s="214"/>
      <c r="N211" s="154"/>
      <c r="O211" s="46"/>
      <c r="Y211" s="8" t="str">
        <f>IF(A211="","",IFERROR(IF(VLOOKUP(A211,Entry!$D:$D,1,FALSE)=A211,"",ROW()),ROW()))</f>
        <v/>
      </c>
      <c r="Z211" s="8">
        <f t="shared" si="100"/>
        <v>210</v>
      </c>
      <c r="AA211" s="8" t="str">
        <f t="shared" si="98"/>
        <v/>
      </c>
      <c r="AG211" s="8" t="str">
        <f>IF(A211="","",IFERROR(IF(VLOOKUP(A211,Entry!$D:$D,1,FALSE)=A211,TRUE,FALSE),FALSE))</f>
        <v/>
      </c>
    </row>
    <row r="212" spans="1:33" ht="17.25" customHeight="1" x14ac:dyDescent="0.2">
      <c r="A212" s="113"/>
      <c r="B212" s="19"/>
      <c r="C212" s="19"/>
      <c r="D212" s="19"/>
      <c r="E212" s="19"/>
      <c r="F212" s="18"/>
      <c r="G212" s="19"/>
      <c r="H212" s="19"/>
      <c r="I212" s="194">
        <f t="shared" ref="I212:K212" si="107">SUM(I213:I217)</f>
        <v>0</v>
      </c>
      <c r="J212" s="195">
        <f t="shared" si="107"/>
        <v>0</v>
      </c>
      <c r="K212" s="195">
        <f t="shared" si="107"/>
        <v>0</v>
      </c>
      <c r="L212" s="104">
        <f t="shared" ref="L212" si="108">IFERROR(SUMPRODUCT(K213:K217,L213:L217)/SUM(K213:K217),0)</f>
        <v>0</v>
      </c>
      <c r="M212" s="215"/>
      <c r="N212" s="155"/>
      <c r="O212" s="47"/>
      <c r="Y212" s="8" t="str">
        <f>IF(A212="","",IFERROR(IF(VLOOKUP(A212,Entry!$D:$D,1,FALSE)=A212,"",ROW()),ROW()))</f>
        <v/>
      </c>
      <c r="Z212" s="8">
        <f t="shared" si="100"/>
        <v>211</v>
      </c>
      <c r="AA212" s="8" t="str">
        <f t="shared" si="98"/>
        <v/>
      </c>
      <c r="AG212" s="8" t="str">
        <f>IF(A212="","",IFERROR(IF(VLOOKUP(A212,Entry!$D:$D,1,FALSE)=A212,TRUE,FALSE),FALSE))</f>
        <v/>
      </c>
    </row>
    <row r="213" spans="1:33" ht="15" customHeight="1" x14ac:dyDescent="0.2">
      <c r="A213" s="110"/>
      <c r="B213" s="20"/>
      <c r="C213" s="20"/>
      <c r="D213" s="20"/>
      <c r="E213" s="20"/>
      <c r="F213" s="16"/>
      <c r="G213" s="20"/>
      <c r="H213" s="20"/>
      <c r="I213" s="187"/>
      <c r="J213" s="188"/>
      <c r="K213" s="189">
        <f t="shared" ref="K213" si="109">I213+J213</f>
        <v>0</v>
      </c>
      <c r="L213" s="72"/>
      <c r="M213" s="212"/>
      <c r="N213" s="152"/>
      <c r="O213" s="44"/>
      <c r="Y213" s="8" t="str">
        <f>IF(A213="","",IFERROR(IF(VLOOKUP(A213,Entry!$D:$D,1,FALSE)=A213,"",ROW()),ROW()))</f>
        <v/>
      </c>
      <c r="Z213" s="8">
        <f t="shared" si="100"/>
        <v>212</v>
      </c>
      <c r="AA213" s="8" t="str">
        <f t="shared" si="98"/>
        <v/>
      </c>
      <c r="AG213" s="8" t="str">
        <f>IF(A213="","",IFERROR(IF(VLOOKUP(A213,Entry!$D:$D,1,FALSE)=A213,TRUE,FALSE),FALSE))</f>
        <v/>
      </c>
    </row>
    <row r="214" spans="1:33" ht="15" customHeight="1" x14ac:dyDescent="0.2">
      <c r="A214" s="111"/>
      <c r="B214" s="21"/>
      <c r="C214" s="21"/>
      <c r="D214" s="21"/>
      <c r="E214" s="21"/>
      <c r="F214" s="14"/>
      <c r="G214" s="21"/>
      <c r="H214" s="21"/>
      <c r="I214" s="190"/>
      <c r="J214" s="191"/>
      <c r="K214" s="189">
        <f t="shared" si="103"/>
        <v>0</v>
      </c>
      <c r="L214" s="73"/>
      <c r="M214" s="213"/>
      <c r="N214" s="153"/>
      <c r="O214" s="45"/>
      <c r="Y214" s="8" t="str">
        <f>IF(A214="","",IFERROR(IF(VLOOKUP(A214,Entry!$D:$D,1,FALSE)=A214,"",ROW()),ROW()))</f>
        <v/>
      </c>
      <c r="Z214" s="8">
        <f t="shared" si="100"/>
        <v>213</v>
      </c>
      <c r="AA214" s="8" t="str">
        <f t="shared" si="98"/>
        <v/>
      </c>
      <c r="AG214" s="8" t="str">
        <f>IF(A214="","",IFERROR(IF(VLOOKUP(A214,Entry!$D:$D,1,FALSE)=A214,TRUE,FALSE),FALSE))</f>
        <v/>
      </c>
    </row>
    <row r="215" spans="1:33" ht="15" customHeight="1" x14ac:dyDescent="0.2">
      <c r="A215" s="111"/>
      <c r="B215" s="21"/>
      <c r="C215" s="21"/>
      <c r="D215" s="21"/>
      <c r="E215" s="21"/>
      <c r="F215" s="14"/>
      <c r="G215" s="21"/>
      <c r="H215" s="21"/>
      <c r="I215" s="190"/>
      <c r="J215" s="191"/>
      <c r="K215" s="189">
        <f t="shared" si="103"/>
        <v>0</v>
      </c>
      <c r="L215" s="73"/>
      <c r="M215" s="213"/>
      <c r="N215" s="153"/>
      <c r="O215" s="45"/>
      <c r="Y215" s="8" t="str">
        <f>IF(A215="","",IFERROR(IF(VLOOKUP(A215,Entry!$D:$D,1,FALSE)=A215,"",ROW()),ROW()))</f>
        <v/>
      </c>
      <c r="Z215" s="8">
        <f t="shared" si="100"/>
        <v>214</v>
      </c>
      <c r="AA215" s="8" t="str">
        <f t="shared" si="98"/>
        <v/>
      </c>
      <c r="AG215" s="8" t="str">
        <f>IF(A215="","",IFERROR(IF(VLOOKUP(A215,Entry!$D:$D,1,FALSE)=A215,TRUE,FALSE),FALSE))</f>
        <v/>
      </c>
    </row>
    <row r="216" spans="1:33" ht="15" customHeight="1" x14ac:dyDescent="0.2">
      <c r="A216" s="111"/>
      <c r="B216" s="21"/>
      <c r="C216" s="21"/>
      <c r="D216" s="21"/>
      <c r="E216" s="21"/>
      <c r="F216" s="14"/>
      <c r="G216" s="21"/>
      <c r="H216" s="21"/>
      <c r="I216" s="190"/>
      <c r="J216" s="191"/>
      <c r="K216" s="189">
        <f t="shared" si="103"/>
        <v>0</v>
      </c>
      <c r="L216" s="73"/>
      <c r="M216" s="213"/>
      <c r="N216" s="153"/>
      <c r="O216" s="45"/>
      <c r="Y216" s="8" t="str">
        <f>IF(A216="","",IFERROR(IF(VLOOKUP(A216,Entry!$D:$D,1,FALSE)=A216,"",ROW()),ROW()))</f>
        <v/>
      </c>
      <c r="Z216" s="8">
        <f t="shared" si="100"/>
        <v>215</v>
      </c>
      <c r="AA216" s="8" t="str">
        <f t="shared" si="98"/>
        <v/>
      </c>
      <c r="AG216" s="8" t="str">
        <f>IF(A216="","",IFERROR(IF(VLOOKUP(A216,Entry!$D:$D,1,FALSE)=A216,TRUE,FALSE),FALSE))</f>
        <v/>
      </c>
    </row>
    <row r="217" spans="1:33" ht="15" customHeight="1" x14ac:dyDescent="0.2">
      <c r="A217" s="112"/>
      <c r="B217" s="22"/>
      <c r="C217" s="22"/>
      <c r="D217" s="22"/>
      <c r="E217" s="22"/>
      <c r="F217" s="15"/>
      <c r="G217" s="22"/>
      <c r="H217" s="22"/>
      <c r="I217" s="192"/>
      <c r="J217" s="193"/>
      <c r="K217" s="189">
        <f t="shared" si="103"/>
        <v>0</v>
      </c>
      <c r="L217" s="74"/>
      <c r="M217" s="214"/>
      <c r="N217" s="154"/>
      <c r="O217" s="46"/>
      <c r="Y217" s="8" t="str">
        <f>IF(A217="","",IFERROR(IF(VLOOKUP(A217,Entry!$D:$D,1,FALSE)=A217,"",ROW()),ROW()))</f>
        <v/>
      </c>
      <c r="AG217" s="8" t="str">
        <f>IF(A217="","",IFERROR(IF(VLOOKUP(A217,Entry!$D:$D,1,FALSE)=A217,TRUE,FALSE),FALSE))</f>
        <v/>
      </c>
    </row>
    <row r="218" spans="1:33" ht="17.25" customHeight="1" x14ac:dyDescent="0.2">
      <c r="A218" s="113"/>
      <c r="B218" s="19"/>
      <c r="C218" s="19"/>
      <c r="D218" s="19"/>
      <c r="E218" s="19"/>
      <c r="F218" s="18"/>
      <c r="G218" s="19"/>
      <c r="H218" s="19"/>
      <c r="I218" s="194">
        <f t="shared" ref="I218:K218" si="110">SUM(I219:I223)</f>
        <v>0</v>
      </c>
      <c r="J218" s="195">
        <f t="shared" si="110"/>
        <v>0</v>
      </c>
      <c r="K218" s="195">
        <f t="shared" si="110"/>
        <v>0</v>
      </c>
      <c r="L218" s="104">
        <f t="shared" ref="L218" si="111">IFERROR(SUMPRODUCT(K219:K223,L219:L223)/SUM(K219:K223),0)</f>
        <v>0</v>
      </c>
      <c r="M218" s="215"/>
      <c r="N218" s="155"/>
      <c r="O218" s="47"/>
      <c r="Y218" s="8" t="str">
        <f>IF(A218="","",IFERROR(IF(VLOOKUP(A218,Entry!$D:$D,1,FALSE)=A218,"",ROW()),ROW()))</f>
        <v/>
      </c>
      <c r="AG218" s="8" t="str">
        <f>IF(A218="","",IFERROR(IF(VLOOKUP(A218,Entry!$D:$D,1,FALSE)=A218,TRUE,FALSE),FALSE))</f>
        <v/>
      </c>
    </row>
    <row r="219" spans="1:33" ht="15" customHeight="1" x14ac:dyDescent="0.2">
      <c r="A219" s="110"/>
      <c r="B219" s="20"/>
      <c r="C219" s="20"/>
      <c r="D219" s="20"/>
      <c r="E219" s="20"/>
      <c r="F219" s="16"/>
      <c r="G219" s="20"/>
      <c r="H219" s="20"/>
      <c r="I219" s="187"/>
      <c r="J219" s="188"/>
      <c r="K219" s="189">
        <f t="shared" ref="K219" si="112">I219+J219</f>
        <v>0</v>
      </c>
      <c r="L219" s="72"/>
      <c r="M219" s="212"/>
      <c r="N219" s="152"/>
      <c r="O219" s="44"/>
      <c r="Y219" s="8" t="str">
        <f>IF(A219="","",IFERROR(IF(VLOOKUP(A219,Entry!$D:$D,1,FALSE)=A219,"",ROW()),ROW()))</f>
        <v/>
      </c>
      <c r="AG219" s="8" t="str">
        <f>IF(A219="","",IFERROR(IF(VLOOKUP(A219,Entry!$D:$D,1,FALSE)=A219,TRUE,FALSE),FALSE))</f>
        <v/>
      </c>
    </row>
    <row r="220" spans="1:33" ht="15" customHeight="1" x14ac:dyDescent="0.2">
      <c r="A220" s="111"/>
      <c r="B220" s="21"/>
      <c r="C220" s="21"/>
      <c r="D220" s="21"/>
      <c r="E220" s="21"/>
      <c r="F220" s="14"/>
      <c r="G220" s="21"/>
      <c r="H220" s="21"/>
      <c r="I220" s="190"/>
      <c r="J220" s="191"/>
      <c r="K220" s="189">
        <f t="shared" si="103"/>
        <v>0</v>
      </c>
      <c r="L220" s="73"/>
      <c r="M220" s="213"/>
      <c r="N220" s="153"/>
      <c r="O220" s="45"/>
      <c r="Y220" s="8" t="str">
        <f>IF(A220="","",IFERROR(IF(VLOOKUP(A220,Entry!$D:$D,1,FALSE)=A220,"",ROW()),ROW()))</f>
        <v/>
      </c>
      <c r="AG220" s="8" t="str">
        <f>IF(A220="","",IFERROR(IF(VLOOKUP(A220,Entry!$D:$D,1,FALSE)=A220,TRUE,FALSE),FALSE))</f>
        <v/>
      </c>
    </row>
    <row r="221" spans="1:33" ht="15" customHeight="1" x14ac:dyDescent="0.2">
      <c r="A221" s="111"/>
      <c r="B221" s="21"/>
      <c r="C221" s="21"/>
      <c r="D221" s="21"/>
      <c r="E221" s="21"/>
      <c r="F221" s="14"/>
      <c r="G221" s="21"/>
      <c r="H221" s="21"/>
      <c r="I221" s="190"/>
      <c r="J221" s="191"/>
      <c r="K221" s="189">
        <f t="shared" si="103"/>
        <v>0</v>
      </c>
      <c r="L221" s="73"/>
      <c r="M221" s="213"/>
      <c r="N221" s="153"/>
      <c r="O221" s="45"/>
      <c r="Y221" s="8" t="str">
        <f>IF(A221="","",IFERROR(IF(VLOOKUP(A221,Entry!$D:$D,1,FALSE)=A221,"",ROW()),ROW()))</f>
        <v/>
      </c>
      <c r="AG221" s="8" t="str">
        <f>IF(A221="","",IFERROR(IF(VLOOKUP(A221,Entry!$D:$D,1,FALSE)=A221,TRUE,FALSE),FALSE))</f>
        <v/>
      </c>
    </row>
    <row r="222" spans="1:33" ht="15" customHeight="1" x14ac:dyDescent="0.2">
      <c r="A222" s="111"/>
      <c r="B222" s="21"/>
      <c r="C222" s="21"/>
      <c r="D222" s="21"/>
      <c r="E222" s="21"/>
      <c r="F222" s="14"/>
      <c r="G222" s="21"/>
      <c r="H222" s="21"/>
      <c r="I222" s="190"/>
      <c r="J222" s="191"/>
      <c r="K222" s="189">
        <f t="shared" si="103"/>
        <v>0</v>
      </c>
      <c r="L222" s="73"/>
      <c r="M222" s="213"/>
      <c r="N222" s="153"/>
      <c r="O222" s="45"/>
      <c r="Y222" s="8" t="str">
        <f>IF(A222="","",IFERROR(IF(VLOOKUP(A222,Entry!$D:$D,1,FALSE)=A222,"",ROW()),ROW()))</f>
        <v/>
      </c>
      <c r="AG222" s="8" t="str">
        <f>IF(A222="","",IFERROR(IF(VLOOKUP(A222,Entry!$D:$D,1,FALSE)=A222,TRUE,FALSE),FALSE))</f>
        <v/>
      </c>
    </row>
    <row r="223" spans="1:33" ht="15" customHeight="1" x14ac:dyDescent="0.2">
      <c r="A223" s="112"/>
      <c r="B223" s="22"/>
      <c r="C223" s="22"/>
      <c r="D223" s="22"/>
      <c r="E223" s="22"/>
      <c r="F223" s="15"/>
      <c r="G223" s="22"/>
      <c r="H223" s="22"/>
      <c r="I223" s="192"/>
      <c r="J223" s="193"/>
      <c r="K223" s="189">
        <f t="shared" si="103"/>
        <v>0</v>
      </c>
      <c r="L223" s="74"/>
      <c r="M223" s="214"/>
      <c r="N223" s="154"/>
      <c r="O223" s="46"/>
      <c r="Y223" s="8" t="str">
        <f>IF(A223="","",IFERROR(IF(VLOOKUP(A223,Entry!$D:$D,1,FALSE)=A223,"",ROW()),ROW()))</f>
        <v/>
      </c>
      <c r="AG223" s="8" t="str">
        <f>IF(A223="","",IFERROR(IF(VLOOKUP(A223,Entry!$D:$D,1,FALSE)=A223,TRUE,FALSE),FALSE))</f>
        <v/>
      </c>
    </row>
    <row r="224" spans="1:33" ht="17.25" customHeight="1" x14ac:dyDescent="0.2">
      <c r="A224" s="113"/>
      <c r="B224" s="19"/>
      <c r="C224" s="19"/>
      <c r="D224" s="19"/>
      <c r="E224" s="19"/>
      <c r="F224" s="18"/>
      <c r="G224" s="19"/>
      <c r="H224" s="19"/>
      <c r="I224" s="194">
        <f t="shared" ref="I224:K224" si="113">SUM(I225:I229)</f>
        <v>0</v>
      </c>
      <c r="J224" s="195">
        <f t="shared" si="113"/>
        <v>0</v>
      </c>
      <c r="K224" s="195">
        <f t="shared" si="113"/>
        <v>0</v>
      </c>
      <c r="L224" s="104">
        <f t="shared" ref="L224" si="114">IFERROR(SUMPRODUCT(K225:K229,L225:L229)/SUM(K225:K229),0)</f>
        <v>0</v>
      </c>
      <c r="M224" s="215"/>
      <c r="N224" s="155"/>
      <c r="O224" s="47"/>
      <c r="Y224" s="8" t="str">
        <f>IF(A224="","",IFERROR(IF(VLOOKUP(A224,Entry!$D:$D,1,FALSE)=A224,"",ROW()),ROW()))</f>
        <v/>
      </c>
      <c r="AG224" s="8" t="str">
        <f>IF(A224="","",IFERROR(IF(VLOOKUP(A224,Entry!$D:$D,1,FALSE)=A224,TRUE,FALSE),FALSE))</f>
        <v/>
      </c>
    </row>
    <row r="225" spans="1:33" ht="15" customHeight="1" x14ac:dyDescent="0.2">
      <c r="A225" s="110"/>
      <c r="B225" s="20"/>
      <c r="C225" s="20"/>
      <c r="D225" s="20"/>
      <c r="E225" s="20"/>
      <c r="F225" s="16"/>
      <c r="G225" s="20"/>
      <c r="H225" s="20"/>
      <c r="I225" s="187"/>
      <c r="J225" s="188"/>
      <c r="K225" s="189">
        <f t="shared" ref="K225" si="115">I225+J225</f>
        <v>0</v>
      </c>
      <c r="L225" s="72"/>
      <c r="M225" s="212"/>
      <c r="N225" s="152"/>
      <c r="O225" s="44"/>
      <c r="Y225" s="8" t="str">
        <f>IF(A225="","",IFERROR(IF(VLOOKUP(A225,Entry!$D:$D,1,FALSE)=A225,"",ROW()),ROW()))</f>
        <v/>
      </c>
      <c r="AG225" s="8" t="str">
        <f>IF(A225="","",IFERROR(IF(VLOOKUP(A225,Entry!$D:$D,1,FALSE)=A225,TRUE,FALSE),FALSE))</f>
        <v/>
      </c>
    </row>
    <row r="226" spans="1:33" ht="15" customHeight="1" x14ac:dyDescent="0.2">
      <c r="A226" s="111"/>
      <c r="B226" s="21"/>
      <c r="C226" s="21"/>
      <c r="D226" s="21"/>
      <c r="E226" s="21"/>
      <c r="F226" s="14"/>
      <c r="G226" s="21"/>
      <c r="H226" s="21"/>
      <c r="I226" s="190"/>
      <c r="J226" s="191"/>
      <c r="K226" s="189">
        <f t="shared" si="103"/>
        <v>0</v>
      </c>
      <c r="L226" s="73"/>
      <c r="M226" s="213"/>
      <c r="N226" s="153"/>
      <c r="O226" s="45"/>
      <c r="Y226" s="8" t="str">
        <f>IF(A226="","",IFERROR(IF(VLOOKUP(A226,Entry!$D:$D,1,FALSE)=A226,"",ROW()),ROW()))</f>
        <v/>
      </c>
      <c r="AG226" s="8" t="str">
        <f>IF(A226="","",IFERROR(IF(VLOOKUP(A226,Entry!$D:$D,1,FALSE)=A226,TRUE,FALSE),FALSE))</f>
        <v/>
      </c>
    </row>
    <row r="227" spans="1:33" ht="15" customHeight="1" x14ac:dyDescent="0.2">
      <c r="A227" s="111"/>
      <c r="B227" s="21"/>
      <c r="C227" s="21"/>
      <c r="D227" s="21"/>
      <c r="E227" s="21"/>
      <c r="F227" s="14"/>
      <c r="G227" s="21"/>
      <c r="H227" s="21"/>
      <c r="I227" s="190"/>
      <c r="J227" s="191"/>
      <c r="K227" s="189">
        <f t="shared" si="103"/>
        <v>0</v>
      </c>
      <c r="L227" s="73"/>
      <c r="M227" s="213"/>
      <c r="N227" s="153"/>
      <c r="O227" s="45"/>
      <c r="Y227" s="8" t="str">
        <f>IF(A227="","",IFERROR(IF(VLOOKUP(A227,Entry!$D:$D,1,FALSE)=A227,"",ROW()),ROW()))</f>
        <v/>
      </c>
      <c r="AG227" s="8" t="str">
        <f>IF(A227="","",IFERROR(IF(VLOOKUP(A227,Entry!$D:$D,1,FALSE)=A227,TRUE,FALSE),FALSE))</f>
        <v/>
      </c>
    </row>
    <row r="228" spans="1:33" ht="15" customHeight="1" x14ac:dyDescent="0.2">
      <c r="A228" s="111"/>
      <c r="B228" s="21"/>
      <c r="C228" s="21"/>
      <c r="D228" s="21"/>
      <c r="E228" s="21"/>
      <c r="F228" s="14"/>
      <c r="G228" s="21"/>
      <c r="H228" s="21"/>
      <c r="I228" s="190"/>
      <c r="J228" s="191"/>
      <c r="K228" s="189">
        <f t="shared" si="103"/>
        <v>0</v>
      </c>
      <c r="L228" s="73"/>
      <c r="M228" s="213"/>
      <c r="N228" s="153"/>
      <c r="O228" s="45"/>
      <c r="Y228" s="8" t="str">
        <f>IF(A228="","",IFERROR(IF(VLOOKUP(A228,Entry!$D:$D,1,FALSE)=A228,"",ROW()),ROW()))</f>
        <v/>
      </c>
      <c r="AG228" s="8" t="str">
        <f>IF(A228="","",IFERROR(IF(VLOOKUP(A228,Entry!$D:$D,1,FALSE)=A228,TRUE,FALSE),FALSE))</f>
        <v/>
      </c>
    </row>
    <row r="229" spans="1:33" ht="15" customHeight="1" x14ac:dyDescent="0.2">
      <c r="A229" s="112"/>
      <c r="B229" s="22"/>
      <c r="C229" s="22"/>
      <c r="D229" s="22"/>
      <c r="E229" s="22"/>
      <c r="F229" s="15"/>
      <c r="G229" s="22"/>
      <c r="H229" s="22"/>
      <c r="I229" s="192"/>
      <c r="J229" s="193"/>
      <c r="K229" s="189">
        <f t="shared" si="103"/>
        <v>0</v>
      </c>
      <c r="L229" s="74"/>
      <c r="M229" s="214"/>
      <c r="N229" s="154"/>
      <c r="O229" s="46"/>
      <c r="Y229" s="8" t="str">
        <f>IF(A229="","",IFERROR(IF(VLOOKUP(A229,Entry!$D:$D,1,FALSE)=A229,"",ROW()),ROW()))</f>
        <v/>
      </c>
      <c r="AG229" s="8" t="str">
        <f>IF(A229="","",IFERROR(IF(VLOOKUP(A229,Entry!$D:$D,1,FALSE)=A229,TRUE,FALSE),FALSE))</f>
        <v/>
      </c>
    </row>
    <row r="230" spans="1:33" ht="17.25" customHeight="1" x14ac:dyDescent="0.2">
      <c r="A230" s="113"/>
      <c r="B230" s="19"/>
      <c r="C230" s="19"/>
      <c r="D230" s="19"/>
      <c r="E230" s="19"/>
      <c r="F230" s="18"/>
      <c r="G230" s="19"/>
      <c r="H230" s="19"/>
      <c r="I230" s="194">
        <f t="shared" ref="I230:K230" si="116">SUM(I231:I235)</f>
        <v>0</v>
      </c>
      <c r="J230" s="195">
        <f t="shared" si="116"/>
        <v>0</v>
      </c>
      <c r="K230" s="195">
        <f t="shared" si="116"/>
        <v>0</v>
      </c>
      <c r="L230" s="104">
        <f t="shared" ref="L230" si="117">IFERROR(SUMPRODUCT(K231:K235,L231:L235)/SUM(K231:K235),0)</f>
        <v>0</v>
      </c>
      <c r="M230" s="215"/>
      <c r="N230" s="155"/>
      <c r="O230" s="47"/>
      <c r="Y230" s="8" t="str">
        <f>IF(A230="","",IFERROR(IF(VLOOKUP(A230,Entry!$D:$D,1,FALSE)=A230,"",ROW()),ROW()))</f>
        <v/>
      </c>
      <c r="AG230" s="8" t="str">
        <f>IF(A230="","",IFERROR(IF(VLOOKUP(A230,Entry!$D:$D,1,FALSE)=A230,TRUE,FALSE),FALSE))</f>
        <v/>
      </c>
    </row>
    <row r="231" spans="1:33" ht="15" customHeight="1" x14ac:dyDescent="0.2">
      <c r="A231" s="110"/>
      <c r="B231" s="20"/>
      <c r="C231" s="20"/>
      <c r="D231" s="20"/>
      <c r="E231" s="20"/>
      <c r="F231" s="16"/>
      <c r="G231" s="20"/>
      <c r="H231" s="20"/>
      <c r="I231" s="187"/>
      <c r="J231" s="188"/>
      <c r="K231" s="189">
        <f t="shared" ref="K231" si="118">I231+J231</f>
        <v>0</v>
      </c>
      <c r="L231" s="72"/>
      <c r="M231" s="212"/>
      <c r="N231" s="152"/>
      <c r="O231" s="44"/>
      <c r="Y231" s="8" t="str">
        <f>IF(A231="","",IFERROR(IF(VLOOKUP(A231,Entry!$D:$D,1,FALSE)=A231,"",ROW()),ROW()))</f>
        <v/>
      </c>
      <c r="AG231" s="8" t="str">
        <f>IF(A231="","",IFERROR(IF(VLOOKUP(A231,Entry!$D:$D,1,FALSE)=A231,TRUE,FALSE),FALSE))</f>
        <v/>
      </c>
    </row>
    <row r="232" spans="1:33" ht="15" customHeight="1" x14ac:dyDescent="0.2">
      <c r="A232" s="111"/>
      <c r="B232" s="21"/>
      <c r="C232" s="21"/>
      <c r="D232" s="21"/>
      <c r="E232" s="21"/>
      <c r="F232" s="14"/>
      <c r="G232" s="21"/>
      <c r="H232" s="21"/>
      <c r="I232" s="190"/>
      <c r="J232" s="191"/>
      <c r="K232" s="189">
        <f t="shared" si="103"/>
        <v>0</v>
      </c>
      <c r="L232" s="73"/>
      <c r="M232" s="213"/>
      <c r="N232" s="153"/>
      <c r="O232" s="45"/>
      <c r="Y232" s="8" t="str">
        <f>IF(A232="","",IFERROR(IF(VLOOKUP(A232,Entry!$D:$D,1,FALSE)=A232,"",ROW()),ROW()))</f>
        <v/>
      </c>
      <c r="AG232" s="8" t="str">
        <f>IF(A232="","",IFERROR(IF(VLOOKUP(A232,Entry!$D:$D,1,FALSE)=A232,TRUE,FALSE),FALSE))</f>
        <v/>
      </c>
    </row>
    <row r="233" spans="1:33" ht="15" customHeight="1" x14ac:dyDescent="0.2">
      <c r="A233" s="111"/>
      <c r="B233" s="21"/>
      <c r="C233" s="21"/>
      <c r="D233" s="21"/>
      <c r="E233" s="21"/>
      <c r="F233" s="14"/>
      <c r="G233" s="21"/>
      <c r="H233" s="21"/>
      <c r="I233" s="190"/>
      <c r="J233" s="191"/>
      <c r="K233" s="189">
        <f t="shared" si="103"/>
        <v>0</v>
      </c>
      <c r="L233" s="73"/>
      <c r="M233" s="213"/>
      <c r="N233" s="153"/>
      <c r="O233" s="45"/>
      <c r="Y233" s="8" t="str">
        <f>IF(A233="","",IFERROR(IF(VLOOKUP(A233,Entry!$D:$D,1,FALSE)=A233,"",ROW()),ROW()))</f>
        <v/>
      </c>
      <c r="AG233" s="8" t="str">
        <f>IF(A233="","",IFERROR(IF(VLOOKUP(A233,Entry!$D:$D,1,FALSE)=A233,TRUE,FALSE),FALSE))</f>
        <v/>
      </c>
    </row>
    <row r="234" spans="1:33" ht="15" customHeight="1" x14ac:dyDescent="0.2">
      <c r="A234" s="111"/>
      <c r="B234" s="21"/>
      <c r="C234" s="21"/>
      <c r="D234" s="21"/>
      <c r="E234" s="21"/>
      <c r="F234" s="14"/>
      <c r="G234" s="21"/>
      <c r="H234" s="21"/>
      <c r="I234" s="190"/>
      <c r="J234" s="191"/>
      <c r="K234" s="189">
        <f t="shared" si="103"/>
        <v>0</v>
      </c>
      <c r="L234" s="73"/>
      <c r="M234" s="213"/>
      <c r="N234" s="153"/>
      <c r="O234" s="45"/>
      <c r="Y234" s="8" t="str">
        <f>IF(A234="","",IFERROR(IF(VLOOKUP(A234,Entry!$D:$D,1,FALSE)=A234,"",ROW()),ROW()))</f>
        <v/>
      </c>
      <c r="AG234" s="8" t="str">
        <f>IF(A234="","",IFERROR(IF(VLOOKUP(A234,Entry!$D:$D,1,FALSE)=A234,TRUE,FALSE),FALSE))</f>
        <v/>
      </c>
    </row>
    <row r="235" spans="1:33" ht="15" customHeight="1" x14ac:dyDescent="0.2">
      <c r="A235" s="112"/>
      <c r="B235" s="22"/>
      <c r="C235" s="22"/>
      <c r="D235" s="22"/>
      <c r="E235" s="22"/>
      <c r="F235" s="15"/>
      <c r="G235" s="22"/>
      <c r="H235" s="22"/>
      <c r="I235" s="192"/>
      <c r="J235" s="193"/>
      <c r="K235" s="189">
        <f t="shared" si="103"/>
        <v>0</v>
      </c>
      <c r="L235" s="74"/>
      <c r="M235" s="214"/>
      <c r="N235" s="154"/>
      <c r="O235" s="46"/>
      <c r="Y235" s="8" t="str">
        <f>IF(A235="","",IFERROR(IF(VLOOKUP(A235,Entry!$D:$D,1,FALSE)=A235,"",ROW()),ROW()))</f>
        <v/>
      </c>
      <c r="AG235" s="8" t="str">
        <f>IF(A235="","",IFERROR(IF(VLOOKUP(A235,Entry!$D:$D,1,FALSE)=A235,TRUE,FALSE),FALSE))</f>
        <v/>
      </c>
    </row>
    <row r="236" spans="1:33" ht="17.25" customHeight="1" x14ac:dyDescent="0.2">
      <c r="A236" s="113"/>
      <c r="B236" s="19"/>
      <c r="C236" s="19"/>
      <c r="D236" s="19"/>
      <c r="E236" s="19"/>
      <c r="F236" s="18"/>
      <c r="G236" s="19"/>
      <c r="H236" s="19"/>
      <c r="I236" s="194">
        <f t="shared" ref="I236:K236" si="119">SUM(I237:I241)</f>
        <v>0</v>
      </c>
      <c r="J236" s="195">
        <f t="shared" si="119"/>
        <v>0</v>
      </c>
      <c r="K236" s="195">
        <f t="shared" si="119"/>
        <v>0</v>
      </c>
      <c r="L236" s="104">
        <f t="shared" ref="L236" si="120">IFERROR(SUMPRODUCT(K237:K241,L237:L241)/SUM(K237:K241),0)</f>
        <v>0</v>
      </c>
      <c r="M236" s="215"/>
      <c r="N236" s="155"/>
      <c r="O236" s="47"/>
      <c r="Y236" s="8" t="str">
        <f>IF(A236="","",IFERROR(IF(VLOOKUP(A236,Entry!$D:$D,1,FALSE)=A236,"",ROW()),ROW()))</f>
        <v/>
      </c>
      <c r="AG236" s="8" t="str">
        <f>IF(A236="","",IFERROR(IF(VLOOKUP(A236,Entry!$D:$D,1,FALSE)=A236,TRUE,FALSE),FALSE))</f>
        <v/>
      </c>
    </row>
    <row r="237" spans="1:33" ht="15" customHeight="1" x14ac:dyDescent="0.2">
      <c r="A237" s="110"/>
      <c r="B237" s="20"/>
      <c r="C237" s="20"/>
      <c r="D237" s="20"/>
      <c r="E237" s="20"/>
      <c r="F237" s="16"/>
      <c r="G237" s="20"/>
      <c r="H237" s="20"/>
      <c r="I237" s="187"/>
      <c r="J237" s="188"/>
      <c r="K237" s="189">
        <f t="shared" ref="K237" si="121">I237+J237</f>
        <v>0</v>
      </c>
      <c r="L237" s="72"/>
      <c r="M237" s="212"/>
      <c r="N237" s="152"/>
      <c r="O237" s="44"/>
      <c r="Y237" s="8" t="str">
        <f>IF(A237="","",IFERROR(IF(VLOOKUP(A237,Entry!$D:$D,1,FALSE)=A237,"",ROW()),ROW()))</f>
        <v/>
      </c>
      <c r="AG237" s="8" t="str">
        <f>IF(A237="","",IFERROR(IF(VLOOKUP(A237,Entry!$D:$D,1,FALSE)=A237,TRUE,FALSE),FALSE))</f>
        <v/>
      </c>
    </row>
    <row r="238" spans="1:33" ht="15" customHeight="1" x14ac:dyDescent="0.2">
      <c r="A238" s="111"/>
      <c r="B238" s="21"/>
      <c r="C238" s="21"/>
      <c r="D238" s="21"/>
      <c r="E238" s="21"/>
      <c r="F238" s="14"/>
      <c r="G238" s="21"/>
      <c r="H238" s="21"/>
      <c r="I238" s="190"/>
      <c r="J238" s="191"/>
      <c r="K238" s="189">
        <f t="shared" si="103"/>
        <v>0</v>
      </c>
      <c r="L238" s="73"/>
      <c r="M238" s="213"/>
      <c r="N238" s="153"/>
      <c r="O238" s="45"/>
      <c r="Y238" s="8" t="str">
        <f>IF(A238="","",IFERROR(IF(VLOOKUP(A238,Entry!$D:$D,1,FALSE)=A238,"",ROW()),ROW()))</f>
        <v/>
      </c>
      <c r="AG238" s="8" t="str">
        <f>IF(A238="","",IFERROR(IF(VLOOKUP(A238,Entry!$D:$D,1,FALSE)=A238,TRUE,FALSE),FALSE))</f>
        <v/>
      </c>
    </row>
    <row r="239" spans="1:33" ht="15" customHeight="1" x14ac:dyDescent="0.2">
      <c r="A239" s="111"/>
      <c r="B239" s="21"/>
      <c r="C239" s="21"/>
      <c r="D239" s="21"/>
      <c r="E239" s="21"/>
      <c r="F239" s="14"/>
      <c r="G239" s="21"/>
      <c r="H239" s="21"/>
      <c r="I239" s="190"/>
      <c r="J239" s="191"/>
      <c r="K239" s="189">
        <f t="shared" si="103"/>
        <v>0</v>
      </c>
      <c r="L239" s="73"/>
      <c r="M239" s="213"/>
      <c r="N239" s="153"/>
      <c r="O239" s="45"/>
      <c r="Y239" s="8" t="str">
        <f>IF(A239="","",IFERROR(IF(VLOOKUP(A239,Entry!$D:$D,1,FALSE)=A239,"",ROW()),ROW()))</f>
        <v/>
      </c>
      <c r="AG239" s="8" t="str">
        <f>IF(A239="","",IFERROR(IF(VLOOKUP(A239,Entry!$D:$D,1,FALSE)=A239,TRUE,FALSE),FALSE))</f>
        <v/>
      </c>
    </row>
    <row r="240" spans="1:33" ht="15" customHeight="1" x14ac:dyDescent="0.2">
      <c r="A240" s="111"/>
      <c r="B240" s="21"/>
      <c r="C240" s="21"/>
      <c r="D240" s="21"/>
      <c r="E240" s="21"/>
      <c r="F240" s="14"/>
      <c r="G240" s="21"/>
      <c r="H240" s="21"/>
      <c r="I240" s="190"/>
      <c r="J240" s="191"/>
      <c r="K240" s="189">
        <f t="shared" si="103"/>
        <v>0</v>
      </c>
      <c r="L240" s="73"/>
      <c r="M240" s="213"/>
      <c r="N240" s="153"/>
      <c r="O240" s="45"/>
      <c r="Y240" s="8" t="str">
        <f>IF(A240="","",IFERROR(IF(VLOOKUP(A240,Entry!$D:$D,1,FALSE)=A240,"",ROW()),ROW()))</f>
        <v/>
      </c>
      <c r="AG240" s="8" t="str">
        <f>IF(A240="","",IFERROR(IF(VLOOKUP(A240,Entry!$D:$D,1,FALSE)=A240,TRUE,FALSE),FALSE))</f>
        <v/>
      </c>
    </row>
    <row r="241" spans="1:33" ht="15" customHeight="1" x14ac:dyDescent="0.2">
      <c r="A241" s="112"/>
      <c r="B241" s="22"/>
      <c r="C241" s="22"/>
      <c r="D241" s="22"/>
      <c r="E241" s="22"/>
      <c r="F241" s="15"/>
      <c r="G241" s="22"/>
      <c r="H241" s="22"/>
      <c r="I241" s="192"/>
      <c r="J241" s="193"/>
      <c r="K241" s="189">
        <f t="shared" si="103"/>
        <v>0</v>
      </c>
      <c r="L241" s="74"/>
      <c r="M241" s="214"/>
      <c r="N241" s="154"/>
      <c r="O241" s="46"/>
      <c r="Y241" s="8" t="str">
        <f>IF(A241="","",IFERROR(IF(VLOOKUP(A241,Entry!$D:$D,1,FALSE)=A241,"",ROW()),ROW()))</f>
        <v/>
      </c>
      <c r="AG241" s="8" t="str">
        <f>IF(A241="","",IFERROR(IF(VLOOKUP(A241,Entry!$D:$D,1,FALSE)=A241,TRUE,FALSE),FALSE))</f>
        <v/>
      </c>
    </row>
    <row r="242" spans="1:33" ht="17.25" customHeight="1" x14ac:dyDescent="0.2">
      <c r="A242" s="113"/>
      <c r="B242" s="19"/>
      <c r="C242" s="19"/>
      <c r="D242" s="19"/>
      <c r="E242" s="19"/>
      <c r="F242" s="18"/>
      <c r="G242" s="19"/>
      <c r="H242" s="19"/>
      <c r="I242" s="194">
        <f t="shared" ref="I242:K242" si="122">SUM(I243:I247)</f>
        <v>0</v>
      </c>
      <c r="J242" s="195">
        <f t="shared" si="122"/>
        <v>0</v>
      </c>
      <c r="K242" s="195">
        <f t="shared" si="122"/>
        <v>0</v>
      </c>
      <c r="L242" s="104">
        <f t="shared" ref="L242" si="123">IFERROR(SUMPRODUCT(K243:K247,L243:L247)/SUM(K243:K247),0)</f>
        <v>0</v>
      </c>
      <c r="M242" s="215"/>
      <c r="N242" s="155"/>
      <c r="O242" s="47"/>
      <c r="Y242" s="8" t="str">
        <f>IF(A242="","",IFERROR(IF(VLOOKUP(A242,Entry!$D:$D,1,FALSE)=A242,"",ROW()),ROW()))</f>
        <v/>
      </c>
      <c r="AG242" s="8" t="str">
        <f>IF(A242="","",IFERROR(IF(VLOOKUP(A242,Entry!$D:$D,1,FALSE)=A242,TRUE,FALSE),FALSE))</f>
        <v/>
      </c>
    </row>
    <row r="243" spans="1:33" ht="15" customHeight="1" x14ac:dyDescent="0.2">
      <c r="A243" s="110"/>
      <c r="B243" s="20"/>
      <c r="C243" s="20"/>
      <c r="D243" s="20"/>
      <c r="E243" s="20"/>
      <c r="F243" s="16"/>
      <c r="G243" s="20"/>
      <c r="H243" s="20"/>
      <c r="I243" s="187"/>
      <c r="J243" s="188"/>
      <c r="K243" s="189">
        <f t="shared" ref="K243" si="124">I243+J243</f>
        <v>0</v>
      </c>
      <c r="L243" s="72"/>
      <c r="M243" s="212"/>
      <c r="N243" s="152"/>
      <c r="O243" s="44"/>
      <c r="Y243" s="8" t="str">
        <f>IF(A243="","",IFERROR(IF(VLOOKUP(A243,Entry!$D:$D,1,FALSE)=A243,"",ROW()),ROW()))</f>
        <v/>
      </c>
      <c r="AG243" s="8" t="str">
        <f>IF(A243="","",IFERROR(IF(VLOOKUP(A243,Entry!$D:$D,1,FALSE)=A243,TRUE,FALSE),FALSE))</f>
        <v/>
      </c>
    </row>
    <row r="244" spans="1:33" ht="15" customHeight="1" x14ac:dyDescent="0.2">
      <c r="A244" s="111"/>
      <c r="B244" s="21"/>
      <c r="C244" s="21"/>
      <c r="D244" s="21"/>
      <c r="E244" s="21"/>
      <c r="F244" s="14"/>
      <c r="G244" s="21"/>
      <c r="H244" s="21"/>
      <c r="I244" s="190"/>
      <c r="J244" s="191"/>
      <c r="K244" s="189">
        <f t="shared" si="103"/>
        <v>0</v>
      </c>
      <c r="L244" s="73"/>
      <c r="M244" s="213"/>
      <c r="N244" s="153"/>
      <c r="O244" s="45"/>
      <c r="Y244" s="8" t="str">
        <f>IF(A244="","",IFERROR(IF(VLOOKUP(A244,Entry!$D:$D,1,FALSE)=A244,"",ROW()),ROW()))</f>
        <v/>
      </c>
      <c r="AG244" s="8" t="str">
        <f>IF(A244="","",IFERROR(IF(VLOOKUP(A244,Entry!$D:$D,1,FALSE)=A244,TRUE,FALSE),FALSE))</f>
        <v/>
      </c>
    </row>
    <row r="245" spans="1:33" ht="15" customHeight="1" x14ac:dyDescent="0.2">
      <c r="A245" s="111"/>
      <c r="B245" s="21"/>
      <c r="C245" s="21"/>
      <c r="D245" s="21"/>
      <c r="E245" s="21"/>
      <c r="F245" s="14"/>
      <c r="G245" s="21"/>
      <c r="H245" s="21"/>
      <c r="I245" s="190"/>
      <c r="J245" s="191"/>
      <c r="K245" s="189">
        <f t="shared" si="103"/>
        <v>0</v>
      </c>
      <c r="L245" s="73"/>
      <c r="M245" s="213"/>
      <c r="N245" s="153"/>
      <c r="O245" s="45"/>
      <c r="Y245" s="8" t="str">
        <f>IF(A245="","",IFERROR(IF(VLOOKUP(A245,Entry!$D:$D,1,FALSE)=A245,"",ROW()),ROW()))</f>
        <v/>
      </c>
      <c r="AG245" s="8" t="str">
        <f>IF(A245="","",IFERROR(IF(VLOOKUP(A245,Entry!$D:$D,1,FALSE)=A245,TRUE,FALSE),FALSE))</f>
        <v/>
      </c>
    </row>
    <row r="246" spans="1:33" ht="15" customHeight="1" x14ac:dyDescent="0.2">
      <c r="A246" s="111"/>
      <c r="B246" s="21"/>
      <c r="C246" s="21"/>
      <c r="D246" s="21"/>
      <c r="E246" s="21"/>
      <c r="F246" s="14"/>
      <c r="G246" s="21"/>
      <c r="H246" s="21"/>
      <c r="I246" s="190"/>
      <c r="J246" s="191"/>
      <c r="K246" s="189">
        <f t="shared" si="103"/>
        <v>0</v>
      </c>
      <c r="L246" s="73"/>
      <c r="M246" s="213"/>
      <c r="N246" s="153"/>
      <c r="O246" s="45"/>
      <c r="Y246" s="8" t="str">
        <f>IF(A246="","",IFERROR(IF(VLOOKUP(A246,Entry!$D:$D,1,FALSE)=A246,"",ROW()),ROW()))</f>
        <v/>
      </c>
      <c r="AG246" s="8" t="str">
        <f>IF(A246="","",IFERROR(IF(VLOOKUP(A246,Entry!$D:$D,1,FALSE)=A246,TRUE,FALSE),FALSE))</f>
        <v/>
      </c>
    </row>
    <row r="247" spans="1:33" ht="15" customHeight="1" x14ac:dyDescent="0.2">
      <c r="A247" s="112"/>
      <c r="B247" s="22"/>
      <c r="C247" s="22"/>
      <c r="D247" s="22"/>
      <c r="E247" s="22"/>
      <c r="F247" s="15"/>
      <c r="G247" s="22"/>
      <c r="H247" s="22"/>
      <c r="I247" s="192"/>
      <c r="J247" s="193"/>
      <c r="K247" s="189">
        <f t="shared" si="103"/>
        <v>0</v>
      </c>
      <c r="L247" s="74"/>
      <c r="M247" s="214"/>
      <c r="N247" s="154"/>
      <c r="O247" s="46"/>
      <c r="Y247" s="8" t="str">
        <f>IF(A247="","",IFERROR(IF(VLOOKUP(A247,Entry!$D:$D,1,FALSE)=A247,"",ROW()),ROW()))</f>
        <v/>
      </c>
      <c r="AG247" s="8" t="str">
        <f>IF(A247="","",IFERROR(IF(VLOOKUP(A247,Entry!$D:$D,1,FALSE)=A247,TRUE,FALSE),FALSE))</f>
        <v/>
      </c>
    </row>
    <row r="248" spans="1:33" ht="17.25" customHeight="1" x14ac:dyDescent="0.2">
      <c r="A248" s="113"/>
      <c r="B248" s="19"/>
      <c r="C248" s="19"/>
      <c r="D248" s="19"/>
      <c r="E248" s="19"/>
      <c r="F248" s="18"/>
      <c r="G248" s="19"/>
      <c r="H248" s="19"/>
      <c r="I248" s="194">
        <f t="shared" ref="I248:K248" si="125">SUM(I249:I253)</f>
        <v>0</v>
      </c>
      <c r="J248" s="195">
        <f t="shared" si="125"/>
        <v>0</v>
      </c>
      <c r="K248" s="195">
        <f t="shared" si="125"/>
        <v>0</v>
      </c>
      <c r="L248" s="104">
        <f t="shared" ref="L248" si="126">IFERROR(SUMPRODUCT(K249:K253,L249:L253)/SUM(K249:K253),0)</f>
        <v>0</v>
      </c>
      <c r="M248" s="215"/>
      <c r="N248" s="155"/>
      <c r="O248" s="47"/>
      <c r="Y248" s="8" t="str">
        <f>IF(A248="","",IFERROR(IF(VLOOKUP(A248,Entry!$D:$D,1,FALSE)=A248,"",ROW()),ROW()))</f>
        <v/>
      </c>
      <c r="AG248" s="8" t="str">
        <f>IF(A248="","",IFERROR(IF(VLOOKUP(A248,Entry!$D:$D,1,FALSE)=A248,TRUE,FALSE),FALSE))</f>
        <v/>
      </c>
    </row>
    <row r="249" spans="1:33" ht="15" customHeight="1" x14ac:dyDescent="0.2">
      <c r="A249" s="110"/>
      <c r="B249" s="20"/>
      <c r="C249" s="20"/>
      <c r="D249" s="20"/>
      <c r="E249" s="20"/>
      <c r="F249" s="16"/>
      <c r="G249" s="20"/>
      <c r="H249" s="20"/>
      <c r="I249" s="187"/>
      <c r="J249" s="188"/>
      <c r="K249" s="189">
        <f t="shared" ref="K249" si="127">I249+J249</f>
        <v>0</v>
      </c>
      <c r="L249" s="72"/>
      <c r="M249" s="212"/>
      <c r="N249" s="152"/>
      <c r="O249" s="44"/>
      <c r="Y249" s="8" t="str">
        <f>IF(A249="","",IFERROR(IF(VLOOKUP(A249,Entry!$D:$D,1,FALSE)=A249,"",ROW()),ROW()))</f>
        <v/>
      </c>
      <c r="AG249" s="8" t="str">
        <f>IF(A249="","",IFERROR(IF(VLOOKUP(A249,Entry!$D:$D,1,FALSE)=A249,TRUE,FALSE),FALSE))</f>
        <v/>
      </c>
    </row>
    <row r="250" spans="1:33" ht="15" customHeight="1" x14ac:dyDescent="0.2">
      <c r="A250" s="111"/>
      <c r="B250" s="21"/>
      <c r="C250" s="21"/>
      <c r="D250" s="21"/>
      <c r="E250" s="21"/>
      <c r="F250" s="14"/>
      <c r="G250" s="21"/>
      <c r="H250" s="21"/>
      <c r="I250" s="190"/>
      <c r="J250" s="191"/>
      <c r="K250" s="189">
        <f t="shared" si="103"/>
        <v>0</v>
      </c>
      <c r="L250" s="73"/>
      <c r="M250" s="213"/>
      <c r="N250" s="153"/>
      <c r="O250" s="45"/>
      <c r="Y250" s="8" t="str">
        <f>IF(A250="","",IFERROR(IF(VLOOKUP(A250,Entry!$D:$D,1,FALSE)=A250,"",ROW()),ROW()))</f>
        <v/>
      </c>
      <c r="AG250" s="8" t="str">
        <f>IF(A250="","",IFERROR(IF(VLOOKUP(A250,Entry!$D:$D,1,FALSE)=A250,TRUE,FALSE),FALSE))</f>
        <v/>
      </c>
    </row>
    <row r="251" spans="1:33" ht="15" customHeight="1" x14ac:dyDescent="0.2">
      <c r="A251" s="111"/>
      <c r="B251" s="21"/>
      <c r="C251" s="21"/>
      <c r="D251" s="21"/>
      <c r="E251" s="21"/>
      <c r="F251" s="14"/>
      <c r="G251" s="21"/>
      <c r="H251" s="21"/>
      <c r="I251" s="190"/>
      <c r="J251" s="191"/>
      <c r="K251" s="189">
        <f t="shared" si="103"/>
        <v>0</v>
      </c>
      <c r="L251" s="73"/>
      <c r="M251" s="213"/>
      <c r="N251" s="153"/>
      <c r="O251" s="45"/>
      <c r="Y251" s="8" t="str">
        <f>IF(A251="","",IFERROR(IF(VLOOKUP(A251,Entry!$D:$D,1,FALSE)=A251,"",ROW()),ROW()))</f>
        <v/>
      </c>
      <c r="AG251" s="8" t="str">
        <f>IF(A251="","",IFERROR(IF(VLOOKUP(A251,Entry!$D:$D,1,FALSE)=A251,TRUE,FALSE),FALSE))</f>
        <v/>
      </c>
    </row>
    <row r="252" spans="1:33" ht="15" customHeight="1" x14ac:dyDescent="0.2">
      <c r="A252" s="111"/>
      <c r="B252" s="21"/>
      <c r="C252" s="21"/>
      <c r="D252" s="21"/>
      <c r="E252" s="21"/>
      <c r="F252" s="14"/>
      <c r="G252" s="21"/>
      <c r="H252" s="21"/>
      <c r="I252" s="190"/>
      <c r="J252" s="191"/>
      <c r="K252" s="189">
        <f t="shared" si="103"/>
        <v>0</v>
      </c>
      <c r="L252" s="73"/>
      <c r="M252" s="213"/>
      <c r="N252" s="153"/>
      <c r="O252" s="45"/>
      <c r="Y252" s="8" t="str">
        <f>IF(A252="","",IFERROR(IF(VLOOKUP(A252,Entry!$D:$D,1,FALSE)=A252,"",ROW()),ROW()))</f>
        <v/>
      </c>
      <c r="AG252" s="8" t="str">
        <f>IF(A252="","",IFERROR(IF(VLOOKUP(A252,Entry!$D:$D,1,FALSE)=A252,TRUE,FALSE),FALSE))</f>
        <v/>
      </c>
    </row>
    <row r="253" spans="1:33" ht="15" customHeight="1" x14ac:dyDescent="0.2">
      <c r="A253" s="112"/>
      <c r="B253" s="22"/>
      <c r="C253" s="22"/>
      <c r="D253" s="22"/>
      <c r="E253" s="22"/>
      <c r="F253" s="15"/>
      <c r="G253" s="22"/>
      <c r="H253" s="22"/>
      <c r="I253" s="192"/>
      <c r="J253" s="193"/>
      <c r="K253" s="189">
        <f t="shared" si="103"/>
        <v>0</v>
      </c>
      <c r="L253" s="74"/>
      <c r="M253" s="214"/>
      <c r="N253" s="154"/>
      <c r="O253" s="46"/>
      <c r="Y253" s="8" t="str">
        <f>IF(A253="","",IFERROR(IF(VLOOKUP(A253,Entry!$D:$D,1,FALSE)=A253,"",ROW()),ROW()))</f>
        <v/>
      </c>
      <c r="AG253" s="8" t="str">
        <f>IF(A253="","",IFERROR(IF(VLOOKUP(A253,Entry!$D:$D,1,FALSE)=A253,TRUE,FALSE),FALSE))</f>
        <v/>
      </c>
    </row>
    <row r="254" spans="1:33" ht="17.25" customHeight="1" x14ac:dyDescent="0.2">
      <c r="A254" s="113"/>
      <c r="B254" s="19"/>
      <c r="C254" s="19"/>
      <c r="D254" s="19"/>
      <c r="E254" s="19"/>
      <c r="F254" s="18"/>
      <c r="G254" s="19"/>
      <c r="H254" s="19"/>
      <c r="I254" s="194">
        <f t="shared" ref="I254:K254" si="128">SUM(I255:I259)</f>
        <v>0</v>
      </c>
      <c r="J254" s="195">
        <f t="shared" si="128"/>
        <v>0</v>
      </c>
      <c r="K254" s="195">
        <f t="shared" si="128"/>
        <v>0</v>
      </c>
      <c r="L254" s="104">
        <f t="shared" ref="L254" si="129">IFERROR(SUMPRODUCT(K255:K259,L255:L259)/SUM(K255:K259),0)</f>
        <v>0</v>
      </c>
      <c r="M254" s="215"/>
      <c r="N254" s="155"/>
      <c r="O254" s="47"/>
      <c r="Y254" s="8" t="str">
        <f>IF(A254="","",IFERROR(IF(VLOOKUP(A254,Entry!$D:$D,1,FALSE)=A254,"",ROW()),ROW()))</f>
        <v/>
      </c>
      <c r="AG254" s="8" t="str">
        <f>IF(A254="","",IFERROR(IF(VLOOKUP(A254,Entry!$D:$D,1,FALSE)=A254,TRUE,FALSE),FALSE))</f>
        <v/>
      </c>
    </row>
    <row r="255" spans="1:33" ht="15" customHeight="1" x14ac:dyDescent="0.2">
      <c r="A255" s="110"/>
      <c r="B255" s="20"/>
      <c r="C255" s="20"/>
      <c r="D255" s="20"/>
      <c r="E255" s="20"/>
      <c r="F255" s="16"/>
      <c r="G255" s="20"/>
      <c r="H255" s="20"/>
      <c r="I255" s="187"/>
      <c r="J255" s="188"/>
      <c r="K255" s="189">
        <f t="shared" ref="K255" si="130">I255+J255</f>
        <v>0</v>
      </c>
      <c r="L255" s="72"/>
      <c r="M255" s="212"/>
      <c r="N255" s="152"/>
      <c r="O255" s="44"/>
      <c r="Y255" s="8" t="str">
        <f>IF(A255="","",IFERROR(IF(VLOOKUP(A255,Entry!$D:$D,1,FALSE)=A255,"",ROW()),ROW()))</f>
        <v/>
      </c>
      <c r="AG255" s="8" t="str">
        <f>IF(A255="","",IFERROR(IF(VLOOKUP(A255,Entry!$D:$D,1,FALSE)=A255,TRUE,FALSE),FALSE))</f>
        <v/>
      </c>
    </row>
    <row r="256" spans="1:33" ht="15" customHeight="1" x14ac:dyDescent="0.2">
      <c r="A256" s="111"/>
      <c r="B256" s="21"/>
      <c r="C256" s="21"/>
      <c r="D256" s="21"/>
      <c r="E256" s="21"/>
      <c r="F256" s="14"/>
      <c r="G256" s="21"/>
      <c r="H256" s="21"/>
      <c r="I256" s="190"/>
      <c r="J256" s="191"/>
      <c r="K256" s="189">
        <f t="shared" si="103"/>
        <v>0</v>
      </c>
      <c r="L256" s="73"/>
      <c r="M256" s="213"/>
      <c r="N256" s="153"/>
      <c r="O256" s="45"/>
      <c r="Y256" s="8" t="str">
        <f>IF(A256="","",IFERROR(IF(VLOOKUP(A256,Entry!$D:$D,1,FALSE)=A256,"",ROW()),ROW()))</f>
        <v/>
      </c>
      <c r="AG256" s="8" t="str">
        <f>IF(A256="","",IFERROR(IF(VLOOKUP(A256,Entry!$D:$D,1,FALSE)=A256,TRUE,FALSE),FALSE))</f>
        <v/>
      </c>
    </row>
    <row r="257" spans="1:33" ht="15" customHeight="1" x14ac:dyDescent="0.2">
      <c r="A257" s="111"/>
      <c r="B257" s="21"/>
      <c r="C257" s="21"/>
      <c r="D257" s="21"/>
      <c r="E257" s="21"/>
      <c r="F257" s="14"/>
      <c r="G257" s="21"/>
      <c r="H257" s="21"/>
      <c r="I257" s="190"/>
      <c r="J257" s="191"/>
      <c r="K257" s="189">
        <f t="shared" si="103"/>
        <v>0</v>
      </c>
      <c r="L257" s="73"/>
      <c r="M257" s="213"/>
      <c r="N257" s="153"/>
      <c r="O257" s="45"/>
      <c r="Y257" s="8" t="str">
        <f>IF(A257="","",IFERROR(IF(VLOOKUP(A257,Entry!$D:$D,1,FALSE)=A257,"",ROW()),ROW()))</f>
        <v/>
      </c>
      <c r="AG257" s="8" t="str">
        <f>IF(A257="","",IFERROR(IF(VLOOKUP(A257,Entry!$D:$D,1,FALSE)=A257,TRUE,FALSE),FALSE))</f>
        <v/>
      </c>
    </row>
    <row r="258" spans="1:33" ht="15" customHeight="1" x14ac:dyDescent="0.2">
      <c r="A258" s="111"/>
      <c r="B258" s="21"/>
      <c r="C258" s="21"/>
      <c r="D258" s="21"/>
      <c r="E258" s="21"/>
      <c r="F258" s="14"/>
      <c r="G258" s="21"/>
      <c r="H258" s="21"/>
      <c r="I258" s="190"/>
      <c r="J258" s="191"/>
      <c r="K258" s="189">
        <f t="shared" si="103"/>
        <v>0</v>
      </c>
      <c r="L258" s="73"/>
      <c r="M258" s="213"/>
      <c r="N258" s="153"/>
      <c r="O258" s="45"/>
      <c r="Y258" s="8" t="str">
        <f>IF(A258="","",IFERROR(IF(VLOOKUP(A258,Entry!$D:$D,1,FALSE)=A258,"",ROW()),ROW()))</f>
        <v/>
      </c>
      <c r="AG258" s="8" t="str">
        <f>IF(A258="","",IFERROR(IF(VLOOKUP(A258,Entry!$D:$D,1,FALSE)=A258,TRUE,FALSE),FALSE))</f>
        <v/>
      </c>
    </row>
    <row r="259" spans="1:33" ht="15" customHeight="1" x14ac:dyDescent="0.2">
      <c r="A259" s="112"/>
      <c r="B259" s="22"/>
      <c r="C259" s="22"/>
      <c r="D259" s="22"/>
      <c r="E259" s="22"/>
      <c r="F259" s="15"/>
      <c r="G259" s="22"/>
      <c r="H259" s="22"/>
      <c r="I259" s="192"/>
      <c r="J259" s="193"/>
      <c r="K259" s="189">
        <f t="shared" si="103"/>
        <v>0</v>
      </c>
      <c r="L259" s="74"/>
      <c r="M259" s="214"/>
      <c r="N259" s="154"/>
      <c r="O259" s="46"/>
      <c r="Y259" s="8" t="str">
        <f>IF(A259="","",IFERROR(IF(VLOOKUP(A259,Entry!$D:$D,1,FALSE)=A259,"",ROW()),ROW()))</f>
        <v/>
      </c>
      <c r="AG259" s="8" t="str">
        <f>IF(A259="","",IFERROR(IF(VLOOKUP(A259,Entry!$D:$D,1,FALSE)=A259,TRUE,FALSE),FALSE))</f>
        <v/>
      </c>
    </row>
    <row r="260" spans="1:33" ht="17.25" customHeight="1" x14ac:dyDescent="0.2">
      <c r="A260" s="113"/>
      <c r="B260" s="19"/>
      <c r="C260" s="19"/>
      <c r="D260" s="19"/>
      <c r="E260" s="19"/>
      <c r="F260" s="18"/>
      <c r="G260" s="19"/>
      <c r="H260" s="19"/>
      <c r="I260" s="194">
        <f t="shared" ref="I260:K260" si="131">SUM(I261:I265)</f>
        <v>0</v>
      </c>
      <c r="J260" s="195">
        <f t="shared" si="131"/>
        <v>0</v>
      </c>
      <c r="K260" s="195">
        <f t="shared" si="131"/>
        <v>0</v>
      </c>
      <c r="L260" s="104">
        <f t="shared" ref="L260" si="132">IFERROR(SUMPRODUCT(K261:K265,L261:L265)/SUM(K261:K265),0)</f>
        <v>0</v>
      </c>
      <c r="M260" s="215"/>
      <c r="N260" s="155"/>
      <c r="O260" s="47"/>
      <c r="Y260" s="8" t="str">
        <f>IF(A260="","",IFERROR(IF(VLOOKUP(A260,Entry!$D:$D,1,FALSE)=A260,"",ROW()),ROW()))</f>
        <v/>
      </c>
      <c r="AG260" s="8" t="str">
        <f>IF(A260="","",IFERROR(IF(VLOOKUP(A260,Entry!$D:$D,1,FALSE)=A260,TRUE,FALSE),FALSE))</f>
        <v/>
      </c>
    </row>
    <row r="261" spans="1:33" ht="15" customHeight="1" x14ac:dyDescent="0.2">
      <c r="A261" s="110"/>
      <c r="B261" s="20"/>
      <c r="C261" s="20"/>
      <c r="D261" s="20"/>
      <c r="E261" s="20"/>
      <c r="F261" s="16"/>
      <c r="G261" s="20"/>
      <c r="H261" s="20"/>
      <c r="I261" s="187"/>
      <c r="J261" s="188"/>
      <c r="K261" s="189">
        <f t="shared" ref="K261" si="133">I261+J261</f>
        <v>0</v>
      </c>
      <c r="L261" s="72"/>
      <c r="M261" s="212"/>
      <c r="N261" s="152"/>
      <c r="O261" s="44"/>
      <c r="Y261" s="8" t="str">
        <f>IF(A261="","",IFERROR(IF(VLOOKUP(A261,Entry!$D:$D,1,FALSE)=A261,"",ROW()),ROW()))</f>
        <v/>
      </c>
      <c r="AG261" s="8" t="str">
        <f>IF(A261="","",IFERROR(IF(VLOOKUP(A261,Entry!$D:$D,1,FALSE)=A261,TRUE,FALSE),FALSE))</f>
        <v/>
      </c>
    </row>
    <row r="262" spans="1:33" ht="15" customHeight="1" x14ac:dyDescent="0.2">
      <c r="A262" s="111"/>
      <c r="B262" s="21"/>
      <c r="C262" s="21"/>
      <c r="D262" s="21"/>
      <c r="E262" s="21"/>
      <c r="F262" s="14"/>
      <c r="G262" s="21"/>
      <c r="H262" s="21"/>
      <c r="I262" s="190"/>
      <c r="J262" s="191"/>
      <c r="K262" s="189">
        <f t="shared" si="103"/>
        <v>0</v>
      </c>
      <c r="L262" s="73"/>
      <c r="M262" s="213"/>
      <c r="N262" s="153"/>
      <c r="O262" s="45"/>
      <c r="Y262" s="8" t="str">
        <f>IF(A262="","",IFERROR(IF(VLOOKUP(A262,Entry!$D:$D,1,FALSE)=A262,"",ROW()),ROW()))</f>
        <v/>
      </c>
      <c r="AG262" s="8" t="str">
        <f>IF(A262="","",IFERROR(IF(VLOOKUP(A262,Entry!$D:$D,1,FALSE)=A262,TRUE,FALSE),FALSE))</f>
        <v/>
      </c>
    </row>
    <row r="263" spans="1:33" ht="15" customHeight="1" x14ac:dyDescent="0.2">
      <c r="A263" s="111"/>
      <c r="B263" s="21"/>
      <c r="C263" s="21"/>
      <c r="D263" s="21"/>
      <c r="E263" s="21"/>
      <c r="F263" s="14"/>
      <c r="G263" s="21"/>
      <c r="H263" s="21"/>
      <c r="I263" s="190"/>
      <c r="J263" s="191"/>
      <c r="K263" s="189">
        <f t="shared" si="103"/>
        <v>0</v>
      </c>
      <c r="L263" s="73"/>
      <c r="M263" s="213"/>
      <c r="N263" s="153"/>
      <c r="O263" s="45"/>
      <c r="Y263" s="8" t="str">
        <f>IF(A263="","",IFERROR(IF(VLOOKUP(A263,Entry!$D:$D,1,FALSE)=A263,"",ROW()),ROW()))</f>
        <v/>
      </c>
      <c r="AG263" s="8" t="str">
        <f>IF(A263="","",IFERROR(IF(VLOOKUP(A263,Entry!$D:$D,1,FALSE)=A263,TRUE,FALSE),FALSE))</f>
        <v/>
      </c>
    </row>
    <row r="264" spans="1:33" ht="15" customHeight="1" x14ac:dyDescent="0.2">
      <c r="A264" s="111"/>
      <c r="B264" s="21"/>
      <c r="C264" s="21"/>
      <c r="D264" s="21"/>
      <c r="E264" s="21"/>
      <c r="F264" s="14"/>
      <c r="G264" s="21"/>
      <c r="H264" s="21"/>
      <c r="I264" s="190"/>
      <c r="J264" s="191"/>
      <c r="K264" s="189">
        <f t="shared" si="103"/>
        <v>0</v>
      </c>
      <c r="L264" s="73"/>
      <c r="M264" s="213"/>
      <c r="N264" s="153"/>
      <c r="O264" s="45"/>
      <c r="Y264" s="8" t="str">
        <f>IF(A264="","",IFERROR(IF(VLOOKUP(A264,Entry!$D:$D,1,FALSE)=A264,"",ROW()),ROW()))</f>
        <v/>
      </c>
      <c r="AG264" s="8" t="str">
        <f>IF(A264="","",IFERROR(IF(VLOOKUP(A264,Entry!$D:$D,1,FALSE)=A264,TRUE,FALSE),FALSE))</f>
        <v/>
      </c>
    </row>
    <row r="265" spans="1:33" ht="15" customHeight="1" x14ac:dyDescent="0.2">
      <c r="A265" s="112"/>
      <c r="B265" s="22"/>
      <c r="C265" s="22"/>
      <c r="D265" s="22"/>
      <c r="E265" s="22"/>
      <c r="F265" s="15"/>
      <c r="G265" s="22"/>
      <c r="H265" s="22"/>
      <c r="I265" s="192"/>
      <c r="J265" s="193"/>
      <c r="K265" s="189">
        <f t="shared" ref="K265:K328" si="134">I265+J265</f>
        <v>0</v>
      </c>
      <c r="L265" s="74"/>
      <c r="M265" s="214"/>
      <c r="N265" s="154"/>
      <c r="O265" s="46"/>
      <c r="Y265" s="8" t="str">
        <f>IF(A265="","",IFERROR(IF(VLOOKUP(A265,Entry!$D:$D,1,FALSE)=A265,"",ROW()),ROW()))</f>
        <v/>
      </c>
      <c r="AG265" s="8" t="str">
        <f>IF(A265="","",IFERROR(IF(VLOOKUP(A265,Entry!$D:$D,1,FALSE)=A265,TRUE,FALSE),FALSE))</f>
        <v/>
      </c>
    </row>
    <row r="266" spans="1:33" ht="17.25" customHeight="1" x14ac:dyDescent="0.2">
      <c r="A266" s="113"/>
      <c r="B266" s="19"/>
      <c r="C266" s="19"/>
      <c r="D266" s="19"/>
      <c r="E266" s="19"/>
      <c r="F266" s="18"/>
      <c r="G266" s="19"/>
      <c r="H266" s="19"/>
      <c r="I266" s="194">
        <f t="shared" ref="I266:K266" si="135">SUM(I267:I271)</f>
        <v>0</v>
      </c>
      <c r="J266" s="195">
        <f t="shared" si="135"/>
        <v>0</v>
      </c>
      <c r="K266" s="195">
        <f t="shared" si="135"/>
        <v>0</v>
      </c>
      <c r="L266" s="104">
        <f t="shared" ref="L266" si="136">IFERROR(SUMPRODUCT(K267:K271,L267:L271)/SUM(K267:K271),0)</f>
        <v>0</v>
      </c>
      <c r="M266" s="215"/>
      <c r="N266" s="155"/>
      <c r="O266" s="47"/>
      <c r="Y266" s="8" t="str">
        <f>IF(A266="","",IFERROR(IF(VLOOKUP(A266,Entry!$D:$D,1,FALSE)=A266,"",ROW()),ROW()))</f>
        <v/>
      </c>
      <c r="AG266" s="8" t="str">
        <f>IF(A266="","",IFERROR(IF(VLOOKUP(A266,Entry!$D:$D,1,FALSE)=A266,TRUE,FALSE),FALSE))</f>
        <v/>
      </c>
    </row>
    <row r="267" spans="1:33" ht="15" customHeight="1" x14ac:dyDescent="0.2">
      <c r="A267" s="110"/>
      <c r="B267" s="20"/>
      <c r="C267" s="20"/>
      <c r="D267" s="20"/>
      <c r="E267" s="20"/>
      <c r="F267" s="16"/>
      <c r="G267" s="20"/>
      <c r="H267" s="20"/>
      <c r="I267" s="187"/>
      <c r="J267" s="188"/>
      <c r="K267" s="189">
        <f t="shared" ref="K267" si="137">I267+J267</f>
        <v>0</v>
      </c>
      <c r="L267" s="72"/>
      <c r="M267" s="212"/>
      <c r="N267" s="152"/>
      <c r="O267" s="44"/>
      <c r="Y267" s="8" t="str">
        <f>IF(A267="","",IFERROR(IF(VLOOKUP(A267,Entry!$D:$D,1,FALSE)=A267,"",ROW()),ROW()))</f>
        <v/>
      </c>
      <c r="AG267" s="8" t="str">
        <f>IF(A267="","",IFERROR(IF(VLOOKUP(A267,Entry!$D:$D,1,FALSE)=A267,TRUE,FALSE),FALSE))</f>
        <v/>
      </c>
    </row>
    <row r="268" spans="1:33" ht="15" customHeight="1" x14ac:dyDescent="0.2">
      <c r="A268" s="111"/>
      <c r="B268" s="21"/>
      <c r="C268" s="21"/>
      <c r="D268" s="21"/>
      <c r="E268" s="21"/>
      <c r="F268" s="14"/>
      <c r="G268" s="21"/>
      <c r="H268" s="21"/>
      <c r="I268" s="190"/>
      <c r="J268" s="191"/>
      <c r="K268" s="189">
        <f t="shared" si="134"/>
        <v>0</v>
      </c>
      <c r="L268" s="73"/>
      <c r="M268" s="213"/>
      <c r="N268" s="153"/>
      <c r="O268" s="45"/>
      <c r="Y268" s="8" t="str">
        <f>IF(A268="","",IFERROR(IF(VLOOKUP(A268,Entry!$D:$D,1,FALSE)=A268,"",ROW()),ROW()))</f>
        <v/>
      </c>
      <c r="AG268" s="8" t="str">
        <f>IF(A268="","",IFERROR(IF(VLOOKUP(A268,Entry!$D:$D,1,FALSE)=A268,TRUE,FALSE),FALSE))</f>
        <v/>
      </c>
    </row>
    <row r="269" spans="1:33" ht="15" customHeight="1" x14ac:dyDescent="0.2">
      <c r="A269" s="111"/>
      <c r="B269" s="21"/>
      <c r="C269" s="21"/>
      <c r="D269" s="21"/>
      <c r="E269" s="21"/>
      <c r="F269" s="14"/>
      <c r="G269" s="21"/>
      <c r="H269" s="21"/>
      <c r="I269" s="190"/>
      <c r="J269" s="191"/>
      <c r="K269" s="189">
        <f t="shared" si="134"/>
        <v>0</v>
      </c>
      <c r="L269" s="73"/>
      <c r="M269" s="213"/>
      <c r="N269" s="153"/>
      <c r="O269" s="45"/>
      <c r="Y269" s="8" t="str">
        <f>IF(A269="","",IFERROR(IF(VLOOKUP(A269,Entry!$D:$D,1,FALSE)=A269,"",ROW()),ROW()))</f>
        <v/>
      </c>
      <c r="AG269" s="8" t="str">
        <f>IF(A269="","",IFERROR(IF(VLOOKUP(A269,Entry!$D:$D,1,FALSE)=A269,TRUE,FALSE),FALSE))</f>
        <v/>
      </c>
    </row>
    <row r="270" spans="1:33" ht="15" customHeight="1" x14ac:dyDescent="0.2">
      <c r="A270" s="111"/>
      <c r="B270" s="21"/>
      <c r="C270" s="21"/>
      <c r="D270" s="21"/>
      <c r="E270" s="21"/>
      <c r="F270" s="14"/>
      <c r="G270" s="21"/>
      <c r="H270" s="21"/>
      <c r="I270" s="190"/>
      <c r="J270" s="191"/>
      <c r="K270" s="189">
        <f t="shared" si="134"/>
        <v>0</v>
      </c>
      <c r="L270" s="73"/>
      <c r="M270" s="213"/>
      <c r="N270" s="153"/>
      <c r="O270" s="45"/>
      <c r="Y270" s="8" t="str">
        <f>IF(A270="","",IFERROR(IF(VLOOKUP(A270,Entry!$D:$D,1,FALSE)=A270,"",ROW()),ROW()))</f>
        <v/>
      </c>
      <c r="AG270" s="8" t="str">
        <f>IF(A270="","",IFERROR(IF(VLOOKUP(A270,Entry!$D:$D,1,FALSE)=A270,TRUE,FALSE),FALSE))</f>
        <v/>
      </c>
    </row>
    <row r="271" spans="1:33" ht="15" customHeight="1" x14ac:dyDescent="0.2">
      <c r="A271" s="112"/>
      <c r="B271" s="22"/>
      <c r="C271" s="22"/>
      <c r="D271" s="22"/>
      <c r="E271" s="22"/>
      <c r="F271" s="15"/>
      <c r="G271" s="22"/>
      <c r="H271" s="22"/>
      <c r="I271" s="192"/>
      <c r="J271" s="193"/>
      <c r="K271" s="189">
        <f t="shared" si="134"/>
        <v>0</v>
      </c>
      <c r="L271" s="74"/>
      <c r="M271" s="214"/>
      <c r="N271" s="154"/>
      <c r="O271" s="46"/>
      <c r="Y271" s="8" t="str">
        <f>IF(A271="","",IFERROR(IF(VLOOKUP(A271,Entry!$D:$D,1,FALSE)=A271,"",ROW()),ROW()))</f>
        <v/>
      </c>
      <c r="AG271" s="8" t="str">
        <f>IF(A271="","",IFERROR(IF(VLOOKUP(A271,Entry!$D:$D,1,FALSE)=A271,TRUE,FALSE),FALSE))</f>
        <v/>
      </c>
    </row>
    <row r="272" spans="1:33" ht="17.25" customHeight="1" x14ac:dyDescent="0.2">
      <c r="A272" s="113"/>
      <c r="B272" s="19"/>
      <c r="C272" s="19"/>
      <c r="D272" s="19"/>
      <c r="E272" s="19"/>
      <c r="F272" s="18"/>
      <c r="G272" s="19"/>
      <c r="H272" s="19"/>
      <c r="I272" s="194">
        <f t="shared" ref="I272:K272" si="138">SUM(I273:I277)</f>
        <v>0</v>
      </c>
      <c r="J272" s="195">
        <f t="shared" si="138"/>
        <v>0</v>
      </c>
      <c r="K272" s="195">
        <f t="shared" si="138"/>
        <v>0</v>
      </c>
      <c r="L272" s="104">
        <f t="shared" ref="L272" si="139">IFERROR(SUMPRODUCT(K273:K277,L273:L277)/SUM(K273:K277),0)</f>
        <v>0</v>
      </c>
      <c r="M272" s="215"/>
      <c r="N272" s="155"/>
      <c r="O272" s="47"/>
      <c r="Y272" s="8" t="str">
        <f>IF(A272="","",IFERROR(IF(VLOOKUP(A272,Entry!$D:$D,1,FALSE)=A272,"",ROW()),ROW()))</f>
        <v/>
      </c>
      <c r="AG272" s="8" t="str">
        <f>IF(A272="","",IFERROR(IF(VLOOKUP(A272,Entry!$D:$D,1,FALSE)=A272,TRUE,FALSE),FALSE))</f>
        <v/>
      </c>
    </row>
    <row r="273" spans="1:33" ht="15" customHeight="1" x14ac:dyDescent="0.2">
      <c r="A273" s="110"/>
      <c r="B273" s="20"/>
      <c r="C273" s="20"/>
      <c r="D273" s="20"/>
      <c r="E273" s="20"/>
      <c r="F273" s="16"/>
      <c r="G273" s="20"/>
      <c r="H273" s="20"/>
      <c r="I273" s="187"/>
      <c r="J273" s="188"/>
      <c r="K273" s="189">
        <f t="shared" ref="K273" si="140">I273+J273</f>
        <v>0</v>
      </c>
      <c r="L273" s="72"/>
      <c r="M273" s="212"/>
      <c r="N273" s="152"/>
      <c r="O273" s="44"/>
      <c r="Y273" s="8" t="str">
        <f>IF(A273="","",IFERROR(IF(VLOOKUP(A273,Entry!$D:$D,1,FALSE)=A273,"",ROW()),ROW()))</f>
        <v/>
      </c>
      <c r="AG273" s="8" t="str">
        <f>IF(A273="","",IFERROR(IF(VLOOKUP(A273,Entry!$D:$D,1,FALSE)=A273,TRUE,FALSE),FALSE))</f>
        <v/>
      </c>
    </row>
    <row r="274" spans="1:33" ht="15" customHeight="1" x14ac:dyDescent="0.2">
      <c r="A274" s="111"/>
      <c r="B274" s="21"/>
      <c r="C274" s="21"/>
      <c r="D274" s="21"/>
      <c r="E274" s="21"/>
      <c r="F274" s="14"/>
      <c r="G274" s="21"/>
      <c r="H274" s="21"/>
      <c r="I274" s="190"/>
      <c r="J274" s="191"/>
      <c r="K274" s="189">
        <f t="shared" si="134"/>
        <v>0</v>
      </c>
      <c r="L274" s="73"/>
      <c r="M274" s="213"/>
      <c r="N274" s="153"/>
      <c r="O274" s="45"/>
      <c r="Y274" s="8" t="str">
        <f>IF(A274="","",IFERROR(IF(VLOOKUP(A274,Entry!$D:$D,1,FALSE)=A274,"",ROW()),ROW()))</f>
        <v/>
      </c>
      <c r="AG274" s="8" t="str">
        <f>IF(A274="","",IFERROR(IF(VLOOKUP(A274,Entry!$D:$D,1,FALSE)=A274,TRUE,FALSE),FALSE))</f>
        <v/>
      </c>
    </row>
    <row r="275" spans="1:33" ht="15" customHeight="1" x14ac:dyDescent="0.2">
      <c r="A275" s="111"/>
      <c r="B275" s="21"/>
      <c r="C275" s="21"/>
      <c r="D275" s="21"/>
      <c r="E275" s="21"/>
      <c r="F275" s="14"/>
      <c r="G275" s="21"/>
      <c r="H275" s="21"/>
      <c r="I275" s="190"/>
      <c r="J275" s="191"/>
      <c r="K275" s="189">
        <f t="shared" si="134"/>
        <v>0</v>
      </c>
      <c r="L275" s="73"/>
      <c r="M275" s="213"/>
      <c r="N275" s="153"/>
      <c r="O275" s="45"/>
      <c r="Y275" s="8" t="str">
        <f>IF(A275="","",IFERROR(IF(VLOOKUP(A275,Entry!$D:$D,1,FALSE)=A275,"",ROW()),ROW()))</f>
        <v/>
      </c>
      <c r="AG275" s="8" t="str">
        <f>IF(A275="","",IFERROR(IF(VLOOKUP(A275,Entry!$D:$D,1,FALSE)=A275,TRUE,FALSE),FALSE))</f>
        <v/>
      </c>
    </row>
    <row r="276" spans="1:33" ht="15" customHeight="1" x14ac:dyDescent="0.2">
      <c r="A276" s="111"/>
      <c r="B276" s="21"/>
      <c r="C276" s="21"/>
      <c r="D276" s="21"/>
      <c r="E276" s="21"/>
      <c r="F276" s="14"/>
      <c r="G276" s="21"/>
      <c r="H276" s="21"/>
      <c r="I276" s="190"/>
      <c r="J276" s="191"/>
      <c r="K276" s="189">
        <f t="shared" si="134"/>
        <v>0</v>
      </c>
      <c r="L276" s="73"/>
      <c r="M276" s="213"/>
      <c r="N276" s="153"/>
      <c r="O276" s="45"/>
      <c r="Y276" s="8" t="str">
        <f>IF(A276="","",IFERROR(IF(VLOOKUP(A276,Entry!$D:$D,1,FALSE)=A276,"",ROW()),ROW()))</f>
        <v/>
      </c>
      <c r="AG276" s="8" t="str">
        <f>IF(A276="","",IFERROR(IF(VLOOKUP(A276,Entry!$D:$D,1,FALSE)=A276,TRUE,FALSE),FALSE))</f>
        <v/>
      </c>
    </row>
    <row r="277" spans="1:33" ht="15" customHeight="1" x14ac:dyDescent="0.2">
      <c r="A277" s="112"/>
      <c r="B277" s="22"/>
      <c r="C277" s="22"/>
      <c r="D277" s="22"/>
      <c r="E277" s="22"/>
      <c r="F277" s="15"/>
      <c r="G277" s="22"/>
      <c r="H277" s="22"/>
      <c r="I277" s="192"/>
      <c r="J277" s="193"/>
      <c r="K277" s="189">
        <f t="shared" si="134"/>
        <v>0</v>
      </c>
      <c r="L277" s="74"/>
      <c r="M277" s="214"/>
      <c r="N277" s="154"/>
      <c r="O277" s="46"/>
      <c r="Y277" s="8" t="str">
        <f>IF(A277="","",IFERROR(IF(VLOOKUP(A277,Entry!$D:$D,1,FALSE)=A277,"",ROW()),ROW()))</f>
        <v/>
      </c>
      <c r="AG277" s="8" t="str">
        <f>IF(A277="","",IFERROR(IF(VLOOKUP(A277,Entry!$D:$D,1,FALSE)=A277,TRUE,FALSE),FALSE))</f>
        <v/>
      </c>
    </row>
    <row r="278" spans="1:33" ht="17.25" customHeight="1" x14ac:dyDescent="0.2">
      <c r="A278" s="113"/>
      <c r="B278" s="19"/>
      <c r="C278" s="19"/>
      <c r="D278" s="19"/>
      <c r="E278" s="19"/>
      <c r="F278" s="18"/>
      <c r="G278" s="19"/>
      <c r="H278" s="19"/>
      <c r="I278" s="194">
        <f t="shared" ref="I278:K278" si="141">SUM(I279:I283)</f>
        <v>0</v>
      </c>
      <c r="J278" s="195">
        <f t="shared" si="141"/>
        <v>0</v>
      </c>
      <c r="K278" s="195">
        <f t="shared" si="141"/>
        <v>0</v>
      </c>
      <c r="L278" s="104">
        <f t="shared" ref="L278" si="142">IFERROR(SUMPRODUCT(K279:K283,L279:L283)/SUM(K279:K283),0)</f>
        <v>0</v>
      </c>
      <c r="M278" s="215"/>
      <c r="N278" s="155"/>
      <c r="O278" s="47"/>
      <c r="Y278" s="8" t="str">
        <f>IF(A278="","",IFERROR(IF(VLOOKUP(A278,Entry!$D:$D,1,FALSE)=A278,"",ROW()),ROW()))</f>
        <v/>
      </c>
      <c r="AG278" s="8" t="str">
        <f>IF(A278="","",IFERROR(IF(VLOOKUP(A278,Entry!$D:$D,1,FALSE)=A278,TRUE,FALSE),FALSE))</f>
        <v/>
      </c>
    </row>
    <row r="279" spans="1:33" ht="15" customHeight="1" x14ac:dyDescent="0.2">
      <c r="A279" s="110"/>
      <c r="B279" s="20"/>
      <c r="C279" s="20"/>
      <c r="D279" s="20"/>
      <c r="E279" s="20"/>
      <c r="F279" s="16"/>
      <c r="G279" s="20"/>
      <c r="H279" s="20"/>
      <c r="I279" s="187"/>
      <c r="J279" s="188"/>
      <c r="K279" s="189">
        <f t="shared" ref="K279" si="143">I279+J279</f>
        <v>0</v>
      </c>
      <c r="L279" s="72"/>
      <c r="M279" s="212"/>
      <c r="N279" s="152"/>
      <c r="O279" s="44"/>
      <c r="Y279" s="8" t="str">
        <f>IF(A279="","",IFERROR(IF(VLOOKUP(A279,Entry!$D:$D,1,FALSE)=A279,"",ROW()),ROW()))</f>
        <v/>
      </c>
      <c r="AG279" s="8" t="str">
        <f>IF(A279="","",IFERROR(IF(VLOOKUP(A279,Entry!$D:$D,1,FALSE)=A279,TRUE,FALSE),FALSE))</f>
        <v/>
      </c>
    </row>
    <row r="280" spans="1:33" ht="15" customHeight="1" x14ac:dyDescent="0.2">
      <c r="A280" s="111"/>
      <c r="B280" s="21"/>
      <c r="C280" s="21"/>
      <c r="D280" s="21"/>
      <c r="E280" s="21"/>
      <c r="F280" s="14"/>
      <c r="G280" s="21"/>
      <c r="H280" s="21"/>
      <c r="I280" s="190"/>
      <c r="J280" s="191"/>
      <c r="K280" s="189">
        <f t="shared" si="134"/>
        <v>0</v>
      </c>
      <c r="L280" s="73"/>
      <c r="M280" s="213"/>
      <c r="N280" s="153"/>
      <c r="O280" s="45"/>
      <c r="Y280" s="8" t="str">
        <f>IF(A280="","",IFERROR(IF(VLOOKUP(A280,Entry!$D:$D,1,FALSE)=A280,"",ROW()),ROW()))</f>
        <v/>
      </c>
      <c r="AG280" s="8" t="str">
        <f>IF(A280="","",IFERROR(IF(VLOOKUP(A280,Entry!$D:$D,1,FALSE)=A280,TRUE,FALSE),FALSE))</f>
        <v/>
      </c>
    </row>
    <row r="281" spans="1:33" ht="15" customHeight="1" x14ac:dyDescent="0.2">
      <c r="A281" s="111"/>
      <c r="B281" s="21"/>
      <c r="C281" s="21"/>
      <c r="D281" s="21"/>
      <c r="E281" s="21"/>
      <c r="F281" s="14"/>
      <c r="G281" s="21"/>
      <c r="H281" s="21"/>
      <c r="I281" s="190"/>
      <c r="J281" s="191"/>
      <c r="K281" s="189">
        <f t="shared" si="134"/>
        <v>0</v>
      </c>
      <c r="L281" s="73"/>
      <c r="M281" s="213"/>
      <c r="N281" s="153"/>
      <c r="O281" s="45"/>
      <c r="Y281" s="8" t="str">
        <f>IF(A281="","",IFERROR(IF(VLOOKUP(A281,Entry!$D:$D,1,FALSE)=A281,"",ROW()),ROW()))</f>
        <v/>
      </c>
      <c r="AG281" s="8" t="str">
        <f>IF(A281="","",IFERROR(IF(VLOOKUP(A281,Entry!$D:$D,1,FALSE)=A281,TRUE,FALSE),FALSE))</f>
        <v/>
      </c>
    </row>
    <row r="282" spans="1:33" ht="15" customHeight="1" x14ac:dyDescent="0.2">
      <c r="A282" s="111"/>
      <c r="B282" s="21"/>
      <c r="C282" s="21"/>
      <c r="D282" s="21"/>
      <c r="E282" s="21"/>
      <c r="F282" s="14"/>
      <c r="G282" s="21"/>
      <c r="H282" s="21"/>
      <c r="I282" s="190"/>
      <c r="J282" s="191"/>
      <c r="K282" s="189">
        <f t="shared" si="134"/>
        <v>0</v>
      </c>
      <c r="L282" s="73"/>
      <c r="M282" s="213"/>
      <c r="N282" s="153"/>
      <c r="O282" s="45"/>
      <c r="Y282" s="8" t="str">
        <f>IF(A282="","",IFERROR(IF(VLOOKUP(A282,Entry!$D:$D,1,FALSE)=A282,"",ROW()),ROW()))</f>
        <v/>
      </c>
      <c r="AG282" s="8" t="str">
        <f>IF(A282="","",IFERROR(IF(VLOOKUP(A282,Entry!$D:$D,1,FALSE)=A282,TRUE,FALSE),FALSE))</f>
        <v/>
      </c>
    </row>
    <row r="283" spans="1:33" ht="15" customHeight="1" x14ac:dyDescent="0.2">
      <c r="A283" s="112"/>
      <c r="B283" s="22"/>
      <c r="C283" s="22"/>
      <c r="D283" s="22"/>
      <c r="E283" s="22"/>
      <c r="F283" s="15"/>
      <c r="G283" s="22"/>
      <c r="H283" s="22"/>
      <c r="I283" s="192"/>
      <c r="J283" s="193"/>
      <c r="K283" s="189">
        <f t="shared" si="134"/>
        <v>0</v>
      </c>
      <c r="L283" s="74"/>
      <c r="M283" s="214"/>
      <c r="N283" s="154"/>
      <c r="O283" s="46"/>
      <c r="Y283" s="8" t="str">
        <f>IF(A283="","",IFERROR(IF(VLOOKUP(A283,Entry!$D:$D,1,FALSE)=A283,"",ROW()),ROW()))</f>
        <v/>
      </c>
      <c r="AG283" s="8" t="str">
        <f>IF(A283="","",IFERROR(IF(VLOOKUP(A283,Entry!$D:$D,1,FALSE)=A283,TRUE,FALSE),FALSE))</f>
        <v/>
      </c>
    </row>
    <row r="284" spans="1:33" ht="17.25" customHeight="1" x14ac:dyDescent="0.2">
      <c r="A284" s="113"/>
      <c r="B284" s="19"/>
      <c r="C284" s="19"/>
      <c r="D284" s="19"/>
      <c r="E284" s="19"/>
      <c r="F284" s="18"/>
      <c r="G284" s="19"/>
      <c r="H284" s="19"/>
      <c r="I284" s="194">
        <f t="shared" ref="I284:K284" si="144">SUM(I285:I289)</f>
        <v>0</v>
      </c>
      <c r="J284" s="195">
        <f t="shared" si="144"/>
        <v>0</v>
      </c>
      <c r="K284" s="195">
        <f t="shared" si="144"/>
        <v>0</v>
      </c>
      <c r="L284" s="104">
        <f t="shared" ref="L284" si="145">IFERROR(SUMPRODUCT(K285:K289,L285:L289)/SUM(K285:K289),0)</f>
        <v>0</v>
      </c>
      <c r="M284" s="215"/>
      <c r="N284" s="155"/>
      <c r="O284" s="47"/>
      <c r="Y284" s="8" t="str">
        <f>IF(A284="","",IFERROR(IF(VLOOKUP(A284,Entry!$D:$D,1,FALSE)=A284,"",ROW()),ROW()))</f>
        <v/>
      </c>
      <c r="AG284" s="8" t="str">
        <f>IF(A284="","",IFERROR(IF(VLOOKUP(A284,Entry!$D:$D,1,FALSE)=A284,TRUE,FALSE),FALSE))</f>
        <v/>
      </c>
    </row>
    <row r="285" spans="1:33" ht="15" customHeight="1" x14ac:dyDescent="0.2">
      <c r="A285" s="110"/>
      <c r="B285" s="20"/>
      <c r="C285" s="20"/>
      <c r="D285" s="20"/>
      <c r="E285" s="20"/>
      <c r="F285" s="16"/>
      <c r="G285" s="20"/>
      <c r="H285" s="20"/>
      <c r="I285" s="187"/>
      <c r="J285" s="188"/>
      <c r="K285" s="189">
        <f t="shared" ref="K285" si="146">I285+J285</f>
        <v>0</v>
      </c>
      <c r="L285" s="72"/>
      <c r="M285" s="212"/>
      <c r="N285" s="152"/>
      <c r="O285" s="44"/>
      <c r="Y285" s="8" t="str">
        <f>IF(A285="","",IFERROR(IF(VLOOKUP(A285,Entry!$D:$D,1,FALSE)=A285,"",ROW()),ROW()))</f>
        <v/>
      </c>
      <c r="AG285" s="8" t="str">
        <f>IF(A285="","",IFERROR(IF(VLOOKUP(A285,Entry!$D:$D,1,FALSE)=A285,TRUE,FALSE),FALSE))</f>
        <v/>
      </c>
    </row>
    <row r="286" spans="1:33" ht="15" customHeight="1" x14ac:dyDescent="0.2">
      <c r="A286" s="111"/>
      <c r="B286" s="21"/>
      <c r="C286" s="21"/>
      <c r="D286" s="21"/>
      <c r="E286" s="21"/>
      <c r="F286" s="14"/>
      <c r="G286" s="21"/>
      <c r="H286" s="21"/>
      <c r="I286" s="190"/>
      <c r="J286" s="191"/>
      <c r="K286" s="189">
        <f t="shared" si="134"/>
        <v>0</v>
      </c>
      <c r="L286" s="73"/>
      <c r="M286" s="213"/>
      <c r="N286" s="153"/>
      <c r="O286" s="45"/>
      <c r="Y286" s="8" t="str">
        <f>IF(A286="","",IFERROR(IF(VLOOKUP(A286,Entry!$D:$D,1,FALSE)=A286,"",ROW()),ROW()))</f>
        <v/>
      </c>
      <c r="AG286" s="8" t="str">
        <f>IF(A286="","",IFERROR(IF(VLOOKUP(A286,Entry!$D:$D,1,FALSE)=A286,TRUE,FALSE),FALSE))</f>
        <v/>
      </c>
    </row>
    <row r="287" spans="1:33" ht="15" customHeight="1" x14ac:dyDescent="0.2">
      <c r="A287" s="111"/>
      <c r="B287" s="21"/>
      <c r="C287" s="21"/>
      <c r="D287" s="21"/>
      <c r="E287" s="21"/>
      <c r="F287" s="14"/>
      <c r="G287" s="21"/>
      <c r="H287" s="21"/>
      <c r="I287" s="190"/>
      <c r="J287" s="191"/>
      <c r="K287" s="189">
        <f t="shared" si="134"/>
        <v>0</v>
      </c>
      <c r="L287" s="73"/>
      <c r="M287" s="213"/>
      <c r="N287" s="153"/>
      <c r="O287" s="45"/>
      <c r="Y287" s="8" t="str">
        <f>IF(A287="","",IFERROR(IF(VLOOKUP(A287,Entry!$D:$D,1,FALSE)=A287,"",ROW()),ROW()))</f>
        <v/>
      </c>
      <c r="AG287" s="8" t="str">
        <f>IF(A287="","",IFERROR(IF(VLOOKUP(A287,Entry!$D:$D,1,FALSE)=A287,TRUE,FALSE),FALSE))</f>
        <v/>
      </c>
    </row>
    <row r="288" spans="1:33" ht="15" customHeight="1" x14ac:dyDescent="0.2">
      <c r="A288" s="111"/>
      <c r="B288" s="21"/>
      <c r="C288" s="21"/>
      <c r="D288" s="21"/>
      <c r="E288" s="21"/>
      <c r="F288" s="14"/>
      <c r="G288" s="21"/>
      <c r="H288" s="21"/>
      <c r="I288" s="190"/>
      <c r="J288" s="191"/>
      <c r="K288" s="189">
        <f t="shared" si="134"/>
        <v>0</v>
      </c>
      <c r="L288" s="73"/>
      <c r="M288" s="213"/>
      <c r="N288" s="153"/>
      <c r="O288" s="45"/>
      <c r="Y288" s="8" t="str">
        <f>IF(A288="","",IFERROR(IF(VLOOKUP(A288,Entry!$D:$D,1,FALSE)=A288,"",ROW()),ROW()))</f>
        <v/>
      </c>
      <c r="AG288" s="8" t="str">
        <f>IF(A288="","",IFERROR(IF(VLOOKUP(A288,Entry!$D:$D,1,FALSE)=A288,TRUE,FALSE),FALSE))</f>
        <v/>
      </c>
    </row>
    <row r="289" spans="1:33" ht="15" customHeight="1" x14ac:dyDescent="0.2">
      <c r="A289" s="112"/>
      <c r="B289" s="22"/>
      <c r="C289" s="22"/>
      <c r="D289" s="22"/>
      <c r="E289" s="22"/>
      <c r="F289" s="15"/>
      <c r="G289" s="22"/>
      <c r="H289" s="22"/>
      <c r="I289" s="192"/>
      <c r="J289" s="193"/>
      <c r="K289" s="189">
        <f t="shared" si="134"/>
        <v>0</v>
      </c>
      <c r="L289" s="74"/>
      <c r="M289" s="214"/>
      <c r="N289" s="154"/>
      <c r="O289" s="46"/>
      <c r="Y289" s="8" t="str">
        <f>IF(A289="","",IFERROR(IF(VLOOKUP(A289,Entry!$D:$D,1,FALSE)=A289,"",ROW()),ROW()))</f>
        <v/>
      </c>
      <c r="AG289" s="8" t="str">
        <f>IF(A289="","",IFERROR(IF(VLOOKUP(A289,Entry!$D:$D,1,FALSE)=A289,TRUE,FALSE),FALSE))</f>
        <v/>
      </c>
    </row>
    <row r="290" spans="1:33" ht="17.25" customHeight="1" x14ac:dyDescent="0.2">
      <c r="A290" s="113"/>
      <c r="B290" s="19"/>
      <c r="C290" s="19"/>
      <c r="D290" s="19"/>
      <c r="E290" s="19"/>
      <c r="F290" s="18"/>
      <c r="G290" s="19"/>
      <c r="H290" s="19"/>
      <c r="I290" s="194">
        <f t="shared" ref="I290:K290" si="147">SUM(I291:I295)</f>
        <v>0</v>
      </c>
      <c r="J290" s="195">
        <f t="shared" si="147"/>
        <v>0</v>
      </c>
      <c r="K290" s="195">
        <f t="shared" si="147"/>
        <v>0</v>
      </c>
      <c r="L290" s="104">
        <f t="shared" ref="L290" si="148">IFERROR(SUMPRODUCT(K291:K295,L291:L295)/SUM(K291:K295),0)</f>
        <v>0</v>
      </c>
      <c r="M290" s="215"/>
      <c r="N290" s="155"/>
      <c r="O290" s="47"/>
      <c r="Y290" s="8" t="str">
        <f>IF(A290="","",IFERROR(IF(VLOOKUP(A290,Entry!$D:$D,1,FALSE)=A290,"",ROW()),ROW()))</f>
        <v/>
      </c>
      <c r="AG290" s="8" t="str">
        <f>IF(A290="","",IFERROR(IF(VLOOKUP(A290,Entry!$D:$D,1,FALSE)=A290,TRUE,FALSE),FALSE))</f>
        <v/>
      </c>
    </row>
    <row r="291" spans="1:33" ht="15" customHeight="1" x14ac:dyDescent="0.2">
      <c r="A291" s="110"/>
      <c r="B291" s="20"/>
      <c r="C291" s="20"/>
      <c r="D291" s="20"/>
      <c r="E291" s="20"/>
      <c r="F291" s="16"/>
      <c r="G291" s="20"/>
      <c r="H291" s="20"/>
      <c r="I291" s="187"/>
      <c r="J291" s="188"/>
      <c r="K291" s="189">
        <f t="shared" ref="K291" si="149">I291+J291</f>
        <v>0</v>
      </c>
      <c r="L291" s="72"/>
      <c r="M291" s="212"/>
      <c r="N291" s="152"/>
      <c r="O291" s="44"/>
      <c r="Y291" s="8" t="str">
        <f>IF(A291="","",IFERROR(IF(VLOOKUP(A291,Entry!$D:$D,1,FALSE)=A291,"",ROW()),ROW()))</f>
        <v/>
      </c>
      <c r="AG291" s="8" t="str">
        <f>IF(A291="","",IFERROR(IF(VLOOKUP(A291,Entry!$D:$D,1,FALSE)=A291,TRUE,FALSE),FALSE))</f>
        <v/>
      </c>
    </row>
    <row r="292" spans="1:33" ht="15" customHeight="1" x14ac:dyDescent="0.2">
      <c r="A292" s="111"/>
      <c r="B292" s="21"/>
      <c r="C292" s="21"/>
      <c r="D292" s="21"/>
      <c r="E292" s="21"/>
      <c r="F292" s="14"/>
      <c r="G292" s="21"/>
      <c r="H292" s="21"/>
      <c r="I292" s="190"/>
      <c r="J292" s="191"/>
      <c r="K292" s="189">
        <f t="shared" si="134"/>
        <v>0</v>
      </c>
      <c r="L292" s="73"/>
      <c r="M292" s="213"/>
      <c r="N292" s="153"/>
      <c r="O292" s="45"/>
      <c r="Y292" s="8" t="str">
        <f>IF(A292="","",IFERROR(IF(VLOOKUP(A292,Entry!$D:$D,1,FALSE)=A292,"",ROW()),ROW()))</f>
        <v/>
      </c>
      <c r="AG292" s="8" t="str">
        <f>IF(A292="","",IFERROR(IF(VLOOKUP(A292,Entry!$D:$D,1,FALSE)=A292,TRUE,FALSE),FALSE))</f>
        <v/>
      </c>
    </row>
    <row r="293" spans="1:33" ht="15" customHeight="1" x14ac:dyDescent="0.2">
      <c r="A293" s="111"/>
      <c r="B293" s="21"/>
      <c r="C293" s="21"/>
      <c r="D293" s="21"/>
      <c r="E293" s="21"/>
      <c r="F293" s="14"/>
      <c r="G293" s="21"/>
      <c r="H293" s="21"/>
      <c r="I293" s="190"/>
      <c r="J293" s="191"/>
      <c r="K293" s="189">
        <f t="shared" si="134"/>
        <v>0</v>
      </c>
      <c r="L293" s="73"/>
      <c r="M293" s="213"/>
      <c r="N293" s="153"/>
      <c r="O293" s="45"/>
      <c r="Y293" s="8" t="str">
        <f>IF(A293="","",IFERROR(IF(VLOOKUP(A293,Entry!$D:$D,1,FALSE)=A293,"",ROW()),ROW()))</f>
        <v/>
      </c>
      <c r="AG293" s="8" t="str">
        <f>IF(A293="","",IFERROR(IF(VLOOKUP(A293,Entry!$D:$D,1,FALSE)=A293,TRUE,FALSE),FALSE))</f>
        <v/>
      </c>
    </row>
    <row r="294" spans="1:33" ht="15" customHeight="1" x14ac:dyDescent="0.2">
      <c r="A294" s="111"/>
      <c r="B294" s="21"/>
      <c r="C294" s="21"/>
      <c r="D294" s="21"/>
      <c r="E294" s="21"/>
      <c r="F294" s="14"/>
      <c r="G294" s="21"/>
      <c r="H294" s="21"/>
      <c r="I294" s="190"/>
      <c r="J294" s="191"/>
      <c r="K294" s="189">
        <f t="shared" si="134"/>
        <v>0</v>
      </c>
      <c r="L294" s="73"/>
      <c r="M294" s="213"/>
      <c r="N294" s="153"/>
      <c r="O294" s="45"/>
      <c r="Y294" s="8" t="str">
        <f>IF(A294="","",IFERROR(IF(VLOOKUP(A294,Entry!$D:$D,1,FALSE)=A294,"",ROW()),ROW()))</f>
        <v/>
      </c>
      <c r="AG294" s="8" t="str">
        <f>IF(A294="","",IFERROR(IF(VLOOKUP(A294,Entry!$D:$D,1,FALSE)=A294,TRUE,FALSE),FALSE))</f>
        <v/>
      </c>
    </row>
    <row r="295" spans="1:33" ht="15" customHeight="1" x14ac:dyDescent="0.2">
      <c r="A295" s="112"/>
      <c r="B295" s="22"/>
      <c r="C295" s="22"/>
      <c r="D295" s="22"/>
      <c r="E295" s="22"/>
      <c r="F295" s="15"/>
      <c r="G295" s="22"/>
      <c r="H295" s="22"/>
      <c r="I295" s="192"/>
      <c r="J295" s="193"/>
      <c r="K295" s="189">
        <f t="shared" si="134"/>
        <v>0</v>
      </c>
      <c r="L295" s="74"/>
      <c r="M295" s="214"/>
      <c r="N295" s="154"/>
      <c r="O295" s="46"/>
      <c r="Y295" s="8" t="str">
        <f>IF(A295="","",IFERROR(IF(VLOOKUP(A295,Entry!$D:$D,1,FALSE)=A295,"",ROW()),ROW()))</f>
        <v/>
      </c>
      <c r="AG295" s="8" t="str">
        <f>IF(A295="","",IFERROR(IF(VLOOKUP(A295,Entry!$D:$D,1,FALSE)=A295,TRUE,FALSE),FALSE))</f>
        <v/>
      </c>
    </row>
    <row r="296" spans="1:33" ht="17.25" customHeight="1" x14ac:dyDescent="0.2">
      <c r="A296" s="113"/>
      <c r="B296" s="19"/>
      <c r="C296" s="19"/>
      <c r="D296" s="19"/>
      <c r="E296" s="19"/>
      <c r="F296" s="18"/>
      <c r="G296" s="19"/>
      <c r="H296" s="19"/>
      <c r="I296" s="194">
        <f t="shared" ref="I296:K296" si="150">SUM(I297:I301)</f>
        <v>0</v>
      </c>
      <c r="J296" s="195">
        <f t="shared" si="150"/>
        <v>0</v>
      </c>
      <c r="K296" s="195">
        <f t="shared" si="150"/>
        <v>0</v>
      </c>
      <c r="L296" s="104">
        <f t="shared" ref="L296" si="151">IFERROR(SUMPRODUCT(K297:K301,L297:L301)/SUM(K297:K301),0)</f>
        <v>0</v>
      </c>
      <c r="M296" s="215"/>
      <c r="N296" s="155"/>
      <c r="O296" s="47"/>
      <c r="Y296" s="8" t="str">
        <f>IF(A296="","",IFERROR(IF(VLOOKUP(A296,Entry!$D:$D,1,FALSE)=A296,"",ROW()),ROW()))</f>
        <v/>
      </c>
      <c r="AG296" s="8" t="str">
        <f>IF(A296="","",IFERROR(IF(VLOOKUP(A296,Entry!$D:$D,1,FALSE)=A296,TRUE,FALSE),FALSE))</f>
        <v/>
      </c>
    </row>
    <row r="297" spans="1:33" ht="15" customHeight="1" x14ac:dyDescent="0.2">
      <c r="A297" s="110"/>
      <c r="B297" s="20"/>
      <c r="C297" s="20"/>
      <c r="D297" s="20"/>
      <c r="E297" s="20"/>
      <c r="F297" s="16"/>
      <c r="G297" s="20"/>
      <c r="H297" s="20"/>
      <c r="I297" s="187"/>
      <c r="J297" s="188"/>
      <c r="K297" s="189">
        <f t="shared" ref="K297" si="152">I297+J297</f>
        <v>0</v>
      </c>
      <c r="L297" s="72"/>
      <c r="M297" s="212"/>
      <c r="N297" s="152"/>
      <c r="O297" s="44"/>
      <c r="Y297" s="8" t="str">
        <f>IF(A297="","",IFERROR(IF(VLOOKUP(A297,Entry!$D:$D,1,FALSE)=A297,"",ROW()),ROW()))</f>
        <v/>
      </c>
      <c r="AG297" s="8" t="str">
        <f>IF(A297="","",IFERROR(IF(VLOOKUP(A297,Entry!$D:$D,1,FALSE)=A297,TRUE,FALSE),FALSE))</f>
        <v/>
      </c>
    </row>
    <row r="298" spans="1:33" ht="15" customHeight="1" x14ac:dyDescent="0.2">
      <c r="A298" s="111"/>
      <c r="B298" s="21"/>
      <c r="C298" s="21"/>
      <c r="D298" s="21"/>
      <c r="E298" s="21"/>
      <c r="F298" s="14"/>
      <c r="G298" s="21"/>
      <c r="H298" s="21"/>
      <c r="I298" s="190"/>
      <c r="J298" s="191"/>
      <c r="K298" s="189">
        <f t="shared" si="134"/>
        <v>0</v>
      </c>
      <c r="L298" s="73"/>
      <c r="M298" s="213"/>
      <c r="N298" s="153"/>
      <c r="O298" s="45"/>
      <c r="Y298" s="8" t="str">
        <f>IF(A298="","",IFERROR(IF(VLOOKUP(A298,Entry!$D:$D,1,FALSE)=A298,"",ROW()),ROW()))</f>
        <v/>
      </c>
      <c r="AG298" s="8" t="str">
        <f>IF(A298="","",IFERROR(IF(VLOOKUP(A298,Entry!$D:$D,1,FALSE)=A298,TRUE,FALSE),FALSE))</f>
        <v/>
      </c>
    </row>
    <row r="299" spans="1:33" ht="15" customHeight="1" x14ac:dyDescent="0.2">
      <c r="A299" s="111"/>
      <c r="B299" s="21"/>
      <c r="C299" s="21"/>
      <c r="D299" s="21"/>
      <c r="E299" s="21"/>
      <c r="F299" s="14"/>
      <c r="G299" s="21"/>
      <c r="H299" s="21"/>
      <c r="I299" s="190"/>
      <c r="J299" s="191"/>
      <c r="K299" s="189">
        <f t="shared" si="134"/>
        <v>0</v>
      </c>
      <c r="L299" s="73"/>
      <c r="M299" s="213"/>
      <c r="N299" s="153"/>
      <c r="O299" s="45"/>
      <c r="Y299" s="8" t="str">
        <f>IF(A299="","",IFERROR(IF(VLOOKUP(A299,Entry!$D:$D,1,FALSE)=A299,"",ROW()),ROW()))</f>
        <v/>
      </c>
      <c r="AG299" s="8" t="str">
        <f>IF(A299="","",IFERROR(IF(VLOOKUP(A299,Entry!$D:$D,1,FALSE)=A299,TRUE,FALSE),FALSE))</f>
        <v/>
      </c>
    </row>
    <row r="300" spans="1:33" ht="15" customHeight="1" x14ac:dyDescent="0.2">
      <c r="A300" s="111"/>
      <c r="B300" s="21"/>
      <c r="C300" s="21"/>
      <c r="D300" s="21"/>
      <c r="E300" s="21"/>
      <c r="F300" s="14"/>
      <c r="G300" s="21"/>
      <c r="H300" s="21"/>
      <c r="I300" s="190"/>
      <c r="J300" s="191"/>
      <c r="K300" s="189">
        <f t="shared" si="134"/>
        <v>0</v>
      </c>
      <c r="L300" s="73"/>
      <c r="M300" s="213"/>
      <c r="N300" s="153"/>
      <c r="O300" s="45"/>
      <c r="Y300" s="8" t="str">
        <f>IF(A300="","",IFERROR(IF(VLOOKUP(A300,Entry!$D:$D,1,FALSE)=A300,"",ROW()),ROW()))</f>
        <v/>
      </c>
      <c r="AG300" s="8" t="str">
        <f>IF(A300="","",IFERROR(IF(VLOOKUP(A300,Entry!$D:$D,1,FALSE)=A300,TRUE,FALSE),FALSE))</f>
        <v/>
      </c>
    </row>
    <row r="301" spans="1:33" ht="15" customHeight="1" x14ac:dyDescent="0.2">
      <c r="A301" s="112"/>
      <c r="B301" s="22"/>
      <c r="C301" s="22"/>
      <c r="D301" s="22"/>
      <c r="E301" s="22"/>
      <c r="F301" s="15"/>
      <c r="G301" s="22"/>
      <c r="H301" s="22"/>
      <c r="I301" s="192"/>
      <c r="J301" s="193"/>
      <c r="K301" s="189">
        <f t="shared" si="134"/>
        <v>0</v>
      </c>
      <c r="L301" s="74"/>
      <c r="M301" s="214"/>
      <c r="N301" s="154"/>
      <c r="O301" s="46"/>
      <c r="Y301" s="8" t="str">
        <f>IF(A301="","",IFERROR(IF(VLOOKUP(A301,Entry!$D:$D,1,FALSE)=A301,"",ROW()),ROW()))</f>
        <v/>
      </c>
      <c r="AG301" s="8" t="str">
        <f>IF(A301="","",IFERROR(IF(VLOOKUP(A301,Entry!$D:$D,1,FALSE)=A301,TRUE,FALSE),FALSE))</f>
        <v/>
      </c>
    </row>
    <row r="302" spans="1:33" ht="17.25" customHeight="1" x14ac:dyDescent="0.2">
      <c r="A302" s="113"/>
      <c r="B302" s="19"/>
      <c r="C302" s="19"/>
      <c r="D302" s="19"/>
      <c r="E302" s="19"/>
      <c r="F302" s="18"/>
      <c r="G302" s="19"/>
      <c r="H302" s="19"/>
      <c r="I302" s="194">
        <f t="shared" ref="I302:K302" si="153">SUM(I303:I307)</f>
        <v>0</v>
      </c>
      <c r="J302" s="195">
        <f t="shared" si="153"/>
        <v>0</v>
      </c>
      <c r="K302" s="195">
        <f t="shared" si="153"/>
        <v>0</v>
      </c>
      <c r="L302" s="104">
        <f t="shared" ref="L302" si="154">IFERROR(SUMPRODUCT(K303:K307,L303:L307)/SUM(K303:K307),0)</f>
        <v>0</v>
      </c>
      <c r="M302" s="215"/>
      <c r="N302" s="155"/>
      <c r="O302" s="47"/>
      <c r="Y302" s="8" t="str">
        <f>IF(A302="","",IFERROR(IF(VLOOKUP(A302,Entry!$D:$D,1,FALSE)=A302,"",ROW()),ROW()))</f>
        <v/>
      </c>
      <c r="AG302" s="8" t="str">
        <f>IF(A302="","",IFERROR(IF(VLOOKUP(A302,Entry!$D:$D,1,FALSE)=A302,TRUE,FALSE),FALSE))</f>
        <v/>
      </c>
    </row>
    <row r="303" spans="1:33" ht="15" customHeight="1" x14ac:dyDescent="0.2">
      <c r="A303" s="110"/>
      <c r="B303" s="20"/>
      <c r="C303" s="20"/>
      <c r="D303" s="20"/>
      <c r="E303" s="20"/>
      <c r="F303" s="16"/>
      <c r="G303" s="20"/>
      <c r="H303" s="20"/>
      <c r="I303" s="187"/>
      <c r="J303" s="188"/>
      <c r="K303" s="189">
        <f t="shared" ref="K303" si="155">I303+J303</f>
        <v>0</v>
      </c>
      <c r="L303" s="72"/>
      <c r="M303" s="212"/>
      <c r="N303" s="152"/>
      <c r="O303" s="44"/>
      <c r="Y303" s="8" t="str">
        <f>IF(A303="","",IFERROR(IF(VLOOKUP(A303,Entry!$D:$D,1,FALSE)=A303,"",ROW()),ROW()))</f>
        <v/>
      </c>
      <c r="AG303" s="8" t="str">
        <f>IF(A303="","",IFERROR(IF(VLOOKUP(A303,Entry!$D:$D,1,FALSE)=A303,TRUE,FALSE),FALSE))</f>
        <v/>
      </c>
    </row>
    <row r="304" spans="1:33" ht="15" customHeight="1" x14ac:dyDescent="0.2">
      <c r="A304" s="111"/>
      <c r="B304" s="21"/>
      <c r="C304" s="21"/>
      <c r="D304" s="21"/>
      <c r="E304" s="21"/>
      <c r="F304" s="14"/>
      <c r="G304" s="21"/>
      <c r="H304" s="21"/>
      <c r="I304" s="190"/>
      <c r="J304" s="191"/>
      <c r="K304" s="189">
        <f t="shared" si="134"/>
        <v>0</v>
      </c>
      <c r="L304" s="73"/>
      <c r="M304" s="213"/>
      <c r="N304" s="153"/>
      <c r="O304" s="45"/>
      <c r="Y304" s="8" t="str">
        <f>IF(A304="","",IFERROR(IF(VLOOKUP(A304,Entry!$D:$D,1,FALSE)=A304,"",ROW()),ROW()))</f>
        <v/>
      </c>
      <c r="AG304" s="8" t="str">
        <f>IF(A304="","",IFERROR(IF(VLOOKUP(A304,Entry!$D:$D,1,FALSE)=A304,TRUE,FALSE),FALSE))</f>
        <v/>
      </c>
    </row>
    <row r="305" spans="1:33" ht="15" customHeight="1" x14ac:dyDescent="0.2">
      <c r="A305" s="111"/>
      <c r="B305" s="21"/>
      <c r="C305" s="21"/>
      <c r="D305" s="21"/>
      <c r="E305" s="21"/>
      <c r="F305" s="14"/>
      <c r="G305" s="21"/>
      <c r="H305" s="21"/>
      <c r="I305" s="190"/>
      <c r="J305" s="191"/>
      <c r="K305" s="189">
        <f t="shared" si="134"/>
        <v>0</v>
      </c>
      <c r="L305" s="73"/>
      <c r="M305" s="213"/>
      <c r="N305" s="153"/>
      <c r="O305" s="45"/>
      <c r="Y305" s="8" t="str">
        <f>IF(A305="","",IFERROR(IF(VLOOKUP(A305,Entry!$D:$D,1,FALSE)=A305,"",ROW()),ROW()))</f>
        <v/>
      </c>
      <c r="AG305" s="8" t="str">
        <f>IF(A305="","",IFERROR(IF(VLOOKUP(A305,Entry!$D:$D,1,FALSE)=A305,TRUE,FALSE),FALSE))</f>
        <v/>
      </c>
    </row>
    <row r="306" spans="1:33" ht="15" customHeight="1" x14ac:dyDescent="0.2">
      <c r="A306" s="111"/>
      <c r="B306" s="21"/>
      <c r="C306" s="21"/>
      <c r="D306" s="21"/>
      <c r="E306" s="21"/>
      <c r="F306" s="14"/>
      <c r="G306" s="21"/>
      <c r="H306" s="21"/>
      <c r="I306" s="190"/>
      <c r="J306" s="191"/>
      <c r="K306" s="189">
        <f t="shared" si="134"/>
        <v>0</v>
      </c>
      <c r="L306" s="73"/>
      <c r="M306" s="213"/>
      <c r="N306" s="153"/>
      <c r="O306" s="45"/>
      <c r="Y306" s="8" t="str">
        <f>IF(A306="","",IFERROR(IF(VLOOKUP(A306,Entry!$D:$D,1,FALSE)=A306,"",ROW()),ROW()))</f>
        <v/>
      </c>
      <c r="AG306" s="8" t="str">
        <f>IF(A306="","",IFERROR(IF(VLOOKUP(A306,Entry!$D:$D,1,FALSE)=A306,TRUE,FALSE),FALSE))</f>
        <v/>
      </c>
    </row>
    <row r="307" spans="1:33" ht="15" customHeight="1" x14ac:dyDescent="0.2">
      <c r="A307" s="112"/>
      <c r="B307" s="22"/>
      <c r="C307" s="22"/>
      <c r="D307" s="22"/>
      <c r="E307" s="22"/>
      <c r="F307" s="15"/>
      <c r="G307" s="22"/>
      <c r="H307" s="22"/>
      <c r="I307" s="192"/>
      <c r="J307" s="193"/>
      <c r="K307" s="189">
        <f t="shared" si="134"/>
        <v>0</v>
      </c>
      <c r="L307" s="74"/>
      <c r="M307" s="214"/>
      <c r="N307" s="154"/>
      <c r="O307" s="46"/>
      <c r="Y307" s="8" t="str">
        <f>IF(A307="","",IFERROR(IF(VLOOKUP(A307,Entry!$D:$D,1,FALSE)=A307,"",ROW()),ROW()))</f>
        <v/>
      </c>
      <c r="AG307" s="8" t="str">
        <f>IF(A307="","",IFERROR(IF(VLOOKUP(A307,Entry!$D:$D,1,FALSE)=A307,TRUE,FALSE),FALSE))</f>
        <v/>
      </c>
    </row>
    <row r="308" spans="1:33" ht="17.25" customHeight="1" x14ac:dyDescent="0.2">
      <c r="A308" s="113"/>
      <c r="B308" s="19"/>
      <c r="C308" s="19"/>
      <c r="D308" s="19"/>
      <c r="E308" s="19"/>
      <c r="F308" s="18"/>
      <c r="G308" s="19"/>
      <c r="H308" s="19"/>
      <c r="I308" s="194">
        <f t="shared" ref="I308:K308" si="156">SUM(I309:I313)</f>
        <v>0</v>
      </c>
      <c r="J308" s="195">
        <f t="shared" si="156"/>
        <v>0</v>
      </c>
      <c r="K308" s="195">
        <f t="shared" si="156"/>
        <v>0</v>
      </c>
      <c r="L308" s="104">
        <f t="shared" ref="L308" si="157">IFERROR(SUMPRODUCT(K309:K313,L309:L313)/SUM(K309:K313),0)</f>
        <v>0</v>
      </c>
      <c r="M308" s="215"/>
      <c r="N308" s="155"/>
      <c r="O308" s="47"/>
      <c r="Y308" s="8" t="str">
        <f>IF(A308="","",IFERROR(IF(VLOOKUP(A308,Entry!$D:$D,1,FALSE)=A308,"",ROW()),ROW()))</f>
        <v/>
      </c>
      <c r="AG308" s="8" t="str">
        <f>IF(A308="","",IFERROR(IF(VLOOKUP(A308,Entry!$D:$D,1,FALSE)=A308,TRUE,FALSE),FALSE))</f>
        <v/>
      </c>
    </row>
    <row r="309" spans="1:33" ht="15" customHeight="1" x14ac:dyDescent="0.2">
      <c r="A309" s="110"/>
      <c r="B309" s="20"/>
      <c r="C309" s="20"/>
      <c r="D309" s="20"/>
      <c r="E309" s="20"/>
      <c r="F309" s="16"/>
      <c r="G309" s="20"/>
      <c r="H309" s="20"/>
      <c r="I309" s="187"/>
      <c r="J309" s="188"/>
      <c r="K309" s="189">
        <f t="shared" ref="K309" si="158">I309+J309</f>
        <v>0</v>
      </c>
      <c r="L309" s="72"/>
      <c r="M309" s="212"/>
      <c r="N309" s="152"/>
      <c r="O309" s="44"/>
      <c r="Y309" s="8" t="str">
        <f>IF(A309="","",IFERROR(IF(VLOOKUP(A309,Entry!$D:$D,1,FALSE)=A309,"",ROW()),ROW()))</f>
        <v/>
      </c>
      <c r="AG309" s="8" t="str">
        <f>IF(A309="","",IFERROR(IF(VLOOKUP(A309,Entry!$D:$D,1,FALSE)=A309,TRUE,FALSE),FALSE))</f>
        <v/>
      </c>
    </row>
    <row r="310" spans="1:33" ht="15" customHeight="1" x14ac:dyDescent="0.2">
      <c r="A310" s="111"/>
      <c r="B310" s="21"/>
      <c r="C310" s="21"/>
      <c r="D310" s="21"/>
      <c r="E310" s="21"/>
      <c r="F310" s="14"/>
      <c r="G310" s="21"/>
      <c r="H310" s="21"/>
      <c r="I310" s="190"/>
      <c r="J310" s="191"/>
      <c r="K310" s="189">
        <f t="shared" si="134"/>
        <v>0</v>
      </c>
      <c r="L310" s="73"/>
      <c r="M310" s="213"/>
      <c r="N310" s="153"/>
      <c r="O310" s="45"/>
      <c r="Y310" s="8" t="str">
        <f>IF(A310="","",IFERROR(IF(VLOOKUP(A310,Entry!$D:$D,1,FALSE)=A310,"",ROW()),ROW()))</f>
        <v/>
      </c>
      <c r="AG310" s="8" t="str">
        <f>IF(A310="","",IFERROR(IF(VLOOKUP(A310,Entry!$D:$D,1,FALSE)=A310,TRUE,FALSE),FALSE))</f>
        <v/>
      </c>
    </row>
    <row r="311" spans="1:33" ht="15" customHeight="1" x14ac:dyDescent="0.2">
      <c r="A311" s="111"/>
      <c r="B311" s="21"/>
      <c r="C311" s="21"/>
      <c r="D311" s="21"/>
      <c r="E311" s="21"/>
      <c r="F311" s="14"/>
      <c r="G311" s="21"/>
      <c r="H311" s="21"/>
      <c r="I311" s="190"/>
      <c r="J311" s="191"/>
      <c r="K311" s="189">
        <f t="shared" si="134"/>
        <v>0</v>
      </c>
      <c r="L311" s="73"/>
      <c r="M311" s="213"/>
      <c r="N311" s="153"/>
      <c r="O311" s="45"/>
      <c r="Y311" s="8" t="str">
        <f>IF(A311="","",IFERROR(IF(VLOOKUP(A311,Entry!$D:$D,1,FALSE)=A311,"",ROW()),ROW()))</f>
        <v/>
      </c>
      <c r="AG311" s="8" t="str">
        <f>IF(A311="","",IFERROR(IF(VLOOKUP(A311,Entry!$D:$D,1,FALSE)=A311,TRUE,FALSE),FALSE))</f>
        <v/>
      </c>
    </row>
    <row r="312" spans="1:33" ht="15" customHeight="1" x14ac:dyDescent="0.2">
      <c r="A312" s="111"/>
      <c r="B312" s="21"/>
      <c r="C312" s="21"/>
      <c r="D312" s="21"/>
      <c r="E312" s="21"/>
      <c r="F312" s="14"/>
      <c r="G312" s="21"/>
      <c r="H312" s="21"/>
      <c r="I312" s="190"/>
      <c r="J312" s="191"/>
      <c r="K312" s="189">
        <f t="shared" si="134"/>
        <v>0</v>
      </c>
      <c r="L312" s="73"/>
      <c r="M312" s="213"/>
      <c r="N312" s="153"/>
      <c r="O312" s="45"/>
      <c r="Y312" s="8" t="str">
        <f>IF(A312="","",IFERROR(IF(VLOOKUP(A312,Entry!$D:$D,1,FALSE)=A312,"",ROW()),ROW()))</f>
        <v/>
      </c>
      <c r="AG312" s="8" t="str">
        <f>IF(A312="","",IFERROR(IF(VLOOKUP(A312,Entry!$D:$D,1,FALSE)=A312,TRUE,FALSE),FALSE))</f>
        <v/>
      </c>
    </row>
    <row r="313" spans="1:33" ht="15" customHeight="1" x14ac:dyDescent="0.2">
      <c r="A313" s="112"/>
      <c r="B313" s="22"/>
      <c r="C313" s="22"/>
      <c r="D313" s="22"/>
      <c r="E313" s="22"/>
      <c r="F313" s="15"/>
      <c r="G313" s="22"/>
      <c r="H313" s="22"/>
      <c r="I313" s="192"/>
      <c r="J313" s="193"/>
      <c r="K313" s="189">
        <f t="shared" si="134"/>
        <v>0</v>
      </c>
      <c r="L313" s="74"/>
      <c r="M313" s="214"/>
      <c r="N313" s="154"/>
      <c r="O313" s="46"/>
      <c r="Y313" s="8" t="str">
        <f>IF(A313="","",IFERROR(IF(VLOOKUP(A313,Entry!$D:$D,1,FALSE)=A313,"",ROW()),ROW()))</f>
        <v/>
      </c>
      <c r="AG313" s="8" t="str">
        <f>IF(A313="","",IFERROR(IF(VLOOKUP(A313,Entry!$D:$D,1,FALSE)=A313,TRUE,FALSE),FALSE))</f>
        <v/>
      </c>
    </row>
    <row r="314" spans="1:33" ht="17.25" customHeight="1" x14ac:dyDescent="0.2">
      <c r="A314" s="113"/>
      <c r="B314" s="19"/>
      <c r="C314" s="19"/>
      <c r="D314" s="19"/>
      <c r="E314" s="19"/>
      <c r="F314" s="18"/>
      <c r="G314" s="19"/>
      <c r="H314" s="19"/>
      <c r="I314" s="194">
        <f t="shared" ref="I314:K314" si="159">SUM(I315:I319)</f>
        <v>0</v>
      </c>
      <c r="J314" s="195">
        <f t="shared" si="159"/>
        <v>0</v>
      </c>
      <c r="K314" s="195">
        <f t="shared" si="159"/>
        <v>0</v>
      </c>
      <c r="L314" s="104">
        <f t="shared" ref="L314" si="160">IFERROR(SUMPRODUCT(K315:K319,L315:L319)/SUM(K315:K319),0)</f>
        <v>0</v>
      </c>
      <c r="M314" s="215"/>
      <c r="N314" s="155"/>
      <c r="O314" s="47"/>
      <c r="Y314" s="8" t="str">
        <f>IF(A314="","",IFERROR(IF(VLOOKUP(A314,Entry!$D:$D,1,FALSE)=A314,"",ROW()),ROW()))</f>
        <v/>
      </c>
      <c r="AG314" s="8" t="str">
        <f>IF(A314="","",IFERROR(IF(VLOOKUP(A314,Entry!$D:$D,1,FALSE)=A314,TRUE,FALSE),FALSE))</f>
        <v/>
      </c>
    </row>
    <row r="315" spans="1:33" ht="15" customHeight="1" x14ac:dyDescent="0.2">
      <c r="A315" s="110"/>
      <c r="B315" s="20"/>
      <c r="C315" s="20"/>
      <c r="D315" s="20"/>
      <c r="E315" s="20"/>
      <c r="F315" s="16"/>
      <c r="G315" s="20"/>
      <c r="H315" s="20"/>
      <c r="I315" s="187"/>
      <c r="J315" s="188"/>
      <c r="K315" s="189">
        <f t="shared" ref="K315" si="161">I315+J315</f>
        <v>0</v>
      </c>
      <c r="L315" s="72"/>
      <c r="M315" s="212"/>
      <c r="N315" s="152"/>
      <c r="O315" s="44"/>
      <c r="Y315" s="8" t="str">
        <f>IF(A315="","",IFERROR(IF(VLOOKUP(A315,Entry!$D:$D,1,FALSE)=A315,"",ROW()),ROW()))</f>
        <v/>
      </c>
      <c r="AG315" s="8" t="str">
        <f>IF(A315="","",IFERROR(IF(VLOOKUP(A315,Entry!$D:$D,1,FALSE)=A315,TRUE,FALSE),FALSE))</f>
        <v/>
      </c>
    </row>
    <row r="316" spans="1:33" ht="15" customHeight="1" x14ac:dyDescent="0.2">
      <c r="A316" s="111"/>
      <c r="B316" s="21"/>
      <c r="C316" s="21"/>
      <c r="D316" s="21"/>
      <c r="E316" s="21"/>
      <c r="F316" s="14"/>
      <c r="G316" s="21"/>
      <c r="H316" s="21"/>
      <c r="I316" s="190"/>
      <c r="J316" s="191"/>
      <c r="K316" s="189">
        <f t="shared" si="134"/>
        <v>0</v>
      </c>
      <c r="L316" s="73"/>
      <c r="M316" s="213"/>
      <c r="N316" s="153"/>
      <c r="O316" s="45"/>
      <c r="Y316" s="8" t="str">
        <f>IF(A316="","",IFERROR(IF(VLOOKUP(A316,Entry!$D:$D,1,FALSE)=A316,"",ROW()),ROW()))</f>
        <v/>
      </c>
      <c r="AG316" s="8" t="str">
        <f>IF(A316="","",IFERROR(IF(VLOOKUP(A316,Entry!$D:$D,1,FALSE)=A316,TRUE,FALSE),FALSE))</f>
        <v/>
      </c>
    </row>
    <row r="317" spans="1:33" ht="15" customHeight="1" x14ac:dyDescent="0.2">
      <c r="A317" s="111"/>
      <c r="B317" s="21"/>
      <c r="C317" s="21"/>
      <c r="D317" s="21"/>
      <c r="E317" s="21"/>
      <c r="F317" s="14"/>
      <c r="G317" s="21"/>
      <c r="H317" s="21"/>
      <c r="I317" s="190"/>
      <c r="J317" s="191"/>
      <c r="K317" s="189">
        <f t="shared" si="134"/>
        <v>0</v>
      </c>
      <c r="L317" s="73"/>
      <c r="M317" s="213"/>
      <c r="N317" s="153"/>
      <c r="O317" s="45"/>
      <c r="Y317" s="8" t="str">
        <f>IF(A317="","",IFERROR(IF(VLOOKUP(A317,Entry!$D:$D,1,FALSE)=A317,"",ROW()),ROW()))</f>
        <v/>
      </c>
      <c r="AG317" s="8" t="str">
        <f>IF(A317="","",IFERROR(IF(VLOOKUP(A317,Entry!$D:$D,1,FALSE)=A317,TRUE,FALSE),FALSE))</f>
        <v/>
      </c>
    </row>
    <row r="318" spans="1:33" ht="15" customHeight="1" x14ac:dyDescent="0.2">
      <c r="A318" s="111"/>
      <c r="B318" s="21"/>
      <c r="C318" s="21"/>
      <c r="D318" s="21"/>
      <c r="E318" s="21"/>
      <c r="F318" s="14"/>
      <c r="G318" s="21"/>
      <c r="H318" s="21"/>
      <c r="I318" s="190"/>
      <c r="J318" s="191"/>
      <c r="K318" s="189">
        <f t="shared" si="134"/>
        <v>0</v>
      </c>
      <c r="L318" s="73"/>
      <c r="M318" s="213"/>
      <c r="N318" s="153"/>
      <c r="O318" s="45"/>
      <c r="Y318" s="8" t="str">
        <f>IF(A318="","",IFERROR(IF(VLOOKUP(A318,Entry!$D:$D,1,FALSE)=A318,"",ROW()),ROW()))</f>
        <v/>
      </c>
      <c r="AG318" s="8" t="str">
        <f>IF(A318="","",IFERROR(IF(VLOOKUP(A318,Entry!$D:$D,1,FALSE)=A318,TRUE,FALSE),FALSE))</f>
        <v/>
      </c>
    </row>
    <row r="319" spans="1:33" ht="15" customHeight="1" x14ac:dyDescent="0.2">
      <c r="A319" s="112"/>
      <c r="B319" s="22"/>
      <c r="C319" s="22"/>
      <c r="D319" s="22"/>
      <c r="E319" s="22"/>
      <c r="F319" s="15"/>
      <c r="G319" s="22"/>
      <c r="H319" s="22"/>
      <c r="I319" s="192"/>
      <c r="J319" s="193"/>
      <c r="K319" s="189">
        <f t="shared" si="134"/>
        <v>0</v>
      </c>
      <c r="L319" s="74"/>
      <c r="M319" s="214"/>
      <c r="N319" s="154"/>
      <c r="O319" s="46"/>
      <c r="Y319" s="8" t="str">
        <f>IF(A319="","",IFERROR(IF(VLOOKUP(A319,Entry!$D:$D,1,FALSE)=A319,"",ROW()),ROW()))</f>
        <v/>
      </c>
      <c r="AG319" s="8" t="str">
        <f>IF(A319="","",IFERROR(IF(VLOOKUP(A319,Entry!$D:$D,1,FALSE)=A319,TRUE,FALSE),FALSE))</f>
        <v/>
      </c>
    </row>
    <row r="320" spans="1:33" ht="17.25" customHeight="1" x14ac:dyDescent="0.2">
      <c r="A320" s="113"/>
      <c r="B320" s="19"/>
      <c r="C320" s="19"/>
      <c r="D320" s="19"/>
      <c r="E320" s="19"/>
      <c r="F320" s="18"/>
      <c r="G320" s="19"/>
      <c r="H320" s="19"/>
      <c r="I320" s="194">
        <f t="shared" ref="I320:K320" si="162">SUM(I321:I325)</f>
        <v>0</v>
      </c>
      <c r="J320" s="195">
        <f t="shared" si="162"/>
        <v>0</v>
      </c>
      <c r="K320" s="195">
        <f t="shared" si="162"/>
        <v>0</v>
      </c>
      <c r="L320" s="104">
        <f t="shared" ref="L320" si="163">IFERROR(SUMPRODUCT(K321:K325,L321:L325)/SUM(K321:K325),0)</f>
        <v>0</v>
      </c>
      <c r="M320" s="215"/>
      <c r="N320" s="155"/>
      <c r="O320" s="47"/>
      <c r="Y320" s="8" t="str">
        <f>IF(A320="","",IFERROR(IF(VLOOKUP(A320,Entry!$D:$D,1,FALSE)=A320,"",ROW()),ROW()))</f>
        <v/>
      </c>
      <c r="AG320" s="8" t="str">
        <f>IF(A320="","",IFERROR(IF(VLOOKUP(A320,Entry!$D:$D,1,FALSE)=A320,TRUE,FALSE),FALSE))</f>
        <v/>
      </c>
    </row>
    <row r="321" spans="1:33" ht="15" customHeight="1" x14ac:dyDescent="0.2">
      <c r="A321" s="110"/>
      <c r="B321" s="20"/>
      <c r="C321" s="20"/>
      <c r="D321" s="20"/>
      <c r="E321" s="20"/>
      <c r="F321" s="16"/>
      <c r="G321" s="20"/>
      <c r="H321" s="20"/>
      <c r="I321" s="187"/>
      <c r="J321" s="188"/>
      <c r="K321" s="189">
        <f t="shared" ref="K321" si="164">I321+J321</f>
        <v>0</v>
      </c>
      <c r="L321" s="72"/>
      <c r="M321" s="212"/>
      <c r="N321" s="152"/>
      <c r="O321" s="44"/>
      <c r="Y321" s="8" t="str">
        <f>IF(A321="","",IFERROR(IF(VLOOKUP(A321,Entry!$D:$D,1,FALSE)=A321,"",ROW()),ROW()))</f>
        <v/>
      </c>
      <c r="AG321" s="8" t="str">
        <f>IF(A321="","",IFERROR(IF(VLOOKUP(A321,Entry!$D:$D,1,FALSE)=A321,TRUE,FALSE),FALSE))</f>
        <v/>
      </c>
    </row>
    <row r="322" spans="1:33" ht="15" customHeight="1" x14ac:dyDescent="0.2">
      <c r="A322" s="111"/>
      <c r="B322" s="21"/>
      <c r="C322" s="21"/>
      <c r="D322" s="21"/>
      <c r="E322" s="21"/>
      <c r="F322" s="14"/>
      <c r="G322" s="21"/>
      <c r="H322" s="21"/>
      <c r="I322" s="190"/>
      <c r="J322" s="191"/>
      <c r="K322" s="189">
        <f t="shared" si="134"/>
        <v>0</v>
      </c>
      <c r="L322" s="73"/>
      <c r="M322" s="213"/>
      <c r="N322" s="153"/>
      <c r="O322" s="45"/>
      <c r="Y322" s="8" t="str">
        <f>IF(A322="","",IFERROR(IF(VLOOKUP(A322,Entry!$D:$D,1,FALSE)=A322,"",ROW()),ROW()))</f>
        <v/>
      </c>
      <c r="AG322" s="8" t="str">
        <f>IF(A322="","",IFERROR(IF(VLOOKUP(A322,Entry!$D:$D,1,FALSE)=A322,TRUE,FALSE),FALSE))</f>
        <v/>
      </c>
    </row>
    <row r="323" spans="1:33" ht="15" customHeight="1" x14ac:dyDescent="0.2">
      <c r="A323" s="111"/>
      <c r="B323" s="21"/>
      <c r="C323" s="21"/>
      <c r="D323" s="21"/>
      <c r="E323" s="21"/>
      <c r="F323" s="14"/>
      <c r="G323" s="21"/>
      <c r="H323" s="21"/>
      <c r="I323" s="190"/>
      <c r="J323" s="191"/>
      <c r="K323" s="189">
        <f t="shared" si="134"/>
        <v>0</v>
      </c>
      <c r="L323" s="73"/>
      <c r="M323" s="213"/>
      <c r="N323" s="153"/>
      <c r="O323" s="45"/>
      <c r="Y323" s="8" t="str">
        <f>IF(A323="","",IFERROR(IF(VLOOKUP(A323,Entry!$D:$D,1,FALSE)=A323,"",ROW()),ROW()))</f>
        <v/>
      </c>
      <c r="AG323" s="8" t="str">
        <f>IF(A323="","",IFERROR(IF(VLOOKUP(A323,Entry!$D:$D,1,FALSE)=A323,TRUE,FALSE),FALSE))</f>
        <v/>
      </c>
    </row>
    <row r="324" spans="1:33" ht="15" customHeight="1" x14ac:dyDescent="0.2">
      <c r="A324" s="111"/>
      <c r="B324" s="21"/>
      <c r="C324" s="21"/>
      <c r="D324" s="21"/>
      <c r="E324" s="21"/>
      <c r="F324" s="14"/>
      <c r="G324" s="21"/>
      <c r="H324" s="21"/>
      <c r="I324" s="190"/>
      <c r="J324" s="191"/>
      <c r="K324" s="189">
        <f t="shared" si="134"/>
        <v>0</v>
      </c>
      <c r="L324" s="73"/>
      <c r="M324" s="213"/>
      <c r="N324" s="153"/>
      <c r="O324" s="45"/>
      <c r="Y324" s="8" t="str">
        <f>IF(A324="","",IFERROR(IF(VLOOKUP(A324,Entry!$D:$D,1,FALSE)=A324,"",ROW()),ROW()))</f>
        <v/>
      </c>
      <c r="AG324" s="8" t="str">
        <f>IF(A324="","",IFERROR(IF(VLOOKUP(A324,Entry!$D:$D,1,FALSE)=A324,TRUE,FALSE),FALSE))</f>
        <v/>
      </c>
    </row>
    <row r="325" spans="1:33" ht="15" customHeight="1" x14ac:dyDescent="0.2">
      <c r="A325" s="112"/>
      <c r="B325" s="22"/>
      <c r="C325" s="22"/>
      <c r="D325" s="22"/>
      <c r="E325" s="22"/>
      <c r="F325" s="15"/>
      <c r="G325" s="22"/>
      <c r="H325" s="22"/>
      <c r="I325" s="192"/>
      <c r="J325" s="193"/>
      <c r="K325" s="189">
        <f t="shared" si="134"/>
        <v>0</v>
      </c>
      <c r="L325" s="74"/>
      <c r="M325" s="214"/>
      <c r="N325" s="154"/>
      <c r="O325" s="46"/>
      <c r="Y325" s="8" t="str">
        <f>IF(A325="","",IFERROR(IF(VLOOKUP(A325,Entry!$D:$D,1,FALSE)=A325,"",ROW()),ROW()))</f>
        <v/>
      </c>
      <c r="AG325" s="8" t="str">
        <f>IF(A325="","",IFERROR(IF(VLOOKUP(A325,Entry!$D:$D,1,FALSE)=A325,TRUE,FALSE),FALSE))</f>
        <v/>
      </c>
    </row>
    <row r="326" spans="1:33" ht="17.25" customHeight="1" x14ac:dyDescent="0.2">
      <c r="A326" s="113"/>
      <c r="B326" s="19"/>
      <c r="C326" s="19"/>
      <c r="D326" s="19"/>
      <c r="E326" s="19"/>
      <c r="F326" s="18"/>
      <c r="G326" s="19"/>
      <c r="H326" s="19"/>
      <c r="I326" s="194">
        <f t="shared" ref="I326:K326" si="165">SUM(I327:I331)</f>
        <v>0</v>
      </c>
      <c r="J326" s="195">
        <f t="shared" si="165"/>
        <v>0</v>
      </c>
      <c r="K326" s="195">
        <f t="shared" si="165"/>
        <v>0</v>
      </c>
      <c r="L326" s="104">
        <f t="shared" ref="L326" si="166">IFERROR(SUMPRODUCT(K327:K331,L327:L331)/SUM(K327:K331),0)</f>
        <v>0</v>
      </c>
      <c r="M326" s="215"/>
      <c r="N326" s="155"/>
      <c r="O326" s="47"/>
      <c r="Y326" s="8" t="str">
        <f>IF(A326="","",IFERROR(IF(VLOOKUP(A326,Entry!$D:$D,1,FALSE)=A326,"",ROW()),ROW()))</f>
        <v/>
      </c>
      <c r="AG326" s="8" t="str">
        <f>IF(A326="","",IFERROR(IF(VLOOKUP(A326,Entry!$D:$D,1,FALSE)=A326,TRUE,FALSE),FALSE))</f>
        <v/>
      </c>
    </row>
    <row r="327" spans="1:33" ht="15" customHeight="1" x14ac:dyDescent="0.2">
      <c r="A327" s="110"/>
      <c r="B327" s="20"/>
      <c r="C327" s="20"/>
      <c r="D327" s="20"/>
      <c r="E327" s="20"/>
      <c r="F327" s="16"/>
      <c r="G327" s="20"/>
      <c r="H327" s="20"/>
      <c r="I327" s="187"/>
      <c r="J327" s="188"/>
      <c r="K327" s="189">
        <f t="shared" ref="K327" si="167">I327+J327</f>
        <v>0</v>
      </c>
      <c r="L327" s="72"/>
      <c r="M327" s="212"/>
      <c r="N327" s="152"/>
      <c r="O327" s="44"/>
      <c r="Y327" s="8" t="str">
        <f>IF(A327="","",IFERROR(IF(VLOOKUP(A327,Entry!$D:$D,1,FALSE)=A327,"",ROW()),ROW()))</f>
        <v/>
      </c>
      <c r="AG327" s="8" t="str">
        <f>IF(A327="","",IFERROR(IF(VLOOKUP(A327,Entry!$D:$D,1,FALSE)=A327,TRUE,FALSE),FALSE))</f>
        <v/>
      </c>
    </row>
    <row r="328" spans="1:33" ht="15" customHeight="1" x14ac:dyDescent="0.2">
      <c r="A328" s="111"/>
      <c r="B328" s="21"/>
      <c r="C328" s="21"/>
      <c r="D328" s="21"/>
      <c r="E328" s="21"/>
      <c r="F328" s="14"/>
      <c r="G328" s="21"/>
      <c r="H328" s="21"/>
      <c r="I328" s="190"/>
      <c r="J328" s="191"/>
      <c r="K328" s="189">
        <f t="shared" si="134"/>
        <v>0</v>
      </c>
      <c r="L328" s="73"/>
      <c r="M328" s="213"/>
      <c r="N328" s="153"/>
      <c r="O328" s="45"/>
      <c r="Y328" s="8" t="str">
        <f>IF(A328="","",IFERROR(IF(VLOOKUP(A328,Entry!$D:$D,1,FALSE)=A328,"",ROW()),ROW()))</f>
        <v/>
      </c>
      <c r="AG328" s="8" t="str">
        <f>IF(A328="","",IFERROR(IF(VLOOKUP(A328,Entry!$D:$D,1,FALSE)=A328,TRUE,FALSE),FALSE))</f>
        <v/>
      </c>
    </row>
    <row r="329" spans="1:33" ht="15" customHeight="1" x14ac:dyDescent="0.2">
      <c r="A329" s="111"/>
      <c r="B329" s="21"/>
      <c r="C329" s="21"/>
      <c r="D329" s="21"/>
      <c r="E329" s="21"/>
      <c r="F329" s="14"/>
      <c r="G329" s="21"/>
      <c r="H329" s="21"/>
      <c r="I329" s="190"/>
      <c r="J329" s="191"/>
      <c r="K329" s="189">
        <f t="shared" ref="K329:K391" si="168">I329+J329</f>
        <v>0</v>
      </c>
      <c r="L329" s="73"/>
      <c r="M329" s="213"/>
      <c r="N329" s="153"/>
      <c r="O329" s="45"/>
      <c r="Y329" s="8" t="str">
        <f>IF(A329="","",IFERROR(IF(VLOOKUP(A329,Entry!$D:$D,1,FALSE)=A329,"",ROW()),ROW()))</f>
        <v/>
      </c>
      <c r="AG329" s="8" t="str">
        <f>IF(A329="","",IFERROR(IF(VLOOKUP(A329,Entry!$D:$D,1,FALSE)=A329,TRUE,FALSE),FALSE))</f>
        <v/>
      </c>
    </row>
    <row r="330" spans="1:33" ht="15" customHeight="1" x14ac:dyDescent="0.2">
      <c r="A330" s="111"/>
      <c r="B330" s="21"/>
      <c r="C330" s="21"/>
      <c r="D330" s="21"/>
      <c r="E330" s="21"/>
      <c r="F330" s="14"/>
      <c r="G330" s="21"/>
      <c r="H330" s="21"/>
      <c r="I330" s="190"/>
      <c r="J330" s="191"/>
      <c r="K330" s="189">
        <f t="shared" si="168"/>
        <v>0</v>
      </c>
      <c r="L330" s="73"/>
      <c r="M330" s="213"/>
      <c r="N330" s="153"/>
      <c r="O330" s="45"/>
      <c r="Y330" s="8" t="str">
        <f>IF(A330="","",IFERROR(IF(VLOOKUP(A330,Entry!$D:$D,1,FALSE)=A330,"",ROW()),ROW()))</f>
        <v/>
      </c>
      <c r="AG330" s="8" t="str">
        <f>IF(A330="","",IFERROR(IF(VLOOKUP(A330,Entry!$D:$D,1,FALSE)=A330,TRUE,FALSE),FALSE))</f>
        <v/>
      </c>
    </row>
    <row r="331" spans="1:33" ht="15" customHeight="1" x14ac:dyDescent="0.2">
      <c r="A331" s="112"/>
      <c r="B331" s="22"/>
      <c r="C331" s="22"/>
      <c r="D331" s="22"/>
      <c r="E331" s="22"/>
      <c r="F331" s="15"/>
      <c r="G331" s="22"/>
      <c r="H331" s="22"/>
      <c r="I331" s="192"/>
      <c r="J331" s="193"/>
      <c r="K331" s="189">
        <f t="shared" si="168"/>
        <v>0</v>
      </c>
      <c r="L331" s="74"/>
      <c r="M331" s="214"/>
      <c r="N331" s="154"/>
      <c r="O331" s="46"/>
      <c r="Y331" s="8" t="str">
        <f>IF(A331="","",IFERROR(IF(VLOOKUP(A331,Entry!$D:$D,1,FALSE)=A331,"",ROW()),ROW()))</f>
        <v/>
      </c>
      <c r="AG331" s="8" t="str">
        <f>IF(A331="","",IFERROR(IF(VLOOKUP(A331,Entry!$D:$D,1,FALSE)=A331,TRUE,FALSE),FALSE))</f>
        <v/>
      </c>
    </row>
    <row r="332" spans="1:33" ht="17.25" customHeight="1" x14ac:dyDescent="0.2">
      <c r="A332" s="113"/>
      <c r="B332" s="19"/>
      <c r="C332" s="19"/>
      <c r="D332" s="19"/>
      <c r="E332" s="19"/>
      <c r="F332" s="18"/>
      <c r="G332" s="19"/>
      <c r="H332" s="19"/>
      <c r="I332" s="194">
        <f t="shared" ref="I332:K332" si="169">SUM(I333:I337)</f>
        <v>0</v>
      </c>
      <c r="J332" s="195">
        <f t="shared" si="169"/>
        <v>0</v>
      </c>
      <c r="K332" s="195">
        <f t="shared" si="169"/>
        <v>0</v>
      </c>
      <c r="L332" s="104">
        <f t="shared" ref="L332" si="170">IFERROR(SUMPRODUCT(K333:K337,L333:L337)/SUM(K333:K337),0)</f>
        <v>0</v>
      </c>
      <c r="M332" s="215"/>
      <c r="N332" s="155"/>
      <c r="O332" s="47"/>
      <c r="Y332" s="8" t="str">
        <f>IF(A332="","",IFERROR(IF(VLOOKUP(A332,Entry!$D:$D,1,FALSE)=A332,"",ROW()),ROW()))</f>
        <v/>
      </c>
      <c r="AG332" s="8" t="str">
        <f>IF(A332="","",IFERROR(IF(VLOOKUP(A332,Entry!$D:$D,1,FALSE)=A332,TRUE,FALSE),FALSE))</f>
        <v/>
      </c>
    </row>
    <row r="333" spans="1:33" ht="15" customHeight="1" x14ac:dyDescent="0.2">
      <c r="A333" s="110"/>
      <c r="B333" s="20"/>
      <c r="C333" s="20"/>
      <c r="D333" s="20"/>
      <c r="E333" s="20"/>
      <c r="F333" s="16"/>
      <c r="G333" s="20"/>
      <c r="H333" s="20"/>
      <c r="I333" s="187"/>
      <c r="J333" s="188"/>
      <c r="K333" s="189">
        <f t="shared" ref="K333" si="171">I333+J333</f>
        <v>0</v>
      </c>
      <c r="L333" s="72"/>
      <c r="M333" s="212"/>
      <c r="N333" s="152"/>
      <c r="O333" s="44"/>
      <c r="Y333" s="8" t="str">
        <f>IF(A333="","",IFERROR(IF(VLOOKUP(A333,Entry!$D:$D,1,FALSE)=A333,"",ROW()),ROW()))</f>
        <v/>
      </c>
      <c r="AG333" s="8" t="str">
        <f>IF(A333="","",IFERROR(IF(VLOOKUP(A333,Entry!$D:$D,1,FALSE)=A333,TRUE,FALSE),FALSE))</f>
        <v/>
      </c>
    </row>
    <row r="334" spans="1:33" ht="15" customHeight="1" x14ac:dyDescent="0.2">
      <c r="A334" s="111"/>
      <c r="B334" s="21"/>
      <c r="C334" s="21"/>
      <c r="D334" s="21"/>
      <c r="E334" s="21"/>
      <c r="F334" s="14"/>
      <c r="G334" s="21"/>
      <c r="H334" s="21"/>
      <c r="I334" s="190"/>
      <c r="J334" s="191"/>
      <c r="K334" s="189">
        <f t="shared" si="168"/>
        <v>0</v>
      </c>
      <c r="L334" s="73"/>
      <c r="M334" s="213"/>
      <c r="N334" s="153"/>
      <c r="O334" s="45"/>
      <c r="Y334" s="8" t="str">
        <f>IF(A334="","",IFERROR(IF(VLOOKUP(A334,Entry!$D:$D,1,FALSE)=A334,"",ROW()),ROW()))</f>
        <v/>
      </c>
      <c r="AG334" s="8" t="str">
        <f>IF(A334="","",IFERROR(IF(VLOOKUP(A334,Entry!$D:$D,1,FALSE)=A334,TRUE,FALSE),FALSE))</f>
        <v/>
      </c>
    </row>
    <row r="335" spans="1:33" ht="15" customHeight="1" x14ac:dyDescent="0.2">
      <c r="A335" s="111"/>
      <c r="B335" s="21"/>
      <c r="C335" s="21"/>
      <c r="D335" s="21"/>
      <c r="E335" s="21"/>
      <c r="F335" s="14"/>
      <c r="G335" s="21"/>
      <c r="H335" s="21"/>
      <c r="I335" s="190"/>
      <c r="J335" s="191"/>
      <c r="K335" s="189">
        <f t="shared" si="168"/>
        <v>0</v>
      </c>
      <c r="L335" s="73"/>
      <c r="M335" s="213"/>
      <c r="N335" s="153"/>
      <c r="O335" s="45"/>
      <c r="Y335" s="8" t="str">
        <f>IF(A335="","",IFERROR(IF(VLOOKUP(A335,Entry!$D:$D,1,FALSE)=A335,"",ROW()),ROW()))</f>
        <v/>
      </c>
      <c r="AG335" s="8" t="str">
        <f>IF(A335="","",IFERROR(IF(VLOOKUP(A335,Entry!$D:$D,1,FALSE)=A335,TRUE,FALSE),FALSE))</f>
        <v/>
      </c>
    </row>
    <row r="336" spans="1:33" ht="15" customHeight="1" x14ac:dyDescent="0.2">
      <c r="A336" s="111"/>
      <c r="B336" s="21"/>
      <c r="C336" s="21"/>
      <c r="D336" s="21"/>
      <c r="E336" s="21"/>
      <c r="F336" s="14"/>
      <c r="G336" s="21"/>
      <c r="H336" s="21"/>
      <c r="I336" s="190"/>
      <c r="J336" s="191"/>
      <c r="K336" s="189">
        <f t="shared" si="168"/>
        <v>0</v>
      </c>
      <c r="L336" s="73"/>
      <c r="M336" s="213"/>
      <c r="N336" s="153"/>
      <c r="O336" s="45"/>
      <c r="Y336" s="8" t="str">
        <f>IF(A336="","",IFERROR(IF(VLOOKUP(A336,Entry!$D:$D,1,FALSE)=A336,"",ROW()),ROW()))</f>
        <v/>
      </c>
      <c r="AG336" s="8" t="str">
        <f>IF(A336="","",IFERROR(IF(VLOOKUP(A336,Entry!$D:$D,1,FALSE)=A336,TRUE,FALSE),FALSE))</f>
        <v/>
      </c>
    </row>
    <row r="337" spans="1:33" ht="15" customHeight="1" x14ac:dyDescent="0.2">
      <c r="A337" s="112"/>
      <c r="B337" s="22"/>
      <c r="C337" s="22"/>
      <c r="D337" s="22"/>
      <c r="E337" s="22"/>
      <c r="F337" s="15"/>
      <c r="G337" s="22"/>
      <c r="H337" s="22"/>
      <c r="I337" s="192"/>
      <c r="J337" s="193"/>
      <c r="K337" s="189">
        <f t="shared" si="168"/>
        <v>0</v>
      </c>
      <c r="L337" s="74"/>
      <c r="M337" s="214"/>
      <c r="N337" s="154"/>
      <c r="O337" s="46"/>
      <c r="Y337" s="8" t="str">
        <f>IF(A337="","",IFERROR(IF(VLOOKUP(A337,Entry!$D:$D,1,FALSE)=A337,"",ROW()),ROW()))</f>
        <v/>
      </c>
      <c r="AG337" s="8" t="str">
        <f>IF(A337="","",IFERROR(IF(VLOOKUP(A337,Entry!$D:$D,1,FALSE)=A337,TRUE,FALSE),FALSE))</f>
        <v/>
      </c>
    </row>
    <row r="338" spans="1:33" ht="17.25" customHeight="1" x14ac:dyDescent="0.2">
      <c r="A338" s="113"/>
      <c r="B338" s="19"/>
      <c r="C338" s="19"/>
      <c r="D338" s="19"/>
      <c r="E338" s="19"/>
      <c r="F338" s="18"/>
      <c r="G338" s="19"/>
      <c r="H338" s="19"/>
      <c r="I338" s="194">
        <f t="shared" ref="I338:K338" si="172">SUM(I339:I343)</f>
        <v>0</v>
      </c>
      <c r="J338" s="195">
        <f t="shared" si="172"/>
        <v>0</v>
      </c>
      <c r="K338" s="195">
        <f t="shared" si="172"/>
        <v>0</v>
      </c>
      <c r="L338" s="104">
        <f t="shared" ref="L338" si="173">IFERROR(SUMPRODUCT(K339:K343,L339:L343)/SUM(K339:K343),0)</f>
        <v>0</v>
      </c>
      <c r="M338" s="215"/>
      <c r="N338" s="155"/>
      <c r="O338" s="47"/>
      <c r="Y338" s="8" t="str">
        <f>IF(A338="","",IFERROR(IF(VLOOKUP(A338,Entry!$D:$D,1,FALSE)=A338,"",ROW()),ROW()))</f>
        <v/>
      </c>
      <c r="AG338" s="8" t="str">
        <f>IF(A338="","",IFERROR(IF(VLOOKUP(A338,Entry!$D:$D,1,FALSE)=A338,TRUE,FALSE),FALSE))</f>
        <v/>
      </c>
    </row>
    <row r="339" spans="1:33" ht="15" customHeight="1" x14ac:dyDescent="0.2">
      <c r="A339" s="110"/>
      <c r="B339" s="20"/>
      <c r="C339" s="20"/>
      <c r="D339" s="20"/>
      <c r="E339" s="20"/>
      <c r="F339" s="16"/>
      <c r="G339" s="20"/>
      <c r="H339" s="20"/>
      <c r="I339" s="187"/>
      <c r="J339" s="188"/>
      <c r="K339" s="189">
        <f t="shared" ref="K339" si="174">I339+J339</f>
        <v>0</v>
      </c>
      <c r="L339" s="72"/>
      <c r="M339" s="212"/>
      <c r="N339" s="152"/>
      <c r="O339" s="44"/>
      <c r="Y339" s="8" t="str">
        <f>IF(A339="","",IFERROR(IF(VLOOKUP(A339,Entry!$D:$D,1,FALSE)=A339,"",ROW()),ROW()))</f>
        <v/>
      </c>
      <c r="AG339" s="8" t="str">
        <f>IF(A339="","",IFERROR(IF(VLOOKUP(A339,Entry!$D:$D,1,FALSE)=A339,TRUE,FALSE),FALSE))</f>
        <v/>
      </c>
    </row>
    <row r="340" spans="1:33" ht="15" customHeight="1" x14ac:dyDescent="0.2">
      <c r="A340" s="111"/>
      <c r="B340" s="21"/>
      <c r="C340" s="21"/>
      <c r="D340" s="21"/>
      <c r="E340" s="21"/>
      <c r="F340" s="14"/>
      <c r="G340" s="21"/>
      <c r="H340" s="21"/>
      <c r="I340" s="190"/>
      <c r="J340" s="191"/>
      <c r="K340" s="189">
        <f t="shared" si="168"/>
        <v>0</v>
      </c>
      <c r="L340" s="73"/>
      <c r="M340" s="213"/>
      <c r="N340" s="153"/>
      <c r="O340" s="45"/>
      <c r="Y340" s="8" t="str">
        <f>IF(A340="","",IFERROR(IF(VLOOKUP(A340,Entry!$D:$D,1,FALSE)=A340,"",ROW()),ROW()))</f>
        <v/>
      </c>
      <c r="AG340" s="8" t="str">
        <f>IF(A340="","",IFERROR(IF(VLOOKUP(A340,Entry!$D:$D,1,FALSE)=A340,TRUE,FALSE),FALSE))</f>
        <v/>
      </c>
    </row>
    <row r="341" spans="1:33" ht="15" customHeight="1" x14ac:dyDescent="0.2">
      <c r="A341" s="111"/>
      <c r="B341" s="21"/>
      <c r="C341" s="21"/>
      <c r="D341" s="21"/>
      <c r="E341" s="21"/>
      <c r="F341" s="14"/>
      <c r="G341" s="21"/>
      <c r="H341" s="21"/>
      <c r="I341" s="190"/>
      <c r="J341" s="191"/>
      <c r="K341" s="189">
        <f t="shared" si="168"/>
        <v>0</v>
      </c>
      <c r="L341" s="73"/>
      <c r="M341" s="213"/>
      <c r="N341" s="153"/>
      <c r="O341" s="45"/>
      <c r="Y341" s="8" t="str">
        <f>IF(A341="","",IFERROR(IF(VLOOKUP(A341,Entry!$D:$D,1,FALSE)=A341,"",ROW()),ROW()))</f>
        <v/>
      </c>
      <c r="AG341" s="8" t="str">
        <f>IF(A341="","",IFERROR(IF(VLOOKUP(A341,Entry!$D:$D,1,FALSE)=A341,TRUE,FALSE),FALSE))</f>
        <v/>
      </c>
    </row>
    <row r="342" spans="1:33" ht="15" customHeight="1" x14ac:dyDescent="0.2">
      <c r="A342" s="111"/>
      <c r="B342" s="21"/>
      <c r="C342" s="21"/>
      <c r="D342" s="21"/>
      <c r="E342" s="21"/>
      <c r="F342" s="14"/>
      <c r="G342" s="21"/>
      <c r="H342" s="21"/>
      <c r="I342" s="190"/>
      <c r="J342" s="191"/>
      <c r="K342" s="189">
        <f t="shared" si="168"/>
        <v>0</v>
      </c>
      <c r="L342" s="73"/>
      <c r="M342" s="213"/>
      <c r="N342" s="153"/>
      <c r="O342" s="45"/>
      <c r="Y342" s="8" t="str">
        <f>IF(A342="","",IFERROR(IF(VLOOKUP(A342,Entry!$D:$D,1,FALSE)=A342,"",ROW()),ROW()))</f>
        <v/>
      </c>
      <c r="AG342" s="8" t="str">
        <f>IF(A342="","",IFERROR(IF(VLOOKUP(A342,Entry!$D:$D,1,FALSE)=A342,TRUE,FALSE),FALSE))</f>
        <v/>
      </c>
    </row>
    <row r="343" spans="1:33" ht="15" customHeight="1" x14ac:dyDescent="0.2">
      <c r="A343" s="112"/>
      <c r="B343" s="22"/>
      <c r="C343" s="22"/>
      <c r="D343" s="22"/>
      <c r="E343" s="22"/>
      <c r="F343" s="15"/>
      <c r="G343" s="22"/>
      <c r="H343" s="22"/>
      <c r="I343" s="192"/>
      <c r="J343" s="193"/>
      <c r="K343" s="189">
        <f t="shared" si="168"/>
        <v>0</v>
      </c>
      <c r="L343" s="74"/>
      <c r="M343" s="214"/>
      <c r="N343" s="154"/>
      <c r="O343" s="46"/>
      <c r="Y343" s="8" t="str">
        <f>IF(A343="","",IFERROR(IF(VLOOKUP(A343,Entry!$D:$D,1,FALSE)=A343,"",ROW()),ROW()))</f>
        <v/>
      </c>
      <c r="AG343" s="8" t="str">
        <f>IF(A343="","",IFERROR(IF(VLOOKUP(A343,Entry!$D:$D,1,FALSE)=A343,TRUE,FALSE),FALSE))</f>
        <v/>
      </c>
    </row>
    <row r="344" spans="1:33" ht="17.25" customHeight="1" x14ac:dyDescent="0.2">
      <c r="A344" s="113"/>
      <c r="B344" s="19"/>
      <c r="C344" s="19"/>
      <c r="D344" s="19"/>
      <c r="E344" s="19"/>
      <c r="F344" s="18"/>
      <c r="G344" s="19"/>
      <c r="H344" s="19"/>
      <c r="I344" s="194">
        <f t="shared" ref="I344:K344" si="175">SUM(I345:I349)</f>
        <v>0</v>
      </c>
      <c r="J344" s="195">
        <f t="shared" si="175"/>
        <v>0</v>
      </c>
      <c r="K344" s="195">
        <f t="shared" si="175"/>
        <v>0</v>
      </c>
      <c r="L344" s="104">
        <f t="shared" ref="L344" si="176">IFERROR(SUMPRODUCT(K345:K349,L345:L349)/SUM(K345:K349),0)</f>
        <v>0</v>
      </c>
      <c r="M344" s="215"/>
      <c r="N344" s="155"/>
      <c r="O344" s="47"/>
      <c r="Y344" s="8" t="str">
        <f>IF(A344="","",IFERROR(IF(VLOOKUP(A344,Entry!$D:$D,1,FALSE)=A344,"",ROW()),ROW()))</f>
        <v/>
      </c>
      <c r="AG344" s="8" t="str">
        <f>IF(A344="","",IFERROR(IF(VLOOKUP(A344,Entry!$D:$D,1,FALSE)=A344,TRUE,FALSE),FALSE))</f>
        <v/>
      </c>
    </row>
    <row r="345" spans="1:33" ht="15" customHeight="1" x14ac:dyDescent="0.2">
      <c r="A345" s="110"/>
      <c r="B345" s="20"/>
      <c r="C345" s="20"/>
      <c r="D345" s="20"/>
      <c r="E345" s="20"/>
      <c r="F345" s="16"/>
      <c r="G345" s="20"/>
      <c r="H345" s="20"/>
      <c r="I345" s="187"/>
      <c r="J345" s="188"/>
      <c r="K345" s="189">
        <f t="shared" ref="K345" si="177">I345+J345</f>
        <v>0</v>
      </c>
      <c r="L345" s="72"/>
      <c r="M345" s="212"/>
      <c r="N345" s="152"/>
      <c r="O345" s="44"/>
      <c r="Y345" s="8" t="str">
        <f>IF(A345="","",IFERROR(IF(VLOOKUP(A345,Entry!$D:$D,1,FALSE)=A345,"",ROW()),ROW()))</f>
        <v/>
      </c>
      <c r="AG345" s="8" t="str">
        <f>IF(A345="","",IFERROR(IF(VLOOKUP(A345,Entry!$D:$D,1,FALSE)=A345,TRUE,FALSE),FALSE))</f>
        <v/>
      </c>
    </row>
    <row r="346" spans="1:33" ht="15" customHeight="1" x14ac:dyDescent="0.2">
      <c r="A346" s="111"/>
      <c r="B346" s="21"/>
      <c r="C346" s="21"/>
      <c r="D346" s="21"/>
      <c r="E346" s="21"/>
      <c r="F346" s="14"/>
      <c r="G346" s="21"/>
      <c r="H346" s="21"/>
      <c r="I346" s="190"/>
      <c r="J346" s="191"/>
      <c r="K346" s="189">
        <f t="shared" si="168"/>
        <v>0</v>
      </c>
      <c r="L346" s="73"/>
      <c r="M346" s="213"/>
      <c r="N346" s="153"/>
      <c r="O346" s="45"/>
      <c r="Y346" s="8" t="str">
        <f>IF(A346="","",IFERROR(IF(VLOOKUP(A346,Entry!$D:$D,1,FALSE)=A346,"",ROW()),ROW()))</f>
        <v/>
      </c>
      <c r="AG346" s="8" t="str">
        <f>IF(A346="","",IFERROR(IF(VLOOKUP(A346,Entry!$D:$D,1,FALSE)=A346,TRUE,FALSE),FALSE))</f>
        <v/>
      </c>
    </row>
    <row r="347" spans="1:33" ht="15" customHeight="1" x14ac:dyDescent="0.2">
      <c r="A347" s="111"/>
      <c r="B347" s="21"/>
      <c r="C347" s="21"/>
      <c r="D347" s="21"/>
      <c r="E347" s="21"/>
      <c r="F347" s="14"/>
      <c r="G347" s="21"/>
      <c r="H347" s="21"/>
      <c r="I347" s="190"/>
      <c r="J347" s="191"/>
      <c r="K347" s="189">
        <f t="shared" si="168"/>
        <v>0</v>
      </c>
      <c r="L347" s="73"/>
      <c r="M347" s="213"/>
      <c r="N347" s="153"/>
      <c r="O347" s="45"/>
      <c r="Y347" s="8" t="str">
        <f>IF(A347="","",IFERROR(IF(VLOOKUP(A347,Entry!$D:$D,1,FALSE)=A347,"",ROW()),ROW()))</f>
        <v/>
      </c>
      <c r="AG347" s="8" t="str">
        <f>IF(A347="","",IFERROR(IF(VLOOKUP(A347,Entry!$D:$D,1,FALSE)=A347,TRUE,FALSE),FALSE))</f>
        <v/>
      </c>
    </row>
    <row r="348" spans="1:33" ht="15" customHeight="1" x14ac:dyDescent="0.2">
      <c r="A348" s="111"/>
      <c r="B348" s="21"/>
      <c r="C348" s="21"/>
      <c r="D348" s="21"/>
      <c r="E348" s="21"/>
      <c r="F348" s="14"/>
      <c r="G348" s="21"/>
      <c r="H348" s="21"/>
      <c r="I348" s="190"/>
      <c r="J348" s="191"/>
      <c r="K348" s="189">
        <f t="shared" si="168"/>
        <v>0</v>
      </c>
      <c r="L348" s="73"/>
      <c r="M348" s="213"/>
      <c r="N348" s="153"/>
      <c r="O348" s="45"/>
      <c r="Y348" s="8" t="str">
        <f>IF(A348="","",IFERROR(IF(VLOOKUP(A348,Entry!$D:$D,1,FALSE)=A348,"",ROW()),ROW()))</f>
        <v/>
      </c>
      <c r="AG348" s="8" t="str">
        <f>IF(A348="","",IFERROR(IF(VLOOKUP(A348,Entry!$D:$D,1,FALSE)=A348,TRUE,FALSE),FALSE))</f>
        <v/>
      </c>
    </row>
    <row r="349" spans="1:33" ht="15" customHeight="1" x14ac:dyDescent="0.2">
      <c r="A349" s="112"/>
      <c r="B349" s="22"/>
      <c r="C349" s="22"/>
      <c r="D349" s="22"/>
      <c r="E349" s="22"/>
      <c r="F349" s="15"/>
      <c r="G349" s="22"/>
      <c r="H349" s="22"/>
      <c r="I349" s="192"/>
      <c r="J349" s="193"/>
      <c r="K349" s="189">
        <f t="shared" si="168"/>
        <v>0</v>
      </c>
      <c r="L349" s="74"/>
      <c r="M349" s="214"/>
      <c r="N349" s="154"/>
      <c r="O349" s="46"/>
      <c r="Y349" s="8" t="str">
        <f>IF(A349="","",IFERROR(IF(VLOOKUP(A349,Entry!$D:$D,1,FALSE)=A349,"",ROW()),ROW()))</f>
        <v/>
      </c>
      <c r="AG349" s="8" t="str">
        <f>IF(A349="","",IFERROR(IF(VLOOKUP(A349,Entry!$D:$D,1,FALSE)=A349,TRUE,FALSE),FALSE))</f>
        <v/>
      </c>
    </row>
    <row r="350" spans="1:33" ht="17.25" customHeight="1" x14ac:dyDescent="0.2">
      <c r="A350" s="113"/>
      <c r="B350" s="19"/>
      <c r="C350" s="19"/>
      <c r="D350" s="19"/>
      <c r="E350" s="19"/>
      <c r="F350" s="18"/>
      <c r="G350" s="19"/>
      <c r="H350" s="19"/>
      <c r="I350" s="194">
        <f t="shared" ref="I350:K350" si="178">SUM(I351:I355)</f>
        <v>0</v>
      </c>
      <c r="J350" s="195">
        <f t="shared" si="178"/>
        <v>0</v>
      </c>
      <c r="K350" s="195">
        <f t="shared" si="178"/>
        <v>0</v>
      </c>
      <c r="L350" s="104">
        <f t="shared" ref="L350" si="179">IFERROR(SUMPRODUCT(K351:K355,L351:L355)/SUM(K351:K355),0)</f>
        <v>0</v>
      </c>
      <c r="M350" s="215"/>
      <c r="N350" s="155"/>
      <c r="O350" s="47"/>
      <c r="Y350" s="8" t="str">
        <f>IF(A350="","",IFERROR(IF(VLOOKUP(A350,Entry!$D:$D,1,FALSE)=A350,"",ROW()),ROW()))</f>
        <v/>
      </c>
      <c r="AG350" s="8" t="str">
        <f>IF(A350="","",IFERROR(IF(VLOOKUP(A350,Entry!$D:$D,1,FALSE)=A350,TRUE,FALSE),FALSE))</f>
        <v/>
      </c>
    </row>
    <row r="351" spans="1:33" ht="15" customHeight="1" x14ac:dyDescent="0.2">
      <c r="A351" s="110"/>
      <c r="B351" s="20"/>
      <c r="C351" s="20"/>
      <c r="D351" s="20"/>
      <c r="E351" s="20"/>
      <c r="F351" s="16"/>
      <c r="G351" s="20"/>
      <c r="H351" s="20"/>
      <c r="I351" s="187"/>
      <c r="J351" s="188"/>
      <c r="K351" s="189">
        <f t="shared" ref="K351" si="180">I351+J351</f>
        <v>0</v>
      </c>
      <c r="L351" s="72"/>
      <c r="M351" s="212"/>
      <c r="N351" s="152"/>
      <c r="O351" s="44"/>
      <c r="Y351" s="8" t="str">
        <f>IF(A351="","",IFERROR(IF(VLOOKUP(A351,Entry!$D:$D,1,FALSE)=A351,"",ROW()),ROW()))</f>
        <v/>
      </c>
      <c r="AG351" s="8" t="str">
        <f>IF(A351="","",IFERROR(IF(VLOOKUP(A351,Entry!$D:$D,1,FALSE)=A351,TRUE,FALSE),FALSE))</f>
        <v/>
      </c>
    </row>
    <row r="352" spans="1:33" ht="15" customHeight="1" x14ac:dyDescent="0.2">
      <c r="A352" s="111"/>
      <c r="B352" s="21"/>
      <c r="C352" s="21"/>
      <c r="D352" s="21"/>
      <c r="E352" s="21"/>
      <c r="F352" s="14"/>
      <c r="G352" s="21"/>
      <c r="H352" s="21"/>
      <c r="I352" s="190"/>
      <c r="J352" s="191"/>
      <c r="K352" s="189">
        <f t="shared" si="168"/>
        <v>0</v>
      </c>
      <c r="L352" s="73"/>
      <c r="M352" s="213"/>
      <c r="N352" s="153"/>
      <c r="O352" s="45"/>
      <c r="Y352" s="8" t="str">
        <f>IF(A352="","",IFERROR(IF(VLOOKUP(A352,Entry!$D:$D,1,FALSE)=A352,"",ROW()),ROW()))</f>
        <v/>
      </c>
      <c r="AG352" s="8" t="str">
        <f>IF(A352="","",IFERROR(IF(VLOOKUP(A352,Entry!$D:$D,1,FALSE)=A352,TRUE,FALSE),FALSE))</f>
        <v/>
      </c>
    </row>
    <row r="353" spans="1:33" ht="15" customHeight="1" x14ac:dyDescent="0.2">
      <c r="A353" s="111"/>
      <c r="B353" s="21"/>
      <c r="C353" s="21"/>
      <c r="D353" s="21"/>
      <c r="E353" s="21"/>
      <c r="F353" s="14"/>
      <c r="G353" s="21"/>
      <c r="H353" s="21"/>
      <c r="I353" s="190"/>
      <c r="J353" s="191"/>
      <c r="K353" s="189">
        <f t="shared" si="168"/>
        <v>0</v>
      </c>
      <c r="L353" s="73"/>
      <c r="M353" s="213"/>
      <c r="N353" s="153"/>
      <c r="O353" s="45"/>
      <c r="Y353" s="8" t="str">
        <f>IF(A353="","",IFERROR(IF(VLOOKUP(A353,Entry!$D:$D,1,FALSE)=A353,"",ROW()),ROW()))</f>
        <v/>
      </c>
      <c r="AG353" s="8" t="str">
        <f>IF(A353="","",IFERROR(IF(VLOOKUP(A353,Entry!$D:$D,1,FALSE)=A353,TRUE,FALSE),FALSE))</f>
        <v/>
      </c>
    </row>
    <row r="354" spans="1:33" ht="15" customHeight="1" x14ac:dyDescent="0.2">
      <c r="A354" s="111"/>
      <c r="B354" s="21"/>
      <c r="C354" s="21"/>
      <c r="D354" s="21"/>
      <c r="E354" s="21"/>
      <c r="F354" s="14"/>
      <c r="G354" s="21"/>
      <c r="H354" s="21"/>
      <c r="I354" s="190"/>
      <c r="J354" s="191"/>
      <c r="K354" s="189">
        <f t="shared" si="168"/>
        <v>0</v>
      </c>
      <c r="L354" s="73"/>
      <c r="M354" s="213"/>
      <c r="N354" s="153"/>
      <c r="O354" s="45"/>
      <c r="Y354" s="8" t="str">
        <f>IF(A354="","",IFERROR(IF(VLOOKUP(A354,Entry!$D:$D,1,FALSE)=A354,"",ROW()),ROW()))</f>
        <v/>
      </c>
      <c r="AG354" s="8" t="str">
        <f>IF(A354="","",IFERROR(IF(VLOOKUP(A354,Entry!$D:$D,1,FALSE)=A354,TRUE,FALSE),FALSE))</f>
        <v/>
      </c>
    </row>
    <row r="355" spans="1:33" ht="15" customHeight="1" x14ac:dyDescent="0.2">
      <c r="A355" s="112"/>
      <c r="B355" s="22"/>
      <c r="C355" s="22"/>
      <c r="D355" s="22"/>
      <c r="E355" s="22"/>
      <c r="F355" s="15"/>
      <c r="G355" s="22"/>
      <c r="H355" s="22"/>
      <c r="I355" s="192"/>
      <c r="J355" s="193"/>
      <c r="K355" s="189">
        <f t="shared" si="168"/>
        <v>0</v>
      </c>
      <c r="L355" s="74"/>
      <c r="M355" s="214"/>
      <c r="N355" s="154"/>
      <c r="O355" s="46"/>
      <c r="Y355" s="8" t="str">
        <f>IF(A355="","",IFERROR(IF(VLOOKUP(A355,Entry!$D:$D,1,FALSE)=A355,"",ROW()),ROW()))</f>
        <v/>
      </c>
      <c r="AG355" s="8" t="str">
        <f>IF(A355="","",IFERROR(IF(VLOOKUP(A355,Entry!$D:$D,1,FALSE)=A355,TRUE,FALSE),FALSE))</f>
        <v/>
      </c>
    </row>
    <row r="356" spans="1:33" ht="17.25" customHeight="1" x14ac:dyDescent="0.2">
      <c r="A356" s="113"/>
      <c r="B356" s="19"/>
      <c r="C356" s="19"/>
      <c r="D356" s="19"/>
      <c r="E356" s="19"/>
      <c r="F356" s="18"/>
      <c r="G356" s="19"/>
      <c r="H356" s="19"/>
      <c r="I356" s="194">
        <f t="shared" ref="I356:K356" si="181">SUM(I357:I361)</f>
        <v>0</v>
      </c>
      <c r="J356" s="195">
        <f t="shared" si="181"/>
        <v>0</v>
      </c>
      <c r="K356" s="195">
        <f t="shared" si="181"/>
        <v>0</v>
      </c>
      <c r="L356" s="104">
        <f t="shared" ref="L356" si="182">IFERROR(SUMPRODUCT(K357:K361,L357:L361)/SUM(K357:K361),0)</f>
        <v>0</v>
      </c>
      <c r="M356" s="215"/>
      <c r="N356" s="155"/>
      <c r="O356" s="47"/>
      <c r="Y356" s="8" t="str">
        <f>IF(A356="","",IFERROR(IF(VLOOKUP(A356,Entry!$D:$D,1,FALSE)=A356,"",ROW()),ROW()))</f>
        <v/>
      </c>
      <c r="AG356" s="8" t="str">
        <f>IF(A356="","",IFERROR(IF(VLOOKUP(A356,Entry!$D:$D,1,FALSE)=A356,TRUE,FALSE),FALSE))</f>
        <v/>
      </c>
    </row>
    <row r="357" spans="1:33" ht="15" customHeight="1" x14ac:dyDescent="0.2">
      <c r="A357" s="110"/>
      <c r="B357" s="20"/>
      <c r="C357" s="20"/>
      <c r="D357" s="20"/>
      <c r="E357" s="20"/>
      <c r="F357" s="16"/>
      <c r="G357" s="20"/>
      <c r="H357" s="20"/>
      <c r="I357" s="187"/>
      <c r="J357" s="188"/>
      <c r="K357" s="189">
        <f t="shared" ref="K357" si="183">I357+J357</f>
        <v>0</v>
      </c>
      <c r="L357" s="72"/>
      <c r="M357" s="212"/>
      <c r="N357" s="152"/>
      <c r="O357" s="44"/>
      <c r="Y357" s="8" t="str">
        <f>IF(A357="","",IFERROR(IF(VLOOKUP(A357,Entry!$D:$D,1,FALSE)=A357,"",ROW()),ROW()))</f>
        <v/>
      </c>
      <c r="AG357" s="8" t="str">
        <f>IF(A357="","",IFERROR(IF(VLOOKUP(A357,Entry!$D:$D,1,FALSE)=A357,TRUE,FALSE),FALSE))</f>
        <v/>
      </c>
    </row>
    <row r="358" spans="1:33" ht="15" customHeight="1" x14ac:dyDescent="0.2">
      <c r="A358" s="111"/>
      <c r="B358" s="21"/>
      <c r="C358" s="21"/>
      <c r="D358" s="21"/>
      <c r="E358" s="21"/>
      <c r="F358" s="14"/>
      <c r="G358" s="21"/>
      <c r="H358" s="21"/>
      <c r="I358" s="190"/>
      <c r="J358" s="191"/>
      <c r="K358" s="189">
        <f t="shared" si="168"/>
        <v>0</v>
      </c>
      <c r="L358" s="73"/>
      <c r="M358" s="213"/>
      <c r="N358" s="153"/>
      <c r="O358" s="45"/>
      <c r="Y358" s="8" t="str">
        <f>IF(A358="","",IFERROR(IF(VLOOKUP(A358,Entry!$D:$D,1,FALSE)=A358,"",ROW()),ROW()))</f>
        <v/>
      </c>
      <c r="AG358" s="8" t="str">
        <f>IF(A358="","",IFERROR(IF(VLOOKUP(A358,Entry!$D:$D,1,FALSE)=A358,TRUE,FALSE),FALSE))</f>
        <v/>
      </c>
    </row>
    <row r="359" spans="1:33" ht="15" customHeight="1" x14ac:dyDescent="0.2">
      <c r="A359" s="111"/>
      <c r="B359" s="21"/>
      <c r="C359" s="21"/>
      <c r="D359" s="21"/>
      <c r="E359" s="21"/>
      <c r="F359" s="14"/>
      <c r="G359" s="21"/>
      <c r="H359" s="21"/>
      <c r="I359" s="190"/>
      <c r="J359" s="191"/>
      <c r="K359" s="189">
        <f t="shared" si="168"/>
        <v>0</v>
      </c>
      <c r="L359" s="73"/>
      <c r="M359" s="213"/>
      <c r="N359" s="153"/>
      <c r="O359" s="45"/>
      <c r="Y359" s="8" t="str">
        <f>IF(A359="","",IFERROR(IF(VLOOKUP(A359,Entry!$D:$D,1,FALSE)=A359,"",ROW()),ROW()))</f>
        <v/>
      </c>
      <c r="AG359" s="8" t="str">
        <f>IF(A359="","",IFERROR(IF(VLOOKUP(A359,Entry!$D:$D,1,FALSE)=A359,TRUE,FALSE),FALSE))</f>
        <v/>
      </c>
    </row>
    <row r="360" spans="1:33" ht="15" customHeight="1" x14ac:dyDescent="0.2">
      <c r="A360" s="111"/>
      <c r="B360" s="21"/>
      <c r="C360" s="21"/>
      <c r="D360" s="21"/>
      <c r="E360" s="21"/>
      <c r="F360" s="14"/>
      <c r="G360" s="21"/>
      <c r="H360" s="21"/>
      <c r="I360" s="190"/>
      <c r="J360" s="191"/>
      <c r="K360" s="189">
        <f t="shared" si="168"/>
        <v>0</v>
      </c>
      <c r="L360" s="73"/>
      <c r="M360" s="213"/>
      <c r="N360" s="153"/>
      <c r="O360" s="45"/>
      <c r="Y360" s="8" t="str">
        <f>IF(A360="","",IFERROR(IF(VLOOKUP(A360,Entry!$D:$D,1,FALSE)=A360,"",ROW()),ROW()))</f>
        <v/>
      </c>
      <c r="AG360" s="8" t="str">
        <f>IF(A360="","",IFERROR(IF(VLOOKUP(A360,Entry!$D:$D,1,FALSE)=A360,TRUE,FALSE),FALSE))</f>
        <v/>
      </c>
    </row>
    <row r="361" spans="1:33" ht="15" customHeight="1" x14ac:dyDescent="0.2">
      <c r="A361" s="112"/>
      <c r="B361" s="22"/>
      <c r="C361" s="22"/>
      <c r="D361" s="22"/>
      <c r="E361" s="22"/>
      <c r="F361" s="15"/>
      <c r="G361" s="22"/>
      <c r="H361" s="22"/>
      <c r="I361" s="192"/>
      <c r="J361" s="193"/>
      <c r="K361" s="189">
        <f t="shared" si="168"/>
        <v>0</v>
      </c>
      <c r="L361" s="74"/>
      <c r="M361" s="214"/>
      <c r="N361" s="154"/>
      <c r="O361" s="46"/>
      <c r="Y361" s="8" t="str">
        <f>IF(A361="","",IFERROR(IF(VLOOKUP(A361,Entry!$D:$D,1,FALSE)=A361,"",ROW()),ROW()))</f>
        <v/>
      </c>
      <c r="AG361" s="8" t="str">
        <f>IF(A361="","",IFERROR(IF(VLOOKUP(A361,Entry!$D:$D,1,FALSE)=A361,TRUE,FALSE),FALSE))</f>
        <v/>
      </c>
    </row>
    <row r="362" spans="1:33" ht="17.25" customHeight="1" x14ac:dyDescent="0.2">
      <c r="A362" s="113"/>
      <c r="B362" s="19"/>
      <c r="C362" s="19"/>
      <c r="D362" s="19"/>
      <c r="E362" s="19"/>
      <c r="F362" s="18"/>
      <c r="G362" s="19"/>
      <c r="H362" s="19"/>
      <c r="I362" s="194">
        <f t="shared" ref="I362:K362" si="184">SUM(I363:I367)</f>
        <v>0</v>
      </c>
      <c r="J362" s="195">
        <f t="shared" si="184"/>
        <v>0</v>
      </c>
      <c r="K362" s="195">
        <f t="shared" si="184"/>
        <v>0</v>
      </c>
      <c r="L362" s="104">
        <f t="shared" ref="L362" si="185">IFERROR(SUMPRODUCT(K363:K367,L363:L367)/SUM(K363:K367),0)</f>
        <v>0</v>
      </c>
      <c r="M362" s="215"/>
      <c r="N362" s="155"/>
      <c r="O362" s="47"/>
      <c r="Y362" s="8" t="str">
        <f>IF(A362="","",IFERROR(IF(VLOOKUP(A362,Entry!$D:$D,1,FALSE)=A362,"",ROW()),ROW()))</f>
        <v/>
      </c>
      <c r="AG362" s="8" t="str">
        <f>IF(A362="","",IFERROR(IF(VLOOKUP(A362,Entry!$D:$D,1,FALSE)=A362,TRUE,FALSE),FALSE))</f>
        <v/>
      </c>
    </row>
    <row r="363" spans="1:33" ht="15" customHeight="1" x14ac:dyDescent="0.2">
      <c r="A363" s="110"/>
      <c r="B363" s="20"/>
      <c r="C363" s="20"/>
      <c r="D363" s="20"/>
      <c r="E363" s="20"/>
      <c r="F363" s="16"/>
      <c r="G363" s="20"/>
      <c r="H363" s="20"/>
      <c r="I363" s="187"/>
      <c r="J363" s="188"/>
      <c r="K363" s="189">
        <f t="shared" ref="K363" si="186">I363+J363</f>
        <v>0</v>
      </c>
      <c r="L363" s="72"/>
      <c r="M363" s="212"/>
      <c r="N363" s="152"/>
      <c r="O363" s="44"/>
      <c r="Y363" s="8" t="str">
        <f>IF(A363="","",IFERROR(IF(VLOOKUP(A363,Entry!$D:$D,1,FALSE)=A363,"",ROW()),ROW()))</f>
        <v/>
      </c>
      <c r="AG363" s="8" t="str">
        <f>IF(A363="","",IFERROR(IF(VLOOKUP(A363,Entry!$D:$D,1,FALSE)=A363,TRUE,FALSE),FALSE))</f>
        <v/>
      </c>
    </row>
    <row r="364" spans="1:33" ht="15" customHeight="1" x14ac:dyDescent="0.2">
      <c r="A364" s="111"/>
      <c r="B364" s="21"/>
      <c r="C364" s="21"/>
      <c r="D364" s="21"/>
      <c r="E364" s="21"/>
      <c r="F364" s="14"/>
      <c r="G364" s="21"/>
      <c r="H364" s="21"/>
      <c r="I364" s="190"/>
      <c r="J364" s="191"/>
      <c r="K364" s="189">
        <f t="shared" si="168"/>
        <v>0</v>
      </c>
      <c r="L364" s="73"/>
      <c r="M364" s="213"/>
      <c r="N364" s="153"/>
      <c r="O364" s="45"/>
      <c r="Y364" s="8" t="str">
        <f>IF(A364="","",IFERROR(IF(VLOOKUP(A364,Entry!$D:$D,1,FALSE)=A364,"",ROW()),ROW()))</f>
        <v/>
      </c>
      <c r="AG364" s="8" t="str">
        <f>IF(A364="","",IFERROR(IF(VLOOKUP(A364,Entry!$D:$D,1,FALSE)=A364,TRUE,FALSE),FALSE))</f>
        <v/>
      </c>
    </row>
    <row r="365" spans="1:33" ht="15" customHeight="1" x14ac:dyDescent="0.2">
      <c r="A365" s="111"/>
      <c r="B365" s="21"/>
      <c r="C365" s="21"/>
      <c r="D365" s="21"/>
      <c r="E365" s="21"/>
      <c r="F365" s="14"/>
      <c r="G365" s="21"/>
      <c r="H365" s="21"/>
      <c r="I365" s="190"/>
      <c r="J365" s="191"/>
      <c r="K365" s="189">
        <f t="shared" si="168"/>
        <v>0</v>
      </c>
      <c r="L365" s="73"/>
      <c r="M365" s="213"/>
      <c r="N365" s="153"/>
      <c r="O365" s="45"/>
      <c r="Y365" s="8" t="str">
        <f>IF(A365="","",IFERROR(IF(VLOOKUP(A365,Entry!$D:$D,1,FALSE)=A365,"",ROW()),ROW()))</f>
        <v/>
      </c>
      <c r="AG365" s="8" t="str">
        <f>IF(A365="","",IFERROR(IF(VLOOKUP(A365,Entry!$D:$D,1,FALSE)=A365,TRUE,FALSE),FALSE))</f>
        <v/>
      </c>
    </row>
    <row r="366" spans="1:33" ht="15" customHeight="1" x14ac:dyDescent="0.2">
      <c r="A366" s="111"/>
      <c r="B366" s="21"/>
      <c r="C366" s="21"/>
      <c r="D366" s="21"/>
      <c r="E366" s="21"/>
      <c r="F366" s="14"/>
      <c r="G366" s="21"/>
      <c r="H366" s="21"/>
      <c r="I366" s="190"/>
      <c r="J366" s="191"/>
      <c r="K366" s="189">
        <f t="shared" si="168"/>
        <v>0</v>
      </c>
      <c r="L366" s="73"/>
      <c r="M366" s="213"/>
      <c r="N366" s="153"/>
      <c r="O366" s="45"/>
      <c r="Y366" s="8" t="str">
        <f>IF(A366="","",IFERROR(IF(VLOOKUP(A366,Entry!$D:$D,1,FALSE)=A366,"",ROW()),ROW()))</f>
        <v/>
      </c>
      <c r="AG366" s="8" t="str">
        <f>IF(A366="","",IFERROR(IF(VLOOKUP(A366,Entry!$D:$D,1,FALSE)=A366,TRUE,FALSE),FALSE))</f>
        <v/>
      </c>
    </row>
    <row r="367" spans="1:33" ht="15" customHeight="1" x14ac:dyDescent="0.2">
      <c r="A367" s="112"/>
      <c r="B367" s="22"/>
      <c r="C367" s="22"/>
      <c r="D367" s="22"/>
      <c r="E367" s="22"/>
      <c r="F367" s="15"/>
      <c r="G367" s="22"/>
      <c r="H367" s="22"/>
      <c r="I367" s="192"/>
      <c r="J367" s="193"/>
      <c r="K367" s="189">
        <f t="shared" si="168"/>
        <v>0</v>
      </c>
      <c r="L367" s="74"/>
      <c r="M367" s="214"/>
      <c r="N367" s="154"/>
      <c r="O367" s="46"/>
      <c r="Y367" s="8" t="str">
        <f>IF(A367="","",IFERROR(IF(VLOOKUP(A367,Entry!$D:$D,1,FALSE)=A367,"",ROW()),ROW()))</f>
        <v/>
      </c>
      <c r="AG367" s="8" t="str">
        <f>IF(A367="","",IFERROR(IF(VLOOKUP(A367,Entry!$D:$D,1,FALSE)=A367,TRUE,FALSE),FALSE))</f>
        <v/>
      </c>
    </row>
    <row r="368" spans="1:33" ht="17.25" customHeight="1" x14ac:dyDescent="0.2">
      <c r="A368" s="113"/>
      <c r="B368" s="19"/>
      <c r="C368" s="19"/>
      <c r="D368" s="19"/>
      <c r="E368" s="19"/>
      <c r="F368" s="18"/>
      <c r="G368" s="19"/>
      <c r="H368" s="19"/>
      <c r="I368" s="194">
        <f t="shared" ref="I368:K368" si="187">SUM(I369:I373)</f>
        <v>0</v>
      </c>
      <c r="J368" s="195">
        <f t="shared" si="187"/>
        <v>0</v>
      </c>
      <c r="K368" s="195">
        <f t="shared" si="187"/>
        <v>0</v>
      </c>
      <c r="L368" s="104">
        <f t="shared" ref="L368" si="188">IFERROR(SUMPRODUCT(K369:K373,L369:L373)/SUM(K369:K373),0)</f>
        <v>0</v>
      </c>
      <c r="M368" s="215"/>
      <c r="N368" s="155"/>
      <c r="O368" s="47"/>
      <c r="Y368" s="8" t="str">
        <f>IF(A368="","",IFERROR(IF(VLOOKUP(A368,Entry!$D:$D,1,FALSE)=A368,"",ROW()),ROW()))</f>
        <v/>
      </c>
      <c r="AG368" s="8" t="str">
        <f>IF(A368="","",IFERROR(IF(VLOOKUP(A368,Entry!$D:$D,1,FALSE)=A368,TRUE,FALSE),FALSE))</f>
        <v/>
      </c>
    </row>
    <row r="369" spans="1:33" ht="15" customHeight="1" x14ac:dyDescent="0.2">
      <c r="A369" s="110"/>
      <c r="B369" s="20"/>
      <c r="C369" s="20"/>
      <c r="D369" s="20"/>
      <c r="E369" s="20"/>
      <c r="F369" s="16"/>
      <c r="G369" s="20"/>
      <c r="H369" s="20"/>
      <c r="I369" s="187"/>
      <c r="J369" s="188"/>
      <c r="K369" s="189">
        <f t="shared" ref="K369" si="189">I369+J369</f>
        <v>0</v>
      </c>
      <c r="L369" s="72"/>
      <c r="M369" s="212"/>
      <c r="N369" s="152"/>
      <c r="O369" s="44"/>
      <c r="Y369" s="8" t="str">
        <f>IF(A369="","",IFERROR(IF(VLOOKUP(A369,Entry!$D:$D,1,FALSE)=A369,"",ROW()),ROW()))</f>
        <v/>
      </c>
      <c r="AG369" s="8" t="str">
        <f>IF(A369="","",IFERROR(IF(VLOOKUP(A369,Entry!$D:$D,1,FALSE)=A369,TRUE,FALSE),FALSE))</f>
        <v/>
      </c>
    </row>
    <row r="370" spans="1:33" ht="15" customHeight="1" x14ac:dyDescent="0.2">
      <c r="A370" s="111"/>
      <c r="B370" s="21"/>
      <c r="C370" s="21"/>
      <c r="D370" s="21"/>
      <c r="E370" s="21"/>
      <c r="F370" s="14"/>
      <c r="G370" s="21"/>
      <c r="H370" s="21"/>
      <c r="I370" s="190"/>
      <c r="J370" s="191"/>
      <c r="K370" s="189">
        <f t="shared" si="168"/>
        <v>0</v>
      </c>
      <c r="L370" s="73"/>
      <c r="M370" s="213"/>
      <c r="N370" s="153"/>
      <c r="O370" s="45"/>
      <c r="Y370" s="8" t="str">
        <f>IF(A370="","",IFERROR(IF(VLOOKUP(A370,Entry!$D:$D,1,FALSE)=A370,"",ROW()),ROW()))</f>
        <v/>
      </c>
      <c r="AG370" s="8" t="str">
        <f>IF(A370="","",IFERROR(IF(VLOOKUP(A370,Entry!$D:$D,1,FALSE)=A370,TRUE,FALSE),FALSE))</f>
        <v/>
      </c>
    </row>
    <row r="371" spans="1:33" ht="15" customHeight="1" x14ac:dyDescent="0.2">
      <c r="A371" s="111"/>
      <c r="B371" s="21"/>
      <c r="C371" s="21"/>
      <c r="D371" s="21"/>
      <c r="E371" s="21"/>
      <c r="F371" s="14"/>
      <c r="G371" s="21"/>
      <c r="H371" s="21"/>
      <c r="I371" s="190"/>
      <c r="J371" s="191"/>
      <c r="K371" s="189">
        <f t="shared" si="168"/>
        <v>0</v>
      </c>
      <c r="L371" s="73"/>
      <c r="M371" s="213"/>
      <c r="N371" s="153"/>
      <c r="O371" s="45"/>
      <c r="Y371" s="8" t="str">
        <f>IF(A371="","",IFERROR(IF(VLOOKUP(A371,Entry!$D:$D,1,FALSE)=A371,"",ROW()),ROW()))</f>
        <v/>
      </c>
      <c r="AG371" s="8" t="str">
        <f>IF(A371="","",IFERROR(IF(VLOOKUP(A371,Entry!$D:$D,1,FALSE)=A371,TRUE,FALSE),FALSE))</f>
        <v/>
      </c>
    </row>
    <row r="372" spans="1:33" ht="15" customHeight="1" x14ac:dyDescent="0.2">
      <c r="A372" s="111"/>
      <c r="B372" s="21"/>
      <c r="C372" s="21"/>
      <c r="D372" s="21"/>
      <c r="E372" s="21"/>
      <c r="F372" s="14"/>
      <c r="G372" s="21"/>
      <c r="H372" s="21"/>
      <c r="I372" s="190"/>
      <c r="J372" s="191"/>
      <c r="K372" s="189">
        <f t="shared" si="168"/>
        <v>0</v>
      </c>
      <c r="L372" s="73"/>
      <c r="M372" s="213"/>
      <c r="N372" s="153"/>
      <c r="O372" s="45"/>
      <c r="Y372" s="8" t="str">
        <f>IF(A372="","",IFERROR(IF(VLOOKUP(A372,Entry!$D:$D,1,FALSE)=A372,"",ROW()),ROW()))</f>
        <v/>
      </c>
      <c r="AG372" s="8" t="str">
        <f>IF(A372="","",IFERROR(IF(VLOOKUP(A372,Entry!$D:$D,1,FALSE)=A372,TRUE,FALSE),FALSE))</f>
        <v/>
      </c>
    </row>
    <row r="373" spans="1:33" ht="15" customHeight="1" x14ac:dyDescent="0.2">
      <c r="A373" s="112"/>
      <c r="B373" s="22"/>
      <c r="C373" s="22"/>
      <c r="D373" s="22"/>
      <c r="E373" s="22"/>
      <c r="F373" s="15"/>
      <c r="G373" s="22"/>
      <c r="H373" s="22"/>
      <c r="I373" s="192"/>
      <c r="J373" s="193"/>
      <c r="K373" s="189">
        <f t="shared" si="168"/>
        <v>0</v>
      </c>
      <c r="L373" s="74"/>
      <c r="M373" s="214"/>
      <c r="N373" s="154"/>
      <c r="O373" s="46"/>
      <c r="Y373" s="8" t="str">
        <f>IF(A373="","",IFERROR(IF(VLOOKUP(A373,Entry!$D:$D,1,FALSE)=A373,"",ROW()),ROW()))</f>
        <v/>
      </c>
      <c r="AG373" s="8" t="str">
        <f>IF(A373="","",IFERROR(IF(VLOOKUP(A373,Entry!$D:$D,1,FALSE)=A373,TRUE,FALSE),FALSE))</f>
        <v/>
      </c>
    </row>
    <row r="374" spans="1:33" ht="17.25" customHeight="1" x14ac:dyDescent="0.2">
      <c r="A374" s="113"/>
      <c r="B374" s="19"/>
      <c r="C374" s="19"/>
      <c r="D374" s="19"/>
      <c r="E374" s="19"/>
      <c r="F374" s="18"/>
      <c r="G374" s="19"/>
      <c r="H374" s="19"/>
      <c r="I374" s="194">
        <f t="shared" ref="I374:K374" si="190">SUM(I375:I379)</f>
        <v>0</v>
      </c>
      <c r="J374" s="195">
        <f t="shared" si="190"/>
        <v>0</v>
      </c>
      <c r="K374" s="195">
        <f t="shared" si="190"/>
        <v>0</v>
      </c>
      <c r="L374" s="104">
        <f t="shared" ref="L374" si="191">IFERROR(SUMPRODUCT(K375:K379,L375:L379)/SUM(K375:K379),0)</f>
        <v>0</v>
      </c>
      <c r="M374" s="215"/>
      <c r="N374" s="155"/>
      <c r="O374" s="47"/>
      <c r="Y374" s="8" t="str">
        <f>IF(A374="","",IFERROR(IF(VLOOKUP(A374,Entry!$D:$D,1,FALSE)=A374,"",ROW()),ROW()))</f>
        <v/>
      </c>
      <c r="AG374" s="8" t="str">
        <f>IF(A374="","",IFERROR(IF(VLOOKUP(A374,Entry!$D:$D,1,FALSE)=A374,TRUE,FALSE),FALSE))</f>
        <v/>
      </c>
    </row>
    <row r="375" spans="1:33" ht="15" customHeight="1" x14ac:dyDescent="0.2">
      <c r="A375" s="110"/>
      <c r="B375" s="20"/>
      <c r="C375" s="20"/>
      <c r="D375" s="20"/>
      <c r="E375" s="20"/>
      <c r="F375" s="16"/>
      <c r="G375" s="20"/>
      <c r="H375" s="20"/>
      <c r="I375" s="187"/>
      <c r="J375" s="188"/>
      <c r="K375" s="189">
        <f t="shared" ref="K375" si="192">I375+J375</f>
        <v>0</v>
      </c>
      <c r="L375" s="72"/>
      <c r="M375" s="212"/>
      <c r="N375" s="152"/>
      <c r="O375" s="44"/>
      <c r="Y375" s="8" t="str">
        <f>IF(A375="","",IFERROR(IF(VLOOKUP(A375,Entry!$D:$D,1,FALSE)=A375,"",ROW()),ROW()))</f>
        <v/>
      </c>
      <c r="AG375" s="8" t="str">
        <f>IF(A375="","",IFERROR(IF(VLOOKUP(A375,Entry!$D:$D,1,FALSE)=A375,TRUE,FALSE),FALSE))</f>
        <v/>
      </c>
    </row>
    <row r="376" spans="1:33" ht="15" customHeight="1" x14ac:dyDescent="0.2">
      <c r="A376" s="111"/>
      <c r="B376" s="21"/>
      <c r="C376" s="21"/>
      <c r="D376" s="21"/>
      <c r="E376" s="21"/>
      <c r="F376" s="14"/>
      <c r="G376" s="21"/>
      <c r="H376" s="21"/>
      <c r="I376" s="190"/>
      <c r="J376" s="191"/>
      <c r="K376" s="189">
        <f t="shared" si="168"/>
        <v>0</v>
      </c>
      <c r="L376" s="73"/>
      <c r="M376" s="213"/>
      <c r="N376" s="153"/>
      <c r="O376" s="45"/>
      <c r="Y376" s="8" t="str">
        <f>IF(A376="","",IFERROR(IF(VLOOKUP(A376,Entry!$D:$D,1,FALSE)=A376,"",ROW()),ROW()))</f>
        <v/>
      </c>
      <c r="AG376" s="8" t="str">
        <f>IF(A376="","",IFERROR(IF(VLOOKUP(A376,Entry!$D:$D,1,FALSE)=A376,TRUE,FALSE),FALSE))</f>
        <v/>
      </c>
    </row>
    <row r="377" spans="1:33" ht="15" customHeight="1" x14ac:dyDescent="0.2">
      <c r="A377" s="111"/>
      <c r="B377" s="21"/>
      <c r="C377" s="21"/>
      <c r="D377" s="21"/>
      <c r="E377" s="21"/>
      <c r="F377" s="14"/>
      <c r="G377" s="21"/>
      <c r="H377" s="21"/>
      <c r="I377" s="190"/>
      <c r="J377" s="191"/>
      <c r="K377" s="189">
        <f t="shared" si="168"/>
        <v>0</v>
      </c>
      <c r="L377" s="73"/>
      <c r="M377" s="213"/>
      <c r="N377" s="153"/>
      <c r="O377" s="45"/>
      <c r="Y377" s="8" t="str">
        <f>IF(A377="","",IFERROR(IF(VLOOKUP(A377,Entry!$D:$D,1,FALSE)=A377,"",ROW()),ROW()))</f>
        <v/>
      </c>
      <c r="AG377" s="8" t="str">
        <f>IF(A377="","",IFERROR(IF(VLOOKUP(A377,Entry!$D:$D,1,FALSE)=A377,TRUE,FALSE),FALSE))</f>
        <v/>
      </c>
    </row>
    <row r="378" spans="1:33" ht="15" customHeight="1" x14ac:dyDescent="0.2">
      <c r="A378" s="111"/>
      <c r="B378" s="21"/>
      <c r="C378" s="21"/>
      <c r="D378" s="21"/>
      <c r="E378" s="21"/>
      <c r="F378" s="14"/>
      <c r="G378" s="21"/>
      <c r="H378" s="21"/>
      <c r="I378" s="190"/>
      <c r="J378" s="191"/>
      <c r="K378" s="189">
        <f t="shared" si="168"/>
        <v>0</v>
      </c>
      <c r="L378" s="73"/>
      <c r="M378" s="213"/>
      <c r="N378" s="153"/>
      <c r="O378" s="45"/>
      <c r="Y378" s="8" t="str">
        <f>IF(A378="","",IFERROR(IF(VLOOKUP(A378,Entry!$D:$D,1,FALSE)=A378,"",ROW()),ROW()))</f>
        <v/>
      </c>
      <c r="AG378" s="8" t="str">
        <f>IF(A378="","",IFERROR(IF(VLOOKUP(A378,Entry!$D:$D,1,FALSE)=A378,TRUE,FALSE),FALSE))</f>
        <v/>
      </c>
    </row>
    <row r="379" spans="1:33" ht="15" customHeight="1" x14ac:dyDescent="0.2">
      <c r="A379" s="112"/>
      <c r="B379" s="22"/>
      <c r="C379" s="22"/>
      <c r="D379" s="22"/>
      <c r="E379" s="22"/>
      <c r="F379" s="15"/>
      <c r="G379" s="22"/>
      <c r="H379" s="22"/>
      <c r="I379" s="192"/>
      <c r="J379" s="193"/>
      <c r="K379" s="189">
        <f t="shared" si="168"/>
        <v>0</v>
      </c>
      <c r="L379" s="74"/>
      <c r="M379" s="214"/>
      <c r="N379" s="154"/>
      <c r="O379" s="46"/>
      <c r="Y379" s="8" t="str">
        <f>IF(A379="","",IFERROR(IF(VLOOKUP(A379,Entry!$D:$D,1,FALSE)=A379,"",ROW()),ROW()))</f>
        <v/>
      </c>
      <c r="AG379" s="8" t="str">
        <f>IF(A379="","",IFERROR(IF(VLOOKUP(A379,Entry!$D:$D,1,FALSE)=A379,TRUE,FALSE),FALSE))</f>
        <v/>
      </c>
    </row>
    <row r="380" spans="1:33" ht="17.25" customHeight="1" x14ac:dyDescent="0.2">
      <c r="A380" s="113"/>
      <c r="B380" s="19"/>
      <c r="C380" s="19"/>
      <c r="D380" s="19"/>
      <c r="E380" s="19"/>
      <c r="F380" s="18"/>
      <c r="G380" s="19"/>
      <c r="H380" s="19"/>
      <c r="I380" s="194">
        <f t="shared" ref="I380:K380" si="193">SUM(I381:I385)</f>
        <v>0</v>
      </c>
      <c r="J380" s="195">
        <f t="shared" si="193"/>
        <v>0</v>
      </c>
      <c r="K380" s="195">
        <f t="shared" si="193"/>
        <v>0</v>
      </c>
      <c r="L380" s="104">
        <f t="shared" ref="L380" si="194">IFERROR(SUMPRODUCT(K381:K385,L381:L385)/SUM(K381:K385),0)</f>
        <v>0</v>
      </c>
      <c r="M380" s="215"/>
      <c r="N380" s="155"/>
      <c r="O380" s="47"/>
      <c r="Y380" s="8" t="str">
        <f>IF(A380="","",IFERROR(IF(VLOOKUP(A380,Entry!$D:$D,1,FALSE)=A380,"",ROW()),ROW()))</f>
        <v/>
      </c>
      <c r="AG380" s="8" t="str">
        <f>IF(A380="","",IFERROR(IF(VLOOKUP(A380,Entry!$D:$D,1,FALSE)=A380,TRUE,FALSE),FALSE))</f>
        <v/>
      </c>
    </row>
    <row r="381" spans="1:33" ht="15" customHeight="1" x14ac:dyDescent="0.2">
      <c r="A381" s="110"/>
      <c r="B381" s="20"/>
      <c r="C381" s="20"/>
      <c r="D381" s="20"/>
      <c r="E381" s="20"/>
      <c r="F381" s="16"/>
      <c r="G381" s="20"/>
      <c r="H381" s="20"/>
      <c r="I381" s="187"/>
      <c r="J381" s="188"/>
      <c r="K381" s="189">
        <f t="shared" ref="K381" si="195">I381+J381</f>
        <v>0</v>
      </c>
      <c r="L381" s="72"/>
      <c r="M381" s="212"/>
      <c r="N381" s="152"/>
      <c r="O381" s="44"/>
      <c r="Y381" s="8" t="str">
        <f>IF(A381="","",IFERROR(IF(VLOOKUP(A381,Entry!$D:$D,1,FALSE)=A381,"",ROW()),ROW()))</f>
        <v/>
      </c>
      <c r="AG381" s="8" t="str">
        <f>IF(A381="","",IFERROR(IF(VLOOKUP(A381,Entry!$D:$D,1,FALSE)=A381,TRUE,FALSE),FALSE))</f>
        <v/>
      </c>
    </row>
    <row r="382" spans="1:33" ht="15" customHeight="1" x14ac:dyDescent="0.2">
      <c r="A382" s="111"/>
      <c r="B382" s="21"/>
      <c r="C382" s="21"/>
      <c r="D382" s="21"/>
      <c r="E382" s="21"/>
      <c r="F382" s="14"/>
      <c r="G382" s="21"/>
      <c r="H382" s="21"/>
      <c r="I382" s="190"/>
      <c r="J382" s="191"/>
      <c r="K382" s="189">
        <f t="shared" si="168"/>
        <v>0</v>
      </c>
      <c r="L382" s="73"/>
      <c r="M382" s="213"/>
      <c r="N382" s="153"/>
      <c r="O382" s="45"/>
      <c r="Y382" s="8" t="str">
        <f>IF(A382="","",IFERROR(IF(VLOOKUP(A382,Entry!$D:$D,1,FALSE)=A382,"",ROW()),ROW()))</f>
        <v/>
      </c>
      <c r="AG382" s="8" t="str">
        <f>IF(A382="","",IFERROR(IF(VLOOKUP(A382,Entry!$D:$D,1,FALSE)=A382,TRUE,FALSE),FALSE))</f>
        <v/>
      </c>
    </row>
    <row r="383" spans="1:33" ht="15" customHeight="1" x14ac:dyDescent="0.2">
      <c r="A383" s="111"/>
      <c r="B383" s="21"/>
      <c r="C383" s="21"/>
      <c r="D383" s="21"/>
      <c r="E383" s="21"/>
      <c r="F383" s="14"/>
      <c r="G383" s="21"/>
      <c r="H383" s="21"/>
      <c r="I383" s="190"/>
      <c r="J383" s="191"/>
      <c r="K383" s="189">
        <f t="shared" si="168"/>
        <v>0</v>
      </c>
      <c r="L383" s="73"/>
      <c r="M383" s="213"/>
      <c r="N383" s="153"/>
      <c r="O383" s="45"/>
      <c r="Y383" s="8" t="str">
        <f>IF(A383="","",IFERROR(IF(VLOOKUP(A383,Entry!$D:$D,1,FALSE)=A383,"",ROW()),ROW()))</f>
        <v/>
      </c>
      <c r="AG383" s="8" t="str">
        <f>IF(A383="","",IFERROR(IF(VLOOKUP(A383,Entry!$D:$D,1,FALSE)=A383,TRUE,FALSE),FALSE))</f>
        <v/>
      </c>
    </row>
    <row r="384" spans="1:33" ht="15" customHeight="1" x14ac:dyDescent="0.2">
      <c r="A384" s="111"/>
      <c r="B384" s="21"/>
      <c r="C384" s="21"/>
      <c r="D384" s="21"/>
      <c r="E384" s="21"/>
      <c r="F384" s="14"/>
      <c r="G384" s="21"/>
      <c r="H384" s="21"/>
      <c r="I384" s="190"/>
      <c r="J384" s="191"/>
      <c r="K384" s="189">
        <f t="shared" si="168"/>
        <v>0</v>
      </c>
      <c r="L384" s="73"/>
      <c r="M384" s="213"/>
      <c r="N384" s="153"/>
      <c r="O384" s="45"/>
      <c r="Y384" s="8" t="str">
        <f>IF(A384="","",IFERROR(IF(VLOOKUP(A384,Entry!$D:$D,1,FALSE)=A384,"",ROW()),ROW()))</f>
        <v/>
      </c>
      <c r="AG384" s="8" t="str">
        <f>IF(A384="","",IFERROR(IF(VLOOKUP(A384,Entry!$D:$D,1,FALSE)=A384,TRUE,FALSE),FALSE))</f>
        <v/>
      </c>
    </row>
    <row r="385" spans="1:33" ht="15" customHeight="1" x14ac:dyDescent="0.2">
      <c r="A385" s="112"/>
      <c r="B385" s="22"/>
      <c r="C385" s="22"/>
      <c r="D385" s="22"/>
      <c r="E385" s="22"/>
      <c r="F385" s="15"/>
      <c r="G385" s="22"/>
      <c r="H385" s="22"/>
      <c r="I385" s="192"/>
      <c r="J385" s="193"/>
      <c r="K385" s="189">
        <f t="shared" si="168"/>
        <v>0</v>
      </c>
      <c r="L385" s="74"/>
      <c r="M385" s="214"/>
      <c r="N385" s="154"/>
      <c r="O385" s="46"/>
      <c r="Y385" s="8" t="str">
        <f>IF(A385="","",IFERROR(IF(VLOOKUP(A385,Entry!$D:$D,1,FALSE)=A385,"",ROW()),ROW()))</f>
        <v/>
      </c>
      <c r="AG385" s="8" t="str">
        <f>IF(A385="","",IFERROR(IF(VLOOKUP(A385,Entry!$D:$D,1,FALSE)=A385,TRUE,FALSE),FALSE))</f>
        <v/>
      </c>
    </row>
    <row r="386" spans="1:33" ht="17.25" customHeight="1" x14ac:dyDescent="0.2">
      <c r="A386" s="113"/>
      <c r="B386" s="19"/>
      <c r="C386" s="19"/>
      <c r="D386" s="19"/>
      <c r="E386" s="19"/>
      <c r="F386" s="18"/>
      <c r="G386" s="19"/>
      <c r="H386" s="19"/>
      <c r="I386" s="194">
        <f t="shared" ref="I386:K386" si="196">SUM(I387:I391)</f>
        <v>0</v>
      </c>
      <c r="J386" s="195">
        <f t="shared" si="196"/>
        <v>0</v>
      </c>
      <c r="K386" s="195">
        <f t="shared" si="196"/>
        <v>0</v>
      </c>
      <c r="L386" s="104">
        <f t="shared" ref="L386" si="197">IFERROR(SUMPRODUCT(K387:K391,L387:L391)/SUM(K387:K391),0)</f>
        <v>0</v>
      </c>
      <c r="M386" s="215"/>
      <c r="N386" s="155"/>
      <c r="O386" s="47"/>
      <c r="Y386" s="8" t="str">
        <f>IF(A386="","",IFERROR(IF(VLOOKUP(A386,Entry!$D:$D,1,FALSE)=A386,"",ROW()),ROW()))</f>
        <v/>
      </c>
      <c r="AG386" s="8" t="str">
        <f>IF(A386="","",IFERROR(IF(VLOOKUP(A386,Entry!$D:$D,1,FALSE)=A386,TRUE,FALSE),FALSE))</f>
        <v/>
      </c>
    </row>
    <row r="387" spans="1:33" ht="15" customHeight="1" x14ac:dyDescent="0.2">
      <c r="A387" s="110"/>
      <c r="B387" s="20"/>
      <c r="C387" s="20"/>
      <c r="D387" s="20"/>
      <c r="E387" s="20"/>
      <c r="F387" s="16"/>
      <c r="G387" s="20"/>
      <c r="H387" s="20"/>
      <c r="I387" s="187"/>
      <c r="J387" s="188"/>
      <c r="K387" s="189">
        <f t="shared" ref="K387" si="198">I387+J387</f>
        <v>0</v>
      </c>
      <c r="L387" s="72"/>
      <c r="M387" s="212"/>
      <c r="N387" s="152"/>
      <c r="O387" s="44"/>
      <c r="Y387" s="8" t="str">
        <f>IF(A387="","",IFERROR(IF(VLOOKUP(A387,Entry!$D:$D,1,FALSE)=A387,"",ROW()),ROW()))</f>
        <v/>
      </c>
      <c r="AG387" s="8" t="str">
        <f>IF(A387="","",IFERROR(IF(VLOOKUP(A387,Entry!$D:$D,1,FALSE)=A387,TRUE,FALSE),FALSE))</f>
        <v/>
      </c>
    </row>
    <row r="388" spans="1:33" ht="15" customHeight="1" x14ac:dyDescent="0.2">
      <c r="A388" s="111"/>
      <c r="B388" s="21"/>
      <c r="C388" s="21"/>
      <c r="D388" s="21"/>
      <c r="E388" s="21"/>
      <c r="F388" s="14"/>
      <c r="G388" s="21"/>
      <c r="H388" s="21"/>
      <c r="I388" s="190"/>
      <c r="J388" s="191"/>
      <c r="K388" s="189">
        <f t="shared" si="168"/>
        <v>0</v>
      </c>
      <c r="L388" s="73"/>
      <c r="M388" s="213"/>
      <c r="N388" s="153"/>
      <c r="O388" s="45"/>
      <c r="Y388" s="8" t="str">
        <f>IF(A388="","",IFERROR(IF(VLOOKUP(A388,Entry!$D:$D,1,FALSE)=A388,"",ROW()),ROW()))</f>
        <v/>
      </c>
      <c r="AG388" s="8" t="str">
        <f>IF(A388="","",IFERROR(IF(VLOOKUP(A388,Entry!$D:$D,1,FALSE)=A388,TRUE,FALSE),FALSE))</f>
        <v/>
      </c>
    </row>
    <row r="389" spans="1:33" ht="15" customHeight="1" x14ac:dyDescent="0.2">
      <c r="A389" s="111"/>
      <c r="B389" s="21"/>
      <c r="C389" s="21"/>
      <c r="D389" s="21"/>
      <c r="E389" s="21"/>
      <c r="F389" s="14"/>
      <c r="G389" s="21"/>
      <c r="H389" s="21"/>
      <c r="I389" s="190"/>
      <c r="J389" s="191"/>
      <c r="K389" s="189">
        <f t="shared" si="168"/>
        <v>0</v>
      </c>
      <c r="L389" s="73"/>
      <c r="M389" s="213"/>
      <c r="N389" s="153"/>
      <c r="O389" s="45"/>
      <c r="Y389" s="8" t="str">
        <f>IF(A389="","",IFERROR(IF(VLOOKUP(A389,Entry!$D:$D,1,FALSE)=A389,"",ROW()),ROW()))</f>
        <v/>
      </c>
      <c r="AG389" s="8" t="str">
        <f>IF(A389="","",IFERROR(IF(VLOOKUP(A389,Entry!$D:$D,1,FALSE)=A389,TRUE,FALSE),FALSE))</f>
        <v/>
      </c>
    </row>
    <row r="390" spans="1:33" ht="15" customHeight="1" x14ac:dyDescent="0.2">
      <c r="A390" s="111"/>
      <c r="B390" s="21"/>
      <c r="C390" s="21"/>
      <c r="D390" s="21"/>
      <c r="E390" s="21"/>
      <c r="F390" s="14"/>
      <c r="G390" s="21"/>
      <c r="H390" s="21"/>
      <c r="I390" s="190"/>
      <c r="J390" s="191"/>
      <c r="K390" s="189">
        <f t="shared" si="168"/>
        <v>0</v>
      </c>
      <c r="L390" s="73"/>
      <c r="M390" s="213"/>
      <c r="N390" s="153"/>
      <c r="O390" s="45"/>
      <c r="Y390" s="8" t="str">
        <f>IF(A390="","",IFERROR(IF(VLOOKUP(A390,Entry!$D:$D,1,FALSE)=A390,"",ROW()),ROW()))</f>
        <v/>
      </c>
      <c r="AG390" s="8" t="str">
        <f>IF(A390="","",IFERROR(IF(VLOOKUP(A390,Entry!$D:$D,1,FALSE)=A390,TRUE,FALSE),FALSE))</f>
        <v/>
      </c>
    </row>
    <row r="391" spans="1:33" ht="15" customHeight="1" x14ac:dyDescent="0.2">
      <c r="A391" s="112"/>
      <c r="B391" s="22"/>
      <c r="C391" s="22"/>
      <c r="D391" s="22"/>
      <c r="E391" s="22"/>
      <c r="F391" s="15"/>
      <c r="G391" s="22"/>
      <c r="H391" s="22"/>
      <c r="I391" s="192"/>
      <c r="J391" s="193"/>
      <c r="K391" s="189">
        <f t="shared" si="168"/>
        <v>0</v>
      </c>
      <c r="L391" s="74"/>
      <c r="M391" s="214"/>
      <c r="N391" s="154"/>
      <c r="O391" s="46"/>
      <c r="Y391" s="8" t="str">
        <f>IF(A391="","",IFERROR(IF(VLOOKUP(A391,Entry!$D:$D,1,FALSE)=A391,"",ROW()),ROW()))</f>
        <v/>
      </c>
      <c r="AG391" s="8" t="str">
        <f>IF(A391="","",IFERROR(IF(VLOOKUP(A391,Entry!$D:$D,1,FALSE)=A391,TRUE,FALSE),FALSE))</f>
        <v/>
      </c>
    </row>
    <row r="392" spans="1:33" ht="17.25" customHeight="1" x14ac:dyDescent="0.2">
      <c r="A392" s="113"/>
      <c r="B392" s="19"/>
      <c r="C392" s="19"/>
      <c r="D392" s="19"/>
      <c r="E392" s="19"/>
      <c r="F392" s="18"/>
      <c r="G392" s="19"/>
      <c r="H392" s="19"/>
      <c r="I392" s="194">
        <f t="shared" ref="I392:K392" si="199">SUM(I393:I397)</f>
        <v>0</v>
      </c>
      <c r="J392" s="195">
        <f t="shared" si="199"/>
        <v>0</v>
      </c>
      <c r="K392" s="195">
        <f t="shared" si="199"/>
        <v>0</v>
      </c>
      <c r="L392" s="104">
        <f t="shared" ref="L392" si="200">IFERROR(SUMPRODUCT(K393:K397,L393:L397)/SUM(K393:K397),0)</f>
        <v>0</v>
      </c>
      <c r="M392" s="215"/>
      <c r="N392" s="155"/>
      <c r="O392" s="47"/>
      <c r="Y392" s="8" t="str">
        <f>IF(A392="","",IFERROR(IF(VLOOKUP(A392,Entry!$D:$D,1,FALSE)=A392,"",ROW()),ROW()))</f>
        <v/>
      </c>
      <c r="AG392" s="8" t="str">
        <f>IF(A392="","",IFERROR(IF(VLOOKUP(A392,Entry!$D:$D,1,FALSE)=A392,TRUE,FALSE),FALSE))</f>
        <v/>
      </c>
    </row>
    <row r="393" spans="1:33" ht="15" customHeight="1" x14ac:dyDescent="0.2">
      <c r="A393" s="110"/>
      <c r="B393" s="20"/>
      <c r="C393" s="20"/>
      <c r="D393" s="20"/>
      <c r="E393" s="20"/>
      <c r="F393" s="16"/>
      <c r="G393" s="20"/>
      <c r="H393" s="20"/>
      <c r="I393" s="187"/>
      <c r="J393" s="188"/>
      <c r="K393" s="189">
        <f t="shared" ref="K393:K456" si="201">I393+J393</f>
        <v>0</v>
      </c>
      <c r="L393" s="72"/>
      <c r="M393" s="212"/>
      <c r="N393" s="152"/>
      <c r="O393" s="44"/>
      <c r="Y393" s="8" t="str">
        <f>IF(A393="","",IFERROR(IF(VLOOKUP(A393,Entry!$D:$D,1,FALSE)=A393,"",ROW()),ROW()))</f>
        <v/>
      </c>
      <c r="AG393" s="8" t="str">
        <f>IF(A393="","",IFERROR(IF(VLOOKUP(A393,Entry!$D:$D,1,FALSE)=A393,TRUE,FALSE),FALSE))</f>
        <v/>
      </c>
    </row>
    <row r="394" spans="1:33" ht="15" customHeight="1" x14ac:dyDescent="0.2">
      <c r="A394" s="111"/>
      <c r="B394" s="21"/>
      <c r="C394" s="21"/>
      <c r="D394" s="21"/>
      <c r="E394" s="21"/>
      <c r="F394" s="14"/>
      <c r="G394" s="21"/>
      <c r="H394" s="21"/>
      <c r="I394" s="190"/>
      <c r="J394" s="191"/>
      <c r="K394" s="189">
        <f t="shared" si="201"/>
        <v>0</v>
      </c>
      <c r="L394" s="73"/>
      <c r="M394" s="213"/>
      <c r="N394" s="153"/>
      <c r="O394" s="45"/>
      <c r="Y394" s="8" t="str">
        <f>IF(A394="","",IFERROR(IF(VLOOKUP(A394,Entry!$D:$D,1,FALSE)=A394,"",ROW()),ROW()))</f>
        <v/>
      </c>
      <c r="AG394" s="8" t="str">
        <f>IF(A394="","",IFERROR(IF(VLOOKUP(A394,Entry!$D:$D,1,FALSE)=A394,TRUE,FALSE),FALSE))</f>
        <v/>
      </c>
    </row>
    <row r="395" spans="1:33" ht="15" customHeight="1" x14ac:dyDescent="0.2">
      <c r="A395" s="111"/>
      <c r="B395" s="21"/>
      <c r="C395" s="21"/>
      <c r="D395" s="21"/>
      <c r="E395" s="21"/>
      <c r="F395" s="14"/>
      <c r="G395" s="21"/>
      <c r="H395" s="21"/>
      <c r="I395" s="190"/>
      <c r="J395" s="191"/>
      <c r="K395" s="189">
        <f t="shared" si="201"/>
        <v>0</v>
      </c>
      <c r="L395" s="73"/>
      <c r="M395" s="213"/>
      <c r="N395" s="153"/>
      <c r="O395" s="45"/>
      <c r="Y395" s="8" t="str">
        <f>IF(A395="","",IFERROR(IF(VLOOKUP(A395,Entry!$D:$D,1,FALSE)=A395,"",ROW()),ROW()))</f>
        <v/>
      </c>
      <c r="AG395" s="8" t="str">
        <f>IF(A395="","",IFERROR(IF(VLOOKUP(A395,Entry!$D:$D,1,FALSE)=A395,TRUE,FALSE),FALSE))</f>
        <v/>
      </c>
    </row>
    <row r="396" spans="1:33" ht="15" customHeight="1" x14ac:dyDescent="0.2">
      <c r="A396" s="111"/>
      <c r="B396" s="21"/>
      <c r="C396" s="21"/>
      <c r="D396" s="21"/>
      <c r="E396" s="21"/>
      <c r="F396" s="14"/>
      <c r="G396" s="21"/>
      <c r="H396" s="21"/>
      <c r="I396" s="190"/>
      <c r="J396" s="191"/>
      <c r="K396" s="189">
        <f t="shared" si="201"/>
        <v>0</v>
      </c>
      <c r="L396" s="73"/>
      <c r="M396" s="213"/>
      <c r="N396" s="153"/>
      <c r="O396" s="45"/>
      <c r="Y396" s="8" t="str">
        <f>IF(A396="","",IFERROR(IF(VLOOKUP(A396,Entry!$D:$D,1,FALSE)=A396,"",ROW()),ROW()))</f>
        <v/>
      </c>
      <c r="AG396" s="8" t="str">
        <f>IF(A396="","",IFERROR(IF(VLOOKUP(A396,Entry!$D:$D,1,FALSE)=A396,TRUE,FALSE),FALSE))</f>
        <v/>
      </c>
    </row>
    <row r="397" spans="1:33" ht="15" customHeight="1" x14ac:dyDescent="0.2">
      <c r="A397" s="112"/>
      <c r="B397" s="22"/>
      <c r="C397" s="22"/>
      <c r="D397" s="22"/>
      <c r="E397" s="22"/>
      <c r="F397" s="15"/>
      <c r="G397" s="22"/>
      <c r="H397" s="22"/>
      <c r="I397" s="192"/>
      <c r="J397" s="193"/>
      <c r="K397" s="189">
        <f t="shared" si="201"/>
        <v>0</v>
      </c>
      <c r="L397" s="74"/>
      <c r="M397" s="214"/>
      <c r="N397" s="154"/>
      <c r="O397" s="46"/>
      <c r="Y397" s="8" t="str">
        <f>IF(A397="","",IFERROR(IF(VLOOKUP(A397,Entry!$D:$D,1,FALSE)=A397,"",ROW()),ROW()))</f>
        <v/>
      </c>
      <c r="AG397" s="8" t="str">
        <f>IF(A397="","",IFERROR(IF(VLOOKUP(A397,Entry!$D:$D,1,FALSE)=A397,TRUE,FALSE),FALSE))</f>
        <v/>
      </c>
    </row>
    <row r="398" spans="1:33" ht="17.25" customHeight="1" x14ac:dyDescent="0.2">
      <c r="A398" s="113"/>
      <c r="B398" s="19"/>
      <c r="C398" s="19"/>
      <c r="D398" s="19"/>
      <c r="E398" s="19"/>
      <c r="F398" s="18"/>
      <c r="G398" s="19"/>
      <c r="H398" s="19"/>
      <c r="I398" s="194">
        <f t="shared" ref="I398:K398" si="202">SUM(I399:I403)</f>
        <v>0</v>
      </c>
      <c r="J398" s="195">
        <f t="shared" si="202"/>
        <v>0</v>
      </c>
      <c r="K398" s="195">
        <f t="shared" si="202"/>
        <v>0</v>
      </c>
      <c r="L398" s="104">
        <f t="shared" ref="L398" si="203">IFERROR(SUMPRODUCT(K399:K403,L399:L403)/SUM(K399:K403),0)</f>
        <v>0</v>
      </c>
      <c r="M398" s="215"/>
      <c r="N398" s="155"/>
      <c r="O398" s="47"/>
      <c r="Y398" s="8" t="str">
        <f>IF(A398="","",IFERROR(IF(VLOOKUP(A398,Entry!$D:$D,1,FALSE)=A398,"",ROW()),ROW()))</f>
        <v/>
      </c>
      <c r="AG398" s="8" t="str">
        <f>IF(A398="","",IFERROR(IF(VLOOKUP(A398,Entry!$D:$D,1,FALSE)=A398,TRUE,FALSE),FALSE))</f>
        <v/>
      </c>
    </row>
    <row r="399" spans="1:33" ht="15" customHeight="1" x14ac:dyDescent="0.2">
      <c r="A399" s="110"/>
      <c r="B399" s="20"/>
      <c r="C399" s="20"/>
      <c r="D399" s="20"/>
      <c r="E399" s="20"/>
      <c r="F399" s="16"/>
      <c r="G399" s="20"/>
      <c r="H399" s="20"/>
      <c r="I399" s="187"/>
      <c r="J399" s="188"/>
      <c r="K399" s="189">
        <f t="shared" ref="K399" si="204">I399+J399</f>
        <v>0</v>
      </c>
      <c r="L399" s="72"/>
      <c r="M399" s="212"/>
      <c r="N399" s="152"/>
      <c r="O399" s="44"/>
      <c r="Y399" s="8" t="str">
        <f>IF(A399="","",IFERROR(IF(VLOOKUP(A399,Entry!$D:$D,1,FALSE)=A399,"",ROW()),ROW()))</f>
        <v/>
      </c>
      <c r="AG399" s="8" t="str">
        <f>IF(A399="","",IFERROR(IF(VLOOKUP(A399,Entry!$D:$D,1,FALSE)=A399,TRUE,FALSE),FALSE))</f>
        <v/>
      </c>
    </row>
    <row r="400" spans="1:33" ht="15" customHeight="1" x14ac:dyDescent="0.2">
      <c r="A400" s="111"/>
      <c r="B400" s="21"/>
      <c r="C400" s="21"/>
      <c r="D400" s="21"/>
      <c r="E400" s="21"/>
      <c r="F400" s="14"/>
      <c r="G400" s="21"/>
      <c r="H400" s="21"/>
      <c r="I400" s="190"/>
      <c r="J400" s="191"/>
      <c r="K400" s="189">
        <f t="shared" si="201"/>
        <v>0</v>
      </c>
      <c r="L400" s="73"/>
      <c r="M400" s="213"/>
      <c r="N400" s="153"/>
      <c r="O400" s="45"/>
      <c r="Y400" s="8" t="str">
        <f>IF(A400="","",IFERROR(IF(VLOOKUP(A400,Entry!$D:$D,1,FALSE)=A400,"",ROW()),ROW()))</f>
        <v/>
      </c>
      <c r="AG400" s="8" t="str">
        <f>IF(A400="","",IFERROR(IF(VLOOKUP(A400,Entry!$D:$D,1,FALSE)=A400,TRUE,FALSE),FALSE))</f>
        <v/>
      </c>
    </row>
    <row r="401" spans="1:33" ht="15" customHeight="1" x14ac:dyDescent="0.2">
      <c r="A401" s="111"/>
      <c r="B401" s="21"/>
      <c r="C401" s="21"/>
      <c r="D401" s="21"/>
      <c r="E401" s="21"/>
      <c r="F401" s="14"/>
      <c r="G401" s="21"/>
      <c r="H401" s="21"/>
      <c r="I401" s="190"/>
      <c r="J401" s="191"/>
      <c r="K401" s="189">
        <f t="shared" si="201"/>
        <v>0</v>
      </c>
      <c r="L401" s="73"/>
      <c r="M401" s="213"/>
      <c r="N401" s="153"/>
      <c r="O401" s="45"/>
      <c r="Y401" s="8" t="str">
        <f>IF(A401="","",IFERROR(IF(VLOOKUP(A401,Entry!$D:$D,1,FALSE)=A401,"",ROW()),ROW()))</f>
        <v/>
      </c>
      <c r="AG401" s="8" t="str">
        <f>IF(A401="","",IFERROR(IF(VLOOKUP(A401,Entry!$D:$D,1,FALSE)=A401,TRUE,FALSE),FALSE))</f>
        <v/>
      </c>
    </row>
    <row r="402" spans="1:33" ht="15" customHeight="1" x14ac:dyDescent="0.2">
      <c r="A402" s="111"/>
      <c r="B402" s="21"/>
      <c r="C402" s="21"/>
      <c r="D402" s="21"/>
      <c r="E402" s="21"/>
      <c r="F402" s="14"/>
      <c r="G402" s="21"/>
      <c r="H402" s="21"/>
      <c r="I402" s="190"/>
      <c r="J402" s="191"/>
      <c r="K402" s="189">
        <f t="shared" si="201"/>
        <v>0</v>
      </c>
      <c r="L402" s="73"/>
      <c r="M402" s="213"/>
      <c r="N402" s="153"/>
      <c r="O402" s="45"/>
      <c r="Y402" s="8" t="str">
        <f>IF(A402="","",IFERROR(IF(VLOOKUP(A402,Entry!$D:$D,1,FALSE)=A402,"",ROW()),ROW()))</f>
        <v/>
      </c>
      <c r="AG402" s="8" t="str">
        <f>IF(A402="","",IFERROR(IF(VLOOKUP(A402,Entry!$D:$D,1,FALSE)=A402,TRUE,FALSE),FALSE))</f>
        <v/>
      </c>
    </row>
    <row r="403" spans="1:33" ht="15" customHeight="1" x14ac:dyDescent="0.2">
      <c r="A403" s="112"/>
      <c r="B403" s="22"/>
      <c r="C403" s="22"/>
      <c r="D403" s="22"/>
      <c r="E403" s="22"/>
      <c r="F403" s="15"/>
      <c r="G403" s="22"/>
      <c r="H403" s="22"/>
      <c r="I403" s="192"/>
      <c r="J403" s="193"/>
      <c r="K403" s="189">
        <f t="shared" si="201"/>
        <v>0</v>
      </c>
      <c r="L403" s="74"/>
      <c r="M403" s="214"/>
      <c r="N403" s="154"/>
      <c r="O403" s="46"/>
      <c r="Y403" s="8" t="str">
        <f>IF(A403="","",IFERROR(IF(VLOOKUP(A403,Entry!$D:$D,1,FALSE)=A403,"",ROW()),ROW()))</f>
        <v/>
      </c>
      <c r="AG403" s="8" t="str">
        <f>IF(A403="","",IFERROR(IF(VLOOKUP(A403,Entry!$D:$D,1,FALSE)=A403,TRUE,FALSE),FALSE))</f>
        <v/>
      </c>
    </row>
    <row r="404" spans="1:33" ht="17.25" customHeight="1" x14ac:dyDescent="0.2">
      <c r="A404" s="113"/>
      <c r="B404" s="19"/>
      <c r="C404" s="19"/>
      <c r="D404" s="19"/>
      <c r="E404" s="19"/>
      <c r="F404" s="18"/>
      <c r="G404" s="19"/>
      <c r="H404" s="19"/>
      <c r="I404" s="194">
        <f t="shared" ref="I404:K404" si="205">SUM(I405:I409)</f>
        <v>0</v>
      </c>
      <c r="J404" s="195">
        <f t="shared" si="205"/>
        <v>0</v>
      </c>
      <c r="K404" s="195">
        <f t="shared" si="205"/>
        <v>0</v>
      </c>
      <c r="L404" s="104">
        <f t="shared" ref="L404" si="206">IFERROR(SUMPRODUCT(K405:K409,L405:L409)/SUM(K405:K409),0)</f>
        <v>0</v>
      </c>
      <c r="M404" s="215"/>
      <c r="N404" s="155"/>
      <c r="O404" s="47"/>
      <c r="Y404" s="8" t="str">
        <f>IF(A404="","",IFERROR(IF(VLOOKUP(A404,Entry!$D:$D,1,FALSE)=A404,"",ROW()),ROW()))</f>
        <v/>
      </c>
      <c r="AG404" s="8" t="str">
        <f>IF(A404="","",IFERROR(IF(VLOOKUP(A404,Entry!$D:$D,1,FALSE)=A404,TRUE,FALSE),FALSE))</f>
        <v/>
      </c>
    </row>
    <row r="405" spans="1:33" ht="15" customHeight="1" x14ac:dyDescent="0.2">
      <c r="A405" s="110"/>
      <c r="B405" s="20"/>
      <c r="C405" s="20"/>
      <c r="D405" s="20"/>
      <c r="E405" s="20"/>
      <c r="F405" s="16"/>
      <c r="G405" s="20"/>
      <c r="H405" s="20"/>
      <c r="I405" s="187"/>
      <c r="J405" s="188"/>
      <c r="K405" s="189">
        <f t="shared" ref="K405" si="207">I405+J405</f>
        <v>0</v>
      </c>
      <c r="L405" s="72"/>
      <c r="M405" s="212"/>
      <c r="N405" s="152"/>
      <c r="O405" s="44"/>
      <c r="Y405" s="8" t="str">
        <f>IF(A405="","",IFERROR(IF(VLOOKUP(A405,Entry!$D:$D,1,FALSE)=A405,"",ROW()),ROW()))</f>
        <v/>
      </c>
      <c r="AG405" s="8" t="str">
        <f>IF(A405="","",IFERROR(IF(VLOOKUP(A405,Entry!$D:$D,1,FALSE)=A405,TRUE,FALSE),FALSE))</f>
        <v/>
      </c>
    </row>
    <row r="406" spans="1:33" ht="15" customHeight="1" x14ac:dyDescent="0.2">
      <c r="A406" s="111"/>
      <c r="B406" s="21"/>
      <c r="C406" s="21"/>
      <c r="D406" s="21"/>
      <c r="E406" s="21"/>
      <c r="F406" s="14"/>
      <c r="G406" s="21"/>
      <c r="H406" s="21"/>
      <c r="I406" s="190"/>
      <c r="J406" s="191"/>
      <c r="K406" s="189">
        <f t="shared" si="201"/>
        <v>0</v>
      </c>
      <c r="L406" s="73"/>
      <c r="M406" s="213"/>
      <c r="N406" s="153"/>
      <c r="O406" s="45"/>
      <c r="Y406" s="8" t="str">
        <f>IF(A406="","",IFERROR(IF(VLOOKUP(A406,Entry!$D:$D,1,FALSE)=A406,"",ROW()),ROW()))</f>
        <v/>
      </c>
      <c r="AG406" s="8" t="str">
        <f>IF(A406="","",IFERROR(IF(VLOOKUP(A406,Entry!$D:$D,1,FALSE)=A406,TRUE,FALSE),FALSE))</f>
        <v/>
      </c>
    </row>
    <row r="407" spans="1:33" ht="15" customHeight="1" x14ac:dyDescent="0.2">
      <c r="A407" s="111"/>
      <c r="B407" s="21"/>
      <c r="C407" s="21"/>
      <c r="D407" s="21"/>
      <c r="E407" s="21"/>
      <c r="F407" s="14"/>
      <c r="G407" s="21"/>
      <c r="H407" s="21"/>
      <c r="I407" s="190"/>
      <c r="J407" s="191"/>
      <c r="K407" s="189">
        <f t="shared" si="201"/>
        <v>0</v>
      </c>
      <c r="L407" s="73"/>
      <c r="M407" s="213"/>
      <c r="N407" s="153"/>
      <c r="O407" s="45"/>
      <c r="Y407" s="8" t="str">
        <f>IF(A407="","",IFERROR(IF(VLOOKUP(A407,Entry!$D:$D,1,FALSE)=A407,"",ROW()),ROW()))</f>
        <v/>
      </c>
      <c r="AG407" s="8" t="str">
        <f>IF(A407="","",IFERROR(IF(VLOOKUP(A407,Entry!$D:$D,1,FALSE)=A407,TRUE,FALSE),FALSE))</f>
        <v/>
      </c>
    </row>
    <row r="408" spans="1:33" ht="15" customHeight="1" x14ac:dyDescent="0.2">
      <c r="A408" s="111"/>
      <c r="B408" s="21"/>
      <c r="C408" s="21"/>
      <c r="D408" s="21"/>
      <c r="E408" s="21"/>
      <c r="F408" s="14"/>
      <c r="G408" s="21"/>
      <c r="H408" s="21"/>
      <c r="I408" s="190"/>
      <c r="J408" s="191"/>
      <c r="K408" s="189">
        <f t="shared" si="201"/>
        <v>0</v>
      </c>
      <c r="L408" s="73"/>
      <c r="M408" s="213"/>
      <c r="N408" s="153"/>
      <c r="O408" s="45"/>
      <c r="Y408" s="8" t="str">
        <f>IF(A408="","",IFERROR(IF(VLOOKUP(A408,Entry!$D:$D,1,FALSE)=A408,"",ROW()),ROW()))</f>
        <v/>
      </c>
      <c r="AG408" s="8" t="str">
        <f>IF(A408="","",IFERROR(IF(VLOOKUP(A408,Entry!$D:$D,1,FALSE)=A408,TRUE,FALSE),FALSE))</f>
        <v/>
      </c>
    </row>
    <row r="409" spans="1:33" ht="15" customHeight="1" x14ac:dyDescent="0.2">
      <c r="A409" s="112"/>
      <c r="B409" s="22"/>
      <c r="C409" s="22"/>
      <c r="D409" s="22"/>
      <c r="E409" s="22"/>
      <c r="F409" s="15"/>
      <c r="G409" s="22"/>
      <c r="H409" s="22"/>
      <c r="I409" s="192"/>
      <c r="J409" s="193"/>
      <c r="K409" s="189">
        <f t="shared" si="201"/>
        <v>0</v>
      </c>
      <c r="L409" s="74"/>
      <c r="M409" s="214"/>
      <c r="N409" s="154"/>
      <c r="O409" s="46"/>
      <c r="Y409" s="8" t="str">
        <f>IF(A409="","",IFERROR(IF(VLOOKUP(A409,Entry!$D:$D,1,FALSE)=A409,"",ROW()),ROW()))</f>
        <v/>
      </c>
      <c r="AG409" s="8" t="str">
        <f>IF(A409="","",IFERROR(IF(VLOOKUP(A409,Entry!$D:$D,1,FALSE)=A409,TRUE,FALSE),FALSE))</f>
        <v/>
      </c>
    </row>
    <row r="410" spans="1:33" ht="17.25" customHeight="1" x14ac:dyDescent="0.2">
      <c r="A410" s="113"/>
      <c r="B410" s="19"/>
      <c r="C410" s="19"/>
      <c r="D410" s="19"/>
      <c r="E410" s="19"/>
      <c r="F410" s="18"/>
      <c r="G410" s="19"/>
      <c r="H410" s="19"/>
      <c r="I410" s="194">
        <f t="shared" ref="I410:K410" si="208">SUM(I411:I415)</f>
        <v>0</v>
      </c>
      <c r="J410" s="195">
        <f t="shared" si="208"/>
        <v>0</v>
      </c>
      <c r="K410" s="195">
        <f t="shared" si="208"/>
        <v>0</v>
      </c>
      <c r="L410" s="104">
        <f t="shared" ref="L410" si="209">IFERROR(SUMPRODUCT(K411:K415,L411:L415)/SUM(K411:K415),0)</f>
        <v>0</v>
      </c>
      <c r="M410" s="215"/>
      <c r="N410" s="155"/>
      <c r="O410" s="47"/>
      <c r="Y410" s="8" t="str">
        <f>IF(A410="","",IFERROR(IF(VLOOKUP(A410,Entry!$D:$D,1,FALSE)=A410,"",ROW()),ROW()))</f>
        <v/>
      </c>
      <c r="AG410" s="8" t="str">
        <f>IF(A410="","",IFERROR(IF(VLOOKUP(A410,Entry!$D:$D,1,FALSE)=A410,TRUE,FALSE),FALSE))</f>
        <v/>
      </c>
    </row>
    <row r="411" spans="1:33" ht="15" customHeight="1" x14ac:dyDescent="0.2">
      <c r="A411" s="110"/>
      <c r="B411" s="20"/>
      <c r="C411" s="20"/>
      <c r="D411" s="20"/>
      <c r="E411" s="20"/>
      <c r="F411" s="16"/>
      <c r="G411" s="20"/>
      <c r="H411" s="20"/>
      <c r="I411" s="187"/>
      <c r="J411" s="188"/>
      <c r="K411" s="189">
        <f t="shared" ref="K411" si="210">I411+J411</f>
        <v>0</v>
      </c>
      <c r="L411" s="72"/>
      <c r="M411" s="212"/>
      <c r="N411" s="152"/>
      <c r="O411" s="44"/>
      <c r="Y411" s="8" t="str">
        <f>IF(A411="","",IFERROR(IF(VLOOKUP(A411,Entry!$D:$D,1,FALSE)=A411,"",ROW()),ROW()))</f>
        <v/>
      </c>
      <c r="AG411" s="8" t="str">
        <f>IF(A411="","",IFERROR(IF(VLOOKUP(A411,Entry!$D:$D,1,FALSE)=A411,TRUE,FALSE),FALSE))</f>
        <v/>
      </c>
    </row>
    <row r="412" spans="1:33" ht="15" customHeight="1" x14ac:dyDescent="0.2">
      <c r="A412" s="111"/>
      <c r="B412" s="21"/>
      <c r="C412" s="21"/>
      <c r="D412" s="21"/>
      <c r="E412" s="21"/>
      <c r="F412" s="14"/>
      <c r="G412" s="21"/>
      <c r="H412" s="21"/>
      <c r="I412" s="190"/>
      <c r="J412" s="191"/>
      <c r="K412" s="189">
        <f t="shared" si="201"/>
        <v>0</v>
      </c>
      <c r="L412" s="73"/>
      <c r="M412" s="213"/>
      <c r="N412" s="153"/>
      <c r="O412" s="45"/>
      <c r="Y412" s="8" t="str">
        <f>IF(A412="","",IFERROR(IF(VLOOKUP(A412,Entry!$D:$D,1,FALSE)=A412,"",ROW()),ROW()))</f>
        <v/>
      </c>
      <c r="AG412" s="8" t="str">
        <f>IF(A412="","",IFERROR(IF(VLOOKUP(A412,Entry!$D:$D,1,FALSE)=A412,TRUE,FALSE),FALSE))</f>
        <v/>
      </c>
    </row>
    <row r="413" spans="1:33" ht="15" customHeight="1" x14ac:dyDescent="0.2">
      <c r="A413" s="111"/>
      <c r="B413" s="21"/>
      <c r="C413" s="21"/>
      <c r="D413" s="21"/>
      <c r="E413" s="21"/>
      <c r="F413" s="14"/>
      <c r="G413" s="21"/>
      <c r="H413" s="21"/>
      <c r="I413" s="190"/>
      <c r="J413" s="191"/>
      <c r="K413" s="189">
        <f t="shared" si="201"/>
        <v>0</v>
      </c>
      <c r="L413" s="73"/>
      <c r="M413" s="213"/>
      <c r="N413" s="153"/>
      <c r="O413" s="45"/>
      <c r="Y413" s="8" t="str">
        <f>IF(A413="","",IFERROR(IF(VLOOKUP(A413,Entry!$D:$D,1,FALSE)=A413,"",ROW()),ROW()))</f>
        <v/>
      </c>
      <c r="AG413" s="8" t="str">
        <f>IF(A413="","",IFERROR(IF(VLOOKUP(A413,Entry!$D:$D,1,FALSE)=A413,TRUE,FALSE),FALSE))</f>
        <v/>
      </c>
    </row>
    <row r="414" spans="1:33" ht="15" customHeight="1" x14ac:dyDescent="0.2">
      <c r="A414" s="111"/>
      <c r="B414" s="21"/>
      <c r="C414" s="21"/>
      <c r="D414" s="21"/>
      <c r="E414" s="21"/>
      <c r="F414" s="14"/>
      <c r="G414" s="21"/>
      <c r="H414" s="21"/>
      <c r="I414" s="190"/>
      <c r="J414" s="191"/>
      <c r="K414" s="189">
        <f t="shared" si="201"/>
        <v>0</v>
      </c>
      <c r="L414" s="73"/>
      <c r="M414" s="213"/>
      <c r="N414" s="153"/>
      <c r="O414" s="45"/>
      <c r="Y414" s="8" t="str">
        <f>IF(A414="","",IFERROR(IF(VLOOKUP(A414,Entry!$D:$D,1,FALSE)=A414,"",ROW()),ROW()))</f>
        <v/>
      </c>
      <c r="AG414" s="8" t="str">
        <f>IF(A414="","",IFERROR(IF(VLOOKUP(A414,Entry!$D:$D,1,FALSE)=A414,TRUE,FALSE),FALSE))</f>
        <v/>
      </c>
    </row>
    <row r="415" spans="1:33" ht="15" customHeight="1" x14ac:dyDescent="0.2">
      <c r="A415" s="112"/>
      <c r="B415" s="22"/>
      <c r="C415" s="22"/>
      <c r="D415" s="22"/>
      <c r="E415" s="22"/>
      <c r="F415" s="15"/>
      <c r="G415" s="22"/>
      <c r="H415" s="22"/>
      <c r="I415" s="192"/>
      <c r="J415" s="193"/>
      <c r="K415" s="189">
        <f t="shared" si="201"/>
        <v>0</v>
      </c>
      <c r="L415" s="74"/>
      <c r="M415" s="214"/>
      <c r="N415" s="154"/>
      <c r="O415" s="46"/>
      <c r="Y415" s="8" t="str">
        <f>IF(A415="","",IFERROR(IF(VLOOKUP(A415,Entry!$D:$D,1,FALSE)=A415,"",ROW()),ROW()))</f>
        <v/>
      </c>
      <c r="AG415" s="8" t="str">
        <f>IF(A415="","",IFERROR(IF(VLOOKUP(A415,Entry!$D:$D,1,FALSE)=A415,TRUE,FALSE),FALSE))</f>
        <v/>
      </c>
    </row>
    <row r="416" spans="1:33" ht="17.25" customHeight="1" x14ac:dyDescent="0.2">
      <c r="A416" s="113"/>
      <c r="B416" s="19"/>
      <c r="C416" s="19"/>
      <c r="D416" s="19"/>
      <c r="E416" s="19"/>
      <c r="F416" s="18"/>
      <c r="G416" s="19"/>
      <c r="H416" s="19"/>
      <c r="I416" s="194">
        <f t="shared" ref="I416:K416" si="211">SUM(I417:I421)</f>
        <v>0</v>
      </c>
      <c r="J416" s="195">
        <f t="shared" si="211"/>
        <v>0</v>
      </c>
      <c r="K416" s="195">
        <f t="shared" si="211"/>
        <v>0</v>
      </c>
      <c r="L416" s="104">
        <f t="shared" ref="L416" si="212">IFERROR(SUMPRODUCT(K417:K421,L417:L421)/SUM(K417:K421),0)</f>
        <v>0</v>
      </c>
      <c r="M416" s="215"/>
      <c r="N416" s="155"/>
      <c r="O416" s="47"/>
      <c r="Y416" s="8" t="str">
        <f>IF(A416="","",IFERROR(IF(VLOOKUP(A416,Entry!$D:$D,1,FALSE)=A416,"",ROW()),ROW()))</f>
        <v/>
      </c>
      <c r="AG416" s="8" t="str">
        <f>IF(A416="","",IFERROR(IF(VLOOKUP(A416,Entry!$D:$D,1,FALSE)=A416,TRUE,FALSE),FALSE))</f>
        <v/>
      </c>
    </row>
    <row r="417" spans="1:33" ht="15" customHeight="1" x14ac:dyDescent="0.2">
      <c r="A417" s="110"/>
      <c r="B417" s="20"/>
      <c r="C417" s="20"/>
      <c r="D417" s="20"/>
      <c r="E417" s="20"/>
      <c r="F417" s="16"/>
      <c r="G417" s="20"/>
      <c r="H417" s="20"/>
      <c r="I417" s="187"/>
      <c r="J417" s="188"/>
      <c r="K417" s="189">
        <f t="shared" ref="K417" si="213">I417+J417</f>
        <v>0</v>
      </c>
      <c r="L417" s="72"/>
      <c r="M417" s="212"/>
      <c r="N417" s="152"/>
      <c r="O417" s="44"/>
      <c r="Y417" s="8" t="str">
        <f>IF(A417="","",IFERROR(IF(VLOOKUP(A417,Entry!$D:$D,1,FALSE)=A417,"",ROW()),ROW()))</f>
        <v/>
      </c>
      <c r="AG417" s="8" t="str">
        <f>IF(A417="","",IFERROR(IF(VLOOKUP(A417,Entry!$D:$D,1,FALSE)=A417,TRUE,FALSE),FALSE))</f>
        <v/>
      </c>
    </row>
    <row r="418" spans="1:33" ht="15" customHeight="1" x14ac:dyDescent="0.2">
      <c r="A418" s="111"/>
      <c r="B418" s="21"/>
      <c r="C418" s="21"/>
      <c r="D418" s="21"/>
      <c r="E418" s="21"/>
      <c r="F418" s="14"/>
      <c r="G418" s="21"/>
      <c r="H418" s="21"/>
      <c r="I418" s="190"/>
      <c r="J418" s="191"/>
      <c r="K418" s="189">
        <f t="shared" si="201"/>
        <v>0</v>
      </c>
      <c r="L418" s="73"/>
      <c r="M418" s="213"/>
      <c r="N418" s="153"/>
      <c r="O418" s="45"/>
      <c r="Y418" s="8" t="str">
        <f>IF(A418="","",IFERROR(IF(VLOOKUP(A418,Entry!$D:$D,1,FALSE)=A418,"",ROW()),ROW()))</f>
        <v/>
      </c>
      <c r="AG418" s="8" t="str">
        <f>IF(A418="","",IFERROR(IF(VLOOKUP(A418,Entry!$D:$D,1,FALSE)=A418,TRUE,FALSE),FALSE))</f>
        <v/>
      </c>
    </row>
    <row r="419" spans="1:33" ht="15" customHeight="1" x14ac:dyDescent="0.2">
      <c r="A419" s="111"/>
      <c r="B419" s="21"/>
      <c r="C419" s="21"/>
      <c r="D419" s="21"/>
      <c r="E419" s="21"/>
      <c r="F419" s="14"/>
      <c r="G419" s="21"/>
      <c r="H419" s="21"/>
      <c r="I419" s="190"/>
      <c r="J419" s="191"/>
      <c r="K419" s="189">
        <f t="shared" si="201"/>
        <v>0</v>
      </c>
      <c r="L419" s="73"/>
      <c r="M419" s="213"/>
      <c r="N419" s="153"/>
      <c r="O419" s="45"/>
      <c r="Y419" s="8" t="str">
        <f>IF(A419="","",IFERROR(IF(VLOOKUP(A419,Entry!$D:$D,1,FALSE)=A419,"",ROW()),ROW()))</f>
        <v/>
      </c>
      <c r="AG419" s="8" t="str">
        <f>IF(A419="","",IFERROR(IF(VLOOKUP(A419,Entry!$D:$D,1,FALSE)=A419,TRUE,FALSE),FALSE))</f>
        <v/>
      </c>
    </row>
    <row r="420" spans="1:33" ht="15" customHeight="1" x14ac:dyDescent="0.2">
      <c r="A420" s="111"/>
      <c r="B420" s="21"/>
      <c r="C420" s="21"/>
      <c r="D420" s="21"/>
      <c r="E420" s="21"/>
      <c r="F420" s="14"/>
      <c r="G420" s="21"/>
      <c r="H420" s="21"/>
      <c r="I420" s="190"/>
      <c r="J420" s="191"/>
      <c r="K420" s="189">
        <f t="shared" si="201"/>
        <v>0</v>
      </c>
      <c r="L420" s="73"/>
      <c r="M420" s="213"/>
      <c r="N420" s="153"/>
      <c r="O420" s="45"/>
      <c r="Y420" s="8" t="str">
        <f>IF(A420="","",IFERROR(IF(VLOOKUP(A420,Entry!$D:$D,1,FALSE)=A420,"",ROW()),ROW()))</f>
        <v/>
      </c>
      <c r="AG420" s="8" t="str">
        <f>IF(A420="","",IFERROR(IF(VLOOKUP(A420,Entry!$D:$D,1,FALSE)=A420,TRUE,FALSE),FALSE))</f>
        <v/>
      </c>
    </row>
    <row r="421" spans="1:33" ht="15" customHeight="1" x14ac:dyDescent="0.2">
      <c r="A421" s="112"/>
      <c r="B421" s="22"/>
      <c r="C421" s="22"/>
      <c r="D421" s="22"/>
      <c r="E421" s="22"/>
      <c r="F421" s="15"/>
      <c r="G421" s="22"/>
      <c r="H421" s="22"/>
      <c r="I421" s="192"/>
      <c r="J421" s="193"/>
      <c r="K421" s="189">
        <f t="shared" si="201"/>
        <v>0</v>
      </c>
      <c r="L421" s="74"/>
      <c r="M421" s="214"/>
      <c r="N421" s="154"/>
      <c r="O421" s="46"/>
      <c r="Y421" s="8" t="str">
        <f>IF(A421="","",IFERROR(IF(VLOOKUP(A421,Entry!$D:$D,1,FALSE)=A421,"",ROW()),ROW()))</f>
        <v/>
      </c>
      <c r="AG421" s="8" t="str">
        <f>IF(A421="","",IFERROR(IF(VLOOKUP(A421,Entry!$D:$D,1,FALSE)=A421,TRUE,FALSE),FALSE))</f>
        <v/>
      </c>
    </row>
    <row r="422" spans="1:33" ht="17.25" customHeight="1" x14ac:dyDescent="0.2">
      <c r="A422" s="113"/>
      <c r="B422" s="19"/>
      <c r="C422" s="19"/>
      <c r="D422" s="19"/>
      <c r="E422" s="19"/>
      <c r="F422" s="18"/>
      <c r="G422" s="19"/>
      <c r="H422" s="19"/>
      <c r="I422" s="194">
        <f t="shared" ref="I422:K422" si="214">SUM(I423:I427)</f>
        <v>0</v>
      </c>
      <c r="J422" s="195">
        <f t="shared" si="214"/>
        <v>0</v>
      </c>
      <c r="K422" s="195">
        <f t="shared" si="214"/>
        <v>0</v>
      </c>
      <c r="L422" s="104">
        <f t="shared" ref="L422" si="215">IFERROR(SUMPRODUCT(K423:K427,L423:L427)/SUM(K423:K427),0)</f>
        <v>0</v>
      </c>
      <c r="M422" s="215"/>
      <c r="N422" s="155"/>
      <c r="O422" s="47"/>
      <c r="Y422" s="8" t="str">
        <f>IF(A422="","",IFERROR(IF(VLOOKUP(A422,Entry!$D:$D,1,FALSE)=A422,"",ROW()),ROW()))</f>
        <v/>
      </c>
      <c r="AG422" s="8" t="str">
        <f>IF(A422="","",IFERROR(IF(VLOOKUP(A422,Entry!$D:$D,1,FALSE)=A422,TRUE,FALSE),FALSE))</f>
        <v/>
      </c>
    </row>
    <row r="423" spans="1:33" ht="15" customHeight="1" x14ac:dyDescent="0.2">
      <c r="A423" s="110"/>
      <c r="B423" s="20"/>
      <c r="C423" s="20"/>
      <c r="D423" s="20"/>
      <c r="E423" s="20"/>
      <c r="F423" s="16"/>
      <c r="G423" s="20"/>
      <c r="H423" s="20"/>
      <c r="I423" s="187"/>
      <c r="J423" s="188"/>
      <c r="K423" s="189">
        <f t="shared" ref="K423" si="216">I423+J423</f>
        <v>0</v>
      </c>
      <c r="L423" s="72"/>
      <c r="M423" s="212"/>
      <c r="N423" s="152"/>
      <c r="O423" s="44"/>
      <c r="Y423" s="8" t="str">
        <f>IF(A423="","",IFERROR(IF(VLOOKUP(A423,Entry!$D:$D,1,FALSE)=A423,"",ROW()),ROW()))</f>
        <v/>
      </c>
      <c r="AG423" s="8" t="str">
        <f>IF(A423="","",IFERROR(IF(VLOOKUP(A423,Entry!$D:$D,1,FALSE)=A423,TRUE,FALSE),FALSE))</f>
        <v/>
      </c>
    </row>
    <row r="424" spans="1:33" ht="15" customHeight="1" x14ac:dyDescent="0.2">
      <c r="A424" s="111"/>
      <c r="B424" s="21"/>
      <c r="C424" s="21"/>
      <c r="D424" s="21"/>
      <c r="E424" s="21"/>
      <c r="F424" s="14"/>
      <c r="G424" s="21"/>
      <c r="H424" s="21"/>
      <c r="I424" s="190"/>
      <c r="J424" s="191"/>
      <c r="K424" s="189">
        <f t="shared" si="201"/>
        <v>0</v>
      </c>
      <c r="L424" s="73"/>
      <c r="M424" s="213"/>
      <c r="N424" s="153"/>
      <c r="O424" s="45"/>
      <c r="Y424" s="8" t="str">
        <f>IF(A424="","",IFERROR(IF(VLOOKUP(A424,Entry!$D:$D,1,FALSE)=A424,"",ROW()),ROW()))</f>
        <v/>
      </c>
      <c r="AG424" s="8" t="str">
        <f>IF(A424="","",IFERROR(IF(VLOOKUP(A424,Entry!$D:$D,1,FALSE)=A424,TRUE,FALSE),FALSE))</f>
        <v/>
      </c>
    </row>
    <row r="425" spans="1:33" ht="15" customHeight="1" x14ac:dyDescent="0.2">
      <c r="A425" s="111"/>
      <c r="B425" s="21"/>
      <c r="C425" s="21"/>
      <c r="D425" s="21"/>
      <c r="E425" s="21"/>
      <c r="F425" s="14"/>
      <c r="G425" s="21"/>
      <c r="H425" s="21"/>
      <c r="I425" s="190"/>
      <c r="J425" s="191"/>
      <c r="K425" s="189">
        <f t="shared" si="201"/>
        <v>0</v>
      </c>
      <c r="L425" s="73"/>
      <c r="M425" s="213"/>
      <c r="N425" s="153"/>
      <c r="O425" s="45"/>
      <c r="Y425" s="8" t="str">
        <f>IF(A425="","",IFERROR(IF(VLOOKUP(A425,Entry!$D:$D,1,FALSE)=A425,"",ROW()),ROW()))</f>
        <v/>
      </c>
      <c r="AG425" s="8" t="str">
        <f>IF(A425="","",IFERROR(IF(VLOOKUP(A425,Entry!$D:$D,1,FALSE)=A425,TRUE,FALSE),FALSE))</f>
        <v/>
      </c>
    </row>
    <row r="426" spans="1:33" ht="15" customHeight="1" x14ac:dyDescent="0.2">
      <c r="A426" s="111"/>
      <c r="B426" s="21"/>
      <c r="C426" s="21"/>
      <c r="D426" s="21"/>
      <c r="E426" s="21"/>
      <c r="F426" s="14"/>
      <c r="G426" s="21"/>
      <c r="H426" s="21"/>
      <c r="I426" s="190"/>
      <c r="J426" s="191"/>
      <c r="K426" s="189">
        <f t="shared" si="201"/>
        <v>0</v>
      </c>
      <c r="L426" s="73"/>
      <c r="M426" s="213"/>
      <c r="N426" s="153"/>
      <c r="O426" s="45"/>
      <c r="Y426" s="8" t="str">
        <f>IF(A426="","",IFERROR(IF(VLOOKUP(A426,Entry!$D:$D,1,FALSE)=A426,"",ROW()),ROW()))</f>
        <v/>
      </c>
      <c r="AG426" s="8" t="str">
        <f>IF(A426="","",IFERROR(IF(VLOOKUP(A426,Entry!$D:$D,1,FALSE)=A426,TRUE,FALSE),FALSE))</f>
        <v/>
      </c>
    </row>
    <row r="427" spans="1:33" ht="15" customHeight="1" x14ac:dyDescent="0.2">
      <c r="A427" s="112"/>
      <c r="B427" s="22"/>
      <c r="C427" s="22"/>
      <c r="D427" s="22"/>
      <c r="E427" s="22"/>
      <c r="F427" s="15"/>
      <c r="G427" s="22"/>
      <c r="H427" s="22"/>
      <c r="I427" s="192"/>
      <c r="J427" s="193"/>
      <c r="K427" s="189">
        <f t="shared" si="201"/>
        <v>0</v>
      </c>
      <c r="L427" s="74"/>
      <c r="M427" s="214"/>
      <c r="N427" s="154"/>
      <c r="O427" s="46"/>
      <c r="Y427" s="8" t="str">
        <f>IF(A427="","",IFERROR(IF(VLOOKUP(A427,Entry!$D:$D,1,FALSE)=A427,"",ROW()),ROW()))</f>
        <v/>
      </c>
      <c r="AG427" s="8" t="str">
        <f>IF(A427="","",IFERROR(IF(VLOOKUP(A427,Entry!$D:$D,1,FALSE)=A427,TRUE,FALSE),FALSE))</f>
        <v/>
      </c>
    </row>
    <row r="428" spans="1:33" ht="17.25" customHeight="1" x14ac:dyDescent="0.2">
      <c r="A428" s="113"/>
      <c r="B428" s="19"/>
      <c r="C428" s="19"/>
      <c r="D428" s="19"/>
      <c r="E428" s="19"/>
      <c r="F428" s="18"/>
      <c r="G428" s="19"/>
      <c r="H428" s="19"/>
      <c r="I428" s="194">
        <f t="shared" ref="I428:K428" si="217">SUM(I429:I433)</f>
        <v>0</v>
      </c>
      <c r="J428" s="195">
        <f t="shared" si="217"/>
        <v>0</v>
      </c>
      <c r="K428" s="195">
        <f t="shared" si="217"/>
        <v>0</v>
      </c>
      <c r="L428" s="104">
        <f t="shared" ref="L428" si="218">IFERROR(SUMPRODUCT(K429:K433,L429:L433)/SUM(K429:K433),0)</f>
        <v>0</v>
      </c>
      <c r="M428" s="215"/>
      <c r="N428" s="155"/>
      <c r="O428" s="47"/>
      <c r="Y428" s="8" t="str">
        <f>IF(A428="","",IFERROR(IF(VLOOKUP(A428,Entry!$D:$D,1,FALSE)=A428,"",ROW()),ROW()))</f>
        <v/>
      </c>
      <c r="AG428" s="8" t="str">
        <f>IF(A428="","",IFERROR(IF(VLOOKUP(A428,Entry!$D:$D,1,FALSE)=A428,TRUE,FALSE),FALSE))</f>
        <v/>
      </c>
    </row>
    <row r="429" spans="1:33" ht="15" customHeight="1" x14ac:dyDescent="0.2">
      <c r="A429" s="110"/>
      <c r="B429" s="20"/>
      <c r="C429" s="20"/>
      <c r="D429" s="20"/>
      <c r="E429" s="20"/>
      <c r="F429" s="16"/>
      <c r="G429" s="20"/>
      <c r="H429" s="20"/>
      <c r="I429" s="187"/>
      <c r="J429" s="188"/>
      <c r="K429" s="189">
        <f t="shared" ref="K429" si="219">I429+J429</f>
        <v>0</v>
      </c>
      <c r="L429" s="72"/>
      <c r="M429" s="212"/>
      <c r="N429" s="152"/>
      <c r="O429" s="44"/>
      <c r="Y429" s="8" t="str">
        <f>IF(A429="","",IFERROR(IF(VLOOKUP(A429,Entry!$D:$D,1,FALSE)=A429,"",ROW()),ROW()))</f>
        <v/>
      </c>
      <c r="AG429" s="8" t="str">
        <f>IF(A429="","",IFERROR(IF(VLOOKUP(A429,Entry!$D:$D,1,FALSE)=A429,TRUE,FALSE),FALSE))</f>
        <v/>
      </c>
    </row>
    <row r="430" spans="1:33" ht="15" customHeight="1" x14ac:dyDescent="0.2">
      <c r="A430" s="111"/>
      <c r="B430" s="21"/>
      <c r="C430" s="21"/>
      <c r="D430" s="21"/>
      <c r="E430" s="21"/>
      <c r="F430" s="14"/>
      <c r="G430" s="21"/>
      <c r="H430" s="21"/>
      <c r="I430" s="190"/>
      <c r="J430" s="191"/>
      <c r="K430" s="189">
        <f t="shared" si="201"/>
        <v>0</v>
      </c>
      <c r="L430" s="73"/>
      <c r="M430" s="213"/>
      <c r="N430" s="153"/>
      <c r="O430" s="45"/>
      <c r="Y430" s="8" t="str">
        <f>IF(A430="","",IFERROR(IF(VLOOKUP(A430,Entry!$D:$D,1,FALSE)=A430,"",ROW()),ROW()))</f>
        <v/>
      </c>
      <c r="AG430" s="8" t="str">
        <f>IF(A430="","",IFERROR(IF(VLOOKUP(A430,Entry!$D:$D,1,FALSE)=A430,TRUE,FALSE),FALSE))</f>
        <v/>
      </c>
    </row>
    <row r="431" spans="1:33" ht="15" customHeight="1" x14ac:dyDescent="0.2">
      <c r="A431" s="111"/>
      <c r="B431" s="21"/>
      <c r="C431" s="21"/>
      <c r="D431" s="21"/>
      <c r="E431" s="21"/>
      <c r="F431" s="14"/>
      <c r="G431" s="21"/>
      <c r="H431" s="21"/>
      <c r="I431" s="190"/>
      <c r="J431" s="191"/>
      <c r="K431" s="189">
        <f t="shared" si="201"/>
        <v>0</v>
      </c>
      <c r="L431" s="73"/>
      <c r="M431" s="213"/>
      <c r="N431" s="153"/>
      <c r="O431" s="45"/>
      <c r="Y431" s="8" t="str">
        <f>IF(A431="","",IFERROR(IF(VLOOKUP(A431,Entry!$D:$D,1,FALSE)=A431,"",ROW()),ROW()))</f>
        <v/>
      </c>
      <c r="AG431" s="8" t="str">
        <f>IF(A431="","",IFERROR(IF(VLOOKUP(A431,Entry!$D:$D,1,FALSE)=A431,TRUE,FALSE),FALSE))</f>
        <v/>
      </c>
    </row>
    <row r="432" spans="1:33" ht="15" customHeight="1" x14ac:dyDescent="0.2">
      <c r="A432" s="111"/>
      <c r="B432" s="21"/>
      <c r="C432" s="21"/>
      <c r="D432" s="21"/>
      <c r="E432" s="21"/>
      <c r="F432" s="14"/>
      <c r="G432" s="21"/>
      <c r="H432" s="21"/>
      <c r="I432" s="190"/>
      <c r="J432" s="191"/>
      <c r="K432" s="189">
        <f t="shared" si="201"/>
        <v>0</v>
      </c>
      <c r="L432" s="73"/>
      <c r="M432" s="213"/>
      <c r="N432" s="153"/>
      <c r="O432" s="45"/>
      <c r="Y432" s="8" t="str">
        <f>IF(A432="","",IFERROR(IF(VLOOKUP(A432,Entry!$D:$D,1,FALSE)=A432,"",ROW()),ROW()))</f>
        <v/>
      </c>
      <c r="AG432" s="8" t="str">
        <f>IF(A432="","",IFERROR(IF(VLOOKUP(A432,Entry!$D:$D,1,FALSE)=A432,TRUE,FALSE),FALSE))</f>
        <v/>
      </c>
    </row>
    <row r="433" spans="1:33" ht="15" customHeight="1" x14ac:dyDescent="0.2">
      <c r="A433" s="112"/>
      <c r="B433" s="22"/>
      <c r="C433" s="22"/>
      <c r="D433" s="22"/>
      <c r="E433" s="22"/>
      <c r="F433" s="15"/>
      <c r="G433" s="22"/>
      <c r="H433" s="22"/>
      <c r="I433" s="192"/>
      <c r="J433" s="193"/>
      <c r="K433" s="189">
        <f t="shared" si="201"/>
        <v>0</v>
      </c>
      <c r="L433" s="74"/>
      <c r="M433" s="214"/>
      <c r="N433" s="154"/>
      <c r="O433" s="46"/>
      <c r="Y433" s="8" t="str">
        <f>IF(A433="","",IFERROR(IF(VLOOKUP(A433,Entry!$D:$D,1,FALSE)=A433,"",ROW()),ROW()))</f>
        <v/>
      </c>
      <c r="AG433" s="8" t="str">
        <f>IF(A433="","",IFERROR(IF(VLOOKUP(A433,Entry!$D:$D,1,FALSE)=A433,TRUE,FALSE),FALSE))</f>
        <v/>
      </c>
    </row>
    <row r="434" spans="1:33" ht="17.25" customHeight="1" x14ac:dyDescent="0.2">
      <c r="A434" s="113"/>
      <c r="B434" s="19"/>
      <c r="C434" s="19"/>
      <c r="D434" s="19"/>
      <c r="E434" s="19"/>
      <c r="F434" s="18"/>
      <c r="G434" s="19"/>
      <c r="H434" s="19"/>
      <c r="I434" s="194">
        <f t="shared" ref="I434:K434" si="220">SUM(I435:I439)</f>
        <v>0</v>
      </c>
      <c r="J434" s="195">
        <f t="shared" si="220"/>
        <v>0</v>
      </c>
      <c r="K434" s="195">
        <f t="shared" si="220"/>
        <v>0</v>
      </c>
      <c r="L434" s="104">
        <f t="shared" ref="L434" si="221">IFERROR(SUMPRODUCT(K435:K439,L435:L439)/SUM(K435:K439),0)</f>
        <v>0</v>
      </c>
      <c r="M434" s="215"/>
      <c r="N434" s="155"/>
      <c r="O434" s="47"/>
      <c r="Y434" s="8" t="str">
        <f>IF(A434="","",IFERROR(IF(VLOOKUP(A434,Entry!$D:$D,1,FALSE)=A434,"",ROW()),ROW()))</f>
        <v/>
      </c>
      <c r="AG434" s="8" t="str">
        <f>IF(A434="","",IFERROR(IF(VLOOKUP(A434,Entry!$D:$D,1,FALSE)=A434,TRUE,FALSE),FALSE))</f>
        <v/>
      </c>
    </row>
    <row r="435" spans="1:33" ht="15" customHeight="1" x14ac:dyDescent="0.2">
      <c r="A435" s="110"/>
      <c r="B435" s="20"/>
      <c r="C435" s="20"/>
      <c r="D435" s="20"/>
      <c r="E435" s="20"/>
      <c r="F435" s="16"/>
      <c r="G435" s="20"/>
      <c r="H435" s="20"/>
      <c r="I435" s="187"/>
      <c r="J435" s="188"/>
      <c r="K435" s="189">
        <f t="shared" ref="K435" si="222">I435+J435</f>
        <v>0</v>
      </c>
      <c r="L435" s="72"/>
      <c r="M435" s="212"/>
      <c r="N435" s="152"/>
      <c r="O435" s="44"/>
      <c r="Y435" s="8" t="str">
        <f>IF(A435="","",IFERROR(IF(VLOOKUP(A435,Entry!$D:$D,1,FALSE)=A435,"",ROW()),ROW()))</f>
        <v/>
      </c>
      <c r="AG435" s="8" t="str">
        <f>IF(A435="","",IFERROR(IF(VLOOKUP(A435,Entry!$D:$D,1,FALSE)=A435,TRUE,FALSE),FALSE))</f>
        <v/>
      </c>
    </row>
    <row r="436" spans="1:33" ht="15" customHeight="1" x14ac:dyDescent="0.2">
      <c r="A436" s="111"/>
      <c r="B436" s="21"/>
      <c r="C436" s="21"/>
      <c r="D436" s="21"/>
      <c r="E436" s="21"/>
      <c r="F436" s="14"/>
      <c r="G436" s="21"/>
      <c r="H436" s="21"/>
      <c r="I436" s="190"/>
      <c r="J436" s="191"/>
      <c r="K436" s="189">
        <f t="shared" si="201"/>
        <v>0</v>
      </c>
      <c r="L436" s="73"/>
      <c r="M436" s="213"/>
      <c r="N436" s="153"/>
      <c r="O436" s="45"/>
      <c r="Y436" s="8" t="str">
        <f>IF(A436="","",IFERROR(IF(VLOOKUP(A436,Entry!$D:$D,1,FALSE)=A436,"",ROW()),ROW()))</f>
        <v/>
      </c>
      <c r="AG436" s="8" t="str">
        <f>IF(A436="","",IFERROR(IF(VLOOKUP(A436,Entry!$D:$D,1,FALSE)=A436,TRUE,FALSE),FALSE))</f>
        <v/>
      </c>
    </row>
    <row r="437" spans="1:33" ht="15" customHeight="1" x14ac:dyDescent="0.2">
      <c r="A437" s="111"/>
      <c r="B437" s="21"/>
      <c r="C437" s="21"/>
      <c r="D437" s="21"/>
      <c r="E437" s="21"/>
      <c r="F437" s="14"/>
      <c r="G437" s="21"/>
      <c r="H437" s="21"/>
      <c r="I437" s="190"/>
      <c r="J437" s="191"/>
      <c r="K437" s="189">
        <f t="shared" si="201"/>
        <v>0</v>
      </c>
      <c r="L437" s="73"/>
      <c r="M437" s="213"/>
      <c r="N437" s="153"/>
      <c r="O437" s="45"/>
      <c r="Y437" s="8" t="str">
        <f>IF(A437="","",IFERROR(IF(VLOOKUP(A437,Entry!$D:$D,1,FALSE)=A437,"",ROW()),ROW()))</f>
        <v/>
      </c>
      <c r="AG437" s="8" t="str">
        <f>IF(A437="","",IFERROR(IF(VLOOKUP(A437,Entry!$D:$D,1,FALSE)=A437,TRUE,FALSE),FALSE))</f>
        <v/>
      </c>
    </row>
    <row r="438" spans="1:33" ht="15" customHeight="1" x14ac:dyDescent="0.2">
      <c r="A438" s="111"/>
      <c r="B438" s="21"/>
      <c r="C438" s="21"/>
      <c r="D438" s="21"/>
      <c r="E438" s="21"/>
      <c r="F438" s="14"/>
      <c r="G438" s="21"/>
      <c r="H438" s="21"/>
      <c r="I438" s="190"/>
      <c r="J438" s="191"/>
      <c r="K438" s="189">
        <f t="shared" si="201"/>
        <v>0</v>
      </c>
      <c r="L438" s="73"/>
      <c r="M438" s="213"/>
      <c r="N438" s="153"/>
      <c r="O438" s="45"/>
      <c r="Y438" s="8" t="str">
        <f>IF(A438="","",IFERROR(IF(VLOOKUP(A438,Entry!$D:$D,1,FALSE)=A438,"",ROW()),ROW()))</f>
        <v/>
      </c>
      <c r="AG438" s="8" t="str">
        <f>IF(A438="","",IFERROR(IF(VLOOKUP(A438,Entry!$D:$D,1,FALSE)=A438,TRUE,FALSE),FALSE))</f>
        <v/>
      </c>
    </row>
    <row r="439" spans="1:33" ht="15" customHeight="1" x14ac:dyDescent="0.2">
      <c r="A439" s="112"/>
      <c r="B439" s="22"/>
      <c r="C439" s="22"/>
      <c r="D439" s="22"/>
      <c r="E439" s="22"/>
      <c r="F439" s="15"/>
      <c r="G439" s="22"/>
      <c r="H439" s="22"/>
      <c r="I439" s="192"/>
      <c r="J439" s="193"/>
      <c r="K439" s="189">
        <f t="shared" si="201"/>
        <v>0</v>
      </c>
      <c r="L439" s="74"/>
      <c r="M439" s="214"/>
      <c r="N439" s="154"/>
      <c r="O439" s="46"/>
      <c r="Y439" s="8" t="str">
        <f>IF(A439="","",IFERROR(IF(VLOOKUP(A439,Entry!$D:$D,1,FALSE)=A439,"",ROW()),ROW()))</f>
        <v/>
      </c>
      <c r="AG439" s="8" t="str">
        <f>IF(A439="","",IFERROR(IF(VLOOKUP(A439,Entry!$D:$D,1,FALSE)=A439,TRUE,FALSE),FALSE))</f>
        <v/>
      </c>
    </row>
    <row r="440" spans="1:33" ht="17.25" customHeight="1" x14ac:dyDescent="0.2">
      <c r="A440" s="113"/>
      <c r="B440" s="19"/>
      <c r="C440" s="19"/>
      <c r="D440" s="19"/>
      <c r="E440" s="19"/>
      <c r="F440" s="18"/>
      <c r="G440" s="19"/>
      <c r="H440" s="19"/>
      <c r="I440" s="194">
        <f t="shared" ref="I440:K440" si="223">SUM(I441:I445)</f>
        <v>0</v>
      </c>
      <c r="J440" s="195">
        <f t="shared" si="223"/>
        <v>0</v>
      </c>
      <c r="K440" s="195">
        <f t="shared" si="223"/>
        <v>0</v>
      </c>
      <c r="L440" s="104">
        <f t="shared" ref="L440" si="224">IFERROR(SUMPRODUCT(K441:K445,L441:L445)/SUM(K441:K445),0)</f>
        <v>0</v>
      </c>
      <c r="M440" s="215"/>
      <c r="N440" s="155"/>
      <c r="O440" s="47"/>
      <c r="Y440" s="8" t="str">
        <f>IF(A440="","",IFERROR(IF(VLOOKUP(A440,Entry!$D:$D,1,FALSE)=A440,"",ROW()),ROW()))</f>
        <v/>
      </c>
      <c r="AG440" s="8" t="str">
        <f>IF(A440="","",IFERROR(IF(VLOOKUP(A440,Entry!$D:$D,1,FALSE)=A440,TRUE,FALSE),FALSE))</f>
        <v/>
      </c>
    </row>
    <row r="441" spans="1:33" ht="15" customHeight="1" x14ac:dyDescent="0.2">
      <c r="A441" s="110"/>
      <c r="B441" s="20"/>
      <c r="C441" s="20"/>
      <c r="D441" s="20"/>
      <c r="E441" s="20"/>
      <c r="F441" s="16"/>
      <c r="G441" s="20"/>
      <c r="H441" s="20"/>
      <c r="I441" s="187"/>
      <c r="J441" s="188"/>
      <c r="K441" s="189">
        <f t="shared" ref="K441" si="225">I441+J441</f>
        <v>0</v>
      </c>
      <c r="L441" s="72"/>
      <c r="M441" s="212"/>
      <c r="N441" s="152"/>
      <c r="O441" s="44"/>
      <c r="Y441" s="8" t="str">
        <f>IF(A441="","",IFERROR(IF(VLOOKUP(A441,Entry!$D:$D,1,FALSE)=A441,"",ROW()),ROW()))</f>
        <v/>
      </c>
      <c r="AG441" s="8" t="str">
        <f>IF(A441="","",IFERROR(IF(VLOOKUP(A441,Entry!$D:$D,1,FALSE)=A441,TRUE,FALSE),FALSE))</f>
        <v/>
      </c>
    </row>
    <row r="442" spans="1:33" ht="15" customHeight="1" x14ac:dyDescent="0.2">
      <c r="A442" s="111"/>
      <c r="B442" s="21"/>
      <c r="C442" s="21"/>
      <c r="D442" s="21"/>
      <c r="E442" s="21"/>
      <c r="F442" s="14"/>
      <c r="G442" s="21"/>
      <c r="H442" s="21"/>
      <c r="I442" s="190"/>
      <c r="J442" s="191"/>
      <c r="K442" s="189">
        <f t="shared" si="201"/>
        <v>0</v>
      </c>
      <c r="L442" s="73"/>
      <c r="M442" s="213"/>
      <c r="N442" s="153"/>
      <c r="O442" s="45"/>
      <c r="Y442" s="8" t="str">
        <f>IF(A442="","",IFERROR(IF(VLOOKUP(A442,Entry!$D:$D,1,FALSE)=A442,"",ROW()),ROW()))</f>
        <v/>
      </c>
      <c r="AG442" s="8" t="str">
        <f>IF(A442="","",IFERROR(IF(VLOOKUP(A442,Entry!$D:$D,1,FALSE)=A442,TRUE,FALSE),FALSE))</f>
        <v/>
      </c>
    </row>
    <row r="443" spans="1:33" ht="15" customHeight="1" x14ac:dyDescent="0.2">
      <c r="A443" s="111"/>
      <c r="B443" s="21"/>
      <c r="C443" s="21"/>
      <c r="D443" s="21"/>
      <c r="E443" s="21"/>
      <c r="F443" s="14"/>
      <c r="G443" s="21"/>
      <c r="H443" s="21"/>
      <c r="I443" s="190"/>
      <c r="J443" s="191"/>
      <c r="K443" s="189">
        <f t="shared" si="201"/>
        <v>0</v>
      </c>
      <c r="L443" s="73"/>
      <c r="M443" s="213"/>
      <c r="N443" s="153"/>
      <c r="O443" s="45"/>
      <c r="Y443" s="8" t="str">
        <f>IF(A443="","",IFERROR(IF(VLOOKUP(A443,Entry!$D:$D,1,FALSE)=A443,"",ROW()),ROW()))</f>
        <v/>
      </c>
      <c r="AG443" s="8" t="str">
        <f>IF(A443="","",IFERROR(IF(VLOOKUP(A443,Entry!$D:$D,1,FALSE)=A443,TRUE,FALSE),FALSE))</f>
        <v/>
      </c>
    </row>
    <row r="444" spans="1:33" ht="15" customHeight="1" x14ac:dyDescent="0.2">
      <c r="A444" s="111"/>
      <c r="B444" s="21"/>
      <c r="C444" s="21"/>
      <c r="D444" s="21"/>
      <c r="E444" s="21"/>
      <c r="F444" s="14"/>
      <c r="G444" s="21"/>
      <c r="H444" s="21"/>
      <c r="I444" s="190"/>
      <c r="J444" s="191"/>
      <c r="K444" s="189">
        <f t="shared" si="201"/>
        <v>0</v>
      </c>
      <c r="L444" s="73"/>
      <c r="M444" s="213"/>
      <c r="N444" s="153"/>
      <c r="O444" s="45"/>
      <c r="Y444" s="8" t="str">
        <f>IF(A444="","",IFERROR(IF(VLOOKUP(A444,Entry!$D:$D,1,FALSE)=A444,"",ROW()),ROW()))</f>
        <v/>
      </c>
      <c r="AG444" s="8" t="str">
        <f>IF(A444="","",IFERROR(IF(VLOOKUP(A444,Entry!$D:$D,1,FALSE)=A444,TRUE,FALSE),FALSE))</f>
        <v/>
      </c>
    </row>
    <row r="445" spans="1:33" ht="15" customHeight="1" x14ac:dyDescent="0.2">
      <c r="A445" s="112"/>
      <c r="B445" s="22"/>
      <c r="C445" s="22"/>
      <c r="D445" s="22"/>
      <c r="E445" s="22"/>
      <c r="F445" s="15"/>
      <c r="G445" s="22"/>
      <c r="H445" s="22"/>
      <c r="I445" s="192"/>
      <c r="J445" s="193"/>
      <c r="K445" s="189">
        <f t="shared" si="201"/>
        <v>0</v>
      </c>
      <c r="L445" s="74"/>
      <c r="M445" s="214"/>
      <c r="N445" s="154"/>
      <c r="O445" s="46"/>
      <c r="Y445" s="8" t="str">
        <f>IF(A445="","",IFERROR(IF(VLOOKUP(A445,Entry!$D:$D,1,FALSE)=A445,"",ROW()),ROW()))</f>
        <v/>
      </c>
      <c r="AG445" s="8" t="str">
        <f>IF(A445="","",IFERROR(IF(VLOOKUP(A445,Entry!$D:$D,1,FALSE)=A445,TRUE,FALSE),FALSE))</f>
        <v/>
      </c>
    </row>
    <row r="446" spans="1:33" ht="17.25" customHeight="1" x14ac:dyDescent="0.2">
      <c r="A446" s="113"/>
      <c r="B446" s="19"/>
      <c r="C446" s="19"/>
      <c r="D446" s="19"/>
      <c r="E446" s="19"/>
      <c r="F446" s="18"/>
      <c r="G446" s="19"/>
      <c r="H446" s="19"/>
      <c r="I446" s="194">
        <f t="shared" ref="I446:K446" si="226">SUM(I447:I451)</f>
        <v>0</v>
      </c>
      <c r="J446" s="195">
        <f t="shared" si="226"/>
        <v>0</v>
      </c>
      <c r="K446" s="195">
        <f t="shared" si="226"/>
        <v>0</v>
      </c>
      <c r="L446" s="104">
        <f t="shared" ref="L446" si="227">IFERROR(SUMPRODUCT(K447:K451,L447:L451)/SUM(K447:K451),0)</f>
        <v>0</v>
      </c>
      <c r="M446" s="215"/>
      <c r="N446" s="155"/>
      <c r="O446" s="47"/>
      <c r="Y446" s="8" t="str">
        <f>IF(A446="","",IFERROR(IF(VLOOKUP(A446,Entry!$D:$D,1,FALSE)=A446,"",ROW()),ROW()))</f>
        <v/>
      </c>
      <c r="AG446" s="8" t="str">
        <f>IF(A446="","",IFERROR(IF(VLOOKUP(A446,Entry!$D:$D,1,FALSE)=A446,TRUE,FALSE),FALSE))</f>
        <v/>
      </c>
    </row>
    <row r="447" spans="1:33" ht="15" customHeight="1" x14ac:dyDescent="0.2">
      <c r="A447" s="110"/>
      <c r="B447" s="20"/>
      <c r="C447" s="20"/>
      <c r="D447" s="20"/>
      <c r="E447" s="20"/>
      <c r="F447" s="16"/>
      <c r="G447" s="20"/>
      <c r="H447" s="20"/>
      <c r="I447" s="187"/>
      <c r="J447" s="188"/>
      <c r="K447" s="189">
        <f t="shared" ref="K447" si="228">I447+J447</f>
        <v>0</v>
      </c>
      <c r="L447" s="72"/>
      <c r="M447" s="212"/>
      <c r="N447" s="152"/>
      <c r="O447" s="44"/>
      <c r="Y447" s="8" t="str">
        <f>IF(A447="","",IFERROR(IF(VLOOKUP(A447,Entry!$D:$D,1,FALSE)=A447,"",ROW()),ROW()))</f>
        <v/>
      </c>
      <c r="AG447" s="8" t="str">
        <f>IF(A447="","",IFERROR(IF(VLOOKUP(A447,Entry!$D:$D,1,FALSE)=A447,TRUE,FALSE),FALSE))</f>
        <v/>
      </c>
    </row>
    <row r="448" spans="1:33" ht="15" customHeight="1" x14ac:dyDescent="0.2">
      <c r="A448" s="111"/>
      <c r="B448" s="21"/>
      <c r="C448" s="21"/>
      <c r="D448" s="21"/>
      <c r="E448" s="21"/>
      <c r="F448" s="14"/>
      <c r="G448" s="21"/>
      <c r="H448" s="21"/>
      <c r="I448" s="190"/>
      <c r="J448" s="191"/>
      <c r="K448" s="189">
        <f t="shared" si="201"/>
        <v>0</v>
      </c>
      <c r="L448" s="73"/>
      <c r="M448" s="213"/>
      <c r="N448" s="153"/>
      <c r="O448" s="45"/>
      <c r="Y448" s="8" t="str">
        <f>IF(A448="","",IFERROR(IF(VLOOKUP(A448,Entry!$D:$D,1,FALSE)=A448,"",ROW()),ROW()))</f>
        <v/>
      </c>
      <c r="AG448" s="8" t="str">
        <f>IF(A448="","",IFERROR(IF(VLOOKUP(A448,Entry!$D:$D,1,FALSE)=A448,TRUE,FALSE),FALSE))</f>
        <v/>
      </c>
    </row>
    <row r="449" spans="1:33" ht="15" customHeight="1" x14ac:dyDescent="0.2">
      <c r="A449" s="111"/>
      <c r="B449" s="21"/>
      <c r="C449" s="21"/>
      <c r="D449" s="21"/>
      <c r="E449" s="21"/>
      <c r="F449" s="14"/>
      <c r="G449" s="21"/>
      <c r="H449" s="21"/>
      <c r="I449" s="190"/>
      <c r="J449" s="191"/>
      <c r="K449" s="189">
        <f t="shared" si="201"/>
        <v>0</v>
      </c>
      <c r="L449" s="73"/>
      <c r="M449" s="213"/>
      <c r="N449" s="153"/>
      <c r="O449" s="45"/>
      <c r="Y449" s="8" t="str">
        <f>IF(A449="","",IFERROR(IF(VLOOKUP(A449,Entry!$D:$D,1,FALSE)=A449,"",ROW()),ROW()))</f>
        <v/>
      </c>
      <c r="AG449" s="8" t="str">
        <f>IF(A449="","",IFERROR(IF(VLOOKUP(A449,Entry!$D:$D,1,FALSE)=A449,TRUE,FALSE),FALSE))</f>
        <v/>
      </c>
    </row>
    <row r="450" spans="1:33" ht="15" customHeight="1" x14ac:dyDescent="0.2">
      <c r="A450" s="111"/>
      <c r="B450" s="21"/>
      <c r="C450" s="21"/>
      <c r="D450" s="21"/>
      <c r="E450" s="21"/>
      <c r="F450" s="14"/>
      <c r="G450" s="21"/>
      <c r="H450" s="21"/>
      <c r="I450" s="190"/>
      <c r="J450" s="191"/>
      <c r="K450" s="189">
        <f t="shared" si="201"/>
        <v>0</v>
      </c>
      <c r="L450" s="73"/>
      <c r="M450" s="213"/>
      <c r="N450" s="153"/>
      <c r="O450" s="45"/>
      <c r="Y450" s="8" t="str">
        <f>IF(A450="","",IFERROR(IF(VLOOKUP(A450,Entry!$D:$D,1,FALSE)=A450,"",ROW()),ROW()))</f>
        <v/>
      </c>
      <c r="AG450" s="8" t="str">
        <f>IF(A450="","",IFERROR(IF(VLOOKUP(A450,Entry!$D:$D,1,FALSE)=A450,TRUE,FALSE),FALSE))</f>
        <v/>
      </c>
    </row>
    <row r="451" spans="1:33" ht="15" customHeight="1" x14ac:dyDescent="0.2">
      <c r="A451" s="112"/>
      <c r="B451" s="22"/>
      <c r="C451" s="22"/>
      <c r="D451" s="22"/>
      <c r="E451" s="22"/>
      <c r="F451" s="15"/>
      <c r="G451" s="22"/>
      <c r="H451" s="22"/>
      <c r="I451" s="192"/>
      <c r="J451" s="193"/>
      <c r="K451" s="189">
        <f t="shared" si="201"/>
        <v>0</v>
      </c>
      <c r="L451" s="74"/>
      <c r="M451" s="214"/>
      <c r="N451" s="154"/>
      <c r="O451" s="46"/>
      <c r="Y451" s="8" t="str">
        <f>IF(A451="","",IFERROR(IF(VLOOKUP(A451,Entry!$D:$D,1,FALSE)=A451,"",ROW()),ROW()))</f>
        <v/>
      </c>
      <c r="AG451" s="8" t="str">
        <f>IF(A451="","",IFERROR(IF(VLOOKUP(A451,Entry!$D:$D,1,FALSE)=A451,TRUE,FALSE),FALSE))</f>
        <v/>
      </c>
    </row>
    <row r="452" spans="1:33" ht="17.25" customHeight="1" x14ac:dyDescent="0.2">
      <c r="A452" s="113"/>
      <c r="B452" s="19"/>
      <c r="C452" s="19"/>
      <c r="D452" s="19"/>
      <c r="E452" s="19"/>
      <c r="F452" s="18"/>
      <c r="G452" s="19"/>
      <c r="H452" s="19"/>
      <c r="I452" s="194">
        <f t="shared" ref="I452:K452" si="229">SUM(I453:I457)</f>
        <v>0</v>
      </c>
      <c r="J452" s="195">
        <f t="shared" si="229"/>
        <v>0</v>
      </c>
      <c r="K452" s="195">
        <f t="shared" si="229"/>
        <v>0</v>
      </c>
      <c r="L452" s="104">
        <f t="shared" ref="L452" si="230">IFERROR(SUMPRODUCT(K453:K457,L453:L457)/SUM(K453:K457),0)</f>
        <v>0</v>
      </c>
      <c r="M452" s="215"/>
      <c r="N452" s="155"/>
      <c r="O452" s="47"/>
      <c r="Y452" s="8" t="str">
        <f>IF(A452="","",IFERROR(IF(VLOOKUP(A452,Entry!$D:$D,1,FALSE)=A452,"",ROW()),ROW()))</f>
        <v/>
      </c>
      <c r="AG452" s="8" t="str">
        <f>IF(A452="","",IFERROR(IF(VLOOKUP(A452,Entry!$D:$D,1,FALSE)=A452,TRUE,FALSE),FALSE))</f>
        <v/>
      </c>
    </row>
    <row r="453" spans="1:33" ht="15" customHeight="1" x14ac:dyDescent="0.2">
      <c r="A453" s="110"/>
      <c r="B453" s="20"/>
      <c r="C453" s="20"/>
      <c r="D453" s="20"/>
      <c r="E453" s="20"/>
      <c r="F453" s="16"/>
      <c r="G453" s="20"/>
      <c r="H453" s="20"/>
      <c r="I453" s="187"/>
      <c r="J453" s="188"/>
      <c r="K453" s="189">
        <f t="shared" ref="K453" si="231">I453+J453</f>
        <v>0</v>
      </c>
      <c r="L453" s="72"/>
      <c r="M453" s="212"/>
      <c r="N453" s="152"/>
      <c r="O453" s="44"/>
      <c r="Y453" s="8" t="str">
        <f>IF(A453="","",IFERROR(IF(VLOOKUP(A453,Entry!$D:$D,1,FALSE)=A453,"",ROW()),ROW()))</f>
        <v/>
      </c>
      <c r="AG453" s="8" t="str">
        <f>IF(A453="","",IFERROR(IF(VLOOKUP(A453,Entry!$D:$D,1,FALSE)=A453,TRUE,FALSE),FALSE))</f>
        <v/>
      </c>
    </row>
    <row r="454" spans="1:33" ht="15" customHeight="1" x14ac:dyDescent="0.2">
      <c r="A454" s="111"/>
      <c r="B454" s="21"/>
      <c r="C454" s="21"/>
      <c r="D454" s="21"/>
      <c r="E454" s="21"/>
      <c r="F454" s="14"/>
      <c r="G454" s="21"/>
      <c r="H454" s="21"/>
      <c r="I454" s="190"/>
      <c r="J454" s="191"/>
      <c r="K454" s="189">
        <f t="shared" si="201"/>
        <v>0</v>
      </c>
      <c r="L454" s="73"/>
      <c r="M454" s="213"/>
      <c r="N454" s="153"/>
      <c r="O454" s="45"/>
      <c r="Y454" s="8" t="str">
        <f>IF(A454="","",IFERROR(IF(VLOOKUP(A454,Entry!$D:$D,1,FALSE)=A454,"",ROW()),ROW()))</f>
        <v/>
      </c>
      <c r="AG454" s="8" t="str">
        <f>IF(A454="","",IFERROR(IF(VLOOKUP(A454,Entry!$D:$D,1,FALSE)=A454,TRUE,FALSE),FALSE))</f>
        <v/>
      </c>
    </row>
    <row r="455" spans="1:33" ht="15" customHeight="1" x14ac:dyDescent="0.2">
      <c r="A455" s="111"/>
      <c r="B455" s="21"/>
      <c r="C455" s="21"/>
      <c r="D455" s="21"/>
      <c r="E455" s="21"/>
      <c r="F455" s="14"/>
      <c r="G455" s="21"/>
      <c r="H455" s="21"/>
      <c r="I455" s="190"/>
      <c r="J455" s="191"/>
      <c r="K455" s="189">
        <f t="shared" si="201"/>
        <v>0</v>
      </c>
      <c r="L455" s="73"/>
      <c r="M455" s="213"/>
      <c r="N455" s="153"/>
      <c r="O455" s="45"/>
      <c r="Y455" s="8" t="str">
        <f>IF(A455="","",IFERROR(IF(VLOOKUP(A455,Entry!$D:$D,1,FALSE)=A455,"",ROW()),ROW()))</f>
        <v/>
      </c>
      <c r="AG455" s="8" t="str">
        <f>IF(A455="","",IFERROR(IF(VLOOKUP(A455,Entry!$D:$D,1,FALSE)=A455,TRUE,FALSE),FALSE))</f>
        <v/>
      </c>
    </row>
    <row r="456" spans="1:33" ht="15" customHeight="1" x14ac:dyDescent="0.2">
      <c r="A456" s="111"/>
      <c r="B456" s="21"/>
      <c r="C456" s="21"/>
      <c r="D456" s="21"/>
      <c r="E456" s="21"/>
      <c r="F456" s="14"/>
      <c r="G456" s="21"/>
      <c r="H456" s="21"/>
      <c r="I456" s="190"/>
      <c r="J456" s="191"/>
      <c r="K456" s="189">
        <f t="shared" si="201"/>
        <v>0</v>
      </c>
      <c r="L456" s="73"/>
      <c r="M456" s="213"/>
      <c r="N456" s="153"/>
      <c r="O456" s="45"/>
      <c r="Y456" s="8" t="str">
        <f>IF(A456="","",IFERROR(IF(VLOOKUP(A456,Entry!$D:$D,1,FALSE)=A456,"",ROW()),ROW()))</f>
        <v/>
      </c>
      <c r="AG456" s="8" t="str">
        <f>IF(A456="","",IFERROR(IF(VLOOKUP(A456,Entry!$D:$D,1,FALSE)=A456,TRUE,FALSE),FALSE))</f>
        <v/>
      </c>
    </row>
    <row r="457" spans="1:33" ht="15" customHeight="1" x14ac:dyDescent="0.2">
      <c r="A457" s="112"/>
      <c r="B457" s="22"/>
      <c r="C457" s="22"/>
      <c r="D457" s="22"/>
      <c r="E457" s="22"/>
      <c r="F457" s="15"/>
      <c r="G457" s="22"/>
      <c r="H457" s="22"/>
      <c r="I457" s="192"/>
      <c r="J457" s="193"/>
      <c r="K457" s="189">
        <f t="shared" ref="K457:K520" si="232">I457+J457</f>
        <v>0</v>
      </c>
      <c r="L457" s="74"/>
      <c r="M457" s="214"/>
      <c r="N457" s="154"/>
      <c r="O457" s="46"/>
      <c r="Y457" s="8" t="str">
        <f>IF(A457="","",IFERROR(IF(VLOOKUP(A457,Entry!$D:$D,1,FALSE)=A457,"",ROW()),ROW()))</f>
        <v/>
      </c>
      <c r="AG457" s="8" t="str">
        <f>IF(A457="","",IFERROR(IF(VLOOKUP(A457,Entry!$D:$D,1,FALSE)=A457,TRUE,FALSE),FALSE))</f>
        <v/>
      </c>
    </row>
    <row r="458" spans="1:33" ht="17.25" customHeight="1" x14ac:dyDescent="0.2">
      <c r="A458" s="113"/>
      <c r="B458" s="19"/>
      <c r="C458" s="19"/>
      <c r="D458" s="19"/>
      <c r="E458" s="19"/>
      <c r="F458" s="18"/>
      <c r="G458" s="19"/>
      <c r="H458" s="19"/>
      <c r="I458" s="194">
        <f t="shared" ref="I458:K458" si="233">SUM(I459:I463)</f>
        <v>0</v>
      </c>
      <c r="J458" s="195">
        <f t="shared" si="233"/>
        <v>0</v>
      </c>
      <c r="K458" s="195">
        <f t="shared" si="233"/>
        <v>0</v>
      </c>
      <c r="L458" s="104">
        <f t="shared" ref="L458" si="234">IFERROR(SUMPRODUCT(K459:K463,L459:L463)/SUM(K459:K463),0)</f>
        <v>0</v>
      </c>
      <c r="M458" s="215"/>
      <c r="N458" s="155"/>
      <c r="O458" s="47"/>
      <c r="Y458" s="8" t="str">
        <f>IF(A458="","",IFERROR(IF(VLOOKUP(A458,Entry!$D:$D,1,FALSE)=A458,"",ROW()),ROW()))</f>
        <v/>
      </c>
      <c r="AG458" s="8" t="str">
        <f>IF(A458="","",IFERROR(IF(VLOOKUP(A458,Entry!$D:$D,1,FALSE)=A458,TRUE,FALSE),FALSE))</f>
        <v/>
      </c>
    </row>
    <row r="459" spans="1:33" ht="15" customHeight="1" x14ac:dyDescent="0.2">
      <c r="A459" s="110"/>
      <c r="B459" s="20"/>
      <c r="C459" s="20"/>
      <c r="D459" s="20"/>
      <c r="E459" s="20"/>
      <c r="F459" s="16"/>
      <c r="G459" s="20"/>
      <c r="H459" s="20"/>
      <c r="I459" s="187"/>
      <c r="J459" s="188"/>
      <c r="K459" s="189">
        <f t="shared" ref="K459" si="235">I459+J459</f>
        <v>0</v>
      </c>
      <c r="L459" s="72"/>
      <c r="M459" s="212"/>
      <c r="N459" s="152"/>
      <c r="O459" s="44"/>
      <c r="Y459" s="8" t="str">
        <f>IF(A459="","",IFERROR(IF(VLOOKUP(A459,Entry!$D:$D,1,FALSE)=A459,"",ROW()),ROW()))</f>
        <v/>
      </c>
      <c r="AG459" s="8" t="str">
        <f>IF(A459="","",IFERROR(IF(VLOOKUP(A459,Entry!$D:$D,1,FALSE)=A459,TRUE,FALSE),FALSE))</f>
        <v/>
      </c>
    </row>
    <row r="460" spans="1:33" ht="15" customHeight="1" x14ac:dyDescent="0.2">
      <c r="A460" s="111"/>
      <c r="B460" s="21"/>
      <c r="C460" s="21"/>
      <c r="D460" s="21"/>
      <c r="E460" s="21"/>
      <c r="F460" s="14"/>
      <c r="G460" s="21"/>
      <c r="H460" s="21"/>
      <c r="I460" s="190"/>
      <c r="J460" s="191"/>
      <c r="K460" s="189">
        <f t="shared" si="232"/>
        <v>0</v>
      </c>
      <c r="L460" s="73"/>
      <c r="M460" s="213"/>
      <c r="N460" s="153"/>
      <c r="O460" s="45"/>
      <c r="Y460" s="8" t="str">
        <f>IF(A460="","",IFERROR(IF(VLOOKUP(A460,Entry!$D:$D,1,FALSE)=A460,"",ROW()),ROW()))</f>
        <v/>
      </c>
      <c r="AG460" s="8" t="str">
        <f>IF(A460="","",IFERROR(IF(VLOOKUP(A460,Entry!$D:$D,1,FALSE)=A460,TRUE,FALSE),FALSE))</f>
        <v/>
      </c>
    </row>
    <row r="461" spans="1:33" ht="15" customHeight="1" x14ac:dyDescent="0.2">
      <c r="A461" s="111"/>
      <c r="B461" s="21"/>
      <c r="C461" s="21"/>
      <c r="D461" s="21"/>
      <c r="E461" s="21"/>
      <c r="F461" s="14"/>
      <c r="G461" s="21"/>
      <c r="H461" s="21"/>
      <c r="I461" s="190"/>
      <c r="J461" s="191"/>
      <c r="K461" s="189">
        <f t="shared" si="232"/>
        <v>0</v>
      </c>
      <c r="L461" s="73"/>
      <c r="M461" s="213"/>
      <c r="N461" s="153"/>
      <c r="O461" s="45"/>
      <c r="Y461" s="8" t="str">
        <f>IF(A461="","",IFERROR(IF(VLOOKUP(A461,Entry!$D:$D,1,FALSE)=A461,"",ROW()),ROW()))</f>
        <v/>
      </c>
      <c r="AG461" s="8" t="str">
        <f>IF(A461="","",IFERROR(IF(VLOOKUP(A461,Entry!$D:$D,1,FALSE)=A461,TRUE,FALSE),FALSE))</f>
        <v/>
      </c>
    </row>
    <row r="462" spans="1:33" ht="15" customHeight="1" x14ac:dyDescent="0.2">
      <c r="A462" s="111"/>
      <c r="B462" s="21"/>
      <c r="C462" s="21"/>
      <c r="D462" s="21"/>
      <c r="E462" s="21"/>
      <c r="F462" s="14"/>
      <c r="G462" s="21"/>
      <c r="H462" s="21"/>
      <c r="I462" s="190"/>
      <c r="J462" s="191"/>
      <c r="K462" s="189">
        <f t="shared" si="232"/>
        <v>0</v>
      </c>
      <c r="L462" s="73"/>
      <c r="M462" s="213"/>
      <c r="N462" s="153"/>
      <c r="O462" s="45"/>
      <c r="Y462" s="8" t="str">
        <f>IF(A462="","",IFERROR(IF(VLOOKUP(A462,Entry!$D:$D,1,FALSE)=A462,"",ROW()),ROW()))</f>
        <v/>
      </c>
      <c r="AG462" s="8" t="str">
        <f>IF(A462="","",IFERROR(IF(VLOOKUP(A462,Entry!$D:$D,1,FALSE)=A462,TRUE,FALSE),FALSE))</f>
        <v/>
      </c>
    </row>
    <row r="463" spans="1:33" ht="15" customHeight="1" x14ac:dyDescent="0.2">
      <c r="A463" s="112"/>
      <c r="B463" s="22"/>
      <c r="C463" s="22"/>
      <c r="D463" s="22"/>
      <c r="E463" s="22"/>
      <c r="F463" s="15"/>
      <c r="G463" s="22"/>
      <c r="H463" s="22"/>
      <c r="I463" s="192"/>
      <c r="J463" s="193"/>
      <c r="K463" s="189">
        <f t="shared" si="232"/>
        <v>0</v>
      </c>
      <c r="L463" s="74"/>
      <c r="M463" s="214"/>
      <c r="N463" s="154"/>
      <c r="O463" s="46"/>
      <c r="Y463" s="8" t="str">
        <f>IF(A463="","",IFERROR(IF(VLOOKUP(A463,Entry!$D:$D,1,FALSE)=A463,"",ROW()),ROW()))</f>
        <v/>
      </c>
      <c r="AG463" s="8" t="str">
        <f>IF(A463="","",IFERROR(IF(VLOOKUP(A463,Entry!$D:$D,1,FALSE)=A463,TRUE,FALSE),FALSE))</f>
        <v/>
      </c>
    </row>
    <row r="464" spans="1:33" ht="17.25" customHeight="1" x14ac:dyDescent="0.2">
      <c r="A464" s="113"/>
      <c r="B464" s="19"/>
      <c r="C464" s="19"/>
      <c r="D464" s="19"/>
      <c r="E464" s="19"/>
      <c r="F464" s="18"/>
      <c r="G464" s="19"/>
      <c r="H464" s="19"/>
      <c r="I464" s="194">
        <f t="shared" ref="I464:K464" si="236">SUM(I465:I469)</f>
        <v>0</v>
      </c>
      <c r="J464" s="195">
        <f t="shared" si="236"/>
        <v>0</v>
      </c>
      <c r="K464" s="195">
        <f t="shared" si="236"/>
        <v>0</v>
      </c>
      <c r="L464" s="104">
        <f t="shared" ref="L464" si="237">IFERROR(SUMPRODUCT(K465:K469,L465:L469)/SUM(K465:K469),0)</f>
        <v>0</v>
      </c>
      <c r="M464" s="215"/>
      <c r="N464" s="155"/>
      <c r="O464" s="47"/>
      <c r="Y464" s="8" t="str">
        <f>IF(A464="","",IFERROR(IF(VLOOKUP(A464,Entry!$D:$D,1,FALSE)=A464,"",ROW()),ROW()))</f>
        <v/>
      </c>
      <c r="AG464" s="8" t="str">
        <f>IF(A464="","",IFERROR(IF(VLOOKUP(A464,Entry!$D:$D,1,FALSE)=A464,TRUE,FALSE),FALSE))</f>
        <v/>
      </c>
    </row>
    <row r="465" spans="1:33" ht="15" customHeight="1" x14ac:dyDescent="0.2">
      <c r="A465" s="110"/>
      <c r="B465" s="20"/>
      <c r="C465" s="20"/>
      <c r="D465" s="20"/>
      <c r="E465" s="20"/>
      <c r="F465" s="16"/>
      <c r="G465" s="20"/>
      <c r="H465" s="20"/>
      <c r="I465" s="187"/>
      <c r="J465" s="188"/>
      <c r="K465" s="189">
        <f t="shared" ref="K465" si="238">I465+J465</f>
        <v>0</v>
      </c>
      <c r="L465" s="72"/>
      <c r="M465" s="212"/>
      <c r="N465" s="152"/>
      <c r="O465" s="44"/>
      <c r="Y465" s="8" t="str">
        <f>IF(A465="","",IFERROR(IF(VLOOKUP(A465,Entry!$D:$D,1,FALSE)=A465,"",ROW()),ROW()))</f>
        <v/>
      </c>
      <c r="AG465" s="8" t="str">
        <f>IF(A465="","",IFERROR(IF(VLOOKUP(A465,Entry!$D:$D,1,FALSE)=A465,TRUE,FALSE),FALSE))</f>
        <v/>
      </c>
    </row>
    <row r="466" spans="1:33" ht="15" customHeight="1" x14ac:dyDescent="0.2">
      <c r="A466" s="111"/>
      <c r="B466" s="21"/>
      <c r="C466" s="21"/>
      <c r="D466" s="21"/>
      <c r="E466" s="21"/>
      <c r="F466" s="14"/>
      <c r="G466" s="21"/>
      <c r="H466" s="21"/>
      <c r="I466" s="190"/>
      <c r="J466" s="191"/>
      <c r="K466" s="189">
        <f t="shared" si="232"/>
        <v>0</v>
      </c>
      <c r="L466" s="73"/>
      <c r="M466" s="213"/>
      <c r="N466" s="153"/>
      <c r="O466" s="45"/>
      <c r="Y466" s="8" t="str">
        <f>IF(A466="","",IFERROR(IF(VLOOKUP(A466,Entry!$D:$D,1,FALSE)=A466,"",ROW()),ROW()))</f>
        <v/>
      </c>
      <c r="AG466" s="8" t="str">
        <f>IF(A466="","",IFERROR(IF(VLOOKUP(A466,Entry!$D:$D,1,FALSE)=A466,TRUE,FALSE),FALSE))</f>
        <v/>
      </c>
    </row>
    <row r="467" spans="1:33" ht="15" customHeight="1" x14ac:dyDescent="0.2">
      <c r="A467" s="111"/>
      <c r="B467" s="21"/>
      <c r="C467" s="21"/>
      <c r="D467" s="21"/>
      <c r="E467" s="21"/>
      <c r="F467" s="14"/>
      <c r="G467" s="21"/>
      <c r="H467" s="21"/>
      <c r="I467" s="190"/>
      <c r="J467" s="191"/>
      <c r="K467" s="189">
        <f t="shared" si="232"/>
        <v>0</v>
      </c>
      <c r="L467" s="73"/>
      <c r="M467" s="213"/>
      <c r="N467" s="153"/>
      <c r="O467" s="45"/>
      <c r="Y467" s="8" t="str">
        <f>IF(A467="","",IFERROR(IF(VLOOKUP(A467,Entry!$D:$D,1,FALSE)=A467,"",ROW()),ROW()))</f>
        <v/>
      </c>
      <c r="AG467" s="8" t="str">
        <f>IF(A467="","",IFERROR(IF(VLOOKUP(A467,Entry!$D:$D,1,FALSE)=A467,TRUE,FALSE),FALSE))</f>
        <v/>
      </c>
    </row>
    <row r="468" spans="1:33" ht="15" customHeight="1" x14ac:dyDescent="0.2">
      <c r="A468" s="111"/>
      <c r="B468" s="21"/>
      <c r="C468" s="21"/>
      <c r="D468" s="21"/>
      <c r="E468" s="21"/>
      <c r="F468" s="14"/>
      <c r="G468" s="21"/>
      <c r="H468" s="21"/>
      <c r="I468" s="190"/>
      <c r="J468" s="191"/>
      <c r="K468" s="189">
        <f t="shared" si="232"/>
        <v>0</v>
      </c>
      <c r="L468" s="73"/>
      <c r="M468" s="213"/>
      <c r="N468" s="153"/>
      <c r="O468" s="45"/>
      <c r="Y468" s="8" t="str">
        <f>IF(A468="","",IFERROR(IF(VLOOKUP(A468,Entry!$D:$D,1,FALSE)=A468,"",ROW()),ROW()))</f>
        <v/>
      </c>
      <c r="AG468" s="8" t="str">
        <f>IF(A468="","",IFERROR(IF(VLOOKUP(A468,Entry!$D:$D,1,FALSE)=A468,TRUE,FALSE),FALSE))</f>
        <v/>
      </c>
    </row>
    <row r="469" spans="1:33" ht="15" customHeight="1" x14ac:dyDescent="0.2">
      <c r="A469" s="112"/>
      <c r="B469" s="22"/>
      <c r="C469" s="22"/>
      <c r="D469" s="22"/>
      <c r="E469" s="22"/>
      <c r="F469" s="15"/>
      <c r="G469" s="22"/>
      <c r="H469" s="22"/>
      <c r="I469" s="192"/>
      <c r="J469" s="193"/>
      <c r="K469" s="189">
        <f t="shared" si="232"/>
        <v>0</v>
      </c>
      <c r="L469" s="74"/>
      <c r="M469" s="214"/>
      <c r="N469" s="154"/>
      <c r="O469" s="46"/>
      <c r="Y469" s="8" t="str">
        <f>IF(A469="","",IFERROR(IF(VLOOKUP(A469,Entry!$D:$D,1,FALSE)=A469,"",ROW()),ROW()))</f>
        <v/>
      </c>
      <c r="AG469" s="8" t="str">
        <f>IF(A469="","",IFERROR(IF(VLOOKUP(A469,Entry!$D:$D,1,FALSE)=A469,TRUE,FALSE),FALSE))</f>
        <v/>
      </c>
    </row>
    <row r="470" spans="1:33" ht="17.25" customHeight="1" x14ac:dyDescent="0.2">
      <c r="A470" s="113"/>
      <c r="B470" s="19"/>
      <c r="C470" s="19"/>
      <c r="D470" s="19"/>
      <c r="E470" s="19"/>
      <c r="F470" s="18"/>
      <c r="G470" s="19"/>
      <c r="H470" s="19"/>
      <c r="I470" s="194">
        <f t="shared" ref="I470:K470" si="239">SUM(I471:I475)</f>
        <v>0</v>
      </c>
      <c r="J470" s="195">
        <f t="shared" si="239"/>
        <v>0</v>
      </c>
      <c r="K470" s="195">
        <f t="shared" si="239"/>
        <v>0</v>
      </c>
      <c r="L470" s="104">
        <f t="shared" ref="L470" si="240">IFERROR(SUMPRODUCT(K471:K475,L471:L475)/SUM(K471:K475),0)</f>
        <v>0</v>
      </c>
      <c r="M470" s="215"/>
      <c r="N470" s="155"/>
      <c r="O470" s="47"/>
      <c r="Y470" s="8" t="str">
        <f>IF(A470="","",IFERROR(IF(VLOOKUP(A470,Entry!$D:$D,1,FALSE)=A470,"",ROW()),ROW()))</f>
        <v/>
      </c>
      <c r="AG470" s="8" t="str">
        <f>IF(A470="","",IFERROR(IF(VLOOKUP(A470,Entry!$D:$D,1,FALSE)=A470,TRUE,FALSE),FALSE))</f>
        <v/>
      </c>
    </row>
    <row r="471" spans="1:33" ht="15" customHeight="1" x14ac:dyDescent="0.2">
      <c r="A471" s="110"/>
      <c r="B471" s="20"/>
      <c r="C471" s="20"/>
      <c r="D471" s="20"/>
      <c r="E471" s="20"/>
      <c r="F471" s="16"/>
      <c r="G471" s="20"/>
      <c r="H471" s="20"/>
      <c r="I471" s="187"/>
      <c r="J471" s="188"/>
      <c r="K471" s="189">
        <f t="shared" ref="K471" si="241">I471+J471</f>
        <v>0</v>
      </c>
      <c r="L471" s="72"/>
      <c r="M471" s="212"/>
      <c r="N471" s="152"/>
      <c r="O471" s="44"/>
      <c r="Y471" s="8" t="str">
        <f>IF(A471="","",IFERROR(IF(VLOOKUP(A471,Entry!$D:$D,1,FALSE)=A471,"",ROW()),ROW()))</f>
        <v/>
      </c>
      <c r="AG471" s="8" t="str">
        <f>IF(A471="","",IFERROR(IF(VLOOKUP(A471,Entry!$D:$D,1,FALSE)=A471,TRUE,FALSE),FALSE))</f>
        <v/>
      </c>
    </row>
    <row r="472" spans="1:33" ht="15" customHeight="1" x14ac:dyDescent="0.2">
      <c r="A472" s="111"/>
      <c r="B472" s="21"/>
      <c r="C472" s="21"/>
      <c r="D472" s="21"/>
      <c r="E472" s="21"/>
      <c r="F472" s="14"/>
      <c r="G472" s="21"/>
      <c r="H472" s="21"/>
      <c r="I472" s="190"/>
      <c r="J472" s="191"/>
      <c r="K472" s="189">
        <f t="shared" si="232"/>
        <v>0</v>
      </c>
      <c r="L472" s="73"/>
      <c r="M472" s="213"/>
      <c r="N472" s="153"/>
      <c r="O472" s="45"/>
      <c r="Y472" s="8" t="str">
        <f>IF(A472="","",IFERROR(IF(VLOOKUP(A472,Entry!$D:$D,1,FALSE)=A472,"",ROW()),ROW()))</f>
        <v/>
      </c>
      <c r="AG472" s="8" t="str">
        <f>IF(A472="","",IFERROR(IF(VLOOKUP(A472,Entry!$D:$D,1,FALSE)=A472,TRUE,FALSE),FALSE))</f>
        <v/>
      </c>
    </row>
    <row r="473" spans="1:33" ht="15" customHeight="1" x14ac:dyDescent="0.2">
      <c r="A473" s="111"/>
      <c r="B473" s="21"/>
      <c r="C473" s="21"/>
      <c r="D473" s="21"/>
      <c r="E473" s="21"/>
      <c r="F473" s="14"/>
      <c r="G473" s="21"/>
      <c r="H473" s="21"/>
      <c r="I473" s="190"/>
      <c r="J473" s="191"/>
      <c r="K473" s="189">
        <f t="shared" si="232"/>
        <v>0</v>
      </c>
      <c r="L473" s="73"/>
      <c r="M473" s="213"/>
      <c r="N473" s="153"/>
      <c r="O473" s="45"/>
      <c r="Y473" s="8" t="str">
        <f>IF(A473="","",IFERROR(IF(VLOOKUP(A473,Entry!$D:$D,1,FALSE)=A473,"",ROW()),ROW()))</f>
        <v/>
      </c>
      <c r="AG473" s="8" t="str">
        <f>IF(A473="","",IFERROR(IF(VLOOKUP(A473,Entry!$D:$D,1,FALSE)=A473,TRUE,FALSE),FALSE))</f>
        <v/>
      </c>
    </row>
    <row r="474" spans="1:33" ht="15" customHeight="1" x14ac:dyDescent="0.2">
      <c r="A474" s="111"/>
      <c r="B474" s="21"/>
      <c r="C474" s="21"/>
      <c r="D474" s="21"/>
      <c r="E474" s="21"/>
      <c r="F474" s="14"/>
      <c r="G474" s="21"/>
      <c r="H474" s="21"/>
      <c r="I474" s="190"/>
      <c r="J474" s="191"/>
      <c r="K474" s="189">
        <f t="shared" si="232"/>
        <v>0</v>
      </c>
      <c r="L474" s="73"/>
      <c r="M474" s="213"/>
      <c r="N474" s="153"/>
      <c r="O474" s="45"/>
      <c r="Y474" s="8" t="str">
        <f>IF(A474="","",IFERROR(IF(VLOOKUP(A474,Entry!$D:$D,1,FALSE)=A474,"",ROW()),ROW()))</f>
        <v/>
      </c>
      <c r="AG474" s="8" t="str">
        <f>IF(A474="","",IFERROR(IF(VLOOKUP(A474,Entry!$D:$D,1,FALSE)=A474,TRUE,FALSE),FALSE))</f>
        <v/>
      </c>
    </row>
    <row r="475" spans="1:33" ht="15" customHeight="1" x14ac:dyDescent="0.2">
      <c r="A475" s="112"/>
      <c r="B475" s="22"/>
      <c r="C475" s="22"/>
      <c r="D475" s="22"/>
      <c r="E475" s="22"/>
      <c r="F475" s="15"/>
      <c r="G475" s="22"/>
      <c r="H475" s="22"/>
      <c r="I475" s="192"/>
      <c r="J475" s="193"/>
      <c r="K475" s="189">
        <f t="shared" si="232"/>
        <v>0</v>
      </c>
      <c r="L475" s="74"/>
      <c r="M475" s="214"/>
      <c r="N475" s="154"/>
      <c r="O475" s="46"/>
      <c r="Y475" s="8" t="str">
        <f>IF(A475="","",IFERROR(IF(VLOOKUP(A475,Entry!$D:$D,1,FALSE)=A475,"",ROW()),ROW()))</f>
        <v/>
      </c>
      <c r="AG475" s="8" t="str">
        <f>IF(A475="","",IFERROR(IF(VLOOKUP(A475,Entry!$D:$D,1,FALSE)=A475,TRUE,FALSE),FALSE))</f>
        <v/>
      </c>
    </row>
    <row r="476" spans="1:33" ht="17.25" customHeight="1" x14ac:dyDescent="0.2">
      <c r="A476" s="113"/>
      <c r="B476" s="19"/>
      <c r="C476" s="19"/>
      <c r="D476" s="19"/>
      <c r="E476" s="19"/>
      <c r="F476" s="18"/>
      <c r="G476" s="19"/>
      <c r="H476" s="19"/>
      <c r="I476" s="194">
        <f t="shared" ref="I476:K476" si="242">SUM(I477:I481)</f>
        <v>0</v>
      </c>
      <c r="J476" s="195">
        <f t="shared" si="242"/>
        <v>0</v>
      </c>
      <c r="K476" s="195">
        <f t="shared" si="242"/>
        <v>0</v>
      </c>
      <c r="L476" s="104">
        <f t="shared" ref="L476" si="243">IFERROR(SUMPRODUCT(K477:K481,L477:L481)/SUM(K477:K481),0)</f>
        <v>0</v>
      </c>
      <c r="M476" s="215"/>
      <c r="N476" s="155"/>
      <c r="O476" s="47"/>
      <c r="Y476" s="8" t="str">
        <f>IF(A476="","",IFERROR(IF(VLOOKUP(A476,Entry!$D:$D,1,FALSE)=A476,"",ROW()),ROW()))</f>
        <v/>
      </c>
      <c r="AG476" s="8" t="str">
        <f>IF(A476="","",IFERROR(IF(VLOOKUP(A476,Entry!$D:$D,1,FALSE)=A476,TRUE,FALSE),FALSE))</f>
        <v/>
      </c>
    </row>
    <row r="477" spans="1:33" ht="15" customHeight="1" x14ac:dyDescent="0.2">
      <c r="A477" s="110"/>
      <c r="B477" s="20"/>
      <c r="C477" s="20"/>
      <c r="D477" s="20"/>
      <c r="E477" s="20"/>
      <c r="F477" s="16"/>
      <c r="G477" s="20"/>
      <c r="H477" s="20"/>
      <c r="I477" s="187"/>
      <c r="J477" s="188"/>
      <c r="K477" s="189">
        <f t="shared" ref="K477" si="244">I477+J477</f>
        <v>0</v>
      </c>
      <c r="L477" s="72"/>
      <c r="M477" s="212"/>
      <c r="N477" s="152"/>
      <c r="O477" s="44"/>
      <c r="Y477" s="8" t="str">
        <f>IF(A477="","",IFERROR(IF(VLOOKUP(A477,Entry!$D:$D,1,FALSE)=A477,"",ROW()),ROW()))</f>
        <v/>
      </c>
      <c r="AG477" s="8" t="str">
        <f>IF(A477="","",IFERROR(IF(VLOOKUP(A477,Entry!$D:$D,1,FALSE)=A477,TRUE,FALSE),FALSE))</f>
        <v/>
      </c>
    </row>
    <row r="478" spans="1:33" ht="15" customHeight="1" x14ac:dyDescent="0.2">
      <c r="A478" s="111"/>
      <c r="B478" s="21"/>
      <c r="C478" s="21"/>
      <c r="D478" s="21"/>
      <c r="E478" s="21"/>
      <c r="F478" s="14"/>
      <c r="G478" s="21"/>
      <c r="H478" s="21"/>
      <c r="I478" s="190"/>
      <c r="J478" s="191"/>
      <c r="K478" s="189">
        <f t="shared" si="232"/>
        <v>0</v>
      </c>
      <c r="L478" s="73"/>
      <c r="M478" s="213"/>
      <c r="N478" s="153"/>
      <c r="O478" s="45"/>
      <c r="Y478" s="8" t="str">
        <f>IF(A478="","",IFERROR(IF(VLOOKUP(A478,Entry!$D:$D,1,FALSE)=A478,"",ROW()),ROW()))</f>
        <v/>
      </c>
      <c r="AG478" s="8" t="str">
        <f>IF(A478="","",IFERROR(IF(VLOOKUP(A478,Entry!$D:$D,1,FALSE)=A478,TRUE,FALSE),FALSE))</f>
        <v/>
      </c>
    </row>
    <row r="479" spans="1:33" ht="15" customHeight="1" x14ac:dyDescent="0.2">
      <c r="A479" s="111"/>
      <c r="B479" s="21"/>
      <c r="C479" s="21"/>
      <c r="D479" s="21"/>
      <c r="E479" s="21"/>
      <c r="F479" s="14"/>
      <c r="G479" s="21"/>
      <c r="H479" s="21"/>
      <c r="I479" s="190"/>
      <c r="J479" s="191"/>
      <c r="K479" s="189">
        <f t="shared" si="232"/>
        <v>0</v>
      </c>
      <c r="L479" s="73"/>
      <c r="M479" s="213"/>
      <c r="N479" s="153"/>
      <c r="O479" s="45"/>
      <c r="Y479" s="8" t="str">
        <f>IF(A479="","",IFERROR(IF(VLOOKUP(A479,Entry!$D:$D,1,FALSE)=A479,"",ROW()),ROW()))</f>
        <v/>
      </c>
      <c r="AG479" s="8" t="str">
        <f>IF(A479="","",IFERROR(IF(VLOOKUP(A479,Entry!$D:$D,1,FALSE)=A479,TRUE,FALSE),FALSE))</f>
        <v/>
      </c>
    </row>
    <row r="480" spans="1:33" ht="15" customHeight="1" x14ac:dyDescent="0.2">
      <c r="A480" s="111"/>
      <c r="B480" s="21"/>
      <c r="C480" s="21"/>
      <c r="D480" s="21"/>
      <c r="E480" s="21"/>
      <c r="F480" s="14"/>
      <c r="G480" s="21"/>
      <c r="H480" s="21"/>
      <c r="I480" s="190"/>
      <c r="J480" s="191"/>
      <c r="K480" s="189">
        <f t="shared" si="232"/>
        <v>0</v>
      </c>
      <c r="L480" s="73"/>
      <c r="M480" s="213"/>
      <c r="N480" s="153"/>
      <c r="O480" s="45"/>
      <c r="Y480" s="8" t="str">
        <f>IF(A480="","",IFERROR(IF(VLOOKUP(A480,Entry!$D:$D,1,FALSE)=A480,"",ROW()),ROW()))</f>
        <v/>
      </c>
      <c r="AG480" s="8" t="str">
        <f>IF(A480="","",IFERROR(IF(VLOOKUP(A480,Entry!$D:$D,1,FALSE)=A480,TRUE,FALSE),FALSE))</f>
        <v/>
      </c>
    </row>
    <row r="481" spans="1:33" ht="15" customHeight="1" x14ac:dyDescent="0.2">
      <c r="A481" s="112"/>
      <c r="B481" s="22"/>
      <c r="C481" s="22"/>
      <c r="D481" s="22"/>
      <c r="E481" s="22"/>
      <c r="F481" s="15"/>
      <c r="G481" s="22"/>
      <c r="H481" s="22"/>
      <c r="I481" s="192"/>
      <c r="J481" s="193"/>
      <c r="K481" s="189">
        <f t="shared" si="232"/>
        <v>0</v>
      </c>
      <c r="L481" s="74"/>
      <c r="M481" s="214"/>
      <c r="N481" s="154"/>
      <c r="O481" s="46"/>
      <c r="Y481" s="8" t="str">
        <f>IF(A481="","",IFERROR(IF(VLOOKUP(A481,Entry!$D:$D,1,FALSE)=A481,"",ROW()),ROW()))</f>
        <v/>
      </c>
      <c r="AG481" s="8" t="str">
        <f>IF(A481="","",IFERROR(IF(VLOOKUP(A481,Entry!$D:$D,1,FALSE)=A481,TRUE,FALSE),FALSE))</f>
        <v/>
      </c>
    </row>
    <row r="482" spans="1:33" ht="17.25" customHeight="1" x14ac:dyDescent="0.2">
      <c r="A482" s="113"/>
      <c r="B482" s="19"/>
      <c r="C482" s="19"/>
      <c r="D482" s="19"/>
      <c r="E482" s="19"/>
      <c r="F482" s="18"/>
      <c r="G482" s="19"/>
      <c r="H482" s="19"/>
      <c r="I482" s="194">
        <f t="shared" ref="I482:K482" si="245">SUM(I483:I487)</f>
        <v>0</v>
      </c>
      <c r="J482" s="195">
        <f t="shared" si="245"/>
        <v>0</v>
      </c>
      <c r="K482" s="195">
        <f t="shared" si="245"/>
        <v>0</v>
      </c>
      <c r="L482" s="104">
        <f t="shared" ref="L482" si="246">IFERROR(SUMPRODUCT(K483:K487,L483:L487)/SUM(K483:K487),0)</f>
        <v>0</v>
      </c>
      <c r="M482" s="215"/>
      <c r="N482" s="155"/>
      <c r="O482" s="47"/>
      <c r="Y482" s="8" t="str">
        <f>IF(A482="","",IFERROR(IF(VLOOKUP(A482,Entry!$D:$D,1,FALSE)=A482,"",ROW()),ROW()))</f>
        <v/>
      </c>
      <c r="AG482" s="8" t="str">
        <f>IF(A482="","",IFERROR(IF(VLOOKUP(A482,Entry!$D:$D,1,FALSE)=A482,TRUE,FALSE),FALSE))</f>
        <v/>
      </c>
    </row>
    <row r="483" spans="1:33" ht="15" customHeight="1" x14ac:dyDescent="0.2">
      <c r="A483" s="110"/>
      <c r="B483" s="20"/>
      <c r="C483" s="20"/>
      <c r="D483" s="20"/>
      <c r="E483" s="20"/>
      <c r="F483" s="16"/>
      <c r="G483" s="20"/>
      <c r="H483" s="20"/>
      <c r="I483" s="187"/>
      <c r="J483" s="188"/>
      <c r="K483" s="189">
        <f t="shared" ref="K483" si="247">I483+J483</f>
        <v>0</v>
      </c>
      <c r="L483" s="72"/>
      <c r="M483" s="212"/>
      <c r="N483" s="152"/>
      <c r="O483" s="44"/>
      <c r="Y483" s="8" t="str">
        <f>IF(A483="","",IFERROR(IF(VLOOKUP(A483,Entry!$D:$D,1,FALSE)=A483,"",ROW()),ROW()))</f>
        <v/>
      </c>
      <c r="AG483" s="8" t="str">
        <f>IF(A483="","",IFERROR(IF(VLOOKUP(A483,Entry!$D:$D,1,FALSE)=A483,TRUE,FALSE),FALSE))</f>
        <v/>
      </c>
    </row>
    <row r="484" spans="1:33" ht="15" customHeight="1" x14ac:dyDescent="0.2">
      <c r="A484" s="111"/>
      <c r="B484" s="21"/>
      <c r="C484" s="21"/>
      <c r="D484" s="21"/>
      <c r="E484" s="21"/>
      <c r="F484" s="14"/>
      <c r="G484" s="21"/>
      <c r="H484" s="21"/>
      <c r="I484" s="190"/>
      <c r="J484" s="191"/>
      <c r="K484" s="189">
        <f t="shared" si="232"/>
        <v>0</v>
      </c>
      <c r="L484" s="73"/>
      <c r="M484" s="213"/>
      <c r="N484" s="153"/>
      <c r="O484" s="45"/>
      <c r="Y484" s="8" t="str">
        <f>IF(A484="","",IFERROR(IF(VLOOKUP(A484,Entry!$D:$D,1,FALSE)=A484,"",ROW()),ROW()))</f>
        <v/>
      </c>
      <c r="AG484" s="8" t="str">
        <f>IF(A484="","",IFERROR(IF(VLOOKUP(A484,Entry!$D:$D,1,FALSE)=A484,TRUE,FALSE),FALSE))</f>
        <v/>
      </c>
    </row>
    <row r="485" spans="1:33" ht="15" customHeight="1" x14ac:dyDescent="0.2">
      <c r="A485" s="111"/>
      <c r="B485" s="21"/>
      <c r="C485" s="21"/>
      <c r="D485" s="21"/>
      <c r="E485" s="21"/>
      <c r="F485" s="14"/>
      <c r="G485" s="21"/>
      <c r="H485" s="21"/>
      <c r="I485" s="190"/>
      <c r="J485" s="191"/>
      <c r="K485" s="189">
        <f t="shared" si="232"/>
        <v>0</v>
      </c>
      <c r="L485" s="73"/>
      <c r="M485" s="213"/>
      <c r="N485" s="153"/>
      <c r="O485" s="45"/>
      <c r="Y485" s="8" t="str">
        <f>IF(A485="","",IFERROR(IF(VLOOKUP(A485,Entry!$D:$D,1,FALSE)=A485,"",ROW()),ROW()))</f>
        <v/>
      </c>
      <c r="AG485" s="8" t="str">
        <f>IF(A485="","",IFERROR(IF(VLOOKUP(A485,Entry!$D:$D,1,FALSE)=A485,TRUE,FALSE),FALSE))</f>
        <v/>
      </c>
    </row>
    <row r="486" spans="1:33" ht="15" customHeight="1" x14ac:dyDescent="0.2">
      <c r="A486" s="111"/>
      <c r="B486" s="21"/>
      <c r="C486" s="21"/>
      <c r="D486" s="21"/>
      <c r="E486" s="21"/>
      <c r="F486" s="14"/>
      <c r="G486" s="21"/>
      <c r="H486" s="21"/>
      <c r="I486" s="190"/>
      <c r="J486" s="191"/>
      <c r="K486" s="189">
        <f t="shared" si="232"/>
        <v>0</v>
      </c>
      <c r="L486" s="73"/>
      <c r="M486" s="213"/>
      <c r="N486" s="153"/>
      <c r="O486" s="45"/>
      <c r="Y486" s="8" t="str">
        <f>IF(A486="","",IFERROR(IF(VLOOKUP(A486,Entry!$D:$D,1,FALSE)=A486,"",ROW()),ROW()))</f>
        <v/>
      </c>
      <c r="AG486" s="8" t="str">
        <f>IF(A486="","",IFERROR(IF(VLOOKUP(A486,Entry!$D:$D,1,FALSE)=A486,TRUE,FALSE),FALSE))</f>
        <v/>
      </c>
    </row>
    <row r="487" spans="1:33" ht="15" customHeight="1" x14ac:dyDescent="0.2">
      <c r="A487" s="112"/>
      <c r="B487" s="22"/>
      <c r="C487" s="22"/>
      <c r="D487" s="22"/>
      <c r="E487" s="22"/>
      <c r="F487" s="15"/>
      <c r="G487" s="22"/>
      <c r="H487" s="22"/>
      <c r="I487" s="192"/>
      <c r="J487" s="193"/>
      <c r="K487" s="189">
        <f t="shared" si="232"/>
        <v>0</v>
      </c>
      <c r="L487" s="74"/>
      <c r="M487" s="214"/>
      <c r="N487" s="154"/>
      <c r="O487" s="46"/>
      <c r="Y487" s="8" t="str">
        <f>IF(A487="","",IFERROR(IF(VLOOKUP(A487,Entry!$D:$D,1,FALSE)=A487,"",ROW()),ROW()))</f>
        <v/>
      </c>
      <c r="AG487" s="8" t="str">
        <f>IF(A487="","",IFERROR(IF(VLOOKUP(A487,Entry!$D:$D,1,FALSE)=A487,TRUE,FALSE),FALSE))</f>
        <v/>
      </c>
    </row>
    <row r="488" spans="1:33" ht="17.25" customHeight="1" x14ac:dyDescent="0.2">
      <c r="A488" s="113"/>
      <c r="B488" s="19"/>
      <c r="C488" s="19"/>
      <c r="D488" s="19"/>
      <c r="E488" s="19"/>
      <c r="F488" s="18"/>
      <c r="G488" s="19"/>
      <c r="H488" s="19"/>
      <c r="I488" s="194">
        <f t="shared" ref="I488:K488" si="248">SUM(I489:I493)</f>
        <v>0</v>
      </c>
      <c r="J488" s="195">
        <f t="shared" si="248"/>
        <v>0</v>
      </c>
      <c r="K488" s="195">
        <f t="shared" si="248"/>
        <v>0</v>
      </c>
      <c r="L488" s="104">
        <f t="shared" ref="L488" si="249">IFERROR(SUMPRODUCT(K489:K493,L489:L493)/SUM(K489:K493),0)</f>
        <v>0</v>
      </c>
      <c r="M488" s="215"/>
      <c r="N488" s="155"/>
      <c r="O488" s="47"/>
      <c r="Y488" s="8" t="str">
        <f>IF(A488="","",IFERROR(IF(VLOOKUP(A488,Entry!$D:$D,1,FALSE)=A488,"",ROW()),ROW()))</f>
        <v/>
      </c>
      <c r="AG488" s="8" t="str">
        <f>IF(A488="","",IFERROR(IF(VLOOKUP(A488,Entry!$D:$D,1,FALSE)=A488,TRUE,FALSE),FALSE))</f>
        <v/>
      </c>
    </row>
    <row r="489" spans="1:33" ht="15" customHeight="1" x14ac:dyDescent="0.2">
      <c r="A489" s="110"/>
      <c r="B489" s="20"/>
      <c r="C489" s="20"/>
      <c r="D489" s="20"/>
      <c r="E489" s="20"/>
      <c r="F489" s="16"/>
      <c r="G489" s="20"/>
      <c r="H489" s="20"/>
      <c r="I489" s="187"/>
      <c r="J489" s="188"/>
      <c r="K489" s="189">
        <f t="shared" ref="K489" si="250">I489+J489</f>
        <v>0</v>
      </c>
      <c r="L489" s="72"/>
      <c r="M489" s="212"/>
      <c r="N489" s="152"/>
      <c r="O489" s="44"/>
      <c r="Y489" s="8" t="str">
        <f>IF(A489="","",IFERROR(IF(VLOOKUP(A489,Entry!$D:$D,1,FALSE)=A489,"",ROW()),ROW()))</f>
        <v/>
      </c>
      <c r="AG489" s="8" t="str">
        <f>IF(A489="","",IFERROR(IF(VLOOKUP(A489,Entry!$D:$D,1,FALSE)=A489,TRUE,FALSE),FALSE))</f>
        <v/>
      </c>
    </row>
    <row r="490" spans="1:33" ht="15" customHeight="1" x14ac:dyDescent="0.2">
      <c r="A490" s="111"/>
      <c r="B490" s="21"/>
      <c r="C490" s="21"/>
      <c r="D490" s="21"/>
      <c r="E490" s="21"/>
      <c r="F490" s="14"/>
      <c r="G490" s="21"/>
      <c r="H490" s="21"/>
      <c r="I490" s="190"/>
      <c r="J490" s="191"/>
      <c r="K490" s="189">
        <f t="shared" si="232"/>
        <v>0</v>
      </c>
      <c r="L490" s="73"/>
      <c r="M490" s="213"/>
      <c r="N490" s="153"/>
      <c r="O490" s="45"/>
      <c r="Y490" s="8" t="str">
        <f>IF(A490="","",IFERROR(IF(VLOOKUP(A490,Entry!$D:$D,1,FALSE)=A490,"",ROW()),ROW()))</f>
        <v/>
      </c>
      <c r="AG490" s="8" t="str">
        <f>IF(A490="","",IFERROR(IF(VLOOKUP(A490,Entry!$D:$D,1,FALSE)=A490,TRUE,FALSE),FALSE))</f>
        <v/>
      </c>
    </row>
    <row r="491" spans="1:33" ht="15" customHeight="1" x14ac:dyDescent="0.2">
      <c r="A491" s="111"/>
      <c r="B491" s="21"/>
      <c r="C491" s="21"/>
      <c r="D491" s="21"/>
      <c r="E491" s="21"/>
      <c r="F491" s="14"/>
      <c r="G491" s="21"/>
      <c r="H491" s="21"/>
      <c r="I491" s="190"/>
      <c r="J491" s="191"/>
      <c r="K491" s="189">
        <f t="shared" si="232"/>
        <v>0</v>
      </c>
      <c r="L491" s="73"/>
      <c r="M491" s="213"/>
      <c r="N491" s="153"/>
      <c r="O491" s="45"/>
      <c r="Y491" s="8" t="str">
        <f>IF(A491="","",IFERROR(IF(VLOOKUP(A491,Entry!$D:$D,1,FALSE)=A491,"",ROW()),ROW()))</f>
        <v/>
      </c>
      <c r="AG491" s="8" t="str">
        <f>IF(A491="","",IFERROR(IF(VLOOKUP(A491,Entry!$D:$D,1,FALSE)=A491,TRUE,FALSE),FALSE))</f>
        <v/>
      </c>
    </row>
    <row r="492" spans="1:33" ht="15" customHeight="1" x14ac:dyDescent="0.2">
      <c r="A492" s="111"/>
      <c r="B492" s="21"/>
      <c r="C492" s="21"/>
      <c r="D492" s="21"/>
      <c r="E492" s="21"/>
      <c r="F492" s="14"/>
      <c r="G492" s="21"/>
      <c r="H492" s="21"/>
      <c r="I492" s="190"/>
      <c r="J492" s="191"/>
      <c r="K492" s="189">
        <f t="shared" si="232"/>
        <v>0</v>
      </c>
      <c r="L492" s="73"/>
      <c r="M492" s="213"/>
      <c r="N492" s="153"/>
      <c r="O492" s="45"/>
      <c r="Y492" s="8" t="str">
        <f>IF(A492="","",IFERROR(IF(VLOOKUP(A492,Entry!$D:$D,1,FALSE)=A492,"",ROW()),ROW()))</f>
        <v/>
      </c>
      <c r="AG492" s="8" t="str">
        <f>IF(A492="","",IFERROR(IF(VLOOKUP(A492,Entry!$D:$D,1,FALSE)=A492,TRUE,FALSE),FALSE))</f>
        <v/>
      </c>
    </row>
    <row r="493" spans="1:33" ht="15" customHeight="1" x14ac:dyDescent="0.2">
      <c r="A493" s="112"/>
      <c r="B493" s="22"/>
      <c r="C493" s="22"/>
      <c r="D493" s="22"/>
      <c r="E493" s="22"/>
      <c r="F493" s="15"/>
      <c r="G493" s="22"/>
      <c r="H493" s="22"/>
      <c r="I493" s="192"/>
      <c r="J493" s="193"/>
      <c r="K493" s="189">
        <f t="shared" si="232"/>
        <v>0</v>
      </c>
      <c r="L493" s="74"/>
      <c r="M493" s="214"/>
      <c r="N493" s="154"/>
      <c r="O493" s="46"/>
      <c r="Y493" s="8" t="str">
        <f>IF(A493="","",IFERROR(IF(VLOOKUP(A493,Entry!$D:$D,1,FALSE)=A493,"",ROW()),ROW()))</f>
        <v/>
      </c>
      <c r="AG493" s="8" t="str">
        <f>IF(A493="","",IFERROR(IF(VLOOKUP(A493,Entry!$D:$D,1,FALSE)=A493,TRUE,FALSE),FALSE))</f>
        <v/>
      </c>
    </row>
    <row r="494" spans="1:33" ht="17.25" customHeight="1" x14ac:dyDescent="0.2">
      <c r="A494" s="113"/>
      <c r="B494" s="19"/>
      <c r="C494" s="19"/>
      <c r="D494" s="19"/>
      <c r="E494" s="19"/>
      <c r="F494" s="18"/>
      <c r="G494" s="19"/>
      <c r="H494" s="19"/>
      <c r="I494" s="194">
        <f t="shared" ref="I494:K494" si="251">SUM(I495:I499)</f>
        <v>0</v>
      </c>
      <c r="J494" s="195">
        <f t="shared" si="251"/>
        <v>0</v>
      </c>
      <c r="K494" s="195">
        <f t="shared" si="251"/>
        <v>0</v>
      </c>
      <c r="L494" s="104">
        <f t="shared" ref="L494" si="252">IFERROR(SUMPRODUCT(K495:K499,L495:L499)/SUM(K495:K499),0)</f>
        <v>0</v>
      </c>
      <c r="M494" s="215"/>
      <c r="N494" s="155"/>
      <c r="O494" s="47"/>
      <c r="Y494" s="8" t="str">
        <f>IF(A494="","",IFERROR(IF(VLOOKUP(A494,Entry!$D:$D,1,FALSE)=A494,"",ROW()),ROW()))</f>
        <v/>
      </c>
      <c r="AG494" s="8" t="str">
        <f>IF(A494="","",IFERROR(IF(VLOOKUP(A494,Entry!$D:$D,1,FALSE)=A494,TRUE,FALSE),FALSE))</f>
        <v/>
      </c>
    </row>
    <row r="495" spans="1:33" ht="15" customHeight="1" x14ac:dyDescent="0.2">
      <c r="A495" s="110"/>
      <c r="B495" s="20"/>
      <c r="C495" s="20"/>
      <c r="D495" s="20"/>
      <c r="E495" s="20"/>
      <c r="F495" s="16"/>
      <c r="G495" s="20"/>
      <c r="H495" s="20"/>
      <c r="I495" s="187"/>
      <c r="J495" s="188"/>
      <c r="K495" s="189">
        <f t="shared" ref="K495" si="253">I495+J495</f>
        <v>0</v>
      </c>
      <c r="L495" s="72"/>
      <c r="M495" s="212"/>
      <c r="N495" s="152"/>
      <c r="O495" s="44"/>
      <c r="Y495" s="8" t="str">
        <f>IF(A495="","",IFERROR(IF(VLOOKUP(A495,Entry!$D:$D,1,FALSE)=A495,"",ROW()),ROW()))</f>
        <v/>
      </c>
      <c r="AG495" s="8" t="str">
        <f>IF(A495="","",IFERROR(IF(VLOOKUP(A495,Entry!$D:$D,1,FALSE)=A495,TRUE,FALSE),FALSE))</f>
        <v/>
      </c>
    </row>
    <row r="496" spans="1:33" ht="15" customHeight="1" x14ac:dyDescent="0.2">
      <c r="A496" s="111"/>
      <c r="B496" s="21"/>
      <c r="C496" s="21"/>
      <c r="D496" s="21"/>
      <c r="E496" s="21"/>
      <c r="F496" s="14"/>
      <c r="G496" s="21"/>
      <c r="H496" s="21"/>
      <c r="I496" s="190"/>
      <c r="J496" s="191"/>
      <c r="K496" s="189">
        <f t="shared" si="232"/>
        <v>0</v>
      </c>
      <c r="L496" s="73"/>
      <c r="M496" s="213"/>
      <c r="N496" s="153"/>
      <c r="O496" s="45"/>
      <c r="Y496" s="8" t="str">
        <f>IF(A496="","",IFERROR(IF(VLOOKUP(A496,Entry!$D:$D,1,FALSE)=A496,"",ROW()),ROW()))</f>
        <v/>
      </c>
      <c r="AG496" s="8" t="str">
        <f>IF(A496="","",IFERROR(IF(VLOOKUP(A496,Entry!$D:$D,1,FALSE)=A496,TRUE,FALSE),FALSE))</f>
        <v/>
      </c>
    </row>
    <row r="497" spans="1:33" ht="15" customHeight="1" x14ac:dyDescent="0.2">
      <c r="A497" s="111"/>
      <c r="B497" s="21"/>
      <c r="C497" s="21"/>
      <c r="D497" s="21"/>
      <c r="E497" s="21"/>
      <c r="F497" s="14"/>
      <c r="G497" s="21"/>
      <c r="H497" s="21"/>
      <c r="I497" s="190"/>
      <c r="J497" s="191"/>
      <c r="K497" s="189">
        <f t="shared" si="232"/>
        <v>0</v>
      </c>
      <c r="L497" s="73"/>
      <c r="M497" s="213"/>
      <c r="N497" s="153"/>
      <c r="O497" s="45"/>
      <c r="Y497" s="8" t="str">
        <f>IF(A497="","",IFERROR(IF(VLOOKUP(A497,Entry!$D:$D,1,FALSE)=A497,"",ROW()),ROW()))</f>
        <v/>
      </c>
      <c r="AG497" s="8" t="str">
        <f>IF(A497="","",IFERROR(IF(VLOOKUP(A497,Entry!$D:$D,1,FALSE)=A497,TRUE,FALSE),FALSE))</f>
        <v/>
      </c>
    </row>
    <row r="498" spans="1:33" ht="15" customHeight="1" x14ac:dyDescent="0.2">
      <c r="A498" s="111"/>
      <c r="B498" s="21"/>
      <c r="C498" s="21"/>
      <c r="D498" s="21"/>
      <c r="E498" s="21"/>
      <c r="F498" s="14"/>
      <c r="G498" s="21"/>
      <c r="H498" s="21"/>
      <c r="I498" s="190"/>
      <c r="J498" s="191"/>
      <c r="K498" s="189">
        <f t="shared" si="232"/>
        <v>0</v>
      </c>
      <c r="L498" s="73"/>
      <c r="M498" s="213"/>
      <c r="N498" s="153"/>
      <c r="O498" s="45"/>
      <c r="Y498" s="8" t="str">
        <f>IF(A498="","",IFERROR(IF(VLOOKUP(A498,Entry!$D:$D,1,FALSE)=A498,"",ROW()),ROW()))</f>
        <v/>
      </c>
      <c r="AG498" s="8" t="str">
        <f>IF(A498="","",IFERROR(IF(VLOOKUP(A498,Entry!$D:$D,1,FALSE)=A498,TRUE,FALSE),FALSE))</f>
        <v/>
      </c>
    </row>
    <row r="499" spans="1:33" ht="15" customHeight="1" x14ac:dyDescent="0.2">
      <c r="A499" s="112"/>
      <c r="B499" s="22"/>
      <c r="C499" s="22"/>
      <c r="D499" s="22"/>
      <c r="E499" s="22"/>
      <c r="F499" s="15"/>
      <c r="G499" s="22"/>
      <c r="H499" s="22"/>
      <c r="I499" s="192"/>
      <c r="J499" s="193"/>
      <c r="K499" s="189">
        <f t="shared" si="232"/>
        <v>0</v>
      </c>
      <c r="L499" s="74"/>
      <c r="M499" s="214"/>
      <c r="N499" s="154"/>
      <c r="O499" s="46"/>
      <c r="Y499" s="8" t="str">
        <f>IF(A499="","",IFERROR(IF(VLOOKUP(A499,Entry!$D:$D,1,FALSE)=A499,"",ROW()),ROW()))</f>
        <v/>
      </c>
      <c r="AG499" s="8" t="str">
        <f>IF(A499="","",IFERROR(IF(VLOOKUP(A499,Entry!$D:$D,1,FALSE)=A499,TRUE,FALSE),FALSE))</f>
        <v/>
      </c>
    </row>
    <row r="500" spans="1:33" ht="17.25" customHeight="1" x14ac:dyDescent="0.2">
      <c r="A500" s="113"/>
      <c r="B500" s="19"/>
      <c r="C500" s="19"/>
      <c r="D500" s="19"/>
      <c r="E500" s="19"/>
      <c r="F500" s="18"/>
      <c r="G500" s="19"/>
      <c r="H500" s="19"/>
      <c r="I500" s="194">
        <f t="shared" ref="I500:K500" si="254">SUM(I501:I505)</f>
        <v>0</v>
      </c>
      <c r="J500" s="195">
        <f t="shared" si="254"/>
        <v>0</v>
      </c>
      <c r="K500" s="195">
        <f t="shared" si="254"/>
        <v>0</v>
      </c>
      <c r="L500" s="104">
        <f t="shared" ref="L500" si="255">IFERROR(SUMPRODUCT(K501:K505,L501:L505)/SUM(K501:K505),0)</f>
        <v>0</v>
      </c>
      <c r="M500" s="215"/>
      <c r="N500" s="155"/>
      <c r="O500" s="47"/>
      <c r="Y500" s="8" t="str">
        <f>IF(A500="","",IFERROR(IF(VLOOKUP(A500,Entry!$D:$D,1,FALSE)=A500,"",ROW()),ROW()))</f>
        <v/>
      </c>
      <c r="AG500" s="8" t="str">
        <f>IF(A500="","",IFERROR(IF(VLOOKUP(A500,Entry!$D:$D,1,FALSE)=A500,TRUE,FALSE),FALSE))</f>
        <v/>
      </c>
    </row>
    <row r="501" spans="1:33" ht="15" customHeight="1" x14ac:dyDescent="0.2">
      <c r="A501" s="110"/>
      <c r="B501" s="20"/>
      <c r="C501" s="20"/>
      <c r="D501" s="20"/>
      <c r="E501" s="20"/>
      <c r="F501" s="16"/>
      <c r="G501" s="20"/>
      <c r="H501" s="20"/>
      <c r="I501" s="187"/>
      <c r="J501" s="188"/>
      <c r="K501" s="189">
        <f t="shared" ref="K501" si="256">I501+J501</f>
        <v>0</v>
      </c>
      <c r="L501" s="72"/>
      <c r="M501" s="212"/>
      <c r="N501" s="152"/>
      <c r="O501" s="44"/>
      <c r="Y501" s="8" t="str">
        <f>IF(A501="","",IFERROR(IF(VLOOKUP(A501,Entry!$D:$D,1,FALSE)=A501,"",ROW()),ROW()))</f>
        <v/>
      </c>
      <c r="AG501" s="8" t="str">
        <f>IF(A501="","",IFERROR(IF(VLOOKUP(A501,Entry!$D:$D,1,FALSE)=A501,TRUE,FALSE),FALSE))</f>
        <v/>
      </c>
    </row>
    <row r="502" spans="1:33" ht="15" customHeight="1" x14ac:dyDescent="0.2">
      <c r="A502" s="111"/>
      <c r="B502" s="21"/>
      <c r="C502" s="21"/>
      <c r="D502" s="21"/>
      <c r="E502" s="21"/>
      <c r="F502" s="14"/>
      <c r="G502" s="21"/>
      <c r="H502" s="21"/>
      <c r="I502" s="190"/>
      <c r="J502" s="191"/>
      <c r="K502" s="189">
        <f t="shared" si="232"/>
        <v>0</v>
      </c>
      <c r="L502" s="73"/>
      <c r="M502" s="213"/>
      <c r="N502" s="153"/>
      <c r="O502" s="45"/>
      <c r="Y502" s="8" t="str">
        <f>IF(A502="","",IFERROR(IF(VLOOKUP(A502,Entry!$D:$D,1,FALSE)=A502,"",ROW()),ROW()))</f>
        <v/>
      </c>
      <c r="AG502" s="8" t="str">
        <f>IF(A502="","",IFERROR(IF(VLOOKUP(A502,Entry!$D:$D,1,FALSE)=A502,TRUE,FALSE),FALSE))</f>
        <v/>
      </c>
    </row>
    <row r="503" spans="1:33" ht="15" customHeight="1" x14ac:dyDescent="0.2">
      <c r="A503" s="111"/>
      <c r="B503" s="21"/>
      <c r="C503" s="21"/>
      <c r="D503" s="21"/>
      <c r="E503" s="21"/>
      <c r="F503" s="14"/>
      <c r="G503" s="21"/>
      <c r="H503" s="21"/>
      <c r="I503" s="190"/>
      <c r="J503" s="191"/>
      <c r="K503" s="189">
        <f t="shared" si="232"/>
        <v>0</v>
      </c>
      <c r="L503" s="73"/>
      <c r="M503" s="213"/>
      <c r="N503" s="153"/>
      <c r="O503" s="45"/>
      <c r="Y503" s="8" t="str">
        <f>IF(A503="","",IFERROR(IF(VLOOKUP(A503,Entry!$D:$D,1,FALSE)=A503,"",ROW()),ROW()))</f>
        <v/>
      </c>
      <c r="AG503" s="8" t="str">
        <f>IF(A503="","",IFERROR(IF(VLOOKUP(A503,Entry!$D:$D,1,FALSE)=A503,TRUE,FALSE),FALSE))</f>
        <v/>
      </c>
    </row>
    <row r="504" spans="1:33" ht="15" customHeight="1" x14ac:dyDescent="0.2">
      <c r="A504" s="111"/>
      <c r="B504" s="21"/>
      <c r="C504" s="21"/>
      <c r="D504" s="21"/>
      <c r="E504" s="21"/>
      <c r="F504" s="14"/>
      <c r="G504" s="21"/>
      <c r="H504" s="21"/>
      <c r="I504" s="190"/>
      <c r="J504" s="191"/>
      <c r="K504" s="189">
        <f t="shared" si="232"/>
        <v>0</v>
      </c>
      <c r="L504" s="73"/>
      <c r="M504" s="213"/>
      <c r="N504" s="153"/>
      <c r="O504" s="45"/>
      <c r="Y504" s="8" t="str">
        <f>IF(A504="","",IFERROR(IF(VLOOKUP(A504,Entry!$D:$D,1,FALSE)=A504,"",ROW()),ROW()))</f>
        <v/>
      </c>
      <c r="AG504" s="8" t="str">
        <f>IF(A504="","",IFERROR(IF(VLOOKUP(A504,Entry!$D:$D,1,FALSE)=A504,TRUE,FALSE),FALSE))</f>
        <v/>
      </c>
    </row>
    <row r="505" spans="1:33" ht="15" customHeight="1" x14ac:dyDescent="0.2">
      <c r="A505" s="112"/>
      <c r="B505" s="22"/>
      <c r="C505" s="22"/>
      <c r="D505" s="22"/>
      <c r="E505" s="22"/>
      <c r="F505" s="15"/>
      <c r="G505" s="22"/>
      <c r="H505" s="22"/>
      <c r="I505" s="192"/>
      <c r="J505" s="193"/>
      <c r="K505" s="189">
        <f t="shared" si="232"/>
        <v>0</v>
      </c>
      <c r="L505" s="74"/>
      <c r="M505" s="214"/>
      <c r="N505" s="154"/>
      <c r="O505" s="46"/>
      <c r="Y505" s="8" t="str">
        <f>IF(A505="","",IFERROR(IF(VLOOKUP(A505,Entry!$D:$D,1,FALSE)=A505,"",ROW()),ROW()))</f>
        <v/>
      </c>
      <c r="AG505" s="8" t="str">
        <f>IF(A505="","",IFERROR(IF(VLOOKUP(A505,Entry!$D:$D,1,FALSE)=A505,TRUE,FALSE),FALSE))</f>
        <v/>
      </c>
    </row>
    <row r="506" spans="1:33" ht="17.25" customHeight="1" x14ac:dyDescent="0.2">
      <c r="A506" s="113"/>
      <c r="B506" s="19"/>
      <c r="C506" s="19"/>
      <c r="D506" s="19"/>
      <c r="E506" s="19"/>
      <c r="F506" s="18"/>
      <c r="G506" s="19"/>
      <c r="H506" s="19"/>
      <c r="I506" s="194">
        <f t="shared" ref="I506:K506" si="257">SUM(I507:I511)</f>
        <v>0</v>
      </c>
      <c r="J506" s="195">
        <f t="shared" si="257"/>
        <v>0</v>
      </c>
      <c r="K506" s="195">
        <f t="shared" si="257"/>
        <v>0</v>
      </c>
      <c r="L506" s="104">
        <f t="shared" ref="L506" si="258">IFERROR(SUMPRODUCT(K507:K511,L507:L511)/SUM(K507:K511),0)</f>
        <v>0</v>
      </c>
      <c r="M506" s="215"/>
      <c r="N506" s="155"/>
      <c r="O506" s="47"/>
      <c r="Y506" s="8" t="str">
        <f>IF(A506="","",IFERROR(IF(VLOOKUP(A506,Entry!$D:$D,1,FALSE)=A506,"",ROW()),ROW()))</f>
        <v/>
      </c>
      <c r="AG506" s="8" t="str">
        <f>IF(A506="","",IFERROR(IF(VLOOKUP(A506,Entry!$D:$D,1,FALSE)=A506,TRUE,FALSE),FALSE))</f>
        <v/>
      </c>
    </row>
    <row r="507" spans="1:33" ht="15" customHeight="1" x14ac:dyDescent="0.2">
      <c r="A507" s="110"/>
      <c r="B507" s="20"/>
      <c r="C507" s="20"/>
      <c r="D507" s="20"/>
      <c r="E507" s="20"/>
      <c r="F507" s="16"/>
      <c r="G507" s="20"/>
      <c r="H507" s="20"/>
      <c r="I507" s="187"/>
      <c r="J507" s="188"/>
      <c r="K507" s="189">
        <f t="shared" ref="K507" si="259">I507+J507</f>
        <v>0</v>
      </c>
      <c r="L507" s="72"/>
      <c r="M507" s="212"/>
      <c r="N507" s="152"/>
      <c r="O507" s="44"/>
      <c r="Y507" s="8" t="str">
        <f>IF(A507="","",IFERROR(IF(VLOOKUP(A507,Entry!$D:$D,1,FALSE)=A507,"",ROW()),ROW()))</f>
        <v/>
      </c>
      <c r="AG507" s="8" t="str">
        <f>IF(A507="","",IFERROR(IF(VLOOKUP(A507,Entry!$D:$D,1,FALSE)=A507,TRUE,FALSE),FALSE))</f>
        <v/>
      </c>
    </row>
    <row r="508" spans="1:33" ht="15" customHeight="1" x14ac:dyDescent="0.2">
      <c r="A508" s="111"/>
      <c r="B508" s="21"/>
      <c r="C508" s="21"/>
      <c r="D508" s="21"/>
      <c r="E508" s="21"/>
      <c r="F508" s="14"/>
      <c r="G508" s="21"/>
      <c r="H508" s="21"/>
      <c r="I508" s="190"/>
      <c r="J508" s="191"/>
      <c r="K508" s="189">
        <f t="shared" si="232"/>
        <v>0</v>
      </c>
      <c r="L508" s="73"/>
      <c r="M508" s="213"/>
      <c r="N508" s="153"/>
      <c r="O508" s="45"/>
      <c r="Y508" s="8" t="str">
        <f>IF(A508="","",IFERROR(IF(VLOOKUP(A508,Entry!$D:$D,1,FALSE)=A508,"",ROW()),ROW()))</f>
        <v/>
      </c>
      <c r="AG508" s="8" t="str">
        <f>IF(A508="","",IFERROR(IF(VLOOKUP(A508,Entry!$D:$D,1,FALSE)=A508,TRUE,FALSE),FALSE))</f>
        <v/>
      </c>
    </row>
    <row r="509" spans="1:33" ht="15" customHeight="1" x14ac:dyDescent="0.2">
      <c r="A509" s="111"/>
      <c r="B509" s="21"/>
      <c r="C509" s="21"/>
      <c r="D509" s="21"/>
      <c r="E509" s="21"/>
      <c r="F509" s="14"/>
      <c r="G509" s="21"/>
      <c r="H509" s="21"/>
      <c r="I509" s="190"/>
      <c r="J509" s="191"/>
      <c r="K509" s="189">
        <f t="shared" si="232"/>
        <v>0</v>
      </c>
      <c r="L509" s="73"/>
      <c r="M509" s="213"/>
      <c r="N509" s="153"/>
      <c r="O509" s="45"/>
      <c r="Y509" s="8" t="str">
        <f>IF(A509="","",IFERROR(IF(VLOOKUP(A509,Entry!$D:$D,1,FALSE)=A509,"",ROW()),ROW()))</f>
        <v/>
      </c>
      <c r="AG509" s="8" t="str">
        <f>IF(A509="","",IFERROR(IF(VLOOKUP(A509,Entry!$D:$D,1,FALSE)=A509,TRUE,FALSE),FALSE))</f>
        <v/>
      </c>
    </row>
    <row r="510" spans="1:33" ht="15" customHeight="1" x14ac:dyDescent="0.2">
      <c r="A510" s="111"/>
      <c r="B510" s="21"/>
      <c r="C510" s="21"/>
      <c r="D510" s="21"/>
      <c r="E510" s="21"/>
      <c r="F510" s="14"/>
      <c r="G510" s="21"/>
      <c r="H510" s="21"/>
      <c r="I510" s="190"/>
      <c r="J510" s="191"/>
      <c r="K510" s="189">
        <f t="shared" si="232"/>
        <v>0</v>
      </c>
      <c r="L510" s="73"/>
      <c r="M510" s="213"/>
      <c r="N510" s="153"/>
      <c r="O510" s="45"/>
      <c r="Y510" s="8" t="str">
        <f>IF(A510="","",IFERROR(IF(VLOOKUP(A510,Entry!$D:$D,1,FALSE)=A510,"",ROW()),ROW()))</f>
        <v/>
      </c>
      <c r="AG510" s="8" t="str">
        <f>IF(A510="","",IFERROR(IF(VLOOKUP(A510,Entry!$D:$D,1,FALSE)=A510,TRUE,FALSE),FALSE))</f>
        <v/>
      </c>
    </row>
    <row r="511" spans="1:33" ht="15" customHeight="1" x14ac:dyDescent="0.2">
      <c r="A511" s="112"/>
      <c r="B511" s="22"/>
      <c r="C511" s="22"/>
      <c r="D511" s="22"/>
      <c r="E511" s="22"/>
      <c r="F511" s="15"/>
      <c r="G511" s="22"/>
      <c r="H511" s="22"/>
      <c r="I511" s="192"/>
      <c r="J511" s="193"/>
      <c r="K511" s="189">
        <f t="shared" si="232"/>
        <v>0</v>
      </c>
      <c r="L511" s="74"/>
      <c r="M511" s="214"/>
      <c r="N511" s="154"/>
      <c r="O511" s="46"/>
      <c r="Y511" s="8" t="str">
        <f>IF(A511="","",IFERROR(IF(VLOOKUP(A511,Entry!$D:$D,1,FALSE)=A511,"",ROW()),ROW()))</f>
        <v/>
      </c>
      <c r="AG511" s="8" t="str">
        <f>IF(A511="","",IFERROR(IF(VLOOKUP(A511,Entry!$D:$D,1,FALSE)=A511,TRUE,FALSE),FALSE))</f>
        <v/>
      </c>
    </row>
    <row r="512" spans="1:33" ht="17.25" customHeight="1" x14ac:dyDescent="0.2">
      <c r="A512" s="113"/>
      <c r="B512" s="19"/>
      <c r="C512" s="19"/>
      <c r="D512" s="19"/>
      <c r="E512" s="19"/>
      <c r="F512" s="18"/>
      <c r="G512" s="19"/>
      <c r="H512" s="19"/>
      <c r="I512" s="194">
        <f t="shared" ref="I512:K512" si="260">SUM(I513:I517)</f>
        <v>0</v>
      </c>
      <c r="J512" s="195">
        <f t="shared" si="260"/>
        <v>0</v>
      </c>
      <c r="K512" s="195">
        <f t="shared" si="260"/>
        <v>0</v>
      </c>
      <c r="L512" s="104">
        <f t="shared" ref="L512" si="261">IFERROR(SUMPRODUCT(K513:K517,L513:L517)/SUM(K513:K517),0)</f>
        <v>0</v>
      </c>
      <c r="M512" s="215"/>
      <c r="N512" s="155"/>
      <c r="O512" s="47"/>
      <c r="Y512" s="8" t="str">
        <f>IF(A512="","",IFERROR(IF(VLOOKUP(A512,Entry!$D:$D,1,FALSE)=A512,"",ROW()),ROW()))</f>
        <v/>
      </c>
      <c r="AG512" s="8" t="str">
        <f>IF(A512="","",IFERROR(IF(VLOOKUP(A512,Entry!$D:$D,1,FALSE)=A512,TRUE,FALSE),FALSE))</f>
        <v/>
      </c>
    </row>
    <row r="513" spans="1:33" ht="15" customHeight="1" x14ac:dyDescent="0.2">
      <c r="A513" s="110"/>
      <c r="B513" s="20"/>
      <c r="C513" s="20"/>
      <c r="D513" s="20"/>
      <c r="E513" s="20"/>
      <c r="F513" s="16"/>
      <c r="G513" s="20"/>
      <c r="H513" s="20"/>
      <c r="I513" s="187"/>
      <c r="J513" s="188"/>
      <c r="K513" s="189">
        <f t="shared" ref="K513" si="262">I513+J513</f>
        <v>0</v>
      </c>
      <c r="L513" s="72"/>
      <c r="M513" s="212"/>
      <c r="N513" s="152"/>
      <c r="O513" s="44"/>
      <c r="Y513" s="8" t="str">
        <f>IF(A513="","",IFERROR(IF(VLOOKUP(A513,Entry!$D:$D,1,FALSE)=A513,"",ROW()),ROW()))</f>
        <v/>
      </c>
      <c r="AG513" s="8" t="str">
        <f>IF(A513="","",IFERROR(IF(VLOOKUP(A513,Entry!$D:$D,1,FALSE)=A513,TRUE,FALSE),FALSE))</f>
        <v/>
      </c>
    </row>
    <row r="514" spans="1:33" ht="15" customHeight="1" x14ac:dyDescent="0.2">
      <c r="A514" s="111"/>
      <c r="B514" s="21"/>
      <c r="C514" s="21"/>
      <c r="D514" s="21"/>
      <c r="E514" s="21"/>
      <c r="F514" s="14"/>
      <c r="G514" s="21"/>
      <c r="H514" s="21"/>
      <c r="I514" s="190"/>
      <c r="J514" s="191"/>
      <c r="K514" s="189">
        <f t="shared" si="232"/>
        <v>0</v>
      </c>
      <c r="L514" s="73"/>
      <c r="M514" s="213"/>
      <c r="N514" s="153"/>
      <c r="O514" s="45"/>
      <c r="Y514" s="8" t="str">
        <f>IF(A514="","",IFERROR(IF(VLOOKUP(A514,Entry!$D:$D,1,FALSE)=A514,"",ROW()),ROW()))</f>
        <v/>
      </c>
      <c r="AG514" s="8" t="str">
        <f>IF(A514="","",IFERROR(IF(VLOOKUP(A514,Entry!$D:$D,1,FALSE)=A514,TRUE,FALSE),FALSE))</f>
        <v/>
      </c>
    </row>
    <row r="515" spans="1:33" ht="15" customHeight="1" x14ac:dyDescent="0.2">
      <c r="A515" s="111"/>
      <c r="B515" s="21"/>
      <c r="C515" s="21"/>
      <c r="D515" s="21"/>
      <c r="E515" s="21"/>
      <c r="F515" s="14"/>
      <c r="G515" s="21"/>
      <c r="H515" s="21"/>
      <c r="I515" s="190"/>
      <c r="J515" s="191"/>
      <c r="K515" s="189">
        <f t="shared" si="232"/>
        <v>0</v>
      </c>
      <c r="L515" s="73"/>
      <c r="M515" s="213"/>
      <c r="N515" s="153"/>
      <c r="O515" s="45"/>
      <c r="Y515" s="8" t="str">
        <f>IF(A515="","",IFERROR(IF(VLOOKUP(A515,Entry!$D:$D,1,FALSE)=A515,"",ROW()),ROW()))</f>
        <v/>
      </c>
      <c r="AG515" s="8" t="str">
        <f>IF(A515="","",IFERROR(IF(VLOOKUP(A515,Entry!$D:$D,1,FALSE)=A515,TRUE,FALSE),FALSE))</f>
        <v/>
      </c>
    </row>
    <row r="516" spans="1:33" ht="15" customHeight="1" x14ac:dyDescent="0.2">
      <c r="A516" s="111"/>
      <c r="B516" s="21"/>
      <c r="C516" s="21"/>
      <c r="D516" s="21"/>
      <c r="E516" s="21"/>
      <c r="F516" s="14"/>
      <c r="G516" s="21"/>
      <c r="H516" s="21"/>
      <c r="I516" s="190"/>
      <c r="J516" s="191"/>
      <c r="K516" s="189">
        <f t="shared" si="232"/>
        <v>0</v>
      </c>
      <c r="L516" s="73"/>
      <c r="M516" s="213"/>
      <c r="N516" s="153"/>
      <c r="O516" s="45"/>
      <c r="Y516" s="8" t="str">
        <f>IF(A516="","",IFERROR(IF(VLOOKUP(A516,Entry!$D:$D,1,FALSE)=A516,"",ROW()),ROW()))</f>
        <v/>
      </c>
      <c r="AG516" s="8" t="str">
        <f>IF(A516="","",IFERROR(IF(VLOOKUP(A516,Entry!$D:$D,1,FALSE)=A516,TRUE,FALSE),FALSE))</f>
        <v/>
      </c>
    </row>
    <row r="517" spans="1:33" ht="15" customHeight="1" x14ac:dyDescent="0.2">
      <c r="A517" s="112"/>
      <c r="B517" s="22"/>
      <c r="C517" s="22"/>
      <c r="D517" s="22"/>
      <c r="E517" s="22"/>
      <c r="F517" s="15"/>
      <c r="G517" s="22"/>
      <c r="H517" s="22"/>
      <c r="I517" s="192"/>
      <c r="J517" s="193"/>
      <c r="K517" s="189">
        <f t="shared" si="232"/>
        <v>0</v>
      </c>
      <c r="L517" s="74"/>
      <c r="M517" s="214"/>
      <c r="N517" s="154"/>
      <c r="O517" s="46"/>
      <c r="Y517" s="8" t="str">
        <f>IF(A517="","",IFERROR(IF(VLOOKUP(A517,Entry!$D:$D,1,FALSE)=A517,"",ROW()),ROW()))</f>
        <v/>
      </c>
      <c r="AG517" s="8" t="str">
        <f>IF(A517="","",IFERROR(IF(VLOOKUP(A517,Entry!$D:$D,1,FALSE)=A517,TRUE,FALSE),FALSE))</f>
        <v/>
      </c>
    </row>
    <row r="518" spans="1:33" ht="17.25" customHeight="1" x14ac:dyDescent="0.2">
      <c r="A518" s="113"/>
      <c r="B518" s="19"/>
      <c r="C518" s="19"/>
      <c r="D518" s="19"/>
      <c r="E518" s="19"/>
      <c r="F518" s="18"/>
      <c r="G518" s="19"/>
      <c r="H518" s="19"/>
      <c r="I518" s="194">
        <f t="shared" ref="I518:K518" si="263">SUM(I519:I523)</f>
        <v>0</v>
      </c>
      <c r="J518" s="195">
        <f t="shared" si="263"/>
        <v>0</v>
      </c>
      <c r="K518" s="195">
        <f t="shared" si="263"/>
        <v>0</v>
      </c>
      <c r="L518" s="104">
        <f t="shared" ref="L518" si="264">IFERROR(SUMPRODUCT(K519:K523,L519:L523)/SUM(K519:K523),0)</f>
        <v>0</v>
      </c>
      <c r="M518" s="215"/>
      <c r="N518" s="155"/>
      <c r="O518" s="47"/>
      <c r="Y518" s="8" t="str">
        <f>IF(A518="","",IFERROR(IF(VLOOKUP(A518,Entry!$D:$D,1,FALSE)=A518,"",ROW()),ROW()))</f>
        <v/>
      </c>
      <c r="AG518" s="8" t="str">
        <f>IF(A518="","",IFERROR(IF(VLOOKUP(A518,Entry!$D:$D,1,FALSE)=A518,TRUE,FALSE),FALSE))</f>
        <v/>
      </c>
    </row>
    <row r="519" spans="1:33" ht="15" customHeight="1" x14ac:dyDescent="0.2">
      <c r="A519" s="110"/>
      <c r="B519" s="20"/>
      <c r="C519" s="20"/>
      <c r="D519" s="20"/>
      <c r="E519" s="20"/>
      <c r="F519" s="16"/>
      <c r="G519" s="20"/>
      <c r="H519" s="20"/>
      <c r="I519" s="187"/>
      <c r="J519" s="188"/>
      <c r="K519" s="189">
        <f t="shared" ref="K519" si="265">I519+J519</f>
        <v>0</v>
      </c>
      <c r="L519" s="72"/>
      <c r="M519" s="212"/>
      <c r="N519" s="152"/>
      <c r="O519" s="44"/>
      <c r="Y519" s="8" t="str">
        <f>IF(A519="","",IFERROR(IF(VLOOKUP(A519,Entry!$D:$D,1,FALSE)=A519,"",ROW()),ROW()))</f>
        <v/>
      </c>
      <c r="AG519" s="8" t="str">
        <f>IF(A519="","",IFERROR(IF(VLOOKUP(A519,Entry!$D:$D,1,FALSE)=A519,TRUE,FALSE),FALSE))</f>
        <v/>
      </c>
    </row>
    <row r="520" spans="1:33" ht="15" customHeight="1" x14ac:dyDescent="0.2">
      <c r="A520" s="111"/>
      <c r="B520" s="21"/>
      <c r="C520" s="21"/>
      <c r="D520" s="21"/>
      <c r="E520" s="21"/>
      <c r="F520" s="14"/>
      <c r="G520" s="21"/>
      <c r="H520" s="21"/>
      <c r="I520" s="190"/>
      <c r="J520" s="191"/>
      <c r="K520" s="189">
        <f t="shared" si="232"/>
        <v>0</v>
      </c>
      <c r="L520" s="73"/>
      <c r="M520" s="213"/>
      <c r="N520" s="153"/>
      <c r="O520" s="45"/>
      <c r="Y520" s="8" t="str">
        <f>IF(A520="","",IFERROR(IF(VLOOKUP(A520,Entry!$D:$D,1,FALSE)=A520,"",ROW()),ROW()))</f>
        <v/>
      </c>
      <c r="AG520" s="8" t="str">
        <f>IF(A520="","",IFERROR(IF(VLOOKUP(A520,Entry!$D:$D,1,FALSE)=A520,TRUE,FALSE),FALSE))</f>
        <v/>
      </c>
    </row>
    <row r="521" spans="1:33" ht="15" customHeight="1" x14ac:dyDescent="0.2">
      <c r="A521" s="111"/>
      <c r="B521" s="21"/>
      <c r="C521" s="21"/>
      <c r="D521" s="21"/>
      <c r="E521" s="21"/>
      <c r="F521" s="14"/>
      <c r="G521" s="21"/>
      <c r="H521" s="21"/>
      <c r="I521" s="190"/>
      <c r="J521" s="191"/>
      <c r="K521" s="189">
        <f t="shared" ref="K521:K583" si="266">I521+J521</f>
        <v>0</v>
      </c>
      <c r="L521" s="73"/>
      <c r="M521" s="213"/>
      <c r="N521" s="153"/>
      <c r="O521" s="45"/>
      <c r="Y521" s="8" t="str">
        <f>IF(A521="","",IFERROR(IF(VLOOKUP(A521,Entry!$D:$D,1,FALSE)=A521,"",ROW()),ROW()))</f>
        <v/>
      </c>
      <c r="AG521" s="8" t="str">
        <f>IF(A521="","",IFERROR(IF(VLOOKUP(A521,Entry!$D:$D,1,FALSE)=A521,TRUE,FALSE),FALSE))</f>
        <v/>
      </c>
    </row>
    <row r="522" spans="1:33" ht="15" customHeight="1" x14ac:dyDescent="0.2">
      <c r="A522" s="111"/>
      <c r="B522" s="21"/>
      <c r="C522" s="21"/>
      <c r="D522" s="21"/>
      <c r="E522" s="21"/>
      <c r="F522" s="14"/>
      <c r="G522" s="21"/>
      <c r="H522" s="21"/>
      <c r="I522" s="190"/>
      <c r="J522" s="191"/>
      <c r="K522" s="189">
        <f t="shared" si="266"/>
        <v>0</v>
      </c>
      <c r="L522" s="73"/>
      <c r="M522" s="213"/>
      <c r="N522" s="153"/>
      <c r="O522" s="45"/>
      <c r="Y522" s="8" t="str">
        <f>IF(A522="","",IFERROR(IF(VLOOKUP(A522,Entry!$D:$D,1,FALSE)=A522,"",ROW()),ROW()))</f>
        <v/>
      </c>
      <c r="AG522" s="8" t="str">
        <f>IF(A522="","",IFERROR(IF(VLOOKUP(A522,Entry!$D:$D,1,FALSE)=A522,TRUE,FALSE),FALSE))</f>
        <v/>
      </c>
    </row>
    <row r="523" spans="1:33" ht="15" customHeight="1" x14ac:dyDescent="0.2">
      <c r="A523" s="112"/>
      <c r="B523" s="22"/>
      <c r="C523" s="22"/>
      <c r="D523" s="22"/>
      <c r="E523" s="22"/>
      <c r="F523" s="15"/>
      <c r="G523" s="22"/>
      <c r="H523" s="22"/>
      <c r="I523" s="192"/>
      <c r="J523" s="193"/>
      <c r="K523" s="189">
        <f t="shared" si="266"/>
        <v>0</v>
      </c>
      <c r="L523" s="74"/>
      <c r="M523" s="214"/>
      <c r="N523" s="154"/>
      <c r="O523" s="46"/>
      <c r="Y523" s="8" t="str">
        <f>IF(A523="","",IFERROR(IF(VLOOKUP(A523,Entry!$D:$D,1,FALSE)=A523,"",ROW()),ROW()))</f>
        <v/>
      </c>
      <c r="AG523" s="8" t="str">
        <f>IF(A523="","",IFERROR(IF(VLOOKUP(A523,Entry!$D:$D,1,FALSE)=A523,TRUE,FALSE),FALSE))</f>
        <v/>
      </c>
    </row>
    <row r="524" spans="1:33" ht="17.25" customHeight="1" x14ac:dyDescent="0.2">
      <c r="A524" s="113"/>
      <c r="B524" s="19"/>
      <c r="C524" s="19"/>
      <c r="D524" s="19"/>
      <c r="E524" s="19"/>
      <c r="F524" s="18"/>
      <c r="G524" s="19"/>
      <c r="H524" s="19"/>
      <c r="I524" s="194">
        <f t="shared" ref="I524:K524" si="267">SUM(I525:I529)</f>
        <v>0</v>
      </c>
      <c r="J524" s="195">
        <f t="shared" si="267"/>
        <v>0</v>
      </c>
      <c r="K524" s="195">
        <f t="shared" si="267"/>
        <v>0</v>
      </c>
      <c r="L524" s="104">
        <f t="shared" ref="L524" si="268">IFERROR(SUMPRODUCT(K525:K529,L525:L529)/SUM(K525:K529),0)</f>
        <v>0</v>
      </c>
      <c r="M524" s="215"/>
      <c r="N524" s="155"/>
      <c r="O524" s="47"/>
      <c r="Y524" s="8" t="str">
        <f>IF(A524="","",IFERROR(IF(VLOOKUP(A524,Entry!$D:$D,1,FALSE)=A524,"",ROW()),ROW()))</f>
        <v/>
      </c>
      <c r="AG524" s="8" t="str">
        <f>IF(A524="","",IFERROR(IF(VLOOKUP(A524,Entry!$D:$D,1,FALSE)=A524,TRUE,FALSE),FALSE))</f>
        <v/>
      </c>
    </row>
    <row r="525" spans="1:33" ht="15" customHeight="1" x14ac:dyDescent="0.2">
      <c r="A525" s="110"/>
      <c r="B525" s="20"/>
      <c r="C525" s="20"/>
      <c r="D525" s="20"/>
      <c r="E525" s="20"/>
      <c r="F525" s="16"/>
      <c r="G525" s="20"/>
      <c r="H525" s="20"/>
      <c r="I525" s="187"/>
      <c r="J525" s="188"/>
      <c r="K525" s="189">
        <f t="shared" ref="K525" si="269">I525+J525</f>
        <v>0</v>
      </c>
      <c r="L525" s="72"/>
      <c r="M525" s="212"/>
      <c r="N525" s="152"/>
      <c r="O525" s="44"/>
      <c r="Y525" s="8" t="str">
        <f>IF(A525="","",IFERROR(IF(VLOOKUP(A525,Entry!$D:$D,1,FALSE)=A525,"",ROW()),ROW()))</f>
        <v/>
      </c>
      <c r="AG525" s="8" t="str">
        <f>IF(A525="","",IFERROR(IF(VLOOKUP(A525,Entry!$D:$D,1,FALSE)=A525,TRUE,FALSE),FALSE))</f>
        <v/>
      </c>
    </row>
    <row r="526" spans="1:33" ht="15" customHeight="1" x14ac:dyDescent="0.2">
      <c r="A526" s="111"/>
      <c r="B526" s="21"/>
      <c r="C526" s="21"/>
      <c r="D526" s="21"/>
      <c r="E526" s="21"/>
      <c r="F526" s="14"/>
      <c r="G526" s="21"/>
      <c r="H526" s="21"/>
      <c r="I526" s="190"/>
      <c r="J526" s="191"/>
      <c r="K526" s="189">
        <f t="shared" si="266"/>
        <v>0</v>
      </c>
      <c r="L526" s="73"/>
      <c r="M526" s="213"/>
      <c r="N526" s="153"/>
      <c r="O526" s="45"/>
      <c r="Y526" s="8" t="str">
        <f>IF(A526="","",IFERROR(IF(VLOOKUP(A526,Entry!$D:$D,1,FALSE)=A526,"",ROW()),ROW()))</f>
        <v/>
      </c>
      <c r="AG526" s="8" t="str">
        <f>IF(A526="","",IFERROR(IF(VLOOKUP(A526,Entry!$D:$D,1,FALSE)=A526,TRUE,FALSE),FALSE))</f>
        <v/>
      </c>
    </row>
    <row r="527" spans="1:33" ht="15" customHeight="1" x14ac:dyDescent="0.2">
      <c r="A527" s="111"/>
      <c r="B527" s="21"/>
      <c r="C527" s="21"/>
      <c r="D527" s="21"/>
      <c r="E527" s="21"/>
      <c r="F527" s="14"/>
      <c r="G527" s="21"/>
      <c r="H527" s="21"/>
      <c r="I527" s="190"/>
      <c r="J527" s="191"/>
      <c r="K527" s="189">
        <f t="shared" si="266"/>
        <v>0</v>
      </c>
      <c r="L527" s="73"/>
      <c r="M527" s="213"/>
      <c r="N527" s="153"/>
      <c r="O527" s="45"/>
      <c r="Y527" s="8" t="str">
        <f>IF(A527="","",IFERROR(IF(VLOOKUP(A527,Entry!$D:$D,1,FALSE)=A527,"",ROW()),ROW()))</f>
        <v/>
      </c>
      <c r="AG527" s="8" t="str">
        <f>IF(A527="","",IFERROR(IF(VLOOKUP(A527,Entry!$D:$D,1,FALSE)=A527,TRUE,FALSE),FALSE))</f>
        <v/>
      </c>
    </row>
    <row r="528" spans="1:33" ht="15" customHeight="1" x14ac:dyDescent="0.2">
      <c r="A528" s="111"/>
      <c r="B528" s="21"/>
      <c r="C528" s="21"/>
      <c r="D528" s="21"/>
      <c r="E528" s="21"/>
      <c r="F528" s="14"/>
      <c r="G528" s="21"/>
      <c r="H528" s="21"/>
      <c r="I528" s="190"/>
      <c r="J528" s="191"/>
      <c r="K528" s="189">
        <f t="shared" si="266"/>
        <v>0</v>
      </c>
      <c r="L528" s="73"/>
      <c r="M528" s="213"/>
      <c r="N528" s="153"/>
      <c r="O528" s="45"/>
      <c r="Y528" s="8" t="str">
        <f>IF(A528="","",IFERROR(IF(VLOOKUP(A528,Entry!$D:$D,1,FALSE)=A528,"",ROW()),ROW()))</f>
        <v/>
      </c>
      <c r="AG528" s="8" t="str">
        <f>IF(A528="","",IFERROR(IF(VLOOKUP(A528,Entry!$D:$D,1,FALSE)=A528,TRUE,FALSE),FALSE))</f>
        <v/>
      </c>
    </row>
    <row r="529" spans="1:33" ht="15" customHeight="1" x14ac:dyDescent="0.2">
      <c r="A529" s="112"/>
      <c r="B529" s="22"/>
      <c r="C529" s="22"/>
      <c r="D529" s="22"/>
      <c r="E529" s="22"/>
      <c r="F529" s="15"/>
      <c r="G529" s="22"/>
      <c r="H529" s="22"/>
      <c r="I529" s="192"/>
      <c r="J529" s="193"/>
      <c r="K529" s="189">
        <f t="shared" si="266"/>
        <v>0</v>
      </c>
      <c r="L529" s="74"/>
      <c r="M529" s="214"/>
      <c r="N529" s="154"/>
      <c r="O529" s="46"/>
      <c r="Y529" s="8" t="str">
        <f>IF(A529="","",IFERROR(IF(VLOOKUP(A529,Entry!$D:$D,1,FALSE)=A529,"",ROW()),ROW()))</f>
        <v/>
      </c>
      <c r="AG529" s="8" t="str">
        <f>IF(A529="","",IFERROR(IF(VLOOKUP(A529,Entry!$D:$D,1,FALSE)=A529,TRUE,FALSE),FALSE))</f>
        <v/>
      </c>
    </row>
    <row r="530" spans="1:33" ht="17.25" customHeight="1" x14ac:dyDescent="0.2">
      <c r="A530" s="113"/>
      <c r="B530" s="19"/>
      <c r="C530" s="19"/>
      <c r="D530" s="19"/>
      <c r="E530" s="19"/>
      <c r="F530" s="18"/>
      <c r="G530" s="19"/>
      <c r="H530" s="19"/>
      <c r="I530" s="194">
        <f t="shared" ref="I530:K530" si="270">SUM(I531:I535)</f>
        <v>0</v>
      </c>
      <c r="J530" s="195">
        <f t="shared" si="270"/>
        <v>0</v>
      </c>
      <c r="K530" s="195">
        <f t="shared" si="270"/>
        <v>0</v>
      </c>
      <c r="L530" s="104">
        <f t="shared" ref="L530" si="271">IFERROR(SUMPRODUCT(K531:K535,L531:L535)/SUM(K531:K535),0)</f>
        <v>0</v>
      </c>
      <c r="M530" s="215"/>
      <c r="N530" s="155"/>
      <c r="O530" s="47"/>
      <c r="Y530" s="8" t="str">
        <f>IF(A530="","",IFERROR(IF(VLOOKUP(A530,Entry!$D:$D,1,FALSE)=A530,"",ROW()),ROW()))</f>
        <v/>
      </c>
      <c r="AG530" s="8" t="str">
        <f>IF(A530="","",IFERROR(IF(VLOOKUP(A530,Entry!$D:$D,1,FALSE)=A530,TRUE,FALSE),FALSE))</f>
        <v/>
      </c>
    </row>
    <row r="531" spans="1:33" ht="15" customHeight="1" x14ac:dyDescent="0.2">
      <c r="A531" s="110"/>
      <c r="B531" s="20"/>
      <c r="C531" s="20"/>
      <c r="D531" s="20"/>
      <c r="E531" s="20"/>
      <c r="F531" s="16"/>
      <c r="G531" s="20"/>
      <c r="H531" s="20"/>
      <c r="I531" s="187"/>
      <c r="J531" s="188"/>
      <c r="K531" s="189">
        <f t="shared" ref="K531" si="272">I531+J531</f>
        <v>0</v>
      </c>
      <c r="L531" s="72"/>
      <c r="M531" s="212"/>
      <c r="N531" s="152"/>
      <c r="O531" s="44"/>
      <c r="Y531" s="8" t="str">
        <f>IF(A531="","",IFERROR(IF(VLOOKUP(A531,Entry!$D:$D,1,FALSE)=A531,"",ROW()),ROW()))</f>
        <v/>
      </c>
      <c r="AG531" s="8" t="str">
        <f>IF(A531="","",IFERROR(IF(VLOOKUP(A531,Entry!$D:$D,1,FALSE)=A531,TRUE,FALSE),FALSE))</f>
        <v/>
      </c>
    </row>
    <row r="532" spans="1:33" ht="15" customHeight="1" x14ac:dyDescent="0.2">
      <c r="A532" s="111"/>
      <c r="B532" s="21"/>
      <c r="C532" s="21"/>
      <c r="D532" s="21"/>
      <c r="E532" s="21"/>
      <c r="F532" s="14"/>
      <c r="G532" s="21"/>
      <c r="H532" s="21"/>
      <c r="I532" s="190"/>
      <c r="J532" s="191"/>
      <c r="K532" s="189">
        <f t="shared" si="266"/>
        <v>0</v>
      </c>
      <c r="L532" s="73"/>
      <c r="M532" s="213"/>
      <c r="N532" s="153"/>
      <c r="O532" s="45"/>
      <c r="Y532" s="8" t="str">
        <f>IF(A532="","",IFERROR(IF(VLOOKUP(A532,Entry!$D:$D,1,FALSE)=A532,"",ROW()),ROW()))</f>
        <v/>
      </c>
      <c r="AG532" s="8" t="str">
        <f>IF(A532="","",IFERROR(IF(VLOOKUP(A532,Entry!$D:$D,1,FALSE)=A532,TRUE,FALSE),FALSE))</f>
        <v/>
      </c>
    </row>
    <row r="533" spans="1:33" ht="15" customHeight="1" x14ac:dyDescent="0.2">
      <c r="A533" s="111"/>
      <c r="B533" s="21"/>
      <c r="C533" s="21"/>
      <c r="D533" s="21"/>
      <c r="E533" s="21"/>
      <c r="F533" s="14"/>
      <c r="G533" s="21"/>
      <c r="H533" s="21"/>
      <c r="I533" s="190"/>
      <c r="J533" s="191"/>
      <c r="K533" s="189">
        <f t="shared" si="266"/>
        <v>0</v>
      </c>
      <c r="L533" s="73"/>
      <c r="M533" s="213"/>
      <c r="N533" s="153"/>
      <c r="O533" s="45"/>
      <c r="Y533" s="8" t="str">
        <f>IF(A533="","",IFERROR(IF(VLOOKUP(A533,Entry!$D:$D,1,FALSE)=A533,"",ROW()),ROW()))</f>
        <v/>
      </c>
      <c r="AG533" s="8" t="str">
        <f>IF(A533="","",IFERROR(IF(VLOOKUP(A533,Entry!$D:$D,1,FALSE)=A533,TRUE,FALSE),FALSE))</f>
        <v/>
      </c>
    </row>
    <row r="534" spans="1:33" ht="15" customHeight="1" x14ac:dyDescent="0.2">
      <c r="A534" s="111"/>
      <c r="B534" s="21"/>
      <c r="C534" s="21"/>
      <c r="D534" s="21"/>
      <c r="E534" s="21"/>
      <c r="F534" s="14"/>
      <c r="G534" s="21"/>
      <c r="H534" s="21"/>
      <c r="I534" s="190"/>
      <c r="J534" s="191"/>
      <c r="K534" s="189">
        <f t="shared" si="266"/>
        <v>0</v>
      </c>
      <c r="L534" s="73"/>
      <c r="M534" s="213"/>
      <c r="N534" s="153"/>
      <c r="O534" s="45"/>
      <c r="Y534" s="8" t="str">
        <f>IF(A534="","",IFERROR(IF(VLOOKUP(A534,Entry!$D:$D,1,FALSE)=A534,"",ROW()),ROW()))</f>
        <v/>
      </c>
      <c r="AG534" s="8" t="str">
        <f>IF(A534="","",IFERROR(IF(VLOOKUP(A534,Entry!$D:$D,1,FALSE)=A534,TRUE,FALSE),FALSE))</f>
        <v/>
      </c>
    </row>
    <row r="535" spans="1:33" ht="15" customHeight="1" x14ac:dyDescent="0.2">
      <c r="A535" s="112"/>
      <c r="B535" s="22"/>
      <c r="C535" s="22"/>
      <c r="D535" s="22"/>
      <c r="E535" s="22"/>
      <c r="F535" s="15"/>
      <c r="G535" s="22"/>
      <c r="H535" s="22"/>
      <c r="I535" s="192"/>
      <c r="J535" s="193"/>
      <c r="K535" s="189">
        <f t="shared" si="266"/>
        <v>0</v>
      </c>
      <c r="L535" s="74"/>
      <c r="M535" s="214"/>
      <c r="N535" s="154"/>
      <c r="O535" s="46"/>
      <c r="Y535" s="8" t="str">
        <f>IF(A535="","",IFERROR(IF(VLOOKUP(A535,Entry!$D:$D,1,FALSE)=A535,"",ROW()),ROW()))</f>
        <v/>
      </c>
      <c r="AG535" s="8" t="str">
        <f>IF(A535="","",IFERROR(IF(VLOOKUP(A535,Entry!$D:$D,1,FALSE)=A535,TRUE,FALSE),FALSE))</f>
        <v/>
      </c>
    </row>
    <row r="536" spans="1:33" ht="17.25" customHeight="1" x14ac:dyDescent="0.2">
      <c r="A536" s="113"/>
      <c r="B536" s="19"/>
      <c r="C536" s="19"/>
      <c r="D536" s="19"/>
      <c r="E536" s="19"/>
      <c r="F536" s="18"/>
      <c r="G536" s="19"/>
      <c r="H536" s="19"/>
      <c r="I536" s="194">
        <f t="shared" ref="I536:K536" si="273">SUM(I537:I541)</f>
        <v>0</v>
      </c>
      <c r="J536" s="195">
        <f t="shared" si="273"/>
        <v>0</v>
      </c>
      <c r="K536" s="195">
        <f t="shared" si="273"/>
        <v>0</v>
      </c>
      <c r="L536" s="104">
        <f t="shared" ref="L536" si="274">IFERROR(SUMPRODUCT(K537:K541,L537:L541)/SUM(K537:K541),0)</f>
        <v>0</v>
      </c>
      <c r="M536" s="215"/>
      <c r="N536" s="155"/>
      <c r="O536" s="47"/>
      <c r="Y536" s="8" t="str">
        <f>IF(A536="","",IFERROR(IF(VLOOKUP(A536,Entry!$D:$D,1,FALSE)=A536,"",ROW()),ROW()))</f>
        <v/>
      </c>
      <c r="AG536" s="8" t="str">
        <f>IF(A536="","",IFERROR(IF(VLOOKUP(A536,Entry!$D:$D,1,FALSE)=A536,TRUE,FALSE),FALSE))</f>
        <v/>
      </c>
    </row>
    <row r="537" spans="1:33" ht="15" customHeight="1" x14ac:dyDescent="0.2">
      <c r="A537" s="110"/>
      <c r="B537" s="20"/>
      <c r="C537" s="20"/>
      <c r="D537" s="20"/>
      <c r="E537" s="20"/>
      <c r="F537" s="16"/>
      <c r="G537" s="20"/>
      <c r="H537" s="20"/>
      <c r="I537" s="187"/>
      <c r="J537" s="188"/>
      <c r="K537" s="189">
        <f t="shared" ref="K537" si="275">I537+J537</f>
        <v>0</v>
      </c>
      <c r="L537" s="72"/>
      <c r="M537" s="212"/>
      <c r="N537" s="152"/>
      <c r="O537" s="44"/>
      <c r="Y537" s="8" t="str">
        <f>IF(A537="","",IFERROR(IF(VLOOKUP(A537,Entry!$D:$D,1,FALSE)=A537,"",ROW()),ROW()))</f>
        <v/>
      </c>
      <c r="AG537" s="8" t="str">
        <f>IF(A537="","",IFERROR(IF(VLOOKUP(A537,Entry!$D:$D,1,FALSE)=A537,TRUE,FALSE),FALSE))</f>
        <v/>
      </c>
    </row>
    <row r="538" spans="1:33" ht="15" customHeight="1" x14ac:dyDescent="0.2">
      <c r="A538" s="111"/>
      <c r="B538" s="21"/>
      <c r="C538" s="21"/>
      <c r="D538" s="21"/>
      <c r="E538" s="21"/>
      <c r="F538" s="14"/>
      <c r="G538" s="21"/>
      <c r="H538" s="21"/>
      <c r="I538" s="190"/>
      <c r="J538" s="191"/>
      <c r="K538" s="189">
        <f t="shared" si="266"/>
        <v>0</v>
      </c>
      <c r="L538" s="73"/>
      <c r="M538" s="213"/>
      <c r="N538" s="153"/>
      <c r="O538" s="45"/>
      <c r="Y538" s="8" t="str">
        <f>IF(A538="","",IFERROR(IF(VLOOKUP(A538,Entry!$D:$D,1,FALSE)=A538,"",ROW()),ROW()))</f>
        <v/>
      </c>
      <c r="AG538" s="8" t="str">
        <f>IF(A538="","",IFERROR(IF(VLOOKUP(A538,Entry!$D:$D,1,FALSE)=A538,TRUE,FALSE),FALSE))</f>
        <v/>
      </c>
    </row>
    <row r="539" spans="1:33" ht="15" customHeight="1" x14ac:dyDescent="0.2">
      <c r="A539" s="111"/>
      <c r="B539" s="21"/>
      <c r="C539" s="21"/>
      <c r="D539" s="21"/>
      <c r="E539" s="21"/>
      <c r="F539" s="14"/>
      <c r="G539" s="21"/>
      <c r="H539" s="21"/>
      <c r="I539" s="190"/>
      <c r="J539" s="191"/>
      <c r="K539" s="189">
        <f t="shared" si="266"/>
        <v>0</v>
      </c>
      <c r="L539" s="73"/>
      <c r="M539" s="213"/>
      <c r="N539" s="153"/>
      <c r="O539" s="45"/>
      <c r="Y539" s="8" t="str">
        <f>IF(A539="","",IFERROR(IF(VLOOKUP(A539,Entry!$D:$D,1,FALSE)=A539,"",ROW()),ROW()))</f>
        <v/>
      </c>
      <c r="AG539" s="8" t="str">
        <f>IF(A539="","",IFERROR(IF(VLOOKUP(A539,Entry!$D:$D,1,FALSE)=A539,TRUE,FALSE),FALSE))</f>
        <v/>
      </c>
    </row>
    <row r="540" spans="1:33" ht="15" customHeight="1" x14ac:dyDescent="0.2">
      <c r="A540" s="111"/>
      <c r="B540" s="21"/>
      <c r="C540" s="21"/>
      <c r="D540" s="21"/>
      <c r="E540" s="21"/>
      <c r="F540" s="14"/>
      <c r="G540" s="21"/>
      <c r="H540" s="21"/>
      <c r="I540" s="190"/>
      <c r="J540" s="191"/>
      <c r="K540" s="189">
        <f t="shared" si="266"/>
        <v>0</v>
      </c>
      <c r="L540" s="73"/>
      <c r="M540" s="213"/>
      <c r="N540" s="153"/>
      <c r="O540" s="45"/>
      <c r="Y540" s="8" t="str">
        <f>IF(A540="","",IFERROR(IF(VLOOKUP(A540,Entry!$D:$D,1,FALSE)=A540,"",ROW()),ROW()))</f>
        <v/>
      </c>
      <c r="AG540" s="8" t="str">
        <f>IF(A540="","",IFERROR(IF(VLOOKUP(A540,Entry!$D:$D,1,FALSE)=A540,TRUE,FALSE),FALSE))</f>
        <v/>
      </c>
    </row>
    <row r="541" spans="1:33" ht="15" customHeight="1" x14ac:dyDescent="0.2">
      <c r="A541" s="112"/>
      <c r="B541" s="22"/>
      <c r="C541" s="22"/>
      <c r="D541" s="22"/>
      <c r="E541" s="22"/>
      <c r="F541" s="15"/>
      <c r="G541" s="22"/>
      <c r="H541" s="22"/>
      <c r="I541" s="192"/>
      <c r="J541" s="193"/>
      <c r="K541" s="189">
        <f t="shared" si="266"/>
        <v>0</v>
      </c>
      <c r="L541" s="74"/>
      <c r="M541" s="214"/>
      <c r="N541" s="154"/>
      <c r="O541" s="46"/>
      <c r="Y541" s="8" t="str">
        <f>IF(A541="","",IFERROR(IF(VLOOKUP(A541,Entry!$D:$D,1,FALSE)=A541,"",ROW()),ROW()))</f>
        <v/>
      </c>
      <c r="AG541" s="8" t="str">
        <f>IF(A541="","",IFERROR(IF(VLOOKUP(A541,Entry!$D:$D,1,FALSE)=A541,TRUE,FALSE),FALSE))</f>
        <v/>
      </c>
    </row>
    <row r="542" spans="1:33" ht="17.25" customHeight="1" x14ac:dyDescent="0.2">
      <c r="A542" s="113"/>
      <c r="B542" s="19"/>
      <c r="C542" s="19"/>
      <c r="D542" s="19"/>
      <c r="E542" s="19"/>
      <c r="F542" s="18"/>
      <c r="G542" s="19"/>
      <c r="H542" s="19"/>
      <c r="I542" s="194">
        <f t="shared" ref="I542:K542" si="276">SUM(I543:I547)</f>
        <v>0</v>
      </c>
      <c r="J542" s="195">
        <f t="shared" si="276"/>
        <v>0</v>
      </c>
      <c r="K542" s="195">
        <f t="shared" si="276"/>
        <v>0</v>
      </c>
      <c r="L542" s="104">
        <f t="shared" ref="L542" si="277">IFERROR(SUMPRODUCT(K543:K547,L543:L547)/SUM(K543:K547),0)</f>
        <v>0</v>
      </c>
      <c r="M542" s="215"/>
      <c r="N542" s="155"/>
      <c r="O542" s="47"/>
      <c r="Y542" s="8" t="str">
        <f>IF(A542="","",IFERROR(IF(VLOOKUP(A542,Entry!$D:$D,1,FALSE)=A542,"",ROW()),ROW()))</f>
        <v/>
      </c>
      <c r="AG542" s="8" t="str">
        <f>IF(A542="","",IFERROR(IF(VLOOKUP(A542,Entry!$D:$D,1,FALSE)=A542,TRUE,FALSE),FALSE))</f>
        <v/>
      </c>
    </row>
    <row r="543" spans="1:33" ht="15" customHeight="1" x14ac:dyDescent="0.2">
      <c r="A543" s="110"/>
      <c r="B543" s="20"/>
      <c r="C543" s="20"/>
      <c r="D543" s="20"/>
      <c r="E543" s="20"/>
      <c r="F543" s="16"/>
      <c r="G543" s="20"/>
      <c r="H543" s="20"/>
      <c r="I543" s="187"/>
      <c r="J543" s="188"/>
      <c r="K543" s="189">
        <f t="shared" ref="K543" si="278">I543+J543</f>
        <v>0</v>
      </c>
      <c r="L543" s="72"/>
      <c r="M543" s="212"/>
      <c r="N543" s="152"/>
      <c r="O543" s="44"/>
      <c r="Y543" s="8" t="str">
        <f>IF(A543="","",IFERROR(IF(VLOOKUP(A543,Entry!$D:$D,1,FALSE)=A543,"",ROW()),ROW()))</f>
        <v/>
      </c>
      <c r="AG543" s="8" t="str">
        <f>IF(A543="","",IFERROR(IF(VLOOKUP(A543,Entry!$D:$D,1,FALSE)=A543,TRUE,FALSE),FALSE))</f>
        <v/>
      </c>
    </row>
    <row r="544" spans="1:33" ht="15" customHeight="1" x14ac:dyDescent="0.2">
      <c r="A544" s="111"/>
      <c r="B544" s="21"/>
      <c r="C544" s="21"/>
      <c r="D544" s="21"/>
      <c r="E544" s="21"/>
      <c r="F544" s="14"/>
      <c r="G544" s="21"/>
      <c r="H544" s="21"/>
      <c r="I544" s="190"/>
      <c r="J544" s="191"/>
      <c r="K544" s="189">
        <f t="shared" si="266"/>
        <v>0</v>
      </c>
      <c r="L544" s="73"/>
      <c r="M544" s="213"/>
      <c r="N544" s="153"/>
      <c r="O544" s="45"/>
      <c r="Y544" s="8" t="str">
        <f>IF(A544="","",IFERROR(IF(VLOOKUP(A544,Entry!$D:$D,1,FALSE)=A544,"",ROW()),ROW()))</f>
        <v/>
      </c>
      <c r="AG544" s="8" t="str">
        <f>IF(A544="","",IFERROR(IF(VLOOKUP(A544,Entry!$D:$D,1,FALSE)=A544,TRUE,FALSE),FALSE))</f>
        <v/>
      </c>
    </row>
    <row r="545" spans="1:33" ht="15" customHeight="1" x14ac:dyDescent="0.2">
      <c r="A545" s="111"/>
      <c r="B545" s="21"/>
      <c r="C545" s="21"/>
      <c r="D545" s="21"/>
      <c r="E545" s="21"/>
      <c r="F545" s="14"/>
      <c r="G545" s="21"/>
      <c r="H545" s="21"/>
      <c r="I545" s="190"/>
      <c r="J545" s="191"/>
      <c r="K545" s="189">
        <f t="shared" si="266"/>
        <v>0</v>
      </c>
      <c r="L545" s="73"/>
      <c r="M545" s="213"/>
      <c r="N545" s="153"/>
      <c r="O545" s="45"/>
      <c r="Y545" s="8" t="str">
        <f>IF(A545="","",IFERROR(IF(VLOOKUP(A545,Entry!$D:$D,1,FALSE)=A545,"",ROW()),ROW()))</f>
        <v/>
      </c>
      <c r="AG545" s="8" t="str">
        <f>IF(A545="","",IFERROR(IF(VLOOKUP(A545,Entry!$D:$D,1,FALSE)=A545,TRUE,FALSE),FALSE))</f>
        <v/>
      </c>
    </row>
    <row r="546" spans="1:33" ht="15" customHeight="1" x14ac:dyDescent="0.2">
      <c r="A546" s="111"/>
      <c r="B546" s="21"/>
      <c r="C546" s="21"/>
      <c r="D546" s="21"/>
      <c r="E546" s="21"/>
      <c r="F546" s="14"/>
      <c r="G546" s="21"/>
      <c r="H546" s="21"/>
      <c r="I546" s="190"/>
      <c r="J546" s="191"/>
      <c r="K546" s="189">
        <f t="shared" si="266"/>
        <v>0</v>
      </c>
      <c r="L546" s="73"/>
      <c r="M546" s="213"/>
      <c r="N546" s="153"/>
      <c r="O546" s="45"/>
      <c r="Y546" s="8" t="str">
        <f>IF(A546="","",IFERROR(IF(VLOOKUP(A546,Entry!$D:$D,1,FALSE)=A546,"",ROW()),ROW()))</f>
        <v/>
      </c>
      <c r="AG546" s="8" t="str">
        <f>IF(A546="","",IFERROR(IF(VLOOKUP(A546,Entry!$D:$D,1,FALSE)=A546,TRUE,FALSE),FALSE))</f>
        <v/>
      </c>
    </row>
    <row r="547" spans="1:33" ht="15" customHeight="1" x14ac:dyDescent="0.2">
      <c r="A547" s="112"/>
      <c r="B547" s="22"/>
      <c r="C547" s="22"/>
      <c r="D547" s="22"/>
      <c r="E547" s="22"/>
      <c r="F547" s="15"/>
      <c r="G547" s="22"/>
      <c r="H547" s="22"/>
      <c r="I547" s="192"/>
      <c r="J547" s="193"/>
      <c r="K547" s="189">
        <f t="shared" si="266"/>
        <v>0</v>
      </c>
      <c r="L547" s="74"/>
      <c r="M547" s="214"/>
      <c r="N547" s="154"/>
      <c r="O547" s="46"/>
      <c r="Y547" s="8" t="str">
        <f>IF(A547="","",IFERROR(IF(VLOOKUP(A547,Entry!$D:$D,1,FALSE)=A547,"",ROW()),ROW()))</f>
        <v/>
      </c>
      <c r="AG547" s="8" t="str">
        <f>IF(A547="","",IFERROR(IF(VLOOKUP(A547,Entry!$D:$D,1,FALSE)=A547,TRUE,FALSE),FALSE))</f>
        <v/>
      </c>
    </row>
    <row r="548" spans="1:33" ht="17.25" customHeight="1" x14ac:dyDescent="0.2">
      <c r="A548" s="113"/>
      <c r="B548" s="19"/>
      <c r="C548" s="19"/>
      <c r="D548" s="19"/>
      <c r="E548" s="19"/>
      <c r="F548" s="18"/>
      <c r="G548" s="19"/>
      <c r="H548" s="19"/>
      <c r="I548" s="194">
        <f t="shared" ref="I548:K548" si="279">SUM(I549:I553)</f>
        <v>0</v>
      </c>
      <c r="J548" s="195">
        <f t="shared" si="279"/>
        <v>0</v>
      </c>
      <c r="K548" s="195">
        <f t="shared" si="279"/>
        <v>0</v>
      </c>
      <c r="L548" s="104">
        <f t="shared" ref="L548" si="280">IFERROR(SUMPRODUCT(K549:K553,L549:L553)/SUM(K549:K553),0)</f>
        <v>0</v>
      </c>
      <c r="M548" s="215"/>
      <c r="N548" s="155"/>
      <c r="O548" s="47"/>
      <c r="Y548" s="8" t="str">
        <f>IF(A548="","",IFERROR(IF(VLOOKUP(A548,Entry!$D:$D,1,FALSE)=A548,"",ROW()),ROW()))</f>
        <v/>
      </c>
      <c r="AG548" s="8" t="str">
        <f>IF(A548="","",IFERROR(IF(VLOOKUP(A548,Entry!$D:$D,1,FALSE)=A548,TRUE,FALSE),FALSE))</f>
        <v/>
      </c>
    </row>
    <row r="549" spans="1:33" ht="15" customHeight="1" x14ac:dyDescent="0.2">
      <c r="A549" s="110"/>
      <c r="B549" s="20"/>
      <c r="C549" s="20"/>
      <c r="D549" s="20"/>
      <c r="E549" s="20"/>
      <c r="F549" s="16"/>
      <c r="G549" s="20"/>
      <c r="H549" s="20"/>
      <c r="I549" s="187"/>
      <c r="J549" s="188"/>
      <c r="K549" s="189">
        <f t="shared" ref="K549" si="281">I549+J549</f>
        <v>0</v>
      </c>
      <c r="L549" s="72"/>
      <c r="M549" s="212"/>
      <c r="N549" s="152"/>
      <c r="O549" s="44"/>
      <c r="Y549" s="8" t="str">
        <f>IF(A549="","",IFERROR(IF(VLOOKUP(A549,Entry!$D:$D,1,FALSE)=A549,"",ROW()),ROW()))</f>
        <v/>
      </c>
      <c r="AG549" s="8" t="str">
        <f>IF(A549="","",IFERROR(IF(VLOOKUP(A549,Entry!$D:$D,1,FALSE)=A549,TRUE,FALSE),FALSE))</f>
        <v/>
      </c>
    </row>
    <row r="550" spans="1:33" ht="15" customHeight="1" x14ac:dyDescent="0.2">
      <c r="A550" s="111"/>
      <c r="B550" s="21"/>
      <c r="C550" s="21"/>
      <c r="D550" s="21"/>
      <c r="E550" s="21"/>
      <c r="F550" s="14"/>
      <c r="G550" s="21"/>
      <c r="H550" s="21"/>
      <c r="I550" s="190"/>
      <c r="J550" s="191"/>
      <c r="K550" s="189">
        <f t="shared" si="266"/>
        <v>0</v>
      </c>
      <c r="L550" s="73"/>
      <c r="M550" s="213"/>
      <c r="N550" s="153"/>
      <c r="O550" s="45"/>
      <c r="Y550" s="8" t="str">
        <f>IF(A550="","",IFERROR(IF(VLOOKUP(A550,Entry!$D:$D,1,FALSE)=A550,"",ROW()),ROW()))</f>
        <v/>
      </c>
      <c r="AG550" s="8" t="str">
        <f>IF(A550="","",IFERROR(IF(VLOOKUP(A550,Entry!$D:$D,1,FALSE)=A550,TRUE,FALSE),FALSE))</f>
        <v/>
      </c>
    </row>
    <row r="551" spans="1:33" ht="15" customHeight="1" x14ac:dyDescent="0.2">
      <c r="A551" s="111"/>
      <c r="B551" s="21"/>
      <c r="C551" s="21"/>
      <c r="D551" s="21"/>
      <c r="E551" s="21"/>
      <c r="F551" s="14"/>
      <c r="G551" s="21"/>
      <c r="H551" s="21"/>
      <c r="I551" s="190"/>
      <c r="J551" s="191"/>
      <c r="K551" s="189">
        <f t="shared" si="266"/>
        <v>0</v>
      </c>
      <c r="L551" s="73"/>
      <c r="M551" s="213"/>
      <c r="N551" s="153"/>
      <c r="O551" s="45"/>
      <c r="Y551" s="8" t="str">
        <f>IF(A551="","",IFERROR(IF(VLOOKUP(A551,Entry!$D:$D,1,FALSE)=A551,"",ROW()),ROW()))</f>
        <v/>
      </c>
      <c r="AG551" s="8" t="str">
        <f>IF(A551="","",IFERROR(IF(VLOOKUP(A551,Entry!$D:$D,1,FALSE)=A551,TRUE,FALSE),FALSE))</f>
        <v/>
      </c>
    </row>
    <row r="552" spans="1:33" ht="15" customHeight="1" x14ac:dyDescent="0.2">
      <c r="A552" s="111"/>
      <c r="B552" s="21"/>
      <c r="C552" s="21"/>
      <c r="D552" s="21"/>
      <c r="E552" s="21"/>
      <c r="F552" s="14"/>
      <c r="G552" s="21"/>
      <c r="H552" s="21"/>
      <c r="I552" s="190"/>
      <c r="J552" s="191"/>
      <c r="K552" s="189">
        <f t="shared" si="266"/>
        <v>0</v>
      </c>
      <c r="L552" s="73"/>
      <c r="M552" s="213"/>
      <c r="N552" s="153"/>
      <c r="O552" s="45"/>
      <c r="Y552" s="8" t="str">
        <f>IF(A552="","",IFERROR(IF(VLOOKUP(A552,Entry!$D:$D,1,FALSE)=A552,"",ROW()),ROW()))</f>
        <v/>
      </c>
      <c r="AG552" s="8" t="str">
        <f>IF(A552="","",IFERROR(IF(VLOOKUP(A552,Entry!$D:$D,1,FALSE)=A552,TRUE,FALSE),FALSE))</f>
        <v/>
      </c>
    </row>
    <row r="553" spans="1:33" ht="15" customHeight="1" x14ac:dyDescent="0.2">
      <c r="A553" s="112"/>
      <c r="B553" s="22"/>
      <c r="C553" s="22"/>
      <c r="D553" s="22"/>
      <c r="E553" s="22"/>
      <c r="F553" s="15"/>
      <c r="G553" s="22"/>
      <c r="H553" s="22"/>
      <c r="I553" s="192"/>
      <c r="J553" s="193"/>
      <c r="K553" s="189">
        <f t="shared" si="266"/>
        <v>0</v>
      </c>
      <c r="L553" s="74"/>
      <c r="M553" s="214"/>
      <c r="N553" s="154"/>
      <c r="O553" s="46"/>
      <c r="Y553" s="8" t="str">
        <f>IF(A553="","",IFERROR(IF(VLOOKUP(A553,Entry!$D:$D,1,FALSE)=A553,"",ROW()),ROW()))</f>
        <v/>
      </c>
      <c r="AG553" s="8" t="str">
        <f>IF(A553="","",IFERROR(IF(VLOOKUP(A553,Entry!$D:$D,1,FALSE)=A553,TRUE,FALSE),FALSE))</f>
        <v/>
      </c>
    </row>
    <row r="554" spans="1:33" ht="17.25" customHeight="1" x14ac:dyDescent="0.2">
      <c r="A554" s="113"/>
      <c r="B554" s="19"/>
      <c r="C554" s="19"/>
      <c r="D554" s="19"/>
      <c r="E554" s="19"/>
      <c r="F554" s="18"/>
      <c r="G554" s="19"/>
      <c r="H554" s="19"/>
      <c r="I554" s="194">
        <f t="shared" ref="I554:K554" si="282">SUM(I555:I559)</f>
        <v>0</v>
      </c>
      <c r="J554" s="195">
        <f t="shared" si="282"/>
        <v>0</v>
      </c>
      <c r="K554" s="195">
        <f t="shared" si="282"/>
        <v>0</v>
      </c>
      <c r="L554" s="104">
        <f t="shared" ref="L554" si="283">IFERROR(SUMPRODUCT(K555:K559,L555:L559)/SUM(K555:K559),0)</f>
        <v>0</v>
      </c>
      <c r="M554" s="215"/>
      <c r="N554" s="155"/>
      <c r="O554" s="47"/>
      <c r="Y554" s="8" t="str">
        <f>IF(A554="","",IFERROR(IF(VLOOKUP(A554,Entry!$D:$D,1,FALSE)=A554,"",ROW()),ROW()))</f>
        <v/>
      </c>
      <c r="AG554" s="8" t="str">
        <f>IF(A554="","",IFERROR(IF(VLOOKUP(A554,Entry!$D:$D,1,FALSE)=A554,TRUE,FALSE),FALSE))</f>
        <v/>
      </c>
    </row>
    <row r="555" spans="1:33" ht="15" customHeight="1" x14ac:dyDescent="0.2">
      <c r="A555" s="110"/>
      <c r="B555" s="20"/>
      <c r="C555" s="20"/>
      <c r="D555" s="20"/>
      <c r="E555" s="20"/>
      <c r="F555" s="16"/>
      <c r="G555" s="20"/>
      <c r="H555" s="20"/>
      <c r="I555" s="187"/>
      <c r="J555" s="188"/>
      <c r="K555" s="189">
        <f t="shared" ref="K555" si="284">I555+J555</f>
        <v>0</v>
      </c>
      <c r="L555" s="72"/>
      <c r="M555" s="212"/>
      <c r="N555" s="152"/>
      <c r="O555" s="44"/>
      <c r="Y555" s="8" t="str">
        <f>IF(A555="","",IFERROR(IF(VLOOKUP(A555,Entry!$D:$D,1,FALSE)=A555,"",ROW()),ROW()))</f>
        <v/>
      </c>
      <c r="AG555" s="8" t="str">
        <f>IF(A555="","",IFERROR(IF(VLOOKUP(A555,Entry!$D:$D,1,FALSE)=A555,TRUE,FALSE),FALSE))</f>
        <v/>
      </c>
    </row>
    <row r="556" spans="1:33" ht="15" customHeight="1" x14ac:dyDescent="0.2">
      <c r="A556" s="111"/>
      <c r="B556" s="21"/>
      <c r="C556" s="21"/>
      <c r="D556" s="21"/>
      <c r="E556" s="21"/>
      <c r="F556" s="14"/>
      <c r="G556" s="21"/>
      <c r="H556" s="21"/>
      <c r="I556" s="190"/>
      <c r="J556" s="191"/>
      <c r="K556" s="189">
        <f t="shared" si="266"/>
        <v>0</v>
      </c>
      <c r="L556" s="73"/>
      <c r="M556" s="213"/>
      <c r="N556" s="153"/>
      <c r="O556" s="45"/>
      <c r="Y556" s="8" t="str">
        <f>IF(A556="","",IFERROR(IF(VLOOKUP(A556,Entry!$D:$D,1,FALSE)=A556,"",ROW()),ROW()))</f>
        <v/>
      </c>
      <c r="AG556" s="8" t="str">
        <f>IF(A556="","",IFERROR(IF(VLOOKUP(A556,Entry!$D:$D,1,FALSE)=A556,TRUE,FALSE),FALSE))</f>
        <v/>
      </c>
    </row>
    <row r="557" spans="1:33" ht="15" customHeight="1" x14ac:dyDescent="0.2">
      <c r="A557" s="111"/>
      <c r="B557" s="21"/>
      <c r="C557" s="21"/>
      <c r="D557" s="21"/>
      <c r="E557" s="21"/>
      <c r="F557" s="14"/>
      <c r="G557" s="21"/>
      <c r="H557" s="21"/>
      <c r="I557" s="190"/>
      <c r="J557" s="191"/>
      <c r="K557" s="189">
        <f t="shared" si="266"/>
        <v>0</v>
      </c>
      <c r="L557" s="73"/>
      <c r="M557" s="213"/>
      <c r="N557" s="153"/>
      <c r="O557" s="45"/>
      <c r="Y557" s="8" t="str">
        <f>IF(A557="","",IFERROR(IF(VLOOKUP(A557,Entry!$D:$D,1,FALSE)=A557,"",ROW()),ROW()))</f>
        <v/>
      </c>
      <c r="AG557" s="8" t="str">
        <f>IF(A557="","",IFERROR(IF(VLOOKUP(A557,Entry!$D:$D,1,FALSE)=A557,TRUE,FALSE),FALSE))</f>
        <v/>
      </c>
    </row>
    <row r="558" spans="1:33" ht="15" customHeight="1" x14ac:dyDescent="0.2">
      <c r="A558" s="111"/>
      <c r="B558" s="21"/>
      <c r="C558" s="21"/>
      <c r="D558" s="21"/>
      <c r="E558" s="21"/>
      <c r="F558" s="14"/>
      <c r="G558" s="21"/>
      <c r="H558" s="21"/>
      <c r="I558" s="190"/>
      <c r="J558" s="191"/>
      <c r="K558" s="189">
        <f t="shared" si="266"/>
        <v>0</v>
      </c>
      <c r="L558" s="73"/>
      <c r="M558" s="213"/>
      <c r="N558" s="153"/>
      <c r="O558" s="45"/>
      <c r="Y558" s="8" t="str">
        <f>IF(A558="","",IFERROR(IF(VLOOKUP(A558,Entry!$D:$D,1,FALSE)=A558,"",ROW()),ROW()))</f>
        <v/>
      </c>
      <c r="AG558" s="8" t="str">
        <f>IF(A558="","",IFERROR(IF(VLOOKUP(A558,Entry!$D:$D,1,FALSE)=A558,TRUE,FALSE),FALSE))</f>
        <v/>
      </c>
    </row>
    <row r="559" spans="1:33" ht="15" customHeight="1" x14ac:dyDescent="0.2">
      <c r="A559" s="112"/>
      <c r="B559" s="22"/>
      <c r="C559" s="22"/>
      <c r="D559" s="22"/>
      <c r="E559" s="22"/>
      <c r="F559" s="15"/>
      <c r="G559" s="22"/>
      <c r="H559" s="22"/>
      <c r="I559" s="192"/>
      <c r="J559" s="193"/>
      <c r="K559" s="189">
        <f t="shared" si="266"/>
        <v>0</v>
      </c>
      <c r="L559" s="74"/>
      <c r="M559" s="214"/>
      <c r="N559" s="154"/>
      <c r="O559" s="46"/>
      <c r="Y559" s="8" t="str">
        <f>IF(A559="","",IFERROR(IF(VLOOKUP(A559,Entry!$D:$D,1,FALSE)=A559,"",ROW()),ROW()))</f>
        <v/>
      </c>
      <c r="AG559" s="8" t="str">
        <f>IF(A559="","",IFERROR(IF(VLOOKUP(A559,Entry!$D:$D,1,FALSE)=A559,TRUE,FALSE),FALSE))</f>
        <v/>
      </c>
    </row>
    <row r="560" spans="1:33" ht="17.25" customHeight="1" x14ac:dyDescent="0.2">
      <c r="A560" s="113"/>
      <c r="B560" s="19"/>
      <c r="C560" s="19"/>
      <c r="D560" s="19"/>
      <c r="E560" s="19"/>
      <c r="F560" s="18"/>
      <c r="G560" s="19"/>
      <c r="H560" s="19"/>
      <c r="I560" s="194">
        <f t="shared" ref="I560:K560" si="285">SUM(I561:I565)</f>
        <v>0</v>
      </c>
      <c r="J560" s="195">
        <f t="shared" si="285"/>
        <v>0</v>
      </c>
      <c r="K560" s="195">
        <f t="shared" si="285"/>
        <v>0</v>
      </c>
      <c r="L560" s="104">
        <f t="shared" ref="L560" si="286">IFERROR(SUMPRODUCT(K561:K565,L561:L565)/SUM(K561:K565),0)</f>
        <v>0</v>
      </c>
      <c r="M560" s="215"/>
      <c r="N560" s="155"/>
      <c r="O560" s="47"/>
      <c r="Y560" s="8" t="str">
        <f>IF(A560="","",IFERROR(IF(VLOOKUP(A560,Entry!$D:$D,1,FALSE)=A560,"",ROW()),ROW()))</f>
        <v/>
      </c>
      <c r="AG560" s="8" t="str">
        <f>IF(A560="","",IFERROR(IF(VLOOKUP(A560,Entry!$D:$D,1,FALSE)=A560,TRUE,FALSE),FALSE))</f>
        <v/>
      </c>
    </row>
    <row r="561" spans="1:33" ht="15" customHeight="1" x14ac:dyDescent="0.2">
      <c r="A561" s="110"/>
      <c r="B561" s="20"/>
      <c r="C561" s="20"/>
      <c r="D561" s="20"/>
      <c r="E561" s="20"/>
      <c r="F561" s="16"/>
      <c r="G561" s="20"/>
      <c r="H561" s="20"/>
      <c r="I561" s="187"/>
      <c r="J561" s="188"/>
      <c r="K561" s="189">
        <f t="shared" ref="K561" si="287">I561+J561</f>
        <v>0</v>
      </c>
      <c r="L561" s="72"/>
      <c r="M561" s="212"/>
      <c r="N561" s="152"/>
      <c r="O561" s="44"/>
      <c r="Y561" s="8" t="str">
        <f>IF(A561="","",IFERROR(IF(VLOOKUP(A561,Entry!$D:$D,1,FALSE)=A561,"",ROW()),ROW()))</f>
        <v/>
      </c>
      <c r="AG561" s="8" t="str">
        <f>IF(A561="","",IFERROR(IF(VLOOKUP(A561,Entry!$D:$D,1,FALSE)=A561,TRUE,FALSE),FALSE))</f>
        <v/>
      </c>
    </row>
    <row r="562" spans="1:33" ht="15" customHeight="1" x14ac:dyDescent="0.2">
      <c r="A562" s="111"/>
      <c r="B562" s="21"/>
      <c r="C562" s="21"/>
      <c r="D562" s="21"/>
      <c r="E562" s="21"/>
      <c r="F562" s="14"/>
      <c r="G562" s="21"/>
      <c r="H562" s="21"/>
      <c r="I562" s="190"/>
      <c r="J562" s="191"/>
      <c r="K562" s="189">
        <f t="shared" si="266"/>
        <v>0</v>
      </c>
      <c r="L562" s="73"/>
      <c r="M562" s="213"/>
      <c r="N562" s="153"/>
      <c r="O562" s="45"/>
      <c r="Y562" s="8" t="str">
        <f>IF(A562="","",IFERROR(IF(VLOOKUP(A562,Entry!$D:$D,1,FALSE)=A562,"",ROW()),ROW()))</f>
        <v/>
      </c>
      <c r="AG562" s="8" t="str">
        <f>IF(A562="","",IFERROR(IF(VLOOKUP(A562,Entry!$D:$D,1,FALSE)=A562,TRUE,FALSE),FALSE))</f>
        <v/>
      </c>
    </row>
    <row r="563" spans="1:33" ht="15" customHeight="1" x14ac:dyDescent="0.2">
      <c r="A563" s="111"/>
      <c r="B563" s="21"/>
      <c r="C563" s="21"/>
      <c r="D563" s="21"/>
      <c r="E563" s="21"/>
      <c r="F563" s="14"/>
      <c r="G563" s="21"/>
      <c r="H563" s="21"/>
      <c r="I563" s="190"/>
      <c r="J563" s="191"/>
      <c r="K563" s="189">
        <f t="shared" si="266"/>
        <v>0</v>
      </c>
      <c r="L563" s="73"/>
      <c r="M563" s="213"/>
      <c r="N563" s="153"/>
      <c r="O563" s="45"/>
      <c r="Y563" s="8" t="str">
        <f>IF(A563="","",IFERROR(IF(VLOOKUP(A563,Entry!$D:$D,1,FALSE)=A563,"",ROW()),ROW()))</f>
        <v/>
      </c>
      <c r="AG563" s="8" t="str">
        <f>IF(A563="","",IFERROR(IF(VLOOKUP(A563,Entry!$D:$D,1,FALSE)=A563,TRUE,FALSE),FALSE))</f>
        <v/>
      </c>
    </row>
    <row r="564" spans="1:33" ht="15" customHeight="1" x14ac:dyDescent="0.2">
      <c r="A564" s="111"/>
      <c r="B564" s="21"/>
      <c r="C564" s="21"/>
      <c r="D564" s="21"/>
      <c r="E564" s="21"/>
      <c r="F564" s="14"/>
      <c r="G564" s="21"/>
      <c r="H564" s="21"/>
      <c r="I564" s="190"/>
      <c r="J564" s="191"/>
      <c r="K564" s="189">
        <f t="shared" si="266"/>
        <v>0</v>
      </c>
      <c r="L564" s="73"/>
      <c r="M564" s="213"/>
      <c r="N564" s="153"/>
      <c r="O564" s="45"/>
      <c r="Y564" s="8" t="str">
        <f>IF(A564="","",IFERROR(IF(VLOOKUP(A564,Entry!$D:$D,1,FALSE)=A564,"",ROW()),ROW()))</f>
        <v/>
      </c>
      <c r="AG564" s="8" t="str">
        <f>IF(A564="","",IFERROR(IF(VLOOKUP(A564,Entry!$D:$D,1,FALSE)=A564,TRUE,FALSE),FALSE))</f>
        <v/>
      </c>
    </row>
    <row r="565" spans="1:33" ht="15" customHeight="1" x14ac:dyDescent="0.2">
      <c r="A565" s="112"/>
      <c r="B565" s="22"/>
      <c r="C565" s="22"/>
      <c r="D565" s="22"/>
      <c r="E565" s="22"/>
      <c r="F565" s="15"/>
      <c r="G565" s="22"/>
      <c r="H565" s="22"/>
      <c r="I565" s="192"/>
      <c r="J565" s="193"/>
      <c r="K565" s="189">
        <f t="shared" si="266"/>
        <v>0</v>
      </c>
      <c r="L565" s="74"/>
      <c r="M565" s="214"/>
      <c r="N565" s="154"/>
      <c r="O565" s="46"/>
      <c r="Y565" s="8" t="str">
        <f>IF(A565="","",IFERROR(IF(VLOOKUP(A565,Entry!$D:$D,1,FALSE)=A565,"",ROW()),ROW()))</f>
        <v/>
      </c>
      <c r="AG565" s="8" t="str">
        <f>IF(A565="","",IFERROR(IF(VLOOKUP(A565,Entry!$D:$D,1,FALSE)=A565,TRUE,FALSE),FALSE))</f>
        <v/>
      </c>
    </row>
    <row r="566" spans="1:33" ht="17.25" customHeight="1" x14ac:dyDescent="0.2">
      <c r="A566" s="113"/>
      <c r="B566" s="19"/>
      <c r="C566" s="19"/>
      <c r="D566" s="19"/>
      <c r="E566" s="19"/>
      <c r="F566" s="18"/>
      <c r="G566" s="19"/>
      <c r="H566" s="19"/>
      <c r="I566" s="194">
        <f t="shared" ref="I566:K566" si="288">SUM(I567:I571)</f>
        <v>0</v>
      </c>
      <c r="J566" s="195">
        <f t="shared" si="288"/>
        <v>0</v>
      </c>
      <c r="K566" s="195">
        <f t="shared" si="288"/>
        <v>0</v>
      </c>
      <c r="L566" s="104">
        <f t="shared" ref="L566" si="289">IFERROR(SUMPRODUCT(K567:K571,L567:L571)/SUM(K567:K571),0)</f>
        <v>0</v>
      </c>
      <c r="M566" s="215"/>
      <c r="N566" s="155"/>
      <c r="O566" s="47"/>
      <c r="Y566" s="8" t="str">
        <f>IF(A566="","",IFERROR(IF(VLOOKUP(A566,Entry!$D:$D,1,FALSE)=A566,"",ROW()),ROW()))</f>
        <v/>
      </c>
      <c r="AG566" s="8" t="str">
        <f>IF(A566="","",IFERROR(IF(VLOOKUP(A566,Entry!$D:$D,1,FALSE)=A566,TRUE,FALSE),FALSE))</f>
        <v/>
      </c>
    </row>
    <row r="567" spans="1:33" ht="15" customHeight="1" x14ac:dyDescent="0.2">
      <c r="A567" s="110"/>
      <c r="B567" s="20"/>
      <c r="C567" s="20"/>
      <c r="D567" s="20"/>
      <c r="E567" s="20"/>
      <c r="F567" s="16"/>
      <c r="G567" s="20"/>
      <c r="H567" s="20"/>
      <c r="I567" s="187"/>
      <c r="J567" s="188"/>
      <c r="K567" s="189">
        <f t="shared" ref="K567" si="290">I567+J567</f>
        <v>0</v>
      </c>
      <c r="L567" s="72"/>
      <c r="M567" s="212"/>
      <c r="N567" s="152"/>
      <c r="O567" s="44"/>
      <c r="Y567" s="8" t="str">
        <f>IF(A567="","",IFERROR(IF(VLOOKUP(A567,Entry!$D:$D,1,FALSE)=A567,"",ROW()),ROW()))</f>
        <v/>
      </c>
      <c r="AG567" s="8" t="str">
        <f>IF(A567="","",IFERROR(IF(VLOOKUP(A567,Entry!$D:$D,1,FALSE)=A567,TRUE,FALSE),FALSE))</f>
        <v/>
      </c>
    </row>
    <row r="568" spans="1:33" ht="15" customHeight="1" x14ac:dyDescent="0.2">
      <c r="A568" s="111"/>
      <c r="B568" s="21"/>
      <c r="C568" s="21"/>
      <c r="D568" s="21"/>
      <c r="E568" s="21"/>
      <c r="F568" s="14"/>
      <c r="G568" s="21"/>
      <c r="H568" s="21"/>
      <c r="I568" s="190"/>
      <c r="J568" s="191"/>
      <c r="K568" s="189">
        <f t="shared" si="266"/>
        <v>0</v>
      </c>
      <c r="L568" s="73"/>
      <c r="M568" s="213"/>
      <c r="N568" s="153"/>
      <c r="O568" s="45"/>
      <c r="Y568" s="8" t="str">
        <f>IF(A568="","",IFERROR(IF(VLOOKUP(A568,Entry!$D:$D,1,FALSE)=A568,"",ROW()),ROW()))</f>
        <v/>
      </c>
      <c r="AG568" s="8" t="str">
        <f>IF(A568="","",IFERROR(IF(VLOOKUP(A568,Entry!$D:$D,1,FALSE)=A568,TRUE,FALSE),FALSE))</f>
        <v/>
      </c>
    </row>
    <row r="569" spans="1:33" ht="15" customHeight="1" x14ac:dyDescent="0.2">
      <c r="A569" s="111"/>
      <c r="B569" s="21"/>
      <c r="C569" s="21"/>
      <c r="D569" s="21"/>
      <c r="E569" s="21"/>
      <c r="F569" s="14"/>
      <c r="G569" s="21"/>
      <c r="H569" s="21"/>
      <c r="I569" s="190"/>
      <c r="J569" s="191"/>
      <c r="K569" s="189">
        <f t="shared" si="266"/>
        <v>0</v>
      </c>
      <c r="L569" s="73"/>
      <c r="M569" s="213"/>
      <c r="N569" s="153"/>
      <c r="O569" s="45"/>
      <c r="Y569" s="8" t="str">
        <f>IF(A569="","",IFERROR(IF(VLOOKUP(A569,Entry!$D:$D,1,FALSE)=A569,"",ROW()),ROW()))</f>
        <v/>
      </c>
      <c r="AG569" s="8" t="str">
        <f>IF(A569="","",IFERROR(IF(VLOOKUP(A569,Entry!$D:$D,1,FALSE)=A569,TRUE,FALSE),FALSE))</f>
        <v/>
      </c>
    </row>
    <row r="570" spans="1:33" ht="15" customHeight="1" x14ac:dyDescent="0.2">
      <c r="A570" s="111"/>
      <c r="B570" s="21"/>
      <c r="C570" s="21"/>
      <c r="D570" s="21"/>
      <c r="E570" s="21"/>
      <c r="F570" s="14"/>
      <c r="G570" s="21"/>
      <c r="H570" s="21"/>
      <c r="I570" s="190"/>
      <c r="J570" s="191"/>
      <c r="K570" s="189">
        <f t="shared" si="266"/>
        <v>0</v>
      </c>
      <c r="L570" s="73"/>
      <c r="M570" s="213"/>
      <c r="N570" s="153"/>
      <c r="O570" s="45"/>
      <c r="Y570" s="8" t="str">
        <f>IF(A570="","",IFERROR(IF(VLOOKUP(A570,Entry!$D:$D,1,FALSE)=A570,"",ROW()),ROW()))</f>
        <v/>
      </c>
      <c r="AG570" s="8" t="str">
        <f>IF(A570="","",IFERROR(IF(VLOOKUP(A570,Entry!$D:$D,1,FALSE)=A570,TRUE,FALSE),FALSE))</f>
        <v/>
      </c>
    </row>
    <row r="571" spans="1:33" ht="15" customHeight="1" x14ac:dyDescent="0.2">
      <c r="A571" s="112"/>
      <c r="B571" s="22"/>
      <c r="C571" s="22"/>
      <c r="D571" s="22"/>
      <c r="E571" s="22"/>
      <c r="F571" s="15"/>
      <c r="G571" s="22"/>
      <c r="H571" s="22"/>
      <c r="I571" s="192"/>
      <c r="J571" s="193"/>
      <c r="K571" s="189">
        <f t="shared" si="266"/>
        <v>0</v>
      </c>
      <c r="L571" s="74"/>
      <c r="M571" s="214"/>
      <c r="N571" s="154"/>
      <c r="O571" s="46"/>
      <c r="Y571" s="8" t="str">
        <f>IF(A571="","",IFERROR(IF(VLOOKUP(A571,Entry!$D:$D,1,FALSE)=A571,"",ROW()),ROW()))</f>
        <v/>
      </c>
      <c r="AG571" s="8" t="str">
        <f>IF(A571="","",IFERROR(IF(VLOOKUP(A571,Entry!$D:$D,1,FALSE)=A571,TRUE,FALSE),FALSE))</f>
        <v/>
      </c>
    </row>
    <row r="572" spans="1:33" ht="17.25" customHeight="1" x14ac:dyDescent="0.2">
      <c r="A572" s="113"/>
      <c r="B572" s="19"/>
      <c r="C572" s="19"/>
      <c r="D572" s="19"/>
      <c r="E572" s="19"/>
      <c r="F572" s="18"/>
      <c r="G572" s="19"/>
      <c r="H572" s="19"/>
      <c r="I572" s="194">
        <f t="shared" ref="I572:K572" si="291">SUM(I573:I577)</f>
        <v>0</v>
      </c>
      <c r="J572" s="195">
        <f t="shared" si="291"/>
        <v>0</v>
      </c>
      <c r="K572" s="195">
        <f t="shared" si="291"/>
        <v>0</v>
      </c>
      <c r="L572" s="104">
        <f t="shared" ref="L572" si="292">IFERROR(SUMPRODUCT(K573:K577,L573:L577)/SUM(K573:K577),0)</f>
        <v>0</v>
      </c>
      <c r="M572" s="215"/>
      <c r="N572" s="155"/>
      <c r="O572" s="47"/>
      <c r="Y572" s="8" t="str">
        <f>IF(A572="","",IFERROR(IF(VLOOKUP(A572,Entry!$D:$D,1,FALSE)=A572,"",ROW()),ROW()))</f>
        <v/>
      </c>
      <c r="AG572" s="8" t="str">
        <f>IF(A572="","",IFERROR(IF(VLOOKUP(A572,Entry!$D:$D,1,FALSE)=A572,TRUE,FALSE),FALSE))</f>
        <v/>
      </c>
    </row>
    <row r="573" spans="1:33" ht="15" customHeight="1" x14ac:dyDescent="0.2">
      <c r="A573" s="110"/>
      <c r="B573" s="20"/>
      <c r="C573" s="20"/>
      <c r="D573" s="20"/>
      <c r="E573" s="20"/>
      <c r="F573" s="16"/>
      <c r="G573" s="20"/>
      <c r="H573" s="20"/>
      <c r="I573" s="187"/>
      <c r="J573" s="188"/>
      <c r="K573" s="189">
        <f t="shared" ref="K573" si="293">I573+J573</f>
        <v>0</v>
      </c>
      <c r="L573" s="72"/>
      <c r="M573" s="212"/>
      <c r="N573" s="152"/>
      <c r="O573" s="44"/>
      <c r="Y573" s="8" t="str">
        <f>IF(A573="","",IFERROR(IF(VLOOKUP(A573,Entry!$D:$D,1,FALSE)=A573,"",ROW()),ROW()))</f>
        <v/>
      </c>
      <c r="AG573" s="8" t="str">
        <f>IF(A573="","",IFERROR(IF(VLOOKUP(A573,Entry!$D:$D,1,FALSE)=A573,TRUE,FALSE),FALSE))</f>
        <v/>
      </c>
    </row>
    <row r="574" spans="1:33" ht="15" customHeight="1" x14ac:dyDescent="0.2">
      <c r="A574" s="111"/>
      <c r="B574" s="21"/>
      <c r="C574" s="21"/>
      <c r="D574" s="21"/>
      <c r="E574" s="21"/>
      <c r="F574" s="14"/>
      <c r="G574" s="21"/>
      <c r="H574" s="21"/>
      <c r="I574" s="190"/>
      <c r="J574" s="191"/>
      <c r="K574" s="189">
        <f t="shared" si="266"/>
        <v>0</v>
      </c>
      <c r="L574" s="73"/>
      <c r="M574" s="213"/>
      <c r="N574" s="153"/>
      <c r="O574" s="45"/>
      <c r="Y574" s="8" t="str">
        <f>IF(A574="","",IFERROR(IF(VLOOKUP(A574,Entry!$D:$D,1,FALSE)=A574,"",ROW()),ROW()))</f>
        <v/>
      </c>
      <c r="AG574" s="8" t="str">
        <f>IF(A574="","",IFERROR(IF(VLOOKUP(A574,Entry!$D:$D,1,FALSE)=A574,TRUE,FALSE),FALSE))</f>
        <v/>
      </c>
    </row>
    <row r="575" spans="1:33" ht="15" customHeight="1" x14ac:dyDescent="0.2">
      <c r="A575" s="111"/>
      <c r="B575" s="21"/>
      <c r="C575" s="21"/>
      <c r="D575" s="21"/>
      <c r="E575" s="21"/>
      <c r="F575" s="14"/>
      <c r="G575" s="21"/>
      <c r="H575" s="21"/>
      <c r="I575" s="190"/>
      <c r="J575" s="191"/>
      <c r="K575" s="189">
        <f t="shared" si="266"/>
        <v>0</v>
      </c>
      <c r="L575" s="73"/>
      <c r="M575" s="213"/>
      <c r="N575" s="153"/>
      <c r="O575" s="45"/>
      <c r="Y575" s="8" t="str">
        <f>IF(A575="","",IFERROR(IF(VLOOKUP(A575,Entry!$D:$D,1,FALSE)=A575,"",ROW()),ROW()))</f>
        <v/>
      </c>
      <c r="AG575" s="8" t="str">
        <f>IF(A575="","",IFERROR(IF(VLOOKUP(A575,Entry!$D:$D,1,FALSE)=A575,TRUE,FALSE),FALSE))</f>
        <v/>
      </c>
    </row>
    <row r="576" spans="1:33" ht="15" customHeight="1" x14ac:dyDescent="0.2">
      <c r="A576" s="111"/>
      <c r="B576" s="21"/>
      <c r="C576" s="21"/>
      <c r="D576" s="21"/>
      <c r="E576" s="21"/>
      <c r="F576" s="14"/>
      <c r="G576" s="21"/>
      <c r="H576" s="21"/>
      <c r="I576" s="190"/>
      <c r="J576" s="191"/>
      <c r="K576" s="189">
        <f t="shared" si="266"/>
        <v>0</v>
      </c>
      <c r="L576" s="73"/>
      <c r="M576" s="213"/>
      <c r="N576" s="153"/>
      <c r="O576" s="45"/>
      <c r="Y576" s="8" t="str">
        <f>IF(A576="","",IFERROR(IF(VLOOKUP(A576,Entry!$D:$D,1,FALSE)=A576,"",ROW()),ROW()))</f>
        <v/>
      </c>
      <c r="AG576" s="8" t="str">
        <f>IF(A576="","",IFERROR(IF(VLOOKUP(A576,Entry!$D:$D,1,FALSE)=A576,TRUE,FALSE),FALSE))</f>
        <v/>
      </c>
    </row>
    <row r="577" spans="1:33" ht="15" customHeight="1" x14ac:dyDescent="0.2">
      <c r="A577" s="112"/>
      <c r="B577" s="22"/>
      <c r="C577" s="22"/>
      <c r="D577" s="22"/>
      <c r="E577" s="22"/>
      <c r="F577" s="15"/>
      <c r="G577" s="22"/>
      <c r="H577" s="22"/>
      <c r="I577" s="192"/>
      <c r="J577" s="193"/>
      <c r="K577" s="189">
        <f t="shared" si="266"/>
        <v>0</v>
      </c>
      <c r="L577" s="74"/>
      <c r="M577" s="214"/>
      <c r="N577" s="154"/>
      <c r="O577" s="46"/>
      <c r="Y577" s="8" t="str">
        <f>IF(A577="","",IFERROR(IF(VLOOKUP(A577,Entry!$D:$D,1,FALSE)=A577,"",ROW()),ROW()))</f>
        <v/>
      </c>
      <c r="AG577" s="8" t="str">
        <f>IF(A577="","",IFERROR(IF(VLOOKUP(A577,Entry!$D:$D,1,FALSE)=A577,TRUE,FALSE),FALSE))</f>
        <v/>
      </c>
    </row>
    <row r="578" spans="1:33" ht="17.25" customHeight="1" x14ac:dyDescent="0.2">
      <c r="A578" s="113"/>
      <c r="B578" s="19"/>
      <c r="C578" s="19"/>
      <c r="D578" s="19"/>
      <c r="E578" s="19"/>
      <c r="F578" s="18"/>
      <c r="G578" s="19"/>
      <c r="H578" s="19"/>
      <c r="I578" s="194">
        <f t="shared" ref="I578:K578" si="294">SUM(I579:I583)</f>
        <v>0</v>
      </c>
      <c r="J578" s="195">
        <f t="shared" si="294"/>
        <v>0</v>
      </c>
      <c r="K578" s="195">
        <f t="shared" si="294"/>
        <v>0</v>
      </c>
      <c r="L578" s="104">
        <f t="shared" ref="L578" si="295">IFERROR(SUMPRODUCT(K579:K583,L579:L583)/SUM(K579:K583),0)</f>
        <v>0</v>
      </c>
      <c r="M578" s="215"/>
      <c r="N578" s="155"/>
      <c r="O578" s="47"/>
      <c r="Y578" s="8" t="str">
        <f>IF(A578="","",IFERROR(IF(VLOOKUP(A578,Entry!$D:$D,1,FALSE)=A578,"",ROW()),ROW()))</f>
        <v/>
      </c>
      <c r="AG578" s="8" t="str">
        <f>IF(A578="","",IFERROR(IF(VLOOKUP(A578,Entry!$D:$D,1,FALSE)=A578,TRUE,FALSE),FALSE))</f>
        <v/>
      </c>
    </row>
    <row r="579" spans="1:33" ht="15" customHeight="1" x14ac:dyDescent="0.2">
      <c r="A579" s="110"/>
      <c r="B579" s="20"/>
      <c r="C579" s="20"/>
      <c r="D579" s="20"/>
      <c r="E579" s="20"/>
      <c r="F579" s="16"/>
      <c r="G579" s="20"/>
      <c r="H579" s="20"/>
      <c r="I579" s="187"/>
      <c r="J579" s="188"/>
      <c r="K579" s="189">
        <f t="shared" ref="K579" si="296">I579+J579</f>
        <v>0</v>
      </c>
      <c r="L579" s="72"/>
      <c r="M579" s="212"/>
      <c r="N579" s="152"/>
      <c r="O579" s="44"/>
      <c r="Y579" s="8" t="str">
        <f>IF(A579="","",IFERROR(IF(VLOOKUP(A579,Entry!$D:$D,1,FALSE)=A579,"",ROW()),ROW()))</f>
        <v/>
      </c>
      <c r="AG579" s="8" t="str">
        <f>IF(A579="","",IFERROR(IF(VLOOKUP(A579,Entry!$D:$D,1,FALSE)=A579,TRUE,FALSE),FALSE))</f>
        <v/>
      </c>
    </row>
    <row r="580" spans="1:33" ht="15" customHeight="1" x14ac:dyDescent="0.2">
      <c r="A580" s="111"/>
      <c r="B580" s="21"/>
      <c r="C580" s="21"/>
      <c r="D580" s="21"/>
      <c r="E580" s="21"/>
      <c r="F580" s="14"/>
      <c r="G580" s="21"/>
      <c r="H580" s="21"/>
      <c r="I580" s="190"/>
      <c r="J580" s="191"/>
      <c r="K580" s="189">
        <f t="shared" si="266"/>
        <v>0</v>
      </c>
      <c r="L580" s="73"/>
      <c r="M580" s="213"/>
      <c r="N580" s="153"/>
      <c r="O580" s="45"/>
      <c r="Y580" s="8" t="str">
        <f>IF(A580="","",IFERROR(IF(VLOOKUP(A580,Entry!$D:$D,1,FALSE)=A580,"",ROW()),ROW()))</f>
        <v/>
      </c>
      <c r="AG580" s="8" t="str">
        <f>IF(A580="","",IFERROR(IF(VLOOKUP(A580,Entry!$D:$D,1,FALSE)=A580,TRUE,FALSE),FALSE))</f>
        <v/>
      </c>
    </row>
    <row r="581" spans="1:33" ht="15" customHeight="1" x14ac:dyDescent="0.2">
      <c r="A581" s="111"/>
      <c r="B581" s="21"/>
      <c r="C581" s="21"/>
      <c r="D581" s="21"/>
      <c r="E581" s="21"/>
      <c r="F581" s="14"/>
      <c r="G581" s="21"/>
      <c r="H581" s="21"/>
      <c r="I581" s="190"/>
      <c r="J581" s="191"/>
      <c r="K581" s="189">
        <f t="shared" si="266"/>
        <v>0</v>
      </c>
      <c r="L581" s="73"/>
      <c r="M581" s="213"/>
      <c r="N581" s="153"/>
      <c r="O581" s="45"/>
      <c r="Y581" s="8" t="str">
        <f>IF(A581="","",IFERROR(IF(VLOOKUP(A581,Entry!$D:$D,1,FALSE)=A581,"",ROW()),ROW()))</f>
        <v/>
      </c>
      <c r="AG581" s="8" t="str">
        <f>IF(A581="","",IFERROR(IF(VLOOKUP(A581,Entry!$D:$D,1,FALSE)=A581,TRUE,FALSE),FALSE))</f>
        <v/>
      </c>
    </row>
    <row r="582" spans="1:33" ht="15" customHeight="1" x14ac:dyDescent="0.2">
      <c r="A582" s="111"/>
      <c r="B582" s="21"/>
      <c r="C582" s="21"/>
      <c r="D582" s="21"/>
      <c r="E582" s="21"/>
      <c r="F582" s="14"/>
      <c r="G582" s="21"/>
      <c r="H582" s="21"/>
      <c r="I582" s="190"/>
      <c r="J582" s="191"/>
      <c r="K582" s="189">
        <f t="shared" si="266"/>
        <v>0</v>
      </c>
      <c r="L582" s="73"/>
      <c r="M582" s="213"/>
      <c r="N582" s="153"/>
      <c r="O582" s="45"/>
      <c r="Y582" s="8" t="str">
        <f>IF(A582="","",IFERROR(IF(VLOOKUP(A582,Entry!$D:$D,1,FALSE)=A582,"",ROW()),ROW()))</f>
        <v/>
      </c>
      <c r="AG582" s="8" t="str">
        <f>IF(A582="","",IFERROR(IF(VLOOKUP(A582,Entry!$D:$D,1,FALSE)=A582,TRUE,FALSE),FALSE))</f>
        <v/>
      </c>
    </row>
    <row r="583" spans="1:33" ht="15" customHeight="1" x14ac:dyDescent="0.2">
      <c r="A583" s="112"/>
      <c r="B583" s="22"/>
      <c r="C583" s="22"/>
      <c r="D583" s="22"/>
      <c r="E583" s="22"/>
      <c r="F583" s="15"/>
      <c r="G583" s="22"/>
      <c r="H583" s="22"/>
      <c r="I583" s="192"/>
      <c r="J583" s="193"/>
      <c r="K583" s="189">
        <f t="shared" si="266"/>
        <v>0</v>
      </c>
      <c r="L583" s="74"/>
      <c r="M583" s="214"/>
      <c r="N583" s="154"/>
      <c r="O583" s="46"/>
      <c r="Y583" s="8" t="str">
        <f>IF(A583="","",IFERROR(IF(VLOOKUP(A583,Entry!$D:$D,1,FALSE)=A583,"",ROW()),ROW()))</f>
        <v/>
      </c>
      <c r="AG583" s="8" t="str">
        <f>IF(A583="","",IFERROR(IF(VLOOKUP(A583,Entry!$D:$D,1,FALSE)=A583,TRUE,FALSE),FALSE))</f>
        <v/>
      </c>
    </row>
    <row r="584" spans="1:33" ht="17.25" customHeight="1" x14ac:dyDescent="0.2">
      <c r="A584" s="113"/>
      <c r="B584" s="19"/>
      <c r="C584" s="19"/>
      <c r="D584" s="19"/>
      <c r="E584" s="19"/>
      <c r="F584" s="18"/>
      <c r="G584" s="19"/>
      <c r="H584" s="19"/>
      <c r="I584" s="194">
        <f t="shared" ref="I584:K584" si="297">SUM(I585:I589)</f>
        <v>0</v>
      </c>
      <c r="J584" s="195">
        <f t="shared" si="297"/>
        <v>0</v>
      </c>
      <c r="K584" s="195">
        <f t="shared" si="297"/>
        <v>0</v>
      </c>
      <c r="L584" s="104">
        <f t="shared" ref="L584" si="298">IFERROR(SUMPRODUCT(K585:K589,L585:L589)/SUM(K585:K589),0)</f>
        <v>0</v>
      </c>
      <c r="M584" s="215"/>
      <c r="N584" s="155"/>
      <c r="O584" s="47"/>
      <c r="Y584" s="8" t="str">
        <f>IF(A584="","",IFERROR(IF(VLOOKUP(A584,Entry!$D:$D,1,FALSE)=A584,"",ROW()),ROW()))</f>
        <v/>
      </c>
      <c r="AG584" s="8" t="str">
        <f>IF(A584="","",IFERROR(IF(VLOOKUP(A584,Entry!$D:$D,1,FALSE)=A584,TRUE,FALSE),FALSE))</f>
        <v/>
      </c>
    </row>
    <row r="585" spans="1:33" ht="15" customHeight="1" x14ac:dyDescent="0.2">
      <c r="A585" s="110"/>
      <c r="B585" s="20"/>
      <c r="C585" s="20"/>
      <c r="D585" s="20"/>
      <c r="E585" s="20"/>
      <c r="F585" s="16"/>
      <c r="G585" s="20"/>
      <c r="H585" s="20"/>
      <c r="I585" s="187"/>
      <c r="J585" s="188"/>
      <c r="K585" s="189">
        <f t="shared" ref="K585:K601" si="299">I585+J585</f>
        <v>0</v>
      </c>
      <c r="L585" s="72"/>
      <c r="M585" s="212"/>
      <c r="N585" s="152"/>
      <c r="O585" s="44"/>
      <c r="Y585" s="8" t="str">
        <f>IF(A585="","",IFERROR(IF(VLOOKUP(A585,Entry!$D:$D,1,FALSE)=A585,"",ROW()),ROW()))</f>
        <v/>
      </c>
      <c r="AG585" s="8" t="str">
        <f>IF(A585="","",IFERROR(IF(VLOOKUP(A585,Entry!$D:$D,1,FALSE)=A585,TRUE,FALSE),FALSE))</f>
        <v/>
      </c>
    </row>
    <row r="586" spans="1:33" ht="15" customHeight="1" x14ac:dyDescent="0.2">
      <c r="A586" s="111"/>
      <c r="B586" s="21"/>
      <c r="C586" s="21"/>
      <c r="D586" s="21"/>
      <c r="E586" s="21"/>
      <c r="F586" s="14"/>
      <c r="G586" s="21"/>
      <c r="H586" s="21"/>
      <c r="I586" s="190"/>
      <c r="J586" s="191"/>
      <c r="K586" s="189">
        <f t="shared" si="299"/>
        <v>0</v>
      </c>
      <c r="L586" s="73"/>
      <c r="M586" s="213"/>
      <c r="N586" s="153"/>
      <c r="O586" s="45"/>
      <c r="Y586" s="8" t="str">
        <f>IF(A586="","",IFERROR(IF(VLOOKUP(A586,Entry!$D:$D,1,FALSE)=A586,"",ROW()),ROW()))</f>
        <v/>
      </c>
      <c r="AG586" s="8" t="str">
        <f>IF(A586="","",IFERROR(IF(VLOOKUP(A586,Entry!$D:$D,1,FALSE)=A586,TRUE,FALSE),FALSE))</f>
        <v/>
      </c>
    </row>
    <row r="587" spans="1:33" ht="15" customHeight="1" x14ac:dyDescent="0.2">
      <c r="A587" s="111"/>
      <c r="B587" s="21"/>
      <c r="C587" s="21"/>
      <c r="D587" s="21"/>
      <c r="E587" s="21"/>
      <c r="F587" s="14"/>
      <c r="G587" s="21"/>
      <c r="H587" s="21"/>
      <c r="I587" s="190"/>
      <c r="J587" s="191"/>
      <c r="K587" s="189">
        <f t="shared" si="299"/>
        <v>0</v>
      </c>
      <c r="L587" s="73"/>
      <c r="M587" s="213"/>
      <c r="N587" s="153"/>
      <c r="O587" s="45"/>
      <c r="Y587" s="8" t="str">
        <f>IF(A587="","",IFERROR(IF(VLOOKUP(A587,Entry!$D:$D,1,FALSE)=A587,"",ROW()),ROW()))</f>
        <v/>
      </c>
      <c r="AG587" s="8" t="str">
        <f>IF(A587="","",IFERROR(IF(VLOOKUP(A587,Entry!$D:$D,1,FALSE)=A587,TRUE,FALSE),FALSE))</f>
        <v/>
      </c>
    </row>
    <row r="588" spans="1:33" ht="15" customHeight="1" x14ac:dyDescent="0.2">
      <c r="A588" s="111"/>
      <c r="B588" s="21"/>
      <c r="C588" s="21"/>
      <c r="D588" s="21"/>
      <c r="E588" s="21"/>
      <c r="F588" s="14"/>
      <c r="G588" s="21"/>
      <c r="H588" s="21"/>
      <c r="I588" s="190"/>
      <c r="J588" s="191"/>
      <c r="K588" s="189">
        <f t="shared" si="299"/>
        <v>0</v>
      </c>
      <c r="L588" s="73"/>
      <c r="M588" s="213"/>
      <c r="N588" s="153"/>
      <c r="O588" s="45"/>
      <c r="Y588" s="8" t="str">
        <f>IF(A588="","",IFERROR(IF(VLOOKUP(A588,Entry!$D:$D,1,FALSE)=A588,"",ROW()),ROW()))</f>
        <v/>
      </c>
      <c r="AG588" s="8" t="str">
        <f>IF(A588="","",IFERROR(IF(VLOOKUP(A588,Entry!$D:$D,1,FALSE)=A588,TRUE,FALSE),FALSE))</f>
        <v/>
      </c>
    </row>
    <row r="589" spans="1:33" ht="15" customHeight="1" x14ac:dyDescent="0.2">
      <c r="A589" s="112"/>
      <c r="B589" s="22"/>
      <c r="C589" s="22"/>
      <c r="D589" s="22"/>
      <c r="E589" s="22"/>
      <c r="F589" s="15"/>
      <c r="G589" s="22"/>
      <c r="H589" s="22"/>
      <c r="I589" s="192"/>
      <c r="J589" s="193"/>
      <c r="K589" s="189">
        <f t="shared" si="299"/>
        <v>0</v>
      </c>
      <c r="L589" s="74"/>
      <c r="M589" s="214"/>
      <c r="N589" s="154"/>
      <c r="O589" s="46"/>
      <c r="Y589" s="8" t="str">
        <f>IF(A589="","",IFERROR(IF(VLOOKUP(A589,Entry!$D:$D,1,FALSE)=A589,"",ROW()),ROW()))</f>
        <v/>
      </c>
      <c r="AG589" s="8" t="str">
        <f>IF(A589="","",IFERROR(IF(VLOOKUP(A589,Entry!$D:$D,1,FALSE)=A589,TRUE,FALSE),FALSE))</f>
        <v/>
      </c>
    </row>
    <row r="590" spans="1:33" ht="17.25" customHeight="1" x14ac:dyDescent="0.2">
      <c r="A590" s="113"/>
      <c r="B590" s="19"/>
      <c r="C590" s="19"/>
      <c r="D590" s="19"/>
      <c r="E590" s="19"/>
      <c r="F590" s="18"/>
      <c r="G590" s="19"/>
      <c r="H590" s="19"/>
      <c r="I590" s="194">
        <f t="shared" ref="I590:K590" si="300">SUM(I591:I595)</f>
        <v>0</v>
      </c>
      <c r="J590" s="195">
        <f t="shared" si="300"/>
        <v>0</v>
      </c>
      <c r="K590" s="195">
        <f t="shared" si="300"/>
        <v>0</v>
      </c>
      <c r="L590" s="104">
        <f t="shared" ref="L590" si="301">IFERROR(SUMPRODUCT(K591:K595,L591:L595)/SUM(K591:K595),0)</f>
        <v>0</v>
      </c>
      <c r="M590" s="215"/>
      <c r="N590" s="155"/>
      <c r="O590" s="47"/>
      <c r="Y590" s="8" t="str">
        <f>IF(A590="","",IFERROR(IF(VLOOKUP(A590,Entry!$D:$D,1,FALSE)=A590,"",ROW()),ROW()))</f>
        <v/>
      </c>
      <c r="AG590" s="8" t="str">
        <f>IF(A590="","",IFERROR(IF(VLOOKUP(A590,Entry!$D:$D,1,FALSE)=A590,TRUE,FALSE),FALSE))</f>
        <v/>
      </c>
    </row>
    <row r="591" spans="1:33" ht="15" customHeight="1" x14ac:dyDescent="0.2">
      <c r="A591" s="110"/>
      <c r="B591" s="20"/>
      <c r="C591" s="20"/>
      <c r="D591" s="20"/>
      <c r="E591" s="20"/>
      <c r="F591" s="16"/>
      <c r="G591" s="20"/>
      <c r="H591" s="20"/>
      <c r="I591" s="187"/>
      <c r="J591" s="188"/>
      <c r="K591" s="189">
        <f t="shared" ref="K591" si="302">I591+J591</f>
        <v>0</v>
      </c>
      <c r="L591" s="72"/>
      <c r="M591" s="212"/>
      <c r="N591" s="152"/>
      <c r="O591" s="44"/>
      <c r="Y591" s="8" t="str">
        <f>IF(A591="","",IFERROR(IF(VLOOKUP(A591,Entry!$D:$D,1,FALSE)=A591,"",ROW()),ROW()))</f>
        <v/>
      </c>
      <c r="AG591" s="8" t="str">
        <f>IF(A591="","",IFERROR(IF(VLOOKUP(A591,Entry!$D:$D,1,FALSE)=A591,TRUE,FALSE),FALSE))</f>
        <v/>
      </c>
    </row>
    <row r="592" spans="1:33" ht="15" customHeight="1" x14ac:dyDescent="0.2">
      <c r="A592" s="111"/>
      <c r="B592" s="21"/>
      <c r="C592" s="21"/>
      <c r="D592" s="21"/>
      <c r="E592" s="21"/>
      <c r="F592" s="14"/>
      <c r="G592" s="21"/>
      <c r="H592" s="21"/>
      <c r="I592" s="190"/>
      <c r="J592" s="191"/>
      <c r="K592" s="189">
        <f t="shared" si="299"/>
        <v>0</v>
      </c>
      <c r="L592" s="73"/>
      <c r="M592" s="213"/>
      <c r="N592" s="153"/>
      <c r="O592" s="45"/>
      <c r="Y592" s="8" t="str">
        <f>IF(A592="","",IFERROR(IF(VLOOKUP(A592,Entry!$D:$D,1,FALSE)=A592,"",ROW()),ROW()))</f>
        <v/>
      </c>
      <c r="AG592" s="8" t="str">
        <f>IF(A592="","",IFERROR(IF(VLOOKUP(A592,Entry!$D:$D,1,FALSE)=A592,TRUE,FALSE),FALSE))</f>
        <v/>
      </c>
    </row>
    <row r="593" spans="1:33" ht="15" customHeight="1" x14ac:dyDescent="0.2">
      <c r="A593" s="111"/>
      <c r="B593" s="21"/>
      <c r="C593" s="21"/>
      <c r="D593" s="21"/>
      <c r="E593" s="21"/>
      <c r="F593" s="14"/>
      <c r="G593" s="21"/>
      <c r="H593" s="21"/>
      <c r="I593" s="190"/>
      <c r="J593" s="191"/>
      <c r="K593" s="189">
        <f t="shared" si="299"/>
        <v>0</v>
      </c>
      <c r="L593" s="73"/>
      <c r="M593" s="213"/>
      <c r="N593" s="153"/>
      <c r="O593" s="45"/>
      <c r="Y593" s="8" t="str">
        <f>IF(A593="","",IFERROR(IF(VLOOKUP(A593,Entry!$D:$D,1,FALSE)=A593,"",ROW()),ROW()))</f>
        <v/>
      </c>
      <c r="AG593" s="8" t="str">
        <f>IF(A593="","",IFERROR(IF(VLOOKUP(A593,Entry!$D:$D,1,FALSE)=A593,TRUE,FALSE),FALSE))</f>
        <v/>
      </c>
    </row>
    <row r="594" spans="1:33" ht="15" customHeight="1" x14ac:dyDescent="0.2">
      <c r="A594" s="111"/>
      <c r="B594" s="21"/>
      <c r="C594" s="21"/>
      <c r="D594" s="21"/>
      <c r="E594" s="21"/>
      <c r="F594" s="14"/>
      <c r="G594" s="21"/>
      <c r="H594" s="21"/>
      <c r="I594" s="190"/>
      <c r="J594" s="191"/>
      <c r="K594" s="189">
        <f t="shared" si="299"/>
        <v>0</v>
      </c>
      <c r="L594" s="73"/>
      <c r="M594" s="213"/>
      <c r="N594" s="153"/>
      <c r="O594" s="45"/>
      <c r="Y594" s="8" t="str">
        <f>IF(A594="","",IFERROR(IF(VLOOKUP(A594,Entry!$D:$D,1,FALSE)=A594,"",ROW()),ROW()))</f>
        <v/>
      </c>
      <c r="AG594" s="8" t="str">
        <f>IF(A594="","",IFERROR(IF(VLOOKUP(A594,Entry!$D:$D,1,FALSE)=A594,TRUE,FALSE),FALSE))</f>
        <v/>
      </c>
    </row>
    <row r="595" spans="1:33" ht="15" customHeight="1" x14ac:dyDescent="0.2">
      <c r="A595" s="112"/>
      <c r="B595" s="22"/>
      <c r="C595" s="22"/>
      <c r="D595" s="22"/>
      <c r="E595" s="22"/>
      <c r="F595" s="15"/>
      <c r="G595" s="22"/>
      <c r="H595" s="22"/>
      <c r="I595" s="192"/>
      <c r="J595" s="193"/>
      <c r="K595" s="189">
        <f t="shared" si="299"/>
        <v>0</v>
      </c>
      <c r="L595" s="74"/>
      <c r="M595" s="214"/>
      <c r="N595" s="154"/>
      <c r="O595" s="46"/>
      <c r="Y595" s="8" t="str">
        <f>IF(A595="","",IFERROR(IF(VLOOKUP(A595,Entry!$D:$D,1,FALSE)=A595,"",ROW()),ROW()))</f>
        <v/>
      </c>
      <c r="AG595" s="8" t="str">
        <f>IF(A595="","",IFERROR(IF(VLOOKUP(A595,Entry!$D:$D,1,FALSE)=A595,TRUE,FALSE),FALSE))</f>
        <v/>
      </c>
    </row>
    <row r="596" spans="1:33" ht="17.25" customHeight="1" x14ac:dyDescent="0.2">
      <c r="A596" s="113"/>
      <c r="B596" s="19"/>
      <c r="C596" s="19"/>
      <c r="D596" s="19"/>
      <c r="E596" s="19"/>
      <c r="F596" s="18"/>
      <c r="G596" s="19"/>
      <c r="H596" s="19"/>
      <c r="I596" s="194">
        <f t="shared" ref="I596:K596" si="303">SUM(I597:I601)</f>
        <v>0</v>
      </c>
      <c r="J596" s="195">
        <f t="shared" si="303"/>
        <v>0</v>
      </c>
      <c r="K596" s="195">
        <f t="shared" si="303"/>
        <v>0</v>
      </c>
      <c r="L596" s="104">
        <f t="shared" ref="L596" si="304">IFERROR(SUMPRODUCT(K597:K601,L597:L601)/SUM(K597:K601),0)</f>
        <v>0</v>
      </c>
      <c r="M596" s="215"/>
      <c r="N596" s="155"/>
      <c r="O596" s="47"/>
      <c r="Y596" s="8" t="str">
        <f>IF(A596="","",IFERROR(IF(VLOOKUP(A596,Entry!$D:$D,1,FALSE)=A596,"",ROW()),ROW()))</f>
        <v/>
      </c>
      <c r="AG596" s="8" t="str">
        <f>IF(A596="","",IFERROR(IF(VLOOKUP(A596,Entry!$D:$D,1,FALSE)=A596,TRUE,FALSE),FALSE))</f>
        <v/>
      </c>
    </row>
    <row r="597" spans="1:33" ht="15" customHeight="1" x14ac:dyDescent="0.2">
      <c r="A597" s="110"/>
      <c r="B597" s="20"/>
      <c r="C597" s="20"/>
      <c r="D597" s="20"/>
      <c r="E597" s="20"/>
      <c r="F597" s="16"/>
      <c r="G597" s="20"/>
      <c r="H597" s="20"/>
      <c r="I597" s="187"/>
      <c r="J597" s="188"/>
      <c r="K597" s="189">
        <f t="shared" ref="K597" si="305">I597+J597</f>
        <v>0</v>
      </c>
      <c r="L597" s="72"/>
      <c r="M597" s="212"/>
      <c r="N597" s="152"/>
      <c r="O597" s="44"/>
      <c r="Y597" s="8" t="str">
        <f>IF(A597="","",IFERROR(IF(VLOOKUP(A597,Entry!$D:$D,1,FALSE)=A597,"",ROW()),ROW()))</f>
        <v/>
      </c>
      <c r="AG597" s="8" t="str">
        <f>IF(A597="","",IFERROR(IF(VLOOKUP(A597,Entry!$D:$D,1,FALSE)=A597,TRUE,FALSE),FALSE))</f>
        <v/>
      </c>
    </row>
    <row r="598" spans="1:33" ht="15" customHeight="1" x14ac:dyDescent="0.2">
      <c r="A598" s="111"/>
      <c r="B598" s="21"/>
      <c r="C598" s="21"/>
      <c r="D598" s="21"/>
      <c r="E598" s="21"/>
      <c r="F598" s="14"/>
      <c r="G598" s="21"/>
      <c r="H598" s="21"/>
      <c r="I598" s="190"/>
      <c r="J598" s="191"/>
      <c r="K598" s="189">
        <f t="shared" si="299"/>
        <v>0</v>
      </c>
      <c r="L598" s="73"/>
      <c r="M598" s="213"/>
      <c r="N598" s="153"/>
      <c r="O598" s="45"/>
      <c r="Y598" s="8" t="str">
        <f>IF(A598="","",IFERROR(IF(VLOOKUP(A598,Entry!$D:$D,1,FALSE)=A598,"",ROW()),ROW()))</f>
        <v/>
      </c>
      <c r="AG598" s="8" t="str">
        <f>IF(A598="","",IFERROR(IF(VLOOKUP(A598,Entry!$D:$D,1,FALSE)=A598,TRUE,FALSE),FALSE))</f>
        <v/>
      </c>
    </row>
    <row r="599" spans="1:33" ht="15" customHeight="1" x14ac:dyDescent="0.2">
      <c r="A599" s="111"/>
      <c r="B599" s="21"/>
      <c r="C599" s="21"/>
      <c r="D599" s="21"/>
      <c r="E599" s="21"/>
      <c r="F599" s="14"/>
      <c r="G599" s="21"/>
      <c r="H599" s="21"/>
      <c r="I599" s="190"/>
      <c r="J599" s="191"/>
      <c r="K599" s="189">
        <f t="shared" si="299"/>
        <v>0</v>
      </c>
      <c r="L599" s="73"/>
      <c r="M599" s="213"/>
      <c r="N599" s="153"/>
      <c r="O599" s="45"/>
      <c r="Y599" s="8" t="str">
        <f>IF(A599="","",IFERROR(IF(VLOOKUP(A599,Entry!$D:$D,1,FALSE)=A599,"",ROW()),ROW()))</f>
        <v/>
      </c>
      <c r="AG599" s="8" t="str">
        <f>IF(A599="","",IFERROR(IF(VLOOKUP(A599,Entry!$D:$D,1,FALSE)=A599,TRUE,FALSE),FALSE))</f>
        <v/>
      </c>
    </row>
    <row r="600" spans="1:33" ht="15" customHeight="1" x14ac:dyDescent="0.2">
      <c r="A600" s="111"/>
      <c r="B600" s="21"/>
      <c r="C600" s="21"/>
      <c r="D600" s="21"/>
      <c r="E600" s="21"/>
      <c r="F600" s="14"/>
      <c r="G600" s="21"/>
      <c r="H600" s="21"/>
      <c r="I600" s="190"/>
      <c r="J600" s="191"/>
      <c r="K600" s="189">
        <f t="shared" si="299"/>
        <v>0</v>
      </c>
      <c r="L600" s="73"/>
      <c r="M600" s="213"/>
      <c r="N600" s="153"/>
      <c r="O600" s="45"/>
      <c r="Y600" s="8" t="str">
        <f>IF(A600="","",IFERROR(IF(VLOOKUP(A600,Entry!$D:$D,1,FALSE)=A600,"",ROW()),ROW()))</f>
        <v/>
      </c>
      <c r="AG600" s="8" t="str">
        <f>IF(A600="","",IFERROR(IF(VLOOKUP(A600,Entry!$D:$D,1,FALSE)=A600,TRUE,FALSE),FALSE))</f>
        <v/>
      </c>
    </row>
    <row r="601" spans="1:33" ht="15" customHeight="1" x14ac:dyDescent="0.2">
      <c r="A601" s="112"/>
      <c r="B601" s="22"/>
      <c r="C601" s="22"/>
      <c r="D601" s="22"/>
      <c r="E601" s="22"/>
      <c r="F601" s="15"/>
      <c r="G601" s="22"/>
      <c r="H601" s="22"/>
      <c r="I601" s="192"/>
      <c r="J601" s="193"/>
      <c r="K601" s="196">
        <f t="shared" si="299"/>
        <v>0</v>
      </c>
      <c r="L601" s="74"/>
      <c r="M601" s="214"/>
      <c r="N601" s="154"/>
      <c r="O601" s="46"/>
      <c r="Y601" s="8" t="str">
        <f>IF(A601="","",IFERROR(IF(VLOOKUP(A601,Entry!$D:$D,1,FALSE)=A601,"",ROW()),ROW()))</f>
        <v/>
      </c>
      <c r="AG601" s="8" t="str">
        <f>IF(A601="","",IFERROR(IF(VLOOKUP(A601,Entry!$D:$D,1,FALSE)=A601,TRUE,FALSE),FALSE))</f>
        <v/>
      </c>
    </row>
    <row r="602" spans="1:33" x14ac:dyDescent="0.2">
      <c r="A602" s="114"/>
      <c r="B602" s="23"/>
      <c r="C602" s="23"/>
      <c r="D602" s="23"/>
      <c r="E602" s="23"/>
      <c r="F602" s="11"/>
      <c r="G602" s="23"/>
      <c r="H602" s="23"/>
      <c r="Y602" s="8" t="str">
        <f>IF(A602="","",IFERROR(IF(VLOOKUP(A602,Entry!$D:$D,1,FALSE)=A602,"",ROW()),ROW()))</f>
        <v/>
      </c>
      <c r="AG602" s="8" t="str">
        <f>IF(A602="","",IFERROR(IF(VLOOKUP(A602,Entry!$D:$D,1,FALSE)=A602,TRUE,FALSE),FALSE))</f>
        <v/>
      </c>
    </row>
    <row r="603" spans="1:33" x14ac:dyDescent="0.2">
      <c r="A603" s="114"/>
      <c r="B603" s="23"/>
      <c r="C603" s="23"/>
      <c r="D603" s="23"/>
      <c r="E603" s="23"/>
      <c r="F603" s="11"/>
      <c r="G603" s="23"/>
      <c r="H603" s="23"/>
      <c r="Y603" s="8" t="str">
        <f>IF(A603="","",IFERROR(IF(VLOOKUP(A603,Entry!$D:$D,1,FALSE)=A603,"",ROW()),ROW()))</f>
        <v/>
      </c>
      <c r="AG603" s="8" t="str">
        <f>IF(A603="","",IFERROR(IF(VLOOKUP(A603,Entry!$D:$D,1,FALSE)=A603,TRUE,FALSE),FALSE))</f>
        <v/>
      </c>
    </row>
    <row r="604" spans="1:33" x14ac:dyDescent="0.2">
      <c r="A604" s="114"/>
      <c r="B604" s="23"/>
      <c r="C604" s="23"/>
      <c r="D604" s="23"/>
      <c r="E604" s="23"/>
      <c r="F604" s="11"/>
      <c r="G604" s="23"/>
      <c r="H604" s="23"/>
      <c r="Y604" s="8" t="str">
        <f>IF(A604="","",IFERROR(IF(VLOOKUP(A604,Entry!$D:$D,1,FALSE)=A604,"",ROW()),ROW()))</f>
        <v/>
      </c>
      <c r="AG604" s="8" t="str">
        <f>IF(A604="","",IFERROR(IF(VLOOKUP(A604,Entry!$D:$D,1,FALSE)=A604,TRUE,FALSE),FALSE))</f>
        <v/>
      </c>
    </row>
    <row r="605" spans="1:33" x14ac:dyDescent="0.2">
      <c r="A605" s="114"/>
      <c r="B605" s="23"/>
      <c r="C605" s="23"/>
      <c r="D605" s="23"/>
      <c r="E605" s="23"/>
      <c r="F605" s="11"/>
      <c r="G605" s="23"/>
      <c r="H605" s="23"/>
      <c r="Y605" s="8" t="str">
        <f>IF(A605="","",IFERROR(IF(VLOOKUP(A605,Entry!$D:$D,1,FALSE)=A605,"",ROW()),ROW()))</f>
        <v/>
      </c>
      <c r="AG605" s="8" t="str">
        <f>IF(A605="","",IFERROR(IF(VLOOKUP(A605,Entry!$D:$D,1,FALSE)=A605,TRUE,FALSE),FALSE))</f>
        <v/>
      </c>
    </row>
    <row r="606" spans="1:33" x14ac:dyDescent="0.2">
      <c r="A606" s="114"/>
      <c r="B606" s="23"/>
      <c r="C606" s="23"/>
      <c r="D606" s="23"/>
      <c r="E606" s="23"/>
      <c r="F606" s="11"/>
      <c r="G606" s="23"/>
      <c r="H606" s="23"/>
      <c r="Y606" s="8" t="str">
        <f>IF(A606="","",IFERROR(IF(VLOOKUP(A606,Entry!$D:$D,1,FALSE)=A606,"",ROW()),ROW()))</f>
        <v/>
      </c>
      <c r="AG606" s="8" t="str">
        <f>IF(A606="","",IFERROR(IF(VLOOKUP(A606,Entry!$D:$D,1,FALSE)=A606,TRUE,FALSE),FALSE))</f>
        <v/>
      </c>
    </row>
    <row r="607" spans="1:33" x14ac:dyDescent="0.2">
      <c r="A607" s="114"/>
      <c r="B607" s="23"/>
      <c r="C607" s="23"/>
      <c r="D607" s="23"/>
      <c r="E607" s="23"/>
      <c r="F607" s="11"/>
      <c r="G607" s="23"/>
      <c r="H607" s="23"/>
      <c r="Y607" s="8" t="str">
        <f>IF(A607="","",IFERROR(IF(VLOOKUP(A607,Entry!$D:$D,1,FALSE)=A607,"",ROW()),ROW()))</f>
        <v/>
      </c>
      <c r="AG607" s="8" t="str">
        <f>IF(A607="","",IFERROR(IF(VLOOKUP(A607,Entry!$D:$D,1,FALSE)=A607,TRUE,FALSE),FALSE))</f>
        <v/>
      </c>
    </row>
    <row r="608" spans="1:33" x14ac:dyDescent="0.2">
      <c r="A608" s="114"/>
      <c r="B608" s="23"/>
      <c r="C608" s="23"/>
      <c r="D608" s="23"/>
      <c r="E608" s="23"/>
      <c r="F608" s="11"/>
      <c r="G608" s="23"/>
      <c r="H608" s="23"/>
      <c r="Y608" s="8" t="str">
        <f>IF(A608="","",IFERROR(IF(VLOOKUP(A608,Entry!$D:$D,1,FALSE)=A608,"",ROW()),ROW()))</f>
        <v/>
      </c>
      <c r="AG608" s="8" t="str">
        <f>IF(A608="","",IFERROR(IF(VLOOKUP(A608,Entry!$D:$D,1,FALSE)=A608,TRUE,FALSE),FALSE))</f>
        <v/>
      </c>
    </row>
    <row r="609" spans="1:33" x14ac:dyDescent="0.2">
      <c r="A609" s="114"/>
      <c r="B609" s="23"/>
      <c r="C609" s="23"/>
      <c r="D609" s="23"/>
      <c r="E609" s="23"/>
      <c r="F609" s="11"/>
      <c r="G609" s="23"/>
      <c r="H609" s="23"/>
      <c r="Y609" s="8" t="str">
        <f>IF(A609="","",IFERROR(IF(VLOOKUP(A609,Entry!$D:$D,1,FALSE)=A609,"",ROW()),ROW()))</f>
        <v/>
      </c>
      <c r="AG609" s="8" t="str">
        <f>IF(A609="","",IFERROR(IF(VLOOKUP(A609,Entry!$D:$D,1,FALSE)=A609,TRUE,FALSE),FALSE))</f>
        <v/>
      </c>
    </row>
    <row r="610" spans="1:33" x14ac:dyDescent="0.2">
      <c r="A610" s="114"/>
      <c r="B610" s="23"/>
      <c r="C610" s="23"/>
      <c r="D610" s="23"/>
      <c r="E610" s="23"/>
      <c r="F610" s="11"/>
      <c r="G610" s="23"/>
      <c r="H610" s="23"/>
      <c r="Y610" s="8" t="str">
        <f>IF(A610="","",IFERROR(IF(VLOOKUP(A610,Entry!$D:$D,1,FALSE)=A610,"",ROW()),ROW()))</f>
        <v/>
      </c>
      <c r="AG610" s="8" t="str">
        <f>IF(A610="","",IFERROR(IF(VLOOKUP(A610,Entry!$D:$D,1,FALSE)=A610,TRUE,FALSE),FALSE))</f>
        <v/>
      </c>
    </row>
    <row r="611" spans="1:33" x14ac:dyDescent="0.2">
      <c r="A611" s="114"/>
      <c r="B611" s="23"/>
      <c r="C611" s="23"/>
      <c r="D611" s="23"/>
      <c r="E611" s="23"/>
      <c r="F611" s="11"/>
      <c r="G611" s="23"/>
      <c r="H611" s="23"/>
      <c r="Y611" s="8" t="str">
        <f>IF(A611="","",IFERROR(IF(VLOOKUP(A611,Entry!$D:$D,1,FALSE)=A611,"",ROW()),ROW()))</f>
        <v/>
      </c>
      <c r="AG611" s="8" t="str">
        <f>IF(A611="","",IFERROR(IF(VLOOKUP(A611,Entry!$D:$D,1,FALSE)=A611,TRUE,FALSE),FALSE))</f>
        <v/>
      </c>
    </row>
    <row r="612" spans="1:33" x14ac:dyDescent="0.2">
      <c r="A612" s="114"/>
      <c r="B612" s="23"/>
      <c r="C612" s="23"/>
      <c r="D612" s="23"/>
      <c r="E612" s="23"/>
      <c r="F612" s="11"/>
      <c r="G612" s="23"/>
      <c r="H612" s="23"/>
      <c r="Y612" s="8" t="str">
        <f>IF(A612="","",IFERROR(IF(VLOOKUP(A612,Entry!$D:$D,1,FALSE)=A612,"",ROW()),ROW()))</f>
        <v/>
      </c>
      <c r="AG612" s="8" t="str">
        <f>IF(A612="","",IFERROR(IF(VLOOKUP(A612,Entry!$D:$D,1,FALSE)=A612,TRUE,FALSE),FALSE))</f>
        <v/>
      </c>
    </row>
    <row r="613" spans="1:33" x14ac:dyDescent="0.2">
      <c r="A613" s="114"/>
      <c r="B613" s="23"/>
      <c r="C613" s="23"/>
      <c r="D613" s="23"/>
      <c r="E613" s="23"/>
      <c r="F613" s="11"/>
      <c r="G613" s="23"/>
      <c r="H613" s="23"/>
      <c r="Y613" s="8" t="str">
        <f>IF(A613="","",IFERROR(IF(VLOOKUP(A613,Entry!$D:$D,1,FALSE)=A613,"",ROW()),ROW()))</f>
        <v/>
      </c>
      <c r="AG613" s="8" t="str">
        <f>IF(A613="","",IFERROR(IF(VLOOKUP(A613,Entry!$D:$D,1,FALSE)=A613,TRUE,FALSE),FALSE))</f>
        <v/>
      </c>
    </row>
    <row r="614" spans="1:33" x14ac:dyDescent="0.2">
      <c r="A614" s="114"/>
      <c r="B614" s="23"/>
      <c r="C614" s="23"/>
      <c r="D614" s="23"/>
      <c r="E614" s="23"/>
      <c r="F614" s="11"/>
      <c r="G614" s="23"/>
      <c r="H614" s="23"/>
      <c r="Y614" s="8" t="str">
        <f>IF(A614="","",IFERROR(IF(VLOOKUP(A614,Entry!$D:$D,1,FALSE)=A614,"",ROW()),ROW()))</f>
        <v/>
      </c>
      <c r="AG614" s="8" t="str">
        <f>IF(A614="","",IFERROR(IF(VLOOKUP(A614,Entry!$D:$D,1,FALSE)=A614,TRUE,FALSE),FALSE))</f>
        <v/>
      </c>
    </row>
    <row r="615" spans="1:33" x14ac:dyDescent="0.2">
      <c r="A615" s="114"/>
      <c r="B615" s="23"/>
      <c r="C615" s="23"/>
      <c r="D615" s="23"/>
      <c r="E615" s="23"/>
      <c r="G615" s="23"/>
      <c r="H615" s="23"/>
      <c r="Y615" s="8" t="str">
        <f>IF(A615="","",IFERROR(IF(VLOOKUP(A615,Entry!$D:$D,1,FALSE)=A615,"",ROW()),ROW()))</f>
        <v/>
      </c>
      <c r="AG615" s="8" t="str">
        <f>IF(A615="","",IFERROR(IF(VLOOKUP(A615,Entry!$D:$D,1,FALSE)=A615,TRUE,FALSE),FALSE))</f>
        <v/>
      </c>
    </row>
    <row r="616" spans="1:33" x14ac:dyDescent="0.2">
      <c r="A616" s="114"/>
      <c r="B616" s="23"/>
      <c r="C616" s="23"/>
      <c r="D616" s="23"/>
      <c r="E616" s="23"/>
      <c r="G616" s="23"/>
      <c r="H616" s="23"/>
      <c r="Y616" s="8" t="str">
        <f>IF(A616="","",IFERROR(IF(VLOOKUP(A616,Entry!$D:$D,1,FALSE)=A616,"",ROW()),ROW()))</f>
        <v/>
      </c>
      <c r="AG616" s="8" t="str">
        <f>IF(A616="","",IFERROR(IF(VLOOKUP(A616,Entry!$D:$D,1,FALSE)=A616,TRUE,FALSE),FALSE))</f>
        <v/>
      </c>
    </row>
    <row r="617" spans="1:33" x14ac:dyDescent="0.2">
      <c r="A617" s="114"/>
      <c r="B617" s="23"/>
      <c r="C617" s="23"/>
      <c r="D617" s="23"/>
      <c r="E617" s="23"/>
      <c r="G617" s="23"/>
      <c r="H617" s="23"/>
      <c r="Y617" s="8" t="str">
        <f>IF(A617="","",IFERROR(IF(VLOOKUP(A617,Entry!$D:$D,1,FALSE)=A617,"",ROW()),ROW()))</f>
        <v/>
      </c>
      <c r="AG617" s="8" t="str">
        <f>IF(A617="","",IFERROR(IF(VLOOKUP(A617,Entry!$D:$D,1,FALSE)=A617,TRUE,FALSE),FALSE))</f>
        <v/>
      </c>
    </row>
    <row r="618" spans="1:33" x14ac:dyDescent="0.2">
      <c r="A618" s="114"/>
      <c r="B618" s="23"/>
      <c r="C618" s="23"/>
      <c r="D618" s="23"/>
      <c r="E618" s="23"/>
      <c r="G618" s="23"/>
      <c r="H618" s="23"/>
      <c r="Y618" s="8" t="str">
        <f>IF(A618="","",IFERROR(IF(VLOOKUP(A618,Entry!$D:$D,1,FALSE)=A618,"",ROW()),ROW()))</f>
        <v/>
      </c>
      <c r="AG618" s="8" t="str">
        <f>IF(A618="","",IFERROR(IF(VLOOKUP(A618,Entry!$D:$D,1,FALSE)=A618,TRUE,FALSE),FALSE))</f>
        <v/>
      </c>
    </row>
    <row r="619" spans="1:33" x14ac:dyDescent="0.2">
      <c r="A619" s="114"/>
      <c r="B619" s="23"/>
      <c r="C619" s="23"/>
      <c r="D619" s="23"/>
      <c r="E619" s="23"/>
      <c r="G619" s="23"/>
      <c r="H619" s="23"/>
      <c r="Y619" s="8" t="str">
        <f>IF(A619="","",IFERROR(IF(VLOOKUP(A619,Entry!$D:$D,1,FALSE)=A619,"",ROW()),ROW()))</f>
        <v/>
      </c>
      <c r="AG619" s="8" t="str">
        <f>IF(A619="","",IFERROR(IF(VLOOKUP(A619,Entry!$D:$D,1,FALSE)=A619,TRUE,FALSE),FALSE))</f>
        <v/>
      </c>
    </row>
    <row r="620" spans="1:33" x14ac:dyDescent="0.2">
      <c r="A620" s="114"/>
      <c r="B620" s="23"/>
      <c r="C620" s="23"/>
      <c r="D620" s="23"/>
      <c r="E620" s="23"/>
      <c r="G620" s="23"/>
      <c r="H620" s="23"/>
      <c r="Y620" s="8" t="str">
        <f>IF(A620="","",IFERROR(IF(VLOOKUP(A620,Entry!$D:$D,1,FALSE)=A620,"",ROW()),ROW()))</f>
        <v/>
      </c>
      <c r="AG620" s="8" t="str">
        <f>IF(A620="","",IFERROR(IF(VLOOKUP(A620,Entry!$D:$D,1,FALSE)=A620,TRUE,FALSE),FALSE))</f>
        <v/>
      </c>
    </row>
    <row r="621" spans="1:33" x14ac:dyDescent="0.2">
      <c r="A621" s="114"/>
      <c r="B621" s="23"/>
      <c r="C621" s="23"/>
      <c r="D621" s="23"/>
      <c r="E621" s="23"/>
      <c r="G621" s="23"/>
      <c r="H621" s="23"/>
      <c r="Y621" s="8" t="str">
        <f>IF(A621="","",IFERROR(IF(VLOOKUP(A621,Entry!$D:$D,1,FALSE)=A621,"",ROW()),ROW()))</f>
        <v/>
      </c>
      <c r="AG621" s="8" t="str">
        <f>IF(A621="","",IFERROR(IF(VLOOKUP(A621,Entry!$D:$D,1,FALSE)=A621,TRUE,FALSE),FALSE))</f>
        <v/>
      </c>
    </row>
    <row r="622" spans="1:33" x14ac:dyDescent="0.2">
      <c r="A622" s="114"/>
      <c r="B622" s="23"/>
      <c r="C622" s="23"/>
      <c r="D622" s="23"/>
      <c r="E622" s="23"/>
      <c r="G622" s="23"/>
      <c r="H622" s="23"/>
      <c r="Y622" s="8" t="str">
        <f>IF(A622="","",IFERROR(IF(VLOOKUP(A622,Entry!$D:$D,1,FALSE)=A622,"",ROW()),ROW()))</f>
        <v/>
      </c>
      <c r="AG622" s="8" t="str">
        <f>IF(A622="","",IFERROR(IF(VLOOKUP(A622,Entry!$D:$D,1,FALSE)=A622,TRUE,FALSE),FALSE))</f>
        <v/>
      </c>
    </row>
    <row r="623" spans="1:33" x14ac:dyDescent="0.2">
      <c r="A623" s="114"/>
      <c r="B623" s="23"/>
      <c r="C623" s="23"/>
      <c r="D623" s="23"/>
      <c r="E623" s="23"/>
      <c r="G623" s="23"/>
      <c r="H623" s="23"/>
      <c r="Y623" s="8" t="str">
        <f>IF(A623="","",IFERROR(IF(VLOOKUP(A623,Entry!$D:$D,1,FALSE)=A623,"",ROW()),ROW()))</f>
        <v/>
      </c>
      <c r="AG623" s="8" t="str">
        <f>IF(A623="","",IFERROR(IF(VLOOKUP(A623,Entry!$D:$D,1,FALSE)=A623,TRUE,FALSE),FALSE))</f>
        <v/>
      </c>
    </row>
    <row r="624" spans="1:33" x14ac:dyDescent="0.2">
      <c r="A624" s="114"/>
      <c r="B624" s="23"/>
      <c r="C624" s="23"/>
      <c r="D624" s="23"/>
      <c r="E624" s="23"/>
      <c r="G624" s="23"/>
      <c r="H624" s="23"/>
      <c r="Y624" s="8" t="str">
        <f>IF(A624="","",IFERROR(IF(VLOOKUP(A624,Entry!$D:$D,1,FALSE)=A624,"",ROW()),ROW()))</f>
        <v/>
      </c>
      <c r="AG624" s="8" t="str">
        <f>IF(A624="","",IFERROR(IF(VLOOKUP(A624,Entry!$D:$D,1,FALSE)=A624,TRUE,FALSE),FALSE))</f>
        <v/>
      </c>
    </row>
    <row r="625" spans="1:33" x14ac:dyDescent="0.2">
      <c r="A625" s="114"/>
      <c r="B625" s="23"/>
      <c r="C625" s="23"/>
      <c r="D625" s="23"/>
      <c r="E625" s="23"/>
      <c r="G625" s="23"/>
      <c r="H625" s="23"/>
      <c r="Y625" s="8" t="str">
        <f>IF(A625="","",IFERROR(IF(VLOOKUP(A625,Entry!$D:$D,1,FALSE)=A625,"",ROW()),ROW()))</f>
        <v/>
      </c>
      <c r="AG625" s="8" t="str">
        <f>IF(A625="","",IFERROR(IF(VLOOKUP(A625,Entry!$D:$D,1,FALSE)=A625,TRUE,FALSE),FALSE))</f>
        <v/>
      </c>
    </row>
    <row r="626" spans="1:33" x14ac:dyDescent="0.2">
      <c r="A626" s="114"/>
      <c r="B626" s="23"/>
      <c r="C626" s="23"/>
      <c r="D626" s="23"/>
      <c r="E626" s="23"/>
      <c r="G626" s="23"/>
      <c r="H626" s="23"/>
      <c r="Y626" s="8" t="str">
        <f>IF(A626="","",IFERROR(IF(VLOOKUP(A626,Entry!$D:$D,1,FALSE)=A626,"",ROW()),ROW()))</f>
        <v/>
      </c>
      <c r="AG626" s="8" t="str">
        <f>IF(A626="","",IFERROR(IF(VLOOKUP(A626,Entry!$D:$D,1,FALSE)=A626,TRUE,FALSE),FALSE))</f>
        <v/>
      </c>
    </row>
    <row r="627" spans="1:33" x14ac:dyDescent="0.2">
      <c r="A627" s="114"/>
      <c r="B627" s="23"/>
      <c r="C627" s="23"/>
      <c r="D627" s="23"/>
      <c r="E627" s="23"/>
      <c r="G627" s="23"/>
      <c r="H627" s="23"/>
      <c r="Y627" s="8" t="str">
        <f>IF(A627="","",IFERROR(IF(VLOOKUP(A627,Entry!$D:$D,1,FALSE)=A627,"",ROW()),ROW()))</f>
        <v/>
      </c>
      <c r="AG627" s="8" t="str">
        <f>IF(A627="","",IFERROR(IF(VLOOKUP(A627,Entry!$D:$D,1,FALSE)=A627,TRUE,FALSE),FALSE))</f>
        <v/>
      </c>
    </row>
    <row r="628" spans="1:33" x14ac:dyDescent="0.2">
      <c r="A628" s="114"/>
      <c r="B628" s="23"/>
      <c r="C628" s="23"/>
      <c r="D628" s="23"/>
      <c r="E628" s="23"/>
      <c r="G628" s="23"/>
      <c r="H628" s="23"/>
      <c r="Y628" s="8" t="str">
        <f>IF(A628="","",IFERROR(IF(VLOOKUP(A628,Entry!$D:$D,1,FALSE)=A628,"",ROW()),ROW()))</f>
        <v/>
      </c>
      <c r="AG628" s="8" t="str">
        <f>IF(A628="","",IFERROR(IF(VLOOKUP(A628,Entry!$D:$D,1,FALSE)=A628,TRUE,FALSE),FALSE))</f>
        <v/>
      </c>
    </row>
    <row r="629" spans="1:33" x14ac:dyDescent="0.2">
      <c r="A629" s="114"/>
      <c r="B629" s="23"/>
      <c r="C629" s="23"/>
      <c r="D629" s="23"/>
      <c r="E629" s="23"/>
      <c r="G629" s="23"/>
      <c r="H629" s="23"/>
      <c r="Y629" s="8" t="str">
        <f>IF(A629="","",IFERROR(IF(VLOOKUP(A629,Entry!$D:$D,1,FALSE)=A629,"",ROW()),ROW()))</f>
        <v/>
      </c>
      <c r="AG629" s="8" t="str">
        <f>IF(A629="","",IFERROR(IF(VLOOKUP(A629,Entry!$D:$D,1,FALSE)=A629,TRUE,FALSE),FALSE))</f>
        <v/>
      </c>
    </row>
    <row r="630" spans="1:33" x14ac:dyDescent="0.2">
      <c r="A630" s="114"/>
      <c r="B630" s="23"/>
      <c r="C630" s="23"/>
      <c r="D630" s="23"/>
      <c r="E630" s="23"/>
      <c r="G630" s="23"/>
      <c r="H630" s="23"/>
      <c r="Y630" s="8" t="str">
        <f>IF(A630="","",IFERROR(IF(VLOOKUP(A630,Entry!$D:$D,1,FALSE)=A630,"",ROW()),ROW()))</f>
        <v/>
      </c>
      <c r="AG630" s="8" t="str">
        <f>IF(A630="","",IFERROR(IF(VLOOKUP(A630,Entry!$D:$D,1,FALSE)=A630,TRUE,FALSE),FALSE))</f>
        <v/>
      </c>
    </row>
    <row r="631" spans="1:33" x14ac:dyDescent="0.2">
      <c r="A631" s="114"/>
      <c r="B631" s="23"/>
      <c r="C631" s="23"/>
      <c r="D631" s="23"/>
      <c r="E631" s="23"/>
      <c r="G631" s="23"/>
      <c r="H631" s="23"/>
      <c r="Y631" s="8" t="str">
        <f>IF(A631="","",IFERROR(IF(VLOOKUP(A631,Entry!$D:$D,1,FALSE)=A631,"",ROW()),ROW()))</f>
        <v/>
      </c>
      <c r="AG631" s="8" t="str">
        <f>IF(A631="","",IFERROR(IF(VLOOKUP(A631,Entry!$D:$D,1,FALSE)=A631,TRUE,FALSE),FALSE))</f>
        <v/>
      </c>
    </row>
    <row r="632" spans="1:33" x14ac:dyDescent="0.2">
      <c r="A632" s="114"/>
      <c r="B632" s="23"/>
      <c r="C632" s="23"/>
      <c r="D632" s="23"/>
      <c r="E632" s="23"/>
      <c r="G632" s="23"/>
      <c r="H632" s="23"/>
      <c r="Y632" s="8" t="str">
        <f>IF(A632="","",IFERROR(IF(VLOOKUP(A632,Entry!$D:$D,1,FALSE)=A632,"",ROW()),ROW()))</f>
        <v/>
      </c>
      <c r="AG632" s="8" t="str">
        <f>IF(A632="","",IFERROR(IF(VLOOKUP(A632,Entry!$D:$D,1,FALSE)=A632,TRUE,FALSE),FALSE))</f>
        <v/>
      </c>
    </row>
    <row r="633" spans="1:33" x14ac:dyDescent="0.2">
      <c r="A633" s="114"/>
      <c r="B633" s="23"/>
      <c r="C633" s="23"/>
      <c r="D633" s="23"/>
      <c r="E633" s="23"/>
      <c r="G633" s="23"/>
      <c r="H633" s="23"/>
      <c r="Y633" s="8" t="str">
        <f>IF(A633="","",IFERROR(IF(VLOOKUP(A633,Entry!$D:$D,1,FALSE)=A633,"",ROW()),ROW()))</f>
        <v/>
      </c>
      <c r="AG633" s="8" t="str">
        <f>IF(A633="","",IFERROR(IF(VLOOKUP(A633,Entry!$D:$D,1,FALSE)=A633,TRUE,FALSE),FALSE))</f>
        <v/>
      </c>
    </row>
    <row r="634" spans="1:33" x14ac:dyDescent="0.2">
      <c r="A634" s="114"/>
      <c r="B634" s="23"/>
      <c r="C634" s="23"/>
      <c r="D634" s="23"/>
      <c r="E634" s="23"/>
      <c r="G634" s="23"/>
      <c r="H634" s="23"/>
      <c r="Y634" s="8" t="str">
        <f>IF(A634="","",IFERROR(IF(VLOOKUP(A634,Entry!$D:$D,1,FALSE)=A634,"",ROW()),ROW()))</f>
        <v/>
      </c>
      <c r="AG634" s="8" t="str">
        <f>IF(A634="","",IFERROR(IF(VLOOKUP(A634,Entry!$D:$D,1,FALSE)=A634,TRUE,FALSE),FALSE))</f>
        <v/>
      </c>
    </row>
    <row r="635" spans="1:33" x14ac:dyDescent="0.2">
      <c r="A635" s="114"/>
      <c r="B635" s="23"/>
      <c r="C635" s="23"/>
      <c r="D635" s="23"/>
      <c r="E635" s="23"/>
      <c r="G635" s="23"/>
      <c r="H635" s="23"/>
      <c r="Y635" s="8" t="str">
        <f>IF(A635="","",IFERROR(IF(VLOOKUP(A635,Entry!$D:$D,1,FALSE)=A635,"",ROW()),ROW()))</f>
        <v/>
      </c>
      <c r="AG635" s="8" t="str">
        <f>IF(A635="","",IFERROR(IF(VLOOKUP(A635,Entry!$D:$D,1,FALSE)=A635,TRUE,FALSE),FALSE))</f>
        <v/>
      </c>
    </row>
    <row r="636" spans="1:33" x14ac:dyDescent="0.2">
      <c r="A636" s="114"/>
      <c r="B636" s="23"/>
      <c r="C636" s="23"/>
      <c r="D636" s="23"/>
      <c r="E636" s="23"/>
      <c r="G636" s="23"/>
      <c r="H636" s="23"/>
      <c r="Y636" s="8" t="str">
        <f>IF(A636="","",IFERROR(IF(VLOOKUP(A636,Entry!$D:$D,1,FALSE)=A636,"",ROW()),ROW()))</f>
        <v/>
      </c>
      <c r="AG636" s="8" t="str">
        <f>IF(A636="","",IFERROR(IF(VLOOKUP(A636,Entry!$D:$D,1,FALSE)=A636,TRUE,FALSE),FALSE))</f>
        <v/>
      </c>
    </row>
    <row r="637" spans="1:33" x14ac:dyDescent="0.2">
      <c r="A637" s="114"/>
      <c r="B637" s="23"/>
      <c r="C637" s="23"/>
      <c r="D637" s="23"/>
      <c r="E637" s="23"/>
      <c r="G637" s="23"/>
      <c r="H637" s="23"/>
      <c r="Y637" s="8" t="str">
        <f>IF(A637="","",IFERROR(IF(VLOOKUP(A637,Entry!$D:$D,1,FALSE)=A637,"",ROW()),ROW()))</f>
        <v/>
      </c>
      <c r="AG637" s="8" t="str">
        <f>IF(A637="","",IFERROR(IF(VLOOKUP(A637,Entry!$D:$D,1,FALSE)=A637,TRUE,FALSE),FALSE))</f>
        <v/>
      </c>
    </row>
    <row r="638" spans="1:33" x14ac:dyDescent="0.2">
      <c r="A638" s="114"/>
      <c r="B638" s="23"/>
      <c r="C638" s="23"/>
      <c r="D638" s="23"/>
      <c r="E638" s="23"/>
      <c r="G638" s="23"/>
      <c r="H638" s="23"/>
      <c r="Y638" s="8" t="str">
        <f>IF(A638="","",IFERROR(IF(VLOOKUP(A638,Entry!$D:$D,1,FALSE)=A638,"",ROW()),ROW()))</f>
        <v/>
      </c>
      <c r="AG638" s="8" t="str">
        <f>IF(A638="","",IFERROR(IF(VLOOKUP(A638,Entry!$D:$D,1,FALSE)=A638,TRUE,FALSE),FALSE))</f>
        <v/>
      </c>
    </row>
    <row r="639" spans="1:33" x14ac:dyDescent="0.2">
      <c r="A639" s="114"/>
      <c r="B639" s="23"/>
      <c r="C639" s="23"/>
      <c r="D639" s="23"/>
      <c r="E639" s="23"/>
      <c r="G639" s="23"/>
      <c r="H639" s="23"/>
      <c r="Y639" s="8" t="str">
        <f>IF(A639="","",IFERROR(IF(VLOOKUP(A639,Entry!$D:$D,1,FALSE)=A639,"",ROW()),ROW()))</f>
        <v/>
      </c>
      <c r="AG639" s="8" t="str">
        <f>IF(A639="","",IFERROR(IF(VLOOKUP(A639,Entry!$D:$D,1,FALSE)=A639,TRUE,FALSE),FALSE))</f>
        <v/>
      </c>
    </row>
    <row r="640" spans="1:33" x14ac:dyDescent="0.2">
      <c r="A640" s="114"/>
      <c r="B640" s="23"/>
      <c r="C640" s="23"/>
      <c r="D640" s="23"/>
      <c r="E640" s="23"/>
      <c r="G640" s="23"/>
      <c r="H640" s="23"/>
      <c r="Y640" s="8" t="str">
        <f>IF(A640="","",IFERROR(IF(VLOOKUP(A640,Entry!$D:$D,1,FALSE)=A640,"",ROW()),ROW()))</f>
        <v/>
      </c>
      <c r="AG640" s="8" t="str">
        <f>IF(A640="","",IFERROR(IF(VLOOKUP(A640,Entry!$D:$D,1,FALSE)=A640,TRUE,FALSE),FALSE))</f>
        <v/>
      </c>
    </row>
    <row r="641" spans="1:33" x14ac:dyDescent="0.2">
      <c r="A641" s="114"/>
      <c r="B641" s="23"/>
      <c r="C641" s="23"/>
      <c r="D641" s="23"/>
      <c r="E641" s="23"/>
      <c r="G641" s="23"/>
      <c r="H641" s="23"/>
      <c r="Y641" s="8" t="str">
        <f>IF(A641="","",IFERROR(IF(VLOOKUP(A641,Entry!$D:$D,1,FALSE)=A641,"",ROW()),ROW()))</f>
        <v/>
      </c>
      <c r="AG641" s="8" t="str">
        <f>IF(A641="","",IFERROR(IF(VLOOKUP(A641,Entry!$D:$D,1,FALSE)=A641,TRUE,FALSE),FALSE))</f>
        <v/>
      </c>
    </row>
    <row r="642" spans="1:33" x14ac:dyDescent="0.2">
      <c r="A642" s="114"/>
      <c r="B642" s="23"/>
      <c r="C642" s="23"/>
      <c r="D642" s="23"/>
      <c r="E642" s="23"/>
      <c r="G642" s="23"/>
      <c r="H642" s="23"/>
      <c r="Y642" s="8" t="str">
        <f>IF(A642="","",IFERROR(IF(VLOOKUP(A642,Entry!$D:$D,1,FALSE)=A642,"",ROW()),ROW()))</f>
        <v/>
      </c>
      <c r="AG642" s="8" t="str">
        <f>IF(A642="","",IFERROR(IF(VLOOKUP(A642,Entry!$D:$D,1,FALSE)=A642,TRUE,FALSE),FALSE))</f>
        <v/>
      </c>
    </row>
    <row r="643" spans="1:33" x14ac:dyDescent="0.2">
      <c r="A643" s="114"/>
      <c r="B643" s="23"/>
      <c r="C643" s="23"/>
      <c r="D643" s="23"/>
      <c r="E643" s="23"/>
      <c r="G643" s="23"/>
      <c r="H643" s="23"/>
      <c r="Y643" s="8" t="str">
        <f>IF(A643="","",IFERROR(IF(VLOOKUP(A643,Entry!$D:$D,1,FALSE)=A643,"",ROW()),ROW()))</f>
        <v/>
      </c>
      <c r="AG643" s="8" t="str">
        <f>IF(A643="","",IFERROR(IF(VLOOKUP(A643,Entry!$D:$D,1,FALSE)=A643,TRUE,FALSE),FALSE))</f>
        <v/>
      </c>
    </row>
    <row r="644" spans="1:33" x14ac:dyDescent="0.2">
      <c r="A644" s="114"/>
      <c r="B644" s="23"/>
      <c r="C644" s="23"/>
      <c r="D644" s="23"/>
      <c r="E644" s="23"/>
      <c r="G644" s="23"/>
      <c r="H644" s="23"/>
      <c r="Y644" s="8" t="str">
        <f>IF(A644="","",IFERROR(IF(VLOOKUP(A644,Entry!$D:$D,1,FALSE)=A644,"",ROW()),ROW()))</f>
        <v/>
      </c>
      <c r="AG644" s="8" t="str">
        <f>IF(A644="","",IFERROR(IF(VLOOKUP(A644,Entry!$D:$D,1,FALSE)=A644,TRUE,FALSE),FALSE))</f>
        <v/>
      </c>
    </row>
    <row r="645" spans="1:33" x14ac:dyDescent="0.2">
      <c r="A645" s="114"/>
      <c r="B645" s="23"/>
      <c r="C645" s="23"/>
      <c r="D645" s="23"/>
      <c r="E645" s="23"/>
      <c r="G645" s="23"/>
      <c r="H645" s="23"/>
      <c r="Y645" s="8" t="str">
        <f>IF(A645="","",IFERROR(IF(VLOOKUP(A645,Entry!$D:$D,1,FALSE)=A645,"",ROW()),ROW()))</f>
        <v/>
      </c>
      <c r="AG645" s="8" t="str">
        <f>IF(A645="","",IFERROR(IF(VLOOKUP(A645,Entry!$D:$D,1,FALSE)=A645,TRUE,FALSE),FALSE))</f>
        <v/>
      </c>
    </row>
    <row r="646" spans="1:33" x14ac:dyDescent="0.2">
      <c r="A646" s="114"/>
      <c r="B646" s="23"/>
      <c r="C646" s="23"/>
      <c r="D646" s="23"/>
      <c r="E646" s="23"/>
      <c r="G646" s="23"/>
      <c r="H646" s="23"/>
      <c r="Y646" s="8" t="str">
        <f>IF(A646="","",IFERROR(IF(VLOOKUP(A646,Entry!$D:$D,1,FALSE)=A646,"",ROW()),ROW()))</f>
        <v/>
      </c>
      <c r="AG646" s="8" t="str">
        <f>IF(A646="","",IFERROR(IF(VLOOKUP(A646,Entry!$D:$D,1,FALSE)=A646,TRUE,FALSE),FALSE))</f>
        <v/>
      </c>
    </row>
    <row r="647" spans="1:33" x14ac:dyDescent="0.2">
      <c r="A647" s="114"/>
      <c r="B647" s="23"/>
      <c r="C647" s="23"/>
      <c r="D647" s="23"/>
      <c r="E647" s="23"/>
      <c r="G647" s="23"/>
      <c r="H647" s="23"/>
      <c r="Y647" s="8" t="str">
        <f>IF(A647="","",IFERROR(IF(VLOOKUP(A647,Entry!$D:$D,1,FALSE)=A647,"",ROW()),ROW()))</f>
        <v/>
      </c>
      <c r="AG647" s="8" t="str">
        <f>IF(A647="","",IFERROR(IF(VLOOKUP(A647,Entry!$D:$D,1,FALSE)=A647,TRUE,FALSE),FALSE))</f>
        <v/>
      </c>
    </row>
    <row r="648" spans="1:33" x14ac:dyDescent="0.2">
      <c r="A648" s="114"/>
      <c r="B648" s="23"/>
      <c r="C648" s="23"/>
      <c r="D648" s="23"/>
      <c r="E648" s="23"/>
      <c r="G648" s="23"/>
      <c r="H648" s="23"/>
      <c r="Y648" s="8" t="str">
        <f>IF(A648="","",IFERROR(IF(VLOOKUP(A648,Entry!$D:$D,1,FALSE)=A648,"",ROW()),ROW()))</f>
        <v/>
      </c>
      <c r="AG648" s="8" t="str">
        <f>IF(A648="","",IFERROR(IF(VLOOKUP(A648,Entry!$D:$D,1,FALSE)=A648,TRUE,FALSE),FALSE))</f>
        <v/>
      </c>
    </row>
    <row r="649" spans="1:33" x14ac:dyDescent="0.2">
      <c r="A649" s="114"/>
      <c r="B649" s="23"/>
      <c r="C649" s="23"/>
      <c r="D649" s="23"/>
      <c r="E649" s="23"/>
      <c r="G649" s="23"/>
      <c r="H649" s="23"/>
      <c r="Y649" s="8" t="str">
        <f>IF(A649="","",IFERROR(IF(VLOOKUP(A649,Entry!$D:$D,1,FALSE)=A649,"",ROW()),ROW()))</f>
        <v/>
      </c>
      <c r="AG649" s="8" t="str">
        <f>IF(A649="","",IFERROR(IF(VLOOKUP(A649,Entry!$D:$D,1,FALSE)=A649,TRUE,FALSE),FALSE))</f>
        <v/>
      </c>
    </row>
    <row r="650" spans="1:33" x14ac:dyDescent="0.2">
      <c r="A650" s="114"/>
      <c r="B650" s="23"/>
      <c r="C650" s="23"/>
      <c r="D650" s="23"/>
      <c r="E650" s="23"/>
      <c r="G650" s="23"/>
      <c r="H650" s="23"/>
      <c r="Y650" s="8" t="str">
        <f>IF(A650="","",IFERROR(IF(VLOOKUP(A650,Entry!$D:$D,1,FALSE)=A650,"",ROW()),ROW()))</f>
        <v/>
      </c>
      <c r="AG650" s="8" t="str">
        <f>IF(A650="","",IFERROR(IF(VLOOKUP(A650,Entry!$D:$D,1,FALSE)=A650,TRUE,FALSE),FALSE))</f>
        <v/>
      </c>
    </row>
    <row r="651" spans="1:33" x14ac:dyDescent="0.2">
      <c r="A651" s="114"/>
      <c r="B651" s="23"/>
      <c r="C651" s="23"/>
      <c r="D651" s="23"/>
      <c r="E651" s="23"/>
      <c r="G651" s="23"/>
      <c r="H651" s="23"/>
      <c r="Y651" s="8" t="str">
        <f>IF(A651="","",IFERROR(IF(VLOOKUP(A651,Entry!$D:$D,1,FALSE)=A651,"",ROW()),ROW()))</f>
        <v/>
      </c>
      <c r="AG651" s="8" t="str">
        <f>IF(A651="","",IFERROR(IF(VLOOKUP(A651,Entry!$D:$D,1,FALSE)=A651,TRUE,FALSE),FALSE))</f>
        <v/>
      </c>
    </row>
    <row r="652" spans="1:33" x14ac:dyDescent="0.2">
      <c r="A652" s="114"/>
      <c r="B652" s="23"/>
      <c r="C652" s="23"/>
      <c r="D652" s="23"/>
      <c r="E652" s="23"/>
      <c r="G652" s="23"/>
      <c r="H652" s="23"/>
      <c r="Y652" s="8" t="str">
        <f>IF(A652="","",IFERROR(IF(VLOOKUP(A652,Entry!$D:$D,1,FALSE)=A652,"",ROW()),ROW()))</f>
        <v/>
      </c>
      <c r="AG652" s="8" t="str">
        <f>IF(A652="","",IFERROR(IF(VLOOKUP(A652,Entry!$D:$D,1,FALSE)=A652,TRUE,FALSE),FALSE))</f>
        <v/>
      </c>
    </row>
    <row r="653" spans="1:33" x14ac:dyDescent="0.2">
      <c r="A653" s="114"/>
      <c r="B653" s="23"/>
      <c r="C653" s="23"/>
      <c r="D653" s="23"/>
      <c r="E653" s="23"/>
      <c r="G653" s="23"/>
      <c r="H653" s="23"/>
      <c r="Y653" s="8" t="str">
        <f>IF(A653="","",IFERROR(IF(VLOOKUP(A653,Entry!$D:$D,1,FALSE)=A653,"",ROW()),ROW()))</f>
        <v/>
      </c>
      <c r="AG653" s="8" t="str">
        <f>IF(A653="","",IFERROR(IF(VLOOKUP(A653,Entry!$D:$D,1,FALSE)=A653,TRUE,FALSE),FALSE))</f>
        <v/>
      </c>
    </row>
    <row r="654" spans="1:33" x14ac:dyDescent="0.2">
      <c r="A654" s="114"/>
      <c r="B654" s="23"/>
      <c r="C654" s="23"/>
      <c r="D654" s="23"/>
      <c r="E654" s="23"/>
      <c r="G654" s="23"/>
      <c r="H654" s="23"/>
      <c r="Y654" s="8" t="str">
        <f>IF(A654="","",IFERROR(IF(VLOOKUP(A654,Entry!$D:$D,1,FALSE)=A654,"",ROW()),ROW()))</f>
        <v/>
      </c>
      <c r="AG654" s="8" t="str">
        <f>IF(A654="","",IFERROR(IF(VLOOKUP(A654,Entry!$D:$D,1,FALSE)=A654,TRUE,FALSE),FALSE))</f>
        <v/>
      </c>
    </row>
    <row r="655" spans="1:33" x14ac:dyDescent="0.2">
      <c r="A655" s="114"/>
      <c r="B655" s="23"/>
      <c r="C655" s="23"/>
      <c r="D655" s="23"/>
      <c r="E655" s="23"/>
      <c r="G655" s="23"/>
      <c r="H655" s="23"/>
      <c r="Y655" s="8" t="str">
        <f>IF(A655="","",IFERROR(IF(VLOOKUP(A655,Entry!$D:$D,1,FALSE)=A655,"",ROW()),ROW()))</f>
        <v/>
      </c>
      <c r="AG655" s="8" t="str">
        <f>IF(A655="","",IFERROR(IF(VLOOKUP(A655,Entry!$D:$D,1,FALSE)=A655,TRUE,FALSE),FALSE))</f>
        <v/>
      </c>
    </row>
    <row r="656" spans="1:33" x14ac:dyDescent="0.2">
      <c r="A656" s="114"/>
      <c r="B656" s="23"/>
      <c r="C656" s="23"/>
      <c r="D656" s="23"/>
      <c r="E656" s="23"/>
      <c r="G656" s="23"/>
      <c r="H656" s="23"/>
      <c r="Y656" s="8" t="str">
        <f>IF(A656="","",IFERROR(IF(VLOOKUP(A656,Entry!$D:$D,1,FALSE)=A656,"",ROW()),ROW()))</f>
        <v/>
      </c>
      <c r="AG656" s="8" t="str">
        <f>IF(A656="","",IFERROR(IF(VLOOKUP(A656,Entry!$D:$D,1,FALSE)=A656,TRUE,FALSE),FALSE))</f>
        <v/>
      </c>
    </row>
    <row r="657" spans="1:33" x14ac:dyDescent="0.2">
      <c r="A657" s="114"/>
      <c r="B657" s="23"/>
      <c r="C657" s="23"/>
      <c r="D657" s="23"/>
      <c r="E657" s="23"/>
      <c r="G657" s="23"/>
      <c r="H657" s="23"/>
      <c r="Y657" s="8" t="str">
        <f>IF(A657="","",IFERROR(IF(VLOOKUP(A657,Entry!$D:$D,1,FALSE)=A657,"",ROW()),ROW()))</f>
        <v/>
      </c>
      <c r="AG657" s="8" t="str">
        <f>IF(A657="","",IFERROR(IF(VLOOKUP(A657,Entry!$D:$D,1,FALSE)=A657,TRUE,FALSE),FALSE))</f>
        <v/>
      </c>
    </row>
    <row r="658" spans="1:33" x14ac:dyDescent="0.2">
      <c r="A658" s="114"/>
      <c r="B658" s="23"/>
      <c r="C658" s="23"/>
      <c r="D658" s="23"/>
      <c r="E658" s="23"/>
      <c r="G658" s="23"/>
      <c r="H658" s="23"/>
      <c r="Y658" s="8" t="str">
        <f>IF(A658="","",IFERROR(IF(VLOOKUP(A658,Entry!$D:$D,1,FALSE)=A658,"",ROW()),ROW()))</f>
        <v/>
      </c>
      <c r="AG658" s="8" t="str">
        <f>IF(A658="","",IFERROR(IF(VLOOKUP(A658,Entry!$D:$D,1,FALSE)=A658,TRUE,FALSE),FALSE))</f>
        <v/>
      </c>
    </row>
    <row r="659" spans="1:33" x14ac:dyDescent="0.2">
      <c r="A659" s="114"/>
      <c r="B659" s="23"/>
      <c r="C659" s="23"/>
      <c r="D659" s="23"/>
      <c r="E659" s="23"/>
      <c r="G659" s="23"/>
      <c r="H659" s="23"/>
      <c r="Y659" s="8" t="str">
        <f>IF(A659="","",IFERROR(IF(VLOOKUP(A659,Entry!$D:$D,1,FALSE)=A659,"",ROW()),ROW()))</f>
        <v/>
      </c>
      <c r="AG659" s="8" t="str">
        <f>IF(A659="","",IFERROR(IF(VLOOKUP(A659,Entry!$D:$D,1,FALSE)=A659,TRUE,FALSE),FALSE))</f>
        <v/>
      </c>
    </row>
    <row r="660" spans="1:33" x14ac:dyDescent="0.2">
      <c r="A660" s="114"/>
      <c r="B660" s="23"/>
      <c r="C660" s="23"/>
      <c r="D660" s="23"/>
      <c r="E660" s="23"/>
      <c r="G660" s="23"/>
      <c r="H660" s="23"/>
      <c r="Y660" s="8" t="str">
        <f>IF(A660="","",IFERROR(IF(VLOOKUP(A660,Entry!$D:$D,1,FALSE)=A660,"",ROW()),ROW()))</f>
        <v/>
      </c>
      <c r="AG660" s="8" t="str">
        <f>IF(A660="","",IFERROR(IF(VLOOKUP(A660,Entry!$D:$D,1,FALSE)=A660,TRUE,FALSE),FALSE))</f>
        <v/>
      </c>
    </row>
    <row r="661" spans="1:33" x14ac:dyDescent="0.2">
      <c r="A661" s="114"/>
      <c r="B661" s="23"/>
      <c r="C661" s="23"/>
      <c r="D661" s="23"/>
      <c r="E661" s="23"/>
      <c r="G661" s="23"/>
      <c r="H661" s="23"/>
      <c r="Y661" s="8" t="str">
        <f>IF(A661="","",IFERROR(IF(VLOOKUP(A661,Entry!$D:$D,1,FALSE)=A661,"",ROW()),ROW()))</f>
        <v/>
      </c>
      <c r="AG661" s="8" t="str">
        <f>IF(A661="","",IFERROR(IF(VLOOKUP(A661,Entry!$D:$D,1,FALSE)=A661,TRUE,FALSE),FALSE))</f>
        <v/>
      </c>
    </row>
    <row r="662" spans="1:33" x14ac:dyDescent="0.2">
      <c r="A662" s="114"/>
      <c r="B662" s="23"/>
      <c r="C662" s="23"/>
      <c r="D662" s="23"/>
      <c r="E662" s="23"/>
      <c r="G662" s="23"/>
      <c r="H662" s="23"/>
      <c r="Y662" s="8" t="str">
        <f>IF(A662="","",IFERROR(IF(VLOOKUP(A662,Entry!$D:$D,1,FALSE)=A662,"",ROW()),ROW()))</f>
        <v/>
      </c>
      <c r="AG662" s="8" t="str">
        <f>IF(A662="","",IFERROR(IF(VLOOKUP(A662,Entry!$D:$D,1,FALSE)=A662,TRUE,FALSE),FALSE))</f>
        <v/>
      </c>
    </row>
    <row r="663" spans="1:33" x14ac:dyDescent="0.2">
      <c r="A663" s="114"/>
      <c r="B663" s="23"/>
      <c r="C663" s="23"/>
      <c r="D663" s="23"/>
      <c r="E663" s="23"/>
      <c r="G663" s="23"/>
      <c r="H663" s="23"/>
      <c r="Y663" s="8" t="str">
        <f>IF(A663="","",IFERROR(IF(VLOOKUP(A663,Entry!$D:$D,1,FALSE)=A663,"",ROW()),ROW()))</f>
        <v/>
      </c>
      <c r="AG663" s="8" t="str">
        <f>IF(A663="","",IFERROR(IF(VLOOKUP(A663,Entry!$D:$D,1,FALSE)=A663,TRUE,FALSE),FALSE))</f>
        <v/>
      </c>
    </row>
    <row r="664" spans="1:33" x14ac:dyDescent="0.2">
      <c r="A664" s="114"/>
      <c r="B664" s="23"/>
      <c r="C664" s="23"/>
      <c r="D664" s="23"/>
      <c r="E664" s="23"/>
      <c r="G664" s="23"/>
      <c r="H664" s="23"/>
      <c r="Y664" s="8" t="str">
        <f>IF(A664="","",IFERROR(IF(VLOOKUP(A664,Entry!$D:$D,1,FALSE)=A664,"",ROW()),ROW()))</f>
        <v/>
      </c>
      <c r="AG664" s="8" t="str">
        <f>IF(A664="","",IFERROR(IF(VLOOKUP(A664,Entry!$D:$D,1,FALSE)=A664,TRUE,FALSE),FALSE))</f>
        <v/>
      </c>
    </row>
    <row r="665" spans="1:33" x14ac:dyDescent="0.2">
      <c r="A665" s="114"/>
      <c r="B665" s="23"/>
      <c r="C665" s="23"/>
      <c r="D665" s="23"/>
      <c r="E665" s="23"/>
      <c r="G665" s="23"/>
      <c r="H665" s="23"/>
      <c r="Y665" s="8" t="str">
        <f>IF(A665="","",IFERROR(IF(VLOOKUP(A665,Entry!$D:$D,1,FALSE)=A665,"",ROW()),ROW()))</f>
        <v/>
      </c>
      <c r="AG665" s="8" t="str">
        <f>IF(A665="","",IFERROR(IF(VLOOKUP(A665,Entry!$D:$D,1,FALSE)=A665,TRUE,FALSE),FALSE))</f>
        <v/>
      </c>
    </row>
    <row r="666" spans="1:33" x14ac:dyDescent="0.2">
      <c r="A666" s="114"/>
      <c r="B666" s="23"/>
      <c r="C666" s="23"/>
      <c r="D666" s="23"/>
      <c r="E666" s="23"/>
      <c r="G666" s="23"/>
      <c r="H666" s="23"/>
      <c r="Y666" s="8" t="str">
        <f>IF(A666="","",IFERROR(IF(VLOOKUP(A666,Entry!$D:$D,1,FALSE)=A666,"",ROW()),ROW()))</f>
        <v/>
      </c>
      <c r="AG666" s="8" t="str">
        <f>IF(A666="","",IFERROR(IF(VLOOKUP(A666,Entry!$D:$D,1,FALSE)=A666,TRUE,FALSE),FALSE))</f>
        <v/>
      </c>
    </row>
    <row r="667" spans="1:33" x14ac:dyDescent="0.2">
      <c r="A667" s="114"/>
      <c r="B667" s="23"/>
      <c r="C667" s="23"/>
      <c r="D667" s="23"/>
      <c r="E667" s="23"/>
      <c r="G667" s="23"/>
      <c r="H667" s="23"/>
      <c r="Y667" s="8" t="str">
        <f>IF(A667="","",IFERROR(IF(VLOOKUP(A667,Entry!$D:$D,1,FALSE)=A667,"",ROW()),ROW()))</f>
        <v/>
      </c>
      <c r="AG667" s="8" t="str">
        <f>IF(A667="","",IFERROR(IF(VLOOKUP(A667,Entry!$D:$D,1,FALSE)=A667,TRUE,FALSE),FALSE))</f>
        <v/>
      </c>
    </row>
    <row r="668" spans="1:33" x14ac:dyDescent="0.2">
      <c r="A668" s="114"/>
      <c r="B668" s="23"/>
      <c r="C668" s="23"/>
      <c r="D668" s="23"/>
      <c r="E668" s="23"/>
      <c r="G668" s="23"/>
      <c r="H668" s="23"/>
      <c r="Y668" s="8" t="str">
        <f>IF(A668="","",IFERROR(IF(VLOOKUP(A668,Entry!$D:$D,1,FALSE)=A668,"",ROW()),ROW()))</f>
        <v/>
      </c>
      <c r="AG668" s="8" t="str">
        <f>IF(A668="","",IFERROR(IF(VLOOKUP(A668,Entry!$D:$D,1,FALSE)=A668,TRUE,FALSE),FALSE))</f>
        <v/>
      </c>
    </row>
    <row r="669" spans="1:33" x14ac:dyDescent="0.2">
      <c r="A669" s="114"/>
      <c r="B669" s="23"/>
      <c r="C669" s="23"/>
      <c r="D669" s="23"/>
      <c r="E669" s="23"/>
      <c r="G669" s="23"/>
      <c r="H669" s="23"/>
      <c r="Y669" s="8" t="str">
        <f>IF(A669="","",IFERROR(IF(VLOOKUP(A669,Entry!$D:$D,1,FALSE)=A669,"",ROW()),ROW()))</f>
        <v/>
      </c>
      <c r="AG669" s="8" t="str">
        <f>IF(A669="","",IFERROR(IF(VLOOKUP(A669,Entry!$D:$D,1,FALSE)=A669,TRUE,FALSE),FALSE))</f>
        <v/>
      </c>
    </row>
    <row r="670" spans="1:33" x14ac:dyDescent="0.2">
      <c r="A670" s="114"/>
      <c r="B670" s="23"/>
      <c r="C670" s="23"/>
      <c r="D670" s="23"/>
      <c r="E670" s="23"/>
      <c r="G670" s="23"/>
      <c r="H670" s="23"/>
      <c r="Y670" s="8" t="str">
        <f>IF(A670="","",IFERROR(IF(VLOOKUP(A670,Entry!$D:$D,1,FALSE)=A670,"",ROW()),ROW()))</f>
        <v/>
      </c>
      <c r="AG670" s="8" t="str">
        <f>IF(A670="","",IFERROR(IF(VLOOKUP(A670,Entry!$D:$D,1,FALSE)=A670,TRUE,FALSE),FALSE))</f>
        <v/>
      </c>
    </row>
    <row r="671" spans="1:33" x14ac:dyDescent="0.2">
      <c r="A671" s="114"/>
      <c r="B671" s="23"/>
      <c r="C671" s="23"/>
      <c r="D671" s="23"/>
      <c r="E671" s="23"/>
      <c r="G671" s="23"/>
      <c r="H671" s="23"/>
      <c r="Y671" s="8" t="str">
        <f>IF(A671="","",IFERROR(IF(VLOOKUP(A671,Entry!$D:$D,1,FALSE)=A671,"",ROW()),ROW()))</f>
        <v/>
      </c>
      <c r="AG671" s="8" t="str">
        <f>IF(A671="","",IFERROR(IF(VLOOKUP(A671,Entry!$D:$D,1,FALSE)=A671,TRUE,FALSE),FALSE))</f>
        <v/>
      </c>
    </row>
    <row r="672" spans="1:33" x14ac:dyDescent="0.2">
      <c r="A672" s="114"/>
      <c r="B672" s="23"/>
      <c r="C672" s="23"/>
      <c r="D672" s="23"/>
      <c r="E672" s="23"/>
      <c r="G672" s="23"/>
      <c r="H672" s="23"/>
      <c r="Y672" s="8" t="str">
        <f>IF(A672="","",IFERROR(IF(VLOOKUP(A672,Entry!$D:$D,1,FALSE)=A672,"",ROW()),ROW()))</f>
        <v/>
      </c>
      <c r="AG672" s="8" t="str">
        <f>IF(A672="","",IFERROR(IF(VLOOKUP(A672,Entry!$D:$D,1,FALSE)=A672,TRUE,FALSE),FALSE))</f>
        <v/>
      </c>
    </row>
    <row r="673" spans="1:33" x14ac:dyDescent="0.2">
      <c r="A673" s="114"/>
      <c r="B673" s="23"/>
      <c r="C673" s="23"/>
      <c r="D673" s="23"/>
      <c r="E673" s="23"/>
      <c r="G673" s="23"/>
      <c r="H673" s="23"/>
      <c r="Y673" s="8" t="str">
        <f>IF(A673="","",IFERROR(IF(VLOOKUP(A673,Entry!$D:$D,1,FALSE)=A673,"",ROW()),ROW()))</f>
        <v/>
      </c>
      <c r="AG673" s="8" t="str">
        <f>IF(A673="","",IFERROR(IF(VLOOKUP(A673,Entry!$D:$D,1,FALSE)=A673,TRUE,FALSE),FALSE))</f>
        <v/>
      </c>
    </row>
    <row r="674" spans="1:33" x14ac:dyDescent="0.2">
      <c r="A674" s="114"/>
      <c r="B674" s="23"/>
      <c r="C674" s="23"/>
      <c r="D674" s="23"/>
      <c r="E674" s="23"/>
      <c r="G674" s="23"/>
      <c r="H674" s="23"/>
      <c r="Y674" s="8" t="str">
        <f>IF(A674="","",IFERROR(IF(VLOOKUP(A674,Entry!$D:$D,1,FALSE)=A674,"",ROW()),ROW()))</f>
        <v/>
      </c>
      <c r="AG674" s="8" t="str">
        <f>IF(A674="","",IFERROR(IF(VLOOKUP(A674,Entry!$D:$D,1,FALSE)=A674,TRUE,FALSE),FALSE))</f>
        <v/>
      </c>
    </row>
    <row r="675" spans="1:33" x14ac:dyDescent="0.2">
      <c r="A675" s="114"/>
      <c r="B675" s="23"/>
      <c r="C675" s="23"/>
      <c r="D675" s="23"/>
      <c r="E675" s="23"/>
      <c r="G675" s="23"/>
      <c r="H675" s="23"/>
      <c r="Y675" s="8" t="str">
        <f>IF(A675="","",IFERROR(IF(VLOOKUP(A675,Entry!$D:$D,1,FALSE)=A675,"",ROW()),ROW()))</f>
        <v/>
      </c>
      <c r="AG675" s="8" t="str">
        <f>IF(A675="","",IFERROR(IF(VLOOKUP(A675,Entry!$D:$D,1,FALSE)=A675,TRUE,FALSE),FALSE))</f>
        <v/>
      </c>
    </row>
    <row r="676" spans="1:33" x14ac:dyDescent="0.2">
      <c r="A676" s="114"/>
      <c r="B676" s="23"/>
      <c r="C676" s="23"/>
      <c r="D676" s="23"/>
      <c r="E676" s="23"/>
      <c r="G676" s="23"/>
      <c r="H676" s="23"/>
      <c r="Y676" s="8" t="str">
        <f>IF(A676="","",IFERROR(IF(VLOOKUP(A676,Entry!$D:$D,1,FALSE)=A676,"",ROW()),ROW()))</f>
        <v/>
      </c>
      <c r="AG676" s="8" t="str">
        <f>IF(A676="","",IFERROR(IF(VLOOKUP(A676,Entry!$D:$D,1,FALSE)=A676,TRUE,FALSE),FALSE))</f>
        <v/>
      </c>
    </row>
    <row r="677" spans="1:33" x14ac:dyDescent="0.2">
      <c r="A677" s="114"/>
      <c r="B677" s="23"/>
      <c r="C677" s="23"/>
      <c r="D677" s="23"/>
      <c r="E677" s="23"/>
      <c r="G677" s="23"/>
      <c r="H677" s="23"/>
      <c r="Y677" s="8" t="str">
        <f>IF(A677="","",IFERROR(IF(VLOOKUP(A677,Entry!$D:$D,1,FALSE)=A677,"",ROW()),ROW()))</f>
        <v/>
      </c>
      <c r="AG677" s="8" t="str">
        <f>IF(A677="","",IFERROR(IF(VLOOKUP(A677,Entry!$D:$D,1,FALSE)=A677,TRUE,FALSE),FALSE))</f>
        <v/>
      </c>
    </row>
    <row r="678" spans="1:33" x14ac:dyDescent="0.2">
      <c r="A678" s="114"/>
      <c r="B678" s="23"/>
      <c r="C678" s="23"/>
      <c r="D678" s="23"/>
      <c r="E678" s="23"/>
      <c r="G678" s="23"/>
      <c r="H678" s="23"/>
      <c r="Y678" s="8" t="str">
        <f>IF(A678="","",IFERROR(IF(VLOOKUP(A678,Entry!$D:$D,1,FALSE)=A678,"",ROW()),ROW()))</f>
        <v/>
      </c>
      <c r="AG678" s="8" t="str">
        <f>IF(A678="","",IFERROR(IF(VLOOKUP(A678,Entry!$D:$D,1,FALSE)=A678,TRUE,FALSE),FALSE))</f>
        <v/>
      </c>
    </row>
    <row r="679" spans="1:33" x14ac:dyDescent="0.2">
      <c r="A679" s="114"/>
      <c r="B679" s="23"/>
      <c r="C679" s="23"/>
      <c r="D679" s="23"/>
      <c r="E679" s="23"/>
      <c r="G679" s="23"/>
      <c r="H679" s="23"/>
      <c r="Y679" s="8" t="str">
        <f>IF(A679="","",IFERROR(IF(VLOOKUP(A679,Entry!$D:$D,1,FALSE)=A679,"",ROW()),ROW()))</f>
        <v/>
      </c>
      <c r="AG679" s="8" t="str">
        <f>IF(A679="","",IFERROR(IF(VLOOKUP(A679,Entry!$D:$D,1,FALSE)=A679,TRUE,FALSE),FALSE))</f>
        <v/>
      </c>
    </row>
    <row r="680" spans="1:33" x14ac:dyDescent="0.2">
      <c r="A680" s="114"/>
      <c r="B680" s="23"/>
      <c r="C680" s="23"/>
      <c r="D680" s="23"/>
      <c r="E680" s="23"/>
      <c r="G680" s="23"/>
      <c r="H680" s="23"/>
      <c r="Y680" s="8" t="str">
        <f>IF(A680="","",IFERROR(IF(VLOOKUP(A680,Entry!$D:$D,1,FALSE)=A680,"",ROW()),ROW()))</f>
        <v/>
      </c>
      <c r="AG680" s="8" t="str">
        <f>IF(A680="","",IFERROR(IF(VLOOKUP(A680,Entry!$D:$D,1,FALSE)=A680,TRUE,FALSE),FALSE))</f>
        <v/>
      </c>
    </row>
    <row r="681" spans="1:33" x14ac:dyDescent="0.2">
      <c r="A681" s="114"/>
      <c r="B681" s="23"/>
      <c r="C681" s="23"/>
      <c r="D681" s="23"/>
      <c r="E681" s="23"/>
      <c r="G681" s="23"/>
      <c r="H681" s="23"/>
      <c r="Y681" s="8" t="str">
        <f>IF(A681="","",IFERROR(IF(VLOOKUP(A681,Entry!$D:$D,1,FALSE)=A681,"",ROW()),ROW()))</f>
        <v/>
      </c>
      <c r="AG681" s="8" t="str">
        <f>IF(A681="","",IFERROR(IF(VLOOKUP(A681,Entry!$D:$D,1,FALSE)=A681,TRUE,FALSE),FALSE))</f>
        <v/>
      </c>
    </row>
    <row r="682" spans="1:33" x14ac:dyDescent="0.2">
      <c r="A682" s="114"/>
      <c r="B682" s="23"/>
      <c r="C682" s="23"/>
      <c r="D682" s="23"/>
      <c r="E682" s="23"/>
      <c r="G682" s="23"/>
      <c r="H682" s="23"/>
      <c r="Y682" s="8" t="str">
        <f>IF(A682="","",IFERROR(IF(VLOOKUP(A682,Entry!$D:$D,1,FALSE)=A682,"",ROW()),ROW()))</f>
        <v/>
      </c>
      <c r="AG682" s="8" t="str">
        <f>IF(A682="","",IFERROR(IF(VLOOKUP(A682,Entry!$D:$D,1,FALSE)=A682,TRUE,FALSE),FALSE))</f>
        <v/>
      </c>
    </row>
    <row r="683" spans="1:33" x14ac:dyDescent="0.2">
      <c r="A683" s="114"/>
      <c r="B683" s="23"/>
      <c r="C683" s="23"/>
      <c r="D683" s="23"/>
      <c r="E683" s="23"/>
      <c r="G683" s="23"/>
      <c r="H683" s="23"/>
      <c r="Y683" s="8" t="str">
        <f>IF(A683="","",IFERROR(IF(VLOOKUP(A683,Entry!$D:$D,1,FALSE)=A683,"",ROW()),ROW()))</f>
        <v/>
      </c>
      <c r="AG683" s="8" t="str">
        <f>IF(A683="","",IFERROR(IF(VLOOKUP(A683,Entry!$D:$D,1,FALSE)=A683,TRUE,FALSE),FALSE))</f>
        <v/>
      </c>
    </row>
    <row r="684" spans="1:33" x14ac:dyDescent="0.2">
      <c r="A684" s="114"/>
      <c r="B684" s="23"/>
      <c r="C684" s="23"/>
      <c r="D684" s="23"/>
      <c r="E684" s="23"/>
      <c r="G684" s="23"/>
      <c r="H684" s="23"/>
      <c r="Y684" s="8" t="str">
        <f>IF(A684="","",IFERROR(IF(VLOOKUP(A684,Entry!$D:$D,1,FALSE)=A684,"",ROW()),ROW()))</f>
        <v/>
      </c>
      <c r="AG684" s="8" t="str">
        <f>IF(A684="","",IFERROR(IF(VLOOKUP(A684,Entry!$D:$D,1,FALSE)=A684,TRUE,FALSE),FALSE))</f>
        <v/>
      </c>
    </row>
    <row r="685" spans="1:33" x14ac:dyDescent="0.2">
      <c r="A685" s="114"/>
      <c r="B685" s="23"/>
      <c r="C685" s="23"/>
      <c r="D685" s="23"/>
      <c r="E685" s="23"/>
      <c r="G685" s="23"/>
      <c r="H685" s="23"/>
      <c r="Y685" s="8" t="str">
        <f>IF(A685="","",IFERROR(IF(VLOOKUP(A685,Entry!$D:$D,1,FALSE)=A685,"",ROW()),ROW()))</f>
        <v/>
      </c>
      <c r="AG685" s="8" t="str">
        <f>IF(A685="","",IFERROR(IF(VLOOKUP(A685,Entry!$D:$D,1,FALSE)=A685,TRUE,FALSE),FALSE))</f>
        <v/>
      </c>
    </row>
    <row r="686" spans="1:33" x14ac:dyDescent="0.2">
      <c r="A686" s="114"/>
      <c r="B686" s="23"/>
      <c r="C686" s="23"/>
      <c r="D686" s="23"/>
      <c r="E686" s="23"/>
      <c r="G686" s="23"/>
      <c r="H686" s="23"/>
      <c r="Y686" s="8" t="str">
        <f>IF(A686="","",IFERROR(IF(VLOOKUP(A686,Entry!$D:$D,1,FALSE)=A686,"",ROW()),ROW()))</f>
        <v/>
      </c>
      <c r="AG686" s="8" t="str">
        <f>IF(A686="","",IFERROR(IF(VLOOKUP(A686,Entry!$D:$D,1,FALSE)=A686,TRUE,FALSE),FALSE))</f>
        <v/>
      </c>
    </row>
    <row r="687" spans="1:33" x14ac:dyDescent="0.2">
      <c r="A687" s="114"/>
      <c r="B687" s="23"/>
      <c r="C687" s="23"/>
      <c r="D687" s="23"/>
      <c r="E687" s="23"/>
      <c r="G687" s="23"/>
      <c r="H687" s="23"/>
      <c r="Y687" s="8" t="str">
        <f>IF(A687="","",IFERROR(IF(VLOOKUP(A687,Entry!$D:$D,1,FALSE)=A687,"",ROW()),ROW()))</f>
        <v/>
      </c>
      <c r="AG687" s="8" t="str">
        <f>IF(A687="","",IFERROR(IF(VLOOKUP(A687,Entry!$D:$D,1,FALSE)=A687,TRUE,FALSE),FALSE))</f>
        <v/>
      </c>
    </row>
    <row r="688" spans="1:33" x14ac:dyDescent="0.2">
      <c r="A688" s="114"/>
      <c r="B688" s="23"/>
      <c r="C688" s="23"/>
      <c r="D688" s="23"/>
      <c r="E688" s="23"/>
      <c r="G688" s="23"/>
      <c r="H688" s="23"/>
      <c r="Y688" s="8" t="str">
        <f>IF(A688="","",IFERROR(IF(VLOOKUP(A688,Entry!$D:$D,1,FALSE)=A688,"",ROW()),ROW()))</f>
        <v/>
      </c>
      <c r="AG688" s="8" t="str">
        <f>IF(A688="","",IFERROR(IF(VLOOKUP(A688,Entry!$D:$D,1,FALSE)=A688,TRUE,FALSE),FALSE))</f>
        <v/>
      </c>
    </row>
    <row r="689" spans="1:33" x14ac:dyDescent="0.2">
      <c r="A689" s="114"/>
      <c r="B689" s="23"/>
      <c r="C689" s="23"/>
      <c r="D689" s="23"/>
      <c r="E689" s="23"/>
      <c r="G689" s="23"/>
      <c r="H689" s="23"/>
      <c r="Y689" s="8" t="str">
        <f>IF(A689="","",IFERROR(IF(VLOOKUP(A689,Entry!$D:$D,1,FALSE)=A689,"",ROW()),ROW()))</f>
        <v/>
      </c>
      <c r="AG689" s="8" t="str">
        <f>IF(A689="","",IFERROR(IF(VLOOKUP(A689,Entry!$D:$D,1,FALSE)=A689,TRUE,FALSE),FALSE))</f>
        <v/>
      </c>
    </row>
    <row r="690" spans="1:33" x14ac:dyDescent="0.2">
      <c r="A690" s="114"/>
      <c r="B690" s="23"/>
      <c r="C690" s="23"/>
      <c r="D690" s="23"/>
      <c r="E690" s="23"/>
      <c r="G690" s="23"/>
      <c r="H690" s="23"/>
      <c r="Y690" s="8" t="str">
        <f>IF(A690="","",IFERROR(IF(VLOOKUP(A690,Entry!$D:$D,1,FALSE)=A690,"",ROW()),ROW()))</f>
        <v/>
      </c>
      <c r="AG690" s="8" t="str">
        <f>IF(A690="","",IFERROR(IF(VLOOKUP(A690,Entry!$D:$D,1,FALSE)=A690,TRUE,FALSE),FALSE))</f>
        <v/>
      </c>
    </row>
    <row r="691" spans="1:33" x14ac:dyDescent="0.2">
      <c r="A691" s="114"/>
      <c r="B691" s="23"/>
      <c r="C691" s="23"/>
      <c r="D691" s="23"/>
      <c r="E691" s="23"/>
      <c r="G691" s="23"/>
      <c r="H691" s="23"/>
      <c r="Y691" s="8" t="str">
        <f>IF(A691="","",IFERROR(IF(VLOOKUP(A691,Entry!$D:$D,1,FALSE)=A691,"",ROW()),ROW()))</f>
        <v/>
      </c>
      <c r="AG691" s="8" t="str">
        <f>IF(A691="","",IFERROR(IF(VLOOKUP(A691,Entry!$D:$D,1,FALSE)=A691,TRUE,FALSE),FALSE))</f>
        <v/>
      </c>
    </row>
    <row r="692" spans="1:33" x14ac:dyDescent="0.2">
      <c r="A692" s="114"/>
      <c r="B692" s="23"/>
      <c r="C692" s="23"/>
      <c r="D692" s="23"/>
      <c r="E692" s="23"/>
      <c r="G692" s="23"/>
      <c r="H692" s="23"/>
      <c r="Y692" s="8" t="str">
        <f>IF(A692="","",IFERROR(IF(VLOOKUP(A692,Entry!$D:$D,1,FALSE)=A692,"",ROW()),ROW()))</f>
        <v/>
      </c>
      <c r="AG692" s="8" t="str">
        <f>IF(A692="","",IFERROR(IF(VLOOKUP(A692,Entry!$D:$D,1,FALSE)=A692,TRUE,FALSE),FALSE))</f>
        <v/>
      </c>
    </row>
    <row r="693" spans="1:33" x14ac:dyDescent="0.2">
      <c r="A693" s="114"/>
      <c r="B693" s="23"/>
      <c r="C693" s="23"/>
      <c r="D693" s="23"/>
      <c r="E693" s="23"/>
      <c r="G693" s="23"/>
      <c r="H693" s="23"/>
      <c r="Y693" s="8" t="str">
        <f>IF(A693="","",IFERROR(IF(VLOOKUP(A693,Entry!$D:$D,1,FALSE)=A693,"",ROW()),ROW()))</f>
        <v/>
      </c>
      <c r="AG693" s="8" t="str">
        <f>IF(A693="","",IFERROR(IF(VLOOKUP(A693,Entry!$D:$D,1,FALSE)=A693,TRUE,FALSE),FALSE))</f>
        <v/>
      </c>
    </row>
    <row r="694" spans="1:33" x14ac:dyDescent="0.2">
      <c r="A694" s="114"/>
      <c r="B694" s="23"/>
      <c r="C694" s="23"/>
      <c r="D694" s="23"/>
      <c r="E694" s="23"/>
      <c r="G694" s="23"/>
      <c r="H694" s="23"/>
      <c r="Y694" s="8" t="str">
        <f>IF(A694="","",IFERROR(IF(VLOOKUP(A694,Entry!$D:$D,1,FALSE)=A694,"",ROW()),ROW()))</f>
        <v/>
      </c>
      <c r="AG694" s="8" t="str">
        <f>IF(A694="","",IFERROR(IF(VLOOKUP(A694,Entry!$D:$D,1,FALSE)=A694,TRUE,FALSE),FALSE))</f>
        <v/>
      </c>
    </row>
    <row r="695" spans="1:33" x14ac:dyDescent="0.2">
      <c r="A695" s="114"/>
      <c r="B695" s="23"/>
      <c r="C695" s="23"/>
      <c r="D695" s="23"/>
      <c r="E695" s="23"/>
      <c r="G695" s="23"/>
      <c r="H695" s="23"/>
      <c r="Y695" s="8" t="str">
        <f>IF(A695="","",IFERROR(IF(VLOOKUP(A695,Entry!$D:$D,1,FALSE)=A695,"",ROW()),ROW()))</f>
        <v/>
      </c>
      <c r="AG695" s="8" t="str">
        <f>IF(A695="","",IFERROR(IF(VLOOKUP(A695,Entry!$D:$D,1,FALSE)=A695,TRUE,FALSE),FALSE))</f>
        <v/>
      </c>
    </row>
    <row r="696" spans="1:33" x14ac:dyDescent="0.2">
      <c r="A696" s="114"/>
      <c r="B696" s="23"/>
      <c r="C696" s="23"/>
      <c r="D696" s="23"/>
      <c r="E696" s="23"/>
      <c r="G696" s="23"/>
      <c r="H696" s="23"/>
      <c r="Y696" s="8" t="str">
        <f>IF(A696="","",IFERROR(IF(VLOOKUP(A696,Entry!$D:$D,1,FALSE)=A696,"",ROW()),ROW()))</f>
        <v/>
      </c>
      <c r="AG696" s="8" t="str">
        <f>IF(A696="","",IFERROR(IF(VLOOKUP(A696,Entry!$D:$D,1,FALSE)=A696,TRUE,FALSE),FALSE))</f>
        <v/>
      </c>
    </row>
    <row r="697" spans="1:33" x14ac:dyDescent="0.2">
      <c r="A697" s="114"/>
      <c r="B697" s="23"/>
      <c r="C697" s="23"/>
      <c r="D697" s="23"/>
      <c r="E697" s="23"/>
      <c r="G697" s="23"/>
      <c r="H697" s="23"/>
      <c r="Y697" s="8" t="str">
        <f>IF(A697="","",IFERROR(IF(VLOOKUP(A697,Entry!$D:$D,1,FALSE)=A697,"",ROW()),ROW()))</f>
        <v/>
      </c>
      <c r="AG697" s="8" t="str">
        <f>IF(A697="","",IFERROR(IF(VLOOKUP(A697,Entry!$D:$D,1,FALSE)=A697,TRUE,FALSE),FALSE))</f>
        <v/>
      </c>
    </row>
    <row r="698" spans="1:33" x14ac:dyDescent="0.2">
      <c r="A698" s="114"/>
      <c r="B698" s="23"/>
      <c r="C698" s="23"/>
      <c r="D698" s="23"/>
      <c r="E698" s="23"/>
      <c r="G698" s="23"/>
      <c r="H698" s="23"/>
      <c r="Y698" s="8" t="str">
        <f>IF(A698="","",IFERROR(IF(VLOOKUP(A698,Entry!$D:$D,1,FALSE)=A698,"",ROW()),ROW()))</f>
        <v/>
      </c>
      <c r="AG698" s="8" t="str">
        <f>IF(A698="","",IFERROR(IF(VLOOKUP(A698,Entry!$D:$D,1,FALSE)=A698,TRUE,FALSE),FALSE))</f>
        <v/>
      </c>
    </row>
    <row r="699" spans="1:33" x14ac:dyDescent="0.2">
      <c r="A699" s="114"/>
      <c r="B699" s="23"/>
      <c r="C699" s="23"/>
      <c r="D699" s="23"/>
      <c r="E699" s="23"/>
      <c r="G699" s="23"/>
      <c r="H699" s="23"/>
      <c r="Y699" s="8" t="str">
        <f>IF(A699="","",IFERROR(IF(VLOOKUP(A699,Entry!$D:$D,1,FALSE)=A699,"",ROW()),ROW()))</f>
        <v/>
      </c>
      <c r="AG699" s="8" t="str">
        <f>IF(A699="","",IFERROR(IF(VLOOKUP(A699,Entry!$D:$D,1,FALSE)=A699,TRUE,FALSE),FALSE))</f>
        <v/>
      </c>
    </row>
    <row r="700" spans="1:33" x14ac:dyDescent="0.2">
      <c r="A700" s="114"/>
      <c r="B700" s="23"/>
      <c r="C700" s="23"/>
      <c r="D700" s="23"/>
      <c r="E700" s="23"/>
      <c r="G700" s="23"/>
      <c r="H700" s="23"/>
      <c r="Y700" s="8" t="str">
        <f>IF(A700="","",IFERROR(IF(VLOOKUP(A700,Entry!$D:$D,1,FALSE)=A700,"",ROW()),ROW()))</f>
        <v/>
      </c>
      <c r="AG700" s="8" t="str">
        <f>IF(A700="","",IFERROR(IF(VLOOKUP(A700,Entry!$D:$D,1,FALSE)=A700,TRUE,FALSE),FALSE))</f>
        <v/>
      </c>
    </row>
    <row r="701" spans="1:33" x14ac:dyDescent="0.2">
      <c r="A701" s="114"/>
      <c r="B701" s="23"/>
      <c r="C701" s="23"/>
      <c r="D701" s="23"/>
      <c r="E701" s="23"/>
      <c r="G701" s="23"/>
      <c r="H701" s="23"/>
      <c r="Y701" s="8" t="str">
        <f>IF(A701="","",IFERROR(IF(VLOOKUP(A701,Entry!$D:$D,1,FALSE)=A701,"",ROW()),ROW()))</f>
        <v/>
      </c>
      <c r="AG701" s="8" t="str">
        <f>IF(A701="","",IFERROR(IF(VLOOKUP(A701,Entry!$D:$D,1,FALSE)=A701,TRUE,FALSE),FALSE))</f>
        <v/>
      </c>
    </row>
    <row r="702" spans="1:33" x14ac:dyDescent="0.2">
      <c r="A702" s="114"/>
      <c r="B702" s="23"/>
      <c r="C702" s="23"/>
      <c r="D702" s="23"/>
      <c r="E702" s="23"/>
      <c r="G702" s="23"/>
      <c r="H702" s="23"/>
      <c r="Y702" s="8" t="str">
        <f>IF(A702="","",IFERROR(IF(VLOOKUP(A702,Entry!$D:$D,1,FALSE)=A702,"",ROW()),ROW()))</f>
        <v/>
      </c>
      <c r="AG702" s="8" t="str">
        <f>IF(A702="","",IFERROR(IF(VLOOKUP(A702,Entry!$D:$D,1,FALSE)=A702,TRUE,FALSE),FALSE))</f>
        <v/>
      </c>
    </row>
    <row r="703" spans="1:33" x14ac:dyDescent="0.2">
      <c r="A703" s="114"/>
      <c r="B703" s="23"/>
      <c r="C703" s="23"/>
      <c r="D703" s="23"/>
      <c r="E703" s="23"/>
      <c r="G703" s="23"/>
      <c r="H703" s="23"/>
      <c r="Y703" s="8" t="str">
        <f>IF(A703="","",IFERROR(IF(VLOOKUP(A703,Entry!$D:$D,1,FALSE)=A703,"",ROW()),ROW()))</f>
        <v/>
      </c>
      <c r="AG703" s="8" t="str">
        <f>IF(A703="","",IFERROR(IF(VLOOKUP(A703,Entry!$D:$D,1,FALSE)=A703,TRUE,FALSE),FALSE))</f>
        <v/>
      </c>
    </row>
    <row r="704" spans="1:33" x14ac:dyDescent="0.2">
      <c r="A704" s="114"/>
      <c r="B704" s="23"/>
      <c r="C704" s="23"/>
      <c r="D704" s="23"/>
      <c r="E704" s="23"/>
      <c r="G704" s="23"/>
      <c r="H704" s="23"/>
      <c r="Y704" s="8" t="str">
        <f>IF(A704="","",IFERROR(IF(VLOOKUP(A704,Entry!$D:$D,1,FALSE)=A704,"",ROW()),ROW()))</f>
        <v/>
      </c>
      <c r="AG704" s="8" t="str">
        <f>IF(A704="","",IFERROR(IF(VLOOKUP(A704,Entry!$D:$D,1,FALSE)=A704,TRUE,FALSE),FALSE))</f>
        <v/>
      </c>
    </row>
    <row r="705" spans="1:33" x14ac:dyDescent="0.2">
      <c r="A705" s="114"/>
      <c r="B705" s="23"/>
      <c r="C705" s="23"/>
      <c r="D705" s="23"/>
      <c r="E705" s="23"/>
      <c r="G705" s="23"/>
      <c r="H705" s="23"/>
      <c r="Y705" s="8" t="str">
        <f>IF(A705="","",IFERROR(IF(VLOOKUP(A705,Entry!$D:$D,1,FALSE)=A705,"",ROW()),ROW()))</f>
        <v/>
      </c>
      <c r="AG705" s="8" t="str">
        <f>IF(A705="","",IFERROR(IF(VLOOKUP(A705,Entry!$D:$D,1,FALSE)=A705,TRUE,FALSE),FALSE))</f>
        <v/>
      </c>
    </row>
    <row r="706" spans="1:33" x14ac:dyDescent="0.2">
      <c r="A706" s="114"/>
      <c r="B706" s="23"/>
      <c r="C706" s="23"/>
      <c r="D706" s="23"/>
      <c r="E706" s="23"/>
      <c r="G706" s="23"/>
      <c r="H706" s="23"/>
      <c r="Y706" s="8" t="str">
        <f>IF(A706="","",IFERROR(IF(VLOOKUP(A706,Entry!$D:$D,1,FALSE)=A706,"",ROW()),ROW()))</f>
        <v/>
      </c>
      <c r="AG706" s="8" t="str">
        <f>IF(A706="","",IFERROR(IF(VLOOKUP(A706,Entry!$D:$D,1,FALSE)=A706,TRUE,FALSE),FALSE))</f>
        <v/>
      </c>
    </row>
    <row r="707" spans="1:33" x14ac:dyDescent="0.2">
      <c r="A707" s="114"/>
      <c r="B707" s="23"/>
      <c r="C707" s="23"/>
      <c r="D707" s="23"/>
      <c r="E707" s="23"/>
      <c r="G707" s="23"/>
      <c r="H707" s="23"/>
      <c r="Y707" s="8" t="str">
        <f>IF(A707="","",IFERROR(IF(VLOOKUP(A707,Entry!$D:$D,1,FALSE)=A707,"",ROW()),ROW()))</f>
        <v/>
      </c>
      <c r="AG707" s="8" t="str">
        <f>IF(A707="","",IFERROR(IF(VLOOKUP(A707,Entry!$D:$D,1,FALSE)=A707,TRUE,FALSE),FALSE))</f>
        <v/>
      </c>
    </row>
    <row r="708" spans="1:33" x14ac:dyDescent="0.2">
      <c r="A708" s="114"/>
      <c r="B708" s="23"/>
      <c r="C708" s="23"/>
      <c r="D708" s="23"/>
      <c r="E708" s="23"/>
      <c r="G708" s="23"/>
      <c r="H708" s="23"/>
      <c r="Y708" s="8" t="str">
        <f>IF(A708="","",IFERROR(IF(VLOOKUP(A708,Entry!$D:$D,1,FALSE)=A708,"",ROW()),ROW()))</f>
        <v/>
      </c>
      <c r="AG708" s="8" t="str">
        <f>IF(A708="","",IFERROR(IF(VLOOKUP(A708,Entry!$D:$D,1,FALSE)=A708,TRUE,FALSE),FALSE))</f>
        <v/>
      </c>
    </row>
    <row r="709" spans="1:33" x14ac:dyDescent="0.2">
      <c r="A709" s="114"/>
      <c r="B709" s="23"/>
      <c r="C709" s="23"/>
      <c r="D709" s="23"/>
      <c r="E709" s="23"/>
      <c r="G709" s="23"/>
      <c r="H709" s="23"/>
      <c r="Y709" s="8" t="str">
        <f>IF(A709="","",IFERROR(IF(VLOOKUP(A709,Entry!$D:$D,1,FALSE)=A709,"",ROW()),ROW()))</f>
        <v/>
      </c>
      <c r="AG709" s="8" t="str">
        <f>IF(A709="","",IFERROR(IF(VLOOKUP(A709,Entry!$D:$D,1,FALSE)=A709,TRUE,FALSE),FALSE))</f>
        <v/>
      </c>
    </row>
    <row r="710" spans="1:33" x14ac:dyDescent="0.2">
      <c r="A710" s="114"/>
      <c r="B710" s="23"/>
      <c r="C710" s="23"/>
      <c r="D710" s="23"/>
      <c r="E710" s="23"/>
      <c r="G710" s="23"/>
      <c r="H710" s="23"/>
      <c r="Y710" s="8" t="str">
        <f>IF(A710="","",IFERROR(IF(VLOOKUP(A710,Entry!$D:$D,1,FALSE)=A710,"",ROW()),ROW()))</f>
        <v/>
      </c>
      <c r="AG710" s="8" t="str">
        <f>IF(A710="","",IFERROR(IF(VLOOKUP(A710,Entry!$D:$D,1,FALSE)=A710,TRUE,FALSE),FALSE))</f>
        <v/>
      </c>
    </row>
    <row r="711" spans="1:33" x14ac:dyDescent="0.2">
      <c r="A711" s="114"/>
      <c r="B711" s="23"/>
      <c r="C711" s="23"/>
      <c r="D711" s="23"/>
      <c r="E711" s="23"/>
      <c r="G711" s="23"/>
      <c r="H711" s="23"/>
      <c r="Y711" s="8" t="str">
        <f>IF(A711="","",IFERROR(IF(VLOOKUP(A711,Entry!$D:$D,1,FALSE)=A711,"",ROW()),ROW()))</f>
        <v/>
      </c>
      <c r="AG711" s="8" t="str">
        <f>IF(A711="","",IFERROR(IF(VLOOKUP(A711,Entry!$D:$D,1,FALSE)=A711,TRUE,FALSE),FALSE))</f>
        <v/>
      </c>
    </row>
    <row r="712" spans="1:33" x14ac:dyDescent="0.2">
      <c r="A712" s="114"/>
      <c r="B712" s="23"/>
      <c r="C712" s="23"/>
      <c r="D712" s="23"/>
      <c r="E712" s="23"/>
      <c r="G712" s="23"/>
      <c r="H712" s="23"/>
      <c r="Y712" s="8" t="str">
        <f>IF(A712="","",IFERROR(IF(VLOOKUP(A712,Entry!$D:$D,1,FALSE)=A712,"",ROW()),ROW()))</f>
        <v/>
      </c>
      <c r="AG712" s="8" t="str">
        <f>IF(A712="","",IFERROR(IF(VLOOKUP(A712,Entry!$D:$D,1,FALSE)=A712,TRUE,FALSE),FALSE))</f>
        <v/>
      </c>
    </row>
    <row r="713" spans="1:33" x14ac:dyDescent="0.2">
      <c r="A713" s="114"/>
      <c r="B713" s="23"/>
      <c r="C713" s="23"/>
      <c r="D713" s="23"/>
      <c r="E713" s="23"/>
      <c r="G713" s="23"/>
      <c r="H713" s="23"/>
      <c r="Y713" s="8" t="str">
        <f>IF(A713="","",IFERROR(IF(VLOOKUP(A713,Entry!$D:$D,1,FALSE)=A713,"",ROW()),ROW()))</f>
        <v/>
      </c>
      <c r="AG713" s="8" t="str">
        <f>IF(A713="","",IFERROR(IF(VLOOKUP(A713,Entry!$D:$D,1,FALSE)=A713,TRUE,FALSE),FALSE))</f>
        <v/>
      </c>
    </row>
    <row r="714" spans="1:33" x14ac:dyDescent="0.2">
      <c r="A714" s="114"/>
      <c r="B714" s="23"/>
      <c r="C714" s="23"/>
      <c r="D714" s="23"/>
      <c r="E714" s="23"/>
      <c r="G714" s="23"/>
      <c r="H714" s="23"/>
      <c r="Y714" s="8" t="str">
        <f>IF(A714="","",IFERROR(IF(VLOOKUP(A714,Entry!$D:$D,1,FALSE)=A714,"",ROW()),ROW()))</f>
        <v/>
      </c>
      <c r="AG714" s="8" t="str">
        <f>IF(A714="","",IFERROR(IF(VLOOKUP(A714,Entry!$D:$D,1,FALSE)=A714,TRUE,FALSE),FALSE))</f>
        <v/>
      </c>
    </row>
    <row r="715" spans="1:33" x14ac:dyDescent="0.2">
      <c r="A715" s="114"/>
      <c r="B715" s="23"/>
      <c r="C715" s="23"/>
      <c r="D715" s="23"/>
      <c r="E715" s="23"/>
      <c r="G715" s="23"/>
      <c r="H715" s="23"/>
      <c r="Y715" s="8" t="str">
        <f>IF(A715="","",IFERROR(IF(VLOOKUP(A715,Entry!$D:$D,1,FALSE)=A715,"",ROW()),ROW()))</f>
        <v/>
      </c>
      <c r="AG715" s="8" t="str">
        <f>IF(A715="","",IFERROR(IF(VLOOKUP(A715,Entry!$D:$D,1,FALSE)=A715,TRUE,FALSE),FALSE))</f>
        <v/>
      </c>
    </row>
    <row r="716" spans="1:33" x14ac:dyDescent="0.2">
      <c r="A716" s="114"/>
      <c r="B716" s="23"/>
      <c r="C716" s="23"/>
      <c r="D716" s="23"/>
      <c r="E716" s="23"/>
      <c r="G716" s="23"/>
      <c r="H716" s="23"/>
      <c r="Y716" s="8" t="str">
        <f>IF(A716="","",IFERROR(IF(VLOOKUP(A716,Entry!$D:$D,1,FALSE)=A716,"",ROW()),ROW()))</f>
        <v/>
      </c>
      <c r="AG716" s="8" t="str">
        <f>IF(A716="","",IFERROR(IF(VLOOKUP(A716,Entry!$D:$D,1,FALSE)=A716,TRUE,FALSE),FALSE))</f>
        <v/>
      </c>
    </row>
    <row r="717" spans="1:33" x14ac:dyDescent="0.2">
      <c r="A717" s="114"/>
      <c r="B717" s="23"/>
      <c r="C717" s="23"/>
      <c r="D717" s="23"/>
      <c r="E717" s="23"/>
      <c r="G717" s="23"/>
      <c r="H717" s="23"/>
      <c r="Y717" s="8" t="str">
        <f>IF(A717="","",IFERROR(IF(VLOOKUP(A717,Entry!$D:$D,1,FALSE)=A717,"",ROW()),ROW()))</f>
        <v/>
      </c>
      <c r="AG717" s="8" t="str">
        <f>IF(A717="","",IFERROR(IF(VLOOKUP(A717,Entry!$D:$D,1,FALSE)=A717,TRUE,FALSE),FALSE))</f>
        <v/>
      </c>
    </row>
    <row r="718" spans="1:33" x14ac:dyDescent="0.2">
      <c r="A718" s="114"/>
      <c r="B718" s="23"/>
      <c r="C718" s="23"/>
      <c r="D718" s="23"/>
      <c r="E718" s="23"/>
      <c r="G718" s="23"/>
      <c r="H718" s="23"/>
      <c r="Y718" s="8" t="str">
        <f>IF(A718="","",IFERROR(IF(VLOOKUP(A718,Entry!$D:$D,1,FALSE)=A718,"",ROW()),ROW()))</f>
        <v/>
      </c>
      <c r="AG718" s="8" t="str">
        <f>IF(A718="","",IFERROR(IF(VLOOKUP(A718,Entry!$D:$D,1,FALSE)=A718,TRUE,FALSE),FALSE))</f>
        <v/>
      </c>
    </row>
    <row r="719" spans="1:33" x14ac:dyDescent="0.2">
      <c r="A719" s="114"/>
      <c r="B719" s="23"/>
      <c r="C719" s="23"/>
      <c r="D719" s="23"/>
      <c r="E719" s="23"/>
      <c r="G719" s="23"/>
      <c r="H719" s="23"/>
      <c r="Y719" s="8" t="str">
        <f>IF(A719="","",IFERROR(IF(VLOOKUP(A719,Entry!$D:$D,1,FALSE)=A719,"",ROW()),ROW()))</f>
        <v/>
      </c>
      <c r="AG719" s="8" t="str">
        <f>IF(A719="","",IFERROR(IF(VLOOKUP(A719,Entry!$D:$D,1,FALSE)=A719,TRUE,FALSE),FALSE))</f>
        <v/>
      </c>
    </row>
    <row r="720" spans="1:33" x14ac:dyDescent="0.2">
      <c r="A720" s="114"/>
      <c r="B720" s="23"/>
      <c r="C720" s="23"/>
      <c r="D720" s="23"/>
      <c r="E720" s="23"/>
      <c r="G720" s="23"/>
      <c r="H720" s="23"/>
      <c r="Y720" s="8" t="str">
        <f>IF(A720="","",IFERROR(IF(VLOOKUP(A720,Entry!$D:$D,1,FALSE)=A720,"",ROW()),ROW()))</f>
        <v/>
      </c>
      <c r="AG720" s="8" t="str">
        <f>IF(A720="","",IFERROR(IF(VLOOKUP(A720,Entry!$D:$D,1,FALSE)=A720,TRUE,FALSE),FALSE))</f>
        <v/>
      </c>
    </row>
    <row r="721" spans="1:33" x14ac:dyDescent="0.2">
      <c r="A721" s="114"/>
      <c r="B721" s="23"/>
      <c r="C721" s="23"/>
      <c r="D721" s="23"/>
      <c r="E721" s="23"/>
      <c r="G721" s="23"/>
      <c r="H721" s="23"/>
      <c r="Y721" s="8" t="str">
        <f>IF(A721="","",IFERROR(IF(VLOOKUP(A721,Entry!$D:$D,1,FALSE)=A721,"",ROW()),ROW()))</f>
        <v/>
      </c>
      <c r="AG721" s="8" t="str">
        <f>IF(A721="","",IFERROR(IF(VLOOKUP(A721,Entry!$D:$D,1,FALSE)=A721,TRUE,FALSE),FALSE))</f>
        <v/>
      </c>
    </row>
    <row r="722" spans="1:33" x14ac:dyDescent="0.2">
      <c r="A722" s="114"/>
      <c r="B722" s="23"/>
      <c r="C722" s="23"/>
      <c r="D722" s="23"/>
      <c r="E722" s="23"/>
      <c r="G722" s="23"/>
      <c r="H722" s="23"/>
      <c r="Y722" s="8" t="str">
        <f>IF(A722="","",IFERROR(IF(VLOOKUP(A722,Entry!$D:$D,1,FALSE)=A722,"",ROW()),ROW()))</f>
        <v/>
      </c>
      <c r="AG722" s="8" t="str">
        <f>IF(A722="","",IFERROR(IF(VLOOKUP(A722,Entry!$D:$D,1,FALSE)=A722,TRUE,FALSE),FALSE))</f>
        <v/>
      </c>
    </row>
    <row r="723" spans="1:33" x14ac:dyDescent="0.2">
      <c r="A723" s="114"/>
      <c r="B723" s="23"/>
      <c r="C723" s="23"/>
      <c r="D723" s="23"/>
      <c r="E723" s="23"/>
      <c r="G723" s="23"/>
      <c r="H723" s="23"/>
      <c r="Y723" s="8" t="str">
        <f>IF(A723="","",IFERROR(IF(VLOOKUP(A723,Entry!$D:$D,1,FALSE)=A723,"",ROW()),ROW()))</f>
        <v/>
      </c>
      <c r="AG723" s="8" t="str">
        <f>IF(A723="","",IFERROR(IF(VLOOKUP(A723,Entry!$D:$D,1,FALSE)=A723,TRUE,FALSE),FALSE))</f>
        <v/>
      </c>
    </row>
    <row r="724" spans="1:33" x14ac:dyDescent="0.2">
      <c r="A724" s="114"/>
      <c r="B724" s="23"/>
      <c r="C724" s="23"/>
      <c r="D724" s="23"/>
      <c r="E724" s="23"/>
      <c r="G724" s="23"/>
      <c r="H724" s="23"/>
      <c r="Y724" s="8" t="str">
        <f>IF(A724="","",IFERROR(IF(VLOOKUP(A724,Entry!$D:$D,1,FALSE)=A724,"",ROW()),ROW()))</f>
        <v/>
      </c>
      <c r="AG724" s="8" t="str">
        <f>IF(A724="","",IFERROR(IF(VLOOKUP(A724,Entry!$D:$D,1,FALSE)=A724,TRUE,FALSE),FALSE))</f>
        <v/>
      </c>
    </row>
    <row r="725" spans="1:33" x14ac:dyDescent="0.2">
      <c r="A725" s="114"/>
      <c r="B725" s="23"/>
      <c r="C725" s="23"/>
      <c r="D725" s="23"/>
      <c r="E725" s="23"/>
      <c r="G725" s="23"/>
      <c r="H725" s="23"/>
      <c r="Y725" s="8" t="str">
        <f>IF(A725="","",IFERROR(IF(VLOOKUP(A725,Entry!$D:$D,1,FALSE)=A725,"",ROW()),ROW()))</f>
        <v/>
      </c>
      <c r="AG725" s="8" t="str">
        <f>IF(A725="","",IFERROR(IF(VLOOKUP(A725,Entry!$D:$D,1,FALSE)=A725,TRUE,FALSE),FALSE))</f>
        <v/>
      </c>
    </row>
    <row r="726" spans="1:33" x14ac:dyDescent="0.2">
      <c r="A726" s="114"/>
      <c r="B726" s="23"/>
      <c r="C726" s="23"/>
      <c r="D726" s="23"/>
      <c r="E726" s="23"/>
      <c r="G726" s="23"/>
      <c r="H726" s="23"/>
      <c r="Y726" s="8" t="str">
        <f>IF(A726="","",IFERROR(IF(VLOOKUP(A726,Entry!$D:$D,1,FALSE)=A726,"",ROW()),ROW()))</f>
        <v/>
      </c>
      <c r="AG726" s="8" t="str">
        <f>IF(A726="","",IFERROR(IF(VLOOKUP(A726,Entry!$D:$D,1,FALSE)=A726,TRUE,FALSE),FALSE))</f>
        <v/>
      </c>
    </row>
    <row r="727" spans="1:33" x14ac:dyDescent="0.2">
      <c r="A727" s="114"/>
      <c r="B727" s="23"/>
      <c r="C727" s="23"/>
      <c r="D727" s="23"/>
      <c r="E727" s="23"/>
      <c r="G727" s="23"/>
      <c r="H727" s="23"/>
      <c r="Y727" s="8" t="str">
        <f>IF(A727="","",IFERROR(IF(VLOOKUP(A727,Entry!$D:$D,1,FALSE)=A727,"",ROW()),ROW()))</f>
        <v/>
      </c>
      <c r="AG727" s="8" t="str">
        <f>IF(A727="","",IFERROR(IF(VLOOKUP(A727,Entry!$D:$D,1,FALSE)=A727,TRUE,FALSE),FALSE))</f>
        <v/>
      </c>
    </row>
    <row r="728" spans="1:33" x14ac:dyDescent="0.2">
      <c r="A728" s="114"/>
      <c r="B728" s="23"/>
      <c r="C728" s="23"/>
      <c r="D728" s="23"/>
      <c r="E728" s="23"/>
      <c r="G728" s="23"/>
      <c r="H728" s="23"/>
      <c r="Y728" s="8" t="str">
        <f>IF(A728="","",IFERROR(IF(VLOOKUP(A728,Entry!$D:$D,1,FALSE)=A728,"",ROW()),ROW()))</f>
        <v/>
      </c>
      <c r="AG728" s="8" t="str">
        <f>IF(A728="","",IFERROR(IF(VLOOKUP(A728,Entry!$D:$D,1,FALSE)=A728,TRUE,FALSE),FALSE))</f>
        <v/>
      </c>
    </row>
    <row r="729" spans="1:33" x14ac:dyDescent="0.2">
      <c r="A729" s="114"/>
      <c r="B729" s="23"/>
      <c r="C729" s="23"/>
      <c r="D729" s="23"/>
      <c r="E729" s="23"/>
      <c r="G729" s="23"/>
      <c r="H729" s="23"/>
      <c r="Y729" s="8" t="str">
        <f>IF(A729="","",IFERROR(IF(VLOOKUP(A729,Entry!$D:$D,1,FALSE)=A729,"",ROW()),ROW()))</f>
        <v/>
      </c>
      <c r="AG729" s="8" t="str">
        <f>IF(A729="","",IFERROR(IF(VLOOKUP(A729,Entry!$D:$D,1,FALSE)=A729,TRUE,FALSE),FALSE))</f>
        <v/>
      </c>
    </row>
    <row r="730" spans="1:33" x14ac:dyDescent="0.2">
      <c r="A730" s="114"/>
      <c r="B730" s="23"/>
      <c r="C730" s="23"/>
      <c r="D730" s="23"/>
      <c r="E730" s="23"/>
      <c r="G730" s="23"/>
      <c r="H730" s="23"/>
      <c r="Y730" s="8" t="str">
        <f>IF(A730="","",IFERROR(IF(VLOOKUP(A730,Entry!$D:$D,1,FALSE)=A730,"",ROW()),ROW()))</f>
        <v/>
      </c>
      <c r="AG730" s="8" t="str">
        <f>IF(A730="","",IFERROR(IF(VLOOKUP(A730,Entry!$D:$D,1,FALSE)=A730,TRUE,FALSE),FALSE))</f>
        <v/>
      </c>
    </row>
    <row r="731" spans="1:33" x14ac:dyDescent="0.2">
      <c r="A731" s="114"/>
      <c r="B731" s="23"/>
      <c r="C731" s="23"/>
      <c r="D731" s="23"/>
      <c r="E731" s="23"/>
      <c r="G731" s="23"/>
      <c r="H731" s="23"/>
      <c r="Y731" s="8" t="str">
        <f>IF(A731="","",IFERROR(IF(VLOOKUP(A731,Entry!$D:$D,1,FALSE)=A731,"",ROW()),ROW()))</f>
        <v/>
      </c>
      <c r="AG731" s="8" t="str">
        <f>IF(A731="","",IFERROR(IF(VLOOKUP(A731,Entry!$D:$D,1,FALSE)=A731,TRUE,FALSE),FALSE))</f>
        <v/>
      </c>
    </row>
    <row r="732" spans="1:33" x14ac:dyDescent="0.2">
      <c r="A732" s="114"/>
      <c r="B732" s="23"/>
      <c r="C732" s="23"/>
      <c r="D732" s="23"/>
      <c r="E732" s="23"/>
      <c r="G732" s="23"/>
      <c r="H732" s="23"/>
      <c r="Y732" s="8" t="str">
        <f>IF(A732="","",IFERROR(IF(VLOOKUP(A732,Entry!$D:$D,1,FALSE)=A732,"",ROW()),ROW()))</f>
        <v/>
      </c>
      <c r="AG732" s="8" t="str">
        <f>IF(A732="","",IFERROR(IF(VLOOKUP(A732,Entry!$D:$D,1,FALSE)=A732,TRUE,FALSE),FALSE))</f>
        <v/>
      </c>
    </row>
    <row r="733" spans="1:33" x14ac:dyDescent="0.2">
      <c r="A733" s="114"/>
      <c r="B733" s="23"/>
      <c r="C733" s="23"/>
      <c r="D733" s="23"/>
      <c r="E733" s="23"/>
      <c r="G733" s="23"/>
      <c r="H733" s="23"/>
      <c r="Y733" s="8" t="str">
        <f>IF(A733="","",IFERROR(IF(VLOOKUP(A733,Entry!$D:$D,1,FALSE)=A733,"",ROW()),ROW()))</f>
        <v/>
      </c>
      <c r="AG733" s="8" t="str">
        <f>IF(A733="","",IFERROR(IF(VLOOKUP(A733,Entry!$D:$D,1,FALSE)=A733,TRUE,FALSE),FALSE))</f>
        <v/>
      </c>
    </row>
    <row r="734" spans="1:33" x14ac:dyDescent="0.2">
      <c r="A734" s="114"/>
      <c r="B734" s="23"/>
      <c r="C734" s="23"/>
      <c r="D734" s="23"/>
      <c r="E734" s="23"/>
      <c r="G734" s="23"/>
      <c r="H734" s="23"/>
      <c r="Y734" s="8" t="str">
        <f>IF(A734="","",IFERROR(IF(VLOOKUP(A734,Entry!$D:$D,1,FALSE)=A734,"",ROW()),ROW()))</f>
        <v/>
      </c>
      <c r="AG734" s="8" t="str">
        <f>IF(A734="","",IFERROR(IF(VLOOKUP(A734,Entry!$D:$D,1,FALSE)=A734,TRUE,FALSE),FALSE))</f>
        <v/>
      </c>
    </row>
    <row r="735" spans="1:33" x14ac:dyDescent="0.2">
      <c r="A735" s="114"/>
      <c r="B735" s="23"/>
      <c r="C735" s="23"/>
      <c r="D735" s="23"/>
      <c r="E735" s="23"/>
      <c r="G735" s="23"/>
      <c r="H735" s="23"/>
      <c r="Y735" s="8" t="str">
        <f>IF(A735="","",IFERROR(IF(VLOOKUP(A735,Entry!$D:$D,1,FALSE)=A735,"",ROW()),ROW()))</f>
        <v/>
      </c>
      <c r="AG735" s="8" t="str">
        <f>IF(A735="","",IFERROR(IF(VLOOKUP(A735,Entry!$D:$D,1,FALSE)=A735,TRUE,FALSE),FALSE))</f>
        <v/>
      </c>
    </row>
    <row r="736" spans="1:33" x14ac:dyDescent="0.2">
      <c r="A736" s="114"/>
      <c r="B736" s="23"/>
      <c r="C736" s="23"/>
      <c r="D736" s="23"/>
      <c r="E736" s="23"/>
      <c r="G736" s="23"/>
      <c r="H736" s="23"/>
      <c r="Y736" s="8" t="str">
        <f>IF(A736="","",IFERROR(IF(VLOOKUP(A736,Entry!$D:$D,1,FALSE)=A736,"",ROW()),ROW()))</f>
        <v/>
      </c>
      <c r="AG736" s="8" t="str">
        <f>IF(A736="","",IFERROR(IF(VLOOKUP(A736,Entry!$D:$D,1,FALSE)=A736,TRUE,FALSE),FALSE))</f>
        <v/>
      </c>
    </row>
    <row r="737" spans="1:33" x14ac:dyDescent="0.2">
      <c r="A737" s="114"/>
      <c r="B737" s="23"/>
      <c r="C737" s="23"/>
      <c r="D737" s="23"/>
      <c r="E737" s="23"/>
      <c r="G737" s="23"/>
      <c r="H737" s="23"/>
      <c r="Y737" s="8" t="str">
        <f>IF(A737="","",IFERROR(IF(VLOOKUP(A737,Entry!$D:$D,1,FALSE)=A737,"",ROW()),ROW()))</f>
        <v/>
      </c>
      <c r="AG737" s="8" t="str">
        <f>IF(A737="","",IFERROR(IF(VLOOKUP(A737,Entry!$D:$D,1,FALSE)=A737,TRUE,FALSE),FALSE))</f>
        <v/>
      </c>
    </row>
    <row r="738" spans="1:33" x14ac:dyDescent="0.2">
      <c r="A738" s="114"/>
      <c r="B738" s="23"/>
      <c r="C738" s="23"/>
      <c r="D738" s="23"/>
      <c r="E738" s="23"/>
      <c r="G738" s="23"/>
      <c r="H738" s="23"/>
      <c r="Y738" s="8" t="str">
        <f>IF(A738="","",IFERROR(IF(VLOOKUP(A738,Entry!$D:$D,1,FALSE)=A738,"",ROW()),ROW()))</f>
        <v/>
      </c>
      <c r="AG738" s="8" t="str">
        <f>IF(A738="","",IFERROR(IF(VLOOKUP(A738,Entry!$D:$D,1,FALSE)=A738,TRUE,FALSE),FALSE))</f>
        <v/>
      </c>
    </row>
    <row r="739" spans="1:33" x14ac:dyDescent="0.2">
      <c r="A739" s="114"/>
      <c r="B739" s="23"/>
      <c r="C739" s="23"/>
      <c r="D739" s="23"/>
      <c r="E739" s="23"/>
      <c r="G739" s="23"/>
      <c r="H739" s="23"/>
      <c r="Y739" s="8" t="str">
        <f>IF(A739="","",IFERROR(IF(VLOOKUP(A739,Entry!$D:$D,1,FALSE)=A739,"",ROW()),ROW()))</f>
        <v/>
      </c>
      <c r="AG739" s="8" t="str">
        <f>IF(A739="","",IFERROR(IF(VLOOKUP(A739,Entry!$D:$D,1,FALSE)=A739,TRUE,FALSE),FALSE))</f>
        <v/>
      </c>
    </row>
    <row r="740" spans="1:33" x14ac:dyDescent="0.2">
      <c r="A740" s="114"/>
      <c r="B740" s="23"/>
      <c r="C740" s="23"/>
      <c r="D740" s="23"/>
      <c r="E740" s="23"/>
      <c r="G740" s="23"/>
      <c r="H740" s="23"/>
      <c r="Y740" s="8" t="str">
        <f>IF(A740="","",IFERROR(IF(VLOOKUP(A740,Entry!$D:$D,1,FALSE)=A740,"",ROW()),ROW()))</f>
        <v/>
      </c>
      <c r="AG740" s="8" t="str">
        <f>IF(A740="","",IFERROR(IF(VLOOKUP(A740,Entry!$D:$D,1,FALSE)=A740,TRUE,FALSE),FALSE))</f>
        <v/>
      </c>
    </row>
    <row r="741" spans="1:33" x14ac:dyDescent="0.2">
      <c r="A741" s="114"/>
      <c r="B741" s="23"/>
      <c r="C741" s="23"/>
      <c r="D741" s="23"/>
      <c r="E741" s="23"/>
      <c r="G741" s="23"/>
      <c r="H741" s="23"/>
      <c r="Y741" s="8" t="str">
        <f>IF(A741="","",IFERROR(IF(VLOOKUP(A741,Entry!$D:$D,1,FALSE)=A741,"",ROW()),ROW()))</f>
        <v/>
      </c>
      <c r="AG741" s="8" t="str">
        <f>IF(A741="","",IFERROR(IF(VLOOKUP(A741,Entry!$D:$D,1,FALSE)=A741,TRUE,FALSE),FALSE))</f>
        <v/>
      </c>
    </row>
    <row r="742" spans="1:33" x14ac:dyDescent="0.2">
      <c r="A742" s="114"/>
      <c r="B742" s="23"/>
      <c r="C742" s="23"/>
      <c r="D742" s="23"/>
      <c r="E742" s="23"/>
      <c r="G742" s="23"/>
      <c r="H742" s="23"/>
      <c r="Y742" s="8" t="str">
        <f>IF(A742="","",IFERROR(IF(VLOOKUP(A742,Entry!$D:$D,1,FALSE)=A742,"",ROW()),ROW()))</f>
        <v/>
      </c>
      <c r="AG742" s="8" t="str">
        <f>IF(A742="","",IFERROR(IF(VLOOKUP(A742,Entry!$D:$D,1,FALSE)=A742,TRUE,FALSE),FALSE))</f>
        <v/>
      </c>
    </row>
    <row r="743" spans="1:33" x14ac:dyDescent="0.2">
      <c r="A743" s="114"/>
      <c r="B743" s="23"/>
      <c r="C743" s="23"/>
      <c r="D743" s="23"/>
      <c r="E743" s="23"/>
      <c r="G743" s="23"/>
      <c r="H743" s="23"/>
      <c r="Y743" s="8" t="str">
        <f>IF(A743="","",IFERROR(IF(VLOOKUP(A743,Entry!$D:$D,1,FALSE)=A743,"",ROW()),ROW()))</f>
        <v/>
      </c>
      <c r="AG743" s="8" t="str">
        <f>IF(A743="","",IFERROR(IF(VLOOKUP(A743,Entry!$D:$D,1,FALSE)=A743,TRUE,FALSE),FALSE))</f>
        <v/>
      </c>
    </row>
    <row r="744" spans="1:33" x14ac:dyDescent="0.2">
      <c r="A744" s="114"/>
      <c r="B744" s="23"/>
      <c r="C744" s="23"/>
      <c r="D744" s="23"/>
      <c r="E744" s="23"/>
      <c r="G744" s="23"/>
      <c r="H744" s="23"/>
      <c r="Y744" s="8" t="str">
        <f>IF(A744="","",IFERROR(IF(VLOOKUP(A744,Entry!$D:$D,1,FALSE)=A744,"",ROW()),ROW()))</f>
        <v/>
      </c>
      <c r="AG744" s="8" t="str">
        <f>IF(A744="","",IFERROR(IF(VLOOKUP(A744,Entry!$D:$D,1,FALSE)=A744,TRUE,FALSE),FALSE))</f>
        <v/>
      </c>
    </row>
    <row r="745" spans="1:33" x14ac:dyDescent="0.2">
      <c r="A745" s="114"/>
      <c r="B745" s="23"/>
      <c r="C745" s="23"/>
      <c r="D745" s="23"/>
      <c r="E745" s="23"/>
      <c r="G745" s="23"/>
      <c r="H745" s="23"/>
      <c r="Y745" s="8" t="str">
        <f>IF(A745="","",IFERROR(IF(VLOOKUP(A745,Entry!$D:$D,1,FALSE)=A745,"",ROW()),ROW()))</f>
        <v/>
      </c>
      <c r="AG745" s="8" t="str">
        <f>IF(A745="","",IFERROR(IF(VLOOKUP(A745,Entry!$D:$D,1,FALSE)=A745,TRUE,FALSE),FALSE))</f>
        <v/>
      </c>
    </row>
    <row r="746" spans="1:33" x14ac:dyDescent="0.2">
      <c r="A746" s="114"/>
      <c r="B746" s="23"/>
      <c r="C746" s="23"/>
      <c r="D746" s="23"/>
      <c r="E746" s="23"/>
      <c r="G746" s="23"/>
      <c r="H746" s="23"/>
      <c r="Y746" s="8" t="str">
        <f>IF(A746="","",IFERROR(IF(VLOOKUP(A746,Entry!$D:$D,1,FALSE)=A746,"",ROW()),ROW()))</f>
        <v/>
      </c>
      <c r="AG746" s="8" t="str">
        <f>IF(A746="","",IFERROR(IF(VLOOKUP(A746,Entry!$D:$D,1,FALSE)=A746,TRUE,FALSE),FALSE))</f>
        <v/>
      </c>
    </row>
    <row r="747" spans="1:33" x14ac:dyDescent="0.2">
      <c r="A747" s="114"/>
      <c r="B747" s="23"/>
      <c r="C747" s="23"/>
      <c r="D747" s="23"/>
      <c r="E747" s="23"/>
      <c r="G747" s="23"/>
      <c r="H747" s="23"/>
      <c r="Y747" s="8" t="str">
        <f>IF(A747="","",IFERROR(IF(VLOOKUP(A747,Entry!$D:$D,1,FALSE)=A747,"",ROW()),ROW()))</f>
        <v/>
      </c>
      <c r="AG747" s="8" t="str">
        <f>IF(A747="","",IFERROR(IF(VLOOKUP(A747,Entry!$D:$D,1,FALSE)=A747,TRUE,FALSE),FALSE))</f>
        <v/>
      </c>
    </row>
    <row r="748" spans="1:33" x14ac:dyDescent="0.2">
      <c r="A748" s="114"/>
      <c r="B748" s="23"/>
      <c r="C748" s="23"/>
      <c r="D748" s="23"/>
      <c r="E748" s="23"/>
      <c r="G748" s="23"/>
      <c r="H748" s="23"/>
      <c r="Y748" s="8" t="str">
        <f>IF(A748="","",IFERROR(IF(VLOOKUP(A748,Entry!$D:$D,1,FALSE)=A748,"",ROW()),ROW()))</f>
        <v/>
      </c>
      <c r="AG748" s="8" t="str">
        <f>IF(A748="","",IFERROR(IF(VLOOKUP(A748,Entry!$D:$D,1,FALSE)=A748,TRUE,FALSE),FALSE))</f>
        <v/>
      </c>
    </row>
    <row r="749" spans="1:33" x14ac:dyDescent="0.2">
      <c r="A749" s="114"/>
      <c r="B749" s="23"/>
      <c r="C749" s="23"/>
      <c r="D749" s="23"/>
      <c r="E749" s="23"/>
      <c r="G749" s="23"/>
      <c r="H749" s="23"/>
      <c r="Y749" s="8" t="str">
        <f>IF(A749="","",IFERROR(IF(VLOOKUP(A749,Entry!$D:$D,1,FALSE)=A749,"",ROW()),ROW()))</f>
        <v/>
      </c>
      <c r="AG749" s="8" t="str">
        <f>IF(A749="","",IFERROR(IF(VLOOKUP(A749,Entry!$D:$D,1,FALSE)=A749,TRUE,FALSE),FALSE))</f>
        <v/>
      </c>
    </row>
    <row r="750" spans="1:33" x14ac:dyDescent="0.2">
      <c r="A750" s="114"/>
      <c r="B750" s="23"/>
      <c r="C750" s="23"/>
      <c r="D750" s="23"/>
      <c r="E750" s="23"/>
      <c r="G750" s="23"/>
      <c r="H750" s="23"/>
      <c r="Y750" s="8" t="str">
        <f>IF(A750="","",IFERROR(IF(VLOOKUP(A750,Entry!$D:$D,1,FALSE)=A750,"",ROW()),ROW()))</f>
        <v/>
      </c>
      <c r="AG750" s="8" t="str">
        <f>IF(A750="","",IFERROR(IF(VLOOKUP(A750,Entry!$D:$D,1,FALSE)=A750,TRUE,FALSE),FALSE))</f>
        <v/>
      </c>
    </row>
    <row r="751" spans="1:33" x14ac:dyDescent="0.2">
      <c r="A751" s="114"/>
      <c r="B751" s="23"/>
      <c r="C751" s="23"/>
      <c r="D751" s="23"/>
      <c r="E751" s="23"/>
      <c r="G751" s="23"/>
      <c r="H751" s="23"/>
      <c r="Y751" s="8" t="str">
        <f>IF(A751="","",IFERROR(IF(VLOOKUP(A751,Entry!$D:$D,1,FALSE)=A751,"",ROW()),ROW()))</f>
        <v/>
      </c>
      <c r="AG751" s="8" t="str">
        <f>IF(A751="","",IFERROR(IF(VLOOKUP(A751,Entry!$D:$D,1,FALSE)=A751,TRUE,FALSE),FALSE))</f>
        <v/>
      </c>
    </row>
    <row r="752" spans="1:33" x14ac:dyDescent="0.2">
      <c r="A752" s="114"/>
      <c r="B752" s="23"/>
      <c r="C752" s="23"/>
      <c r="D752" s="23"/>
      <c r="E752" s="23"/>
      <c r="G752" s="23"/>
      <c r="H752" s="23"/>
      <c r="Y752" s="8" t="str">
        <f>IF(A752="","",IFERROR(IF(VLOOKUP(A752,Entry!$D:$D,1,FALSE)=A752,"",ROW()),ROW()))</f>
        <v/>
      </c>
      <c r="AG752" s="8" t="str">
        <f>IF(A752="","",IFERROR(IF(VLOOKUP(A752,Entry!$D:$D,1,FALSE)=A752,TRUE,FALSE),FALSE))</f>
        <v/>
      </c>
    </row>
    <row r="753" spans="1:33" x14ac:dyDescent="0.2">
      <c r="A753" s="114"/>
      <c r="B753" s="23"/>
      <c r="C753" s="23"/>
      <c r="D753" s="23"/>
      <c r="E753" s="23"/>
      <c r="G753" s="23"/>
      <c r="H753" s="23"/>
      <c r="Y753" s="8" t="str">
        <f>IF(A753="","",IFERROR(IF(VLOOKUP(A753,Entry!$D:$D,1,FALSE)=A753,"",ROW()),ROW()))</f>
        <v/>
      </c>
      <c r="AG753" s="8" t="str">
        <f>IF(A753="","",IFERROR(IF(VLOOKUP(A753,Entry!$D:$D,1,FALSE)=A753,TRUE,FALSE),FALSE))</f>
        <v/>
      </c>
    </row>
    <row r="754" spans="1:33" x14ac:dyDescent="0.2">
      <c r="A754" s="114"/>
      <c r="B754" s="23"/>
      <c r="C754" s="23"/>
      <c r="D754" s="23"/>
      <c r="E754" s="23"/>
      <c r="G754" s="23"/>
      <c r="H754" s="23"/>
      <c r="Y754" s="8" t="str">
        <f>IF(A754="","",IFERROR(IF(VLOOKUP(A754,Entry!$D:$D,1,FALSE)=A754,"",ROW()),ROW()))</f>
        <v/>
      </c>
      <c r="AG754" s="8" t="str">
        <f>IF(A754="","",IFERROR(IF(VLOOKUP(A754,Entry!$D:$D,1,FALSE)=A754,TRUE,FALSE),FALSE))</f>
        <v/>
      </c>
    </row>
    <row r="755" spans="1:33" x14ac:dyDescent="0.2">
      <c r="A755" s="114"/>
      <c r="B755" s="23"/>
      <c r="C755" s="23"/>
      <c r="D755" s="23"/>
      <c r="E755" s="23"/>
      <c r="G755" s="23"/>
      <c r="H755" s="23"/>
      <c r="Y755" s="8" t="str">
        <f>IF(A755="","",IFERROR(IF(VLOOKUP(A755,Entry!$D:$D,1,FALSE)=A755,"",ROW()),ROW()))</f>
        <v/>
      </c>
      <c r="AG755" s="8" t="str">
        <f>IF(A755="","",IFERROR(IF(VLOOKUP(A755,Entry!$D:$D,1,FALSE)=A755,TRUE,FALSE),FALSE))</f>
        <v/>
      </c>
    </row>
    <row r="756" spans="1:33" x14ac:dyDescent="0.2">
      <c r="A756" s="114"/>
      <c r="B756" s="23"/>
      <c r="C756" s="23"/>
      <c r="D756" s="23"/>
      <c r="E756" s="23"/>
      <c r="G756" s="23"/>
      <c r="H756" s="23"/>
      <c r="Y756" s="8" t="str">
        <f>IF(A756="","",IFERROR(IF(VLOOKUP(A756,Entry!$D:$D,1,FALSE)=A756,"",ROW()),ROW()))</f>
        <v/>
      </c>
      <c r="AG756" s="8" t="str">
        <f>IF(A756="","",IFERROR(IF(VLOOKUP(A756,Entry!$D:$D,1,FALSE)=A756,TRUE,FALSE),FALSE))</f>
        <v/>
      </c>
    </row>
    <row r="757" spans="1:33" x14ac:dyDescent="0.2">
      <c r="A757" s="114"/>
      <c r="B757" s="23"/>
      <c r="C757" s="23"/>
      <c r="D757" s="23"/>
      <c r="E757" s="23"/>
      <c r="G757" s="23"/>
      <c r="H757" s="23"/>
      <c r="Y757" s="8" t="str">
        <f>IF(A757="","",IFERROR(IF(VLOOKUP(A757,Entry!$D:$D,1,FALSE)=A757,"",ROW()),ROW()))</f>
        <v/>
      </c>
      <c r="AG757" s="8" t="str">
        <f>IF(A757="","",IFERROR(IF(VLOOKUP(A757,Entry!$D:$D,1,FALSE)=A757,TRUE,FALSE),FALSE))</f>
        <v/>
      </c>
    </row>
    <row r="758" spans="1:33" x14ac:dyDescent="0.2">
      <c r="A758" s="114"/>
      <c r="B758" s="23"/>
      <c r="C758" s="23"/>
      <c r="D758" s="23"/>
      <c r="E758" s="23"/>
      <c r="G758" s="23"/>
      <c r="H758" s="23"/>
      <c r="Y758" s="8" t="str">
        <f>IF(A758="","",IFERROR(IF(VLOOKUP(A758,Entry!$D:$D,1,FALSE)=A758,"",ROW()),ROW()))</f>
        <v/>
      </c>
      <c r="AG758" s="8" t="str">
        <f>IF(A758="","",IFERROR(IF(VLOOKUP(A758,Entry!$D:$D,1,FALSE)=A758,TRUE,FALSE),FALSE))</f>
        <v/>
      </c>
    </row>
    <row r="759" spans="1:33" x14ac:dyDescent="0.2">
      <c r="A759" s="114"/>
      <c r="B759" s="23"/>
      <c r="C759" s="23"/>
      <c r="D759" s="23"/>
      <c r="E759" s="23"/>
      <c r="G759" s="23"/>
      <c r="H759" s="23"/>
      <c r="Y759" s="8" t="str">
        <f>IF(A759="","",IFERROR(IF(VLOOKUP(A759,Entry!$D:$D,1,FALSE)=A759,"",ROW()),ROW()))</f>
        <v/>
      </c>
      <c r="AG759" s="8" t="str">
        <f>IF(A759="","",IFERROR(IF(VLOOKUP(A759,Entry!$D:$D,1,FALSE)=A759,TRUE,FALSE),FALSE))</f>
        <v/>
      </c>
    </row>
    <row r="760" spans="1:33" x14ac:dyDescent="0.2">
      <c r="A760" s="114"/>
      <c r="B760" s="23"/>
      <c r="C760" s="23"/>
      <c r="D760" s="23"/>
      <c r="E760" s="23"/>
      <c r="G760" s="23"/>
      <c r="H760" s="23"/>
      <c r="Y760" s="8" t="str">
        <f>IF(A760="","",IFERROR(IF(VLOOKUP(A760,Entry!$D:$D,1,FALSE)=A760,"",ROW()),ROW()))</f>
        <v/>
      </c>
      <c r="AG760" s="8" t="str">
        <f>IF(A760="","",IFERROR(IF(VLOOKUP(A760,Entry!$D:$D,1,FALSE)=A760,TRUE,FALSE),FALSE))</f>
        <v/>
      </c>
    </row>
    <row r="761" spans="1:33" x14ac:dyDescent="0.2">
      <c r="A761" s="114"/>
      <c r="B761" s="23"/>
      <c r="C761" s="23"/>
      <c r="D761" s="23"/>
      <c r="E761" s="23"/>
      <c r="G761" s="23"/>
      <c r="H761" s="23"/>
      <c r="Y761" s="8" t="str">
        <f>IF(A761="","",IFERROR(IF(VLOOKUP(A761,Entry!$D:$D,1,FALSE)=A761,"",ROW()),ROW()))</f>
        <v/>
      </c>
      <c r="AG761" s="8" t="str">
        <f>IF(A761="","",IFERROR(IF(VLOOKUP(A761,Entry!$D:$D,1,FALSE)=A761,TRUE,FALSE),FALSE))</f>
        <v/>
      </c>
    </row>
    <row r="762" spans="1:33" x14ac:dyDescent="0.2">
      <c r="A762" s="114"/>
      <c r="B762" s="23"/>
      <c r="C762" s="23"/>
      <c r="D762" s="23"/>
      <c r="E762" s="23"/>
      <c r="G762" s="23"/>
      <c r="H762" s="23"/>
      <c r="Y762" s="8" t="str">
        <f>IF(A762="","",IFERROR(IF(VLOOKUP(A762,Entry!$D:$D,1,FALSE)=A762,"",ROW()),ROW()))</f>
        <v/>
      </c>
      <c r="AG762" s="8" t="str">
        <f>IF(A762="","",IFERROR(IF(VLOOKUP(A762,Entry!$D:$D,1,FALSE)=A762,TRUE,FALSE),FALSE))</f>
        <v/>
      </c>
    </row>
    <row r="763" spans="1:33" x14ac:dyDescent="0.2">
      <c r="A763" s="114"/>
      <c r="B763" s="23"/>
      <c r="C763" s="23"/>
      <c r="D763" s="23"/>
      <c r="E763" s="23"/>
      <c r="G763" s="23"/>
      <c r="H763" s="23"/>
      <c r="Y763" s="8" t="str">
        <f>IF(A763="","",IFERROR(IF(VLOOKUP(A763,Entry!$D:$D,1,FALSE)=A763,"",ROW()),ROW()))</f>
        <v/>
      </c>
      <c r="AG763" s="8" t="str">
        <f>IF(A763="","",IFERROR(IF(VLOOKUP(A763,Entry!$D:$D,1,FALSE)=A763,TRUE,FALSE),FALSE))</f>
        <v/>
      </c>
    </row>
    <row r="764" spans="1:33" x14ac:dyDescent="0.2">
      <c r="A764" s="114"/>
      <c r="B764" s="23"/>
      <c r="C764" s="23"/>
      <c r="D764" s="23"/>
      <c r="E764" s="23"/>
      <c r="G764" s="23"/>
      <c r="H764" s="23"/>
      <c r="Y764" s="8" t="str">
        <f>IF(A764="","",IFERROR(IF(VLOOKUP(A764,Entry!$D:$D,1,FALSE)=A764,"",ROW()),ROW()))</f>
        <v/>
      </c>
      <c r="AG764" s="8" t="str">
        <f>IF(A764="","",IFERROR(IF(VLOOKUP(A764,Entry!$D:$D,1,FALSE)=A764,TRUE,FALSE),FALSE))</f>
        <v/>
      </c>
    </row>
    <row r="765" spans="1:33" x14ac:dyDescent="0.2">
      <c r="A765" s="114"/>
      <c r="B765" s="23"/>
      <c r="C765" s="23"/>
      <c r="D765" s="23"/>
      <c r="E765" s="23"/>
      <c r="G765" s="23"/>
      <c r="H765" s="23"/>
      <c r="Y765" s="8" t="str">
        <f>IF(A765="","",IFERROR(IF(VLOOKUP(A765,Entry!$D:$D,1,FALSE)=A765,"",ROW()),ROW()))</f>
        <v/>
      </c>
      <c r="AG765" s="8" t="str">
        <f>IF(A765="","",IFERROR(IF(VLOOKUP(A765,Entry!$D:$D,1,FALSE)=A765,TRUE,FALSE),FALSE))</f>
        <v/>
      </c>
    </row>
    <row r="766" spans="1:33" x14ac:dyDescent="0.2">
      <c r="A766" s="114"/>
      <c r="B766" s="23"/>
      <c r="C766" s="23"/>
      <c r="D766" s="23"/>
      <c r="E766" s="23"/>
      <c r="G766" s="23"/>
      <c r="H766" s="23"/>
      <c r="Y766" s="8" t="str">
        <f>IF(A766="","",IFERROR(IF(VLOOKUP(A766,Entry!$D:$D,1,FALSE)=A766,"",ROW()),ROW()))</f>
        <v/>
      </c>
      <c r="AG766" s="8" t="str">
        <f>IF(A766="","",IFERROR(IF(VLOOKUP(A766,Entry!$D:$D,1,FALSE)=A766,TRUE,FALSE),FALSE))</f>
        <v/>
      </c>
    </row>
    <row r="767" spans="1:33" x14ac:dyDescent="0.2">
      <c r="A767" s="114"/>
      <c r="B767" s="23"/>
      <c r="C767" s="23"/>
      <c r="D767" s="23"/>
      <c r="E767" s="23"/>
      <c r="G767" s="23"/>
      <c r="H767" s="23"/>
      <c r="Y767" s="8" t="str">
        <f>IF(A767="","",IFERROR(IF(VLOOKUP(A767,Entry!$D:$D,1,FALSE)=A767,"",ROW()),ROW()))</f>
        <v/>
      </c>
      <c r="AG767" s="8" t="str">
        <f>IF(A767="","",IFERROR(IF(VLOOKUP(A767,Entry!$D:$D,1,FALSE)=A767,TRUE,FALSE),FALSE))</f>
        <v/>
      </c>
    </row>
    <row r="768" spans="1:33" x14ac:dyDescent="0.2">
      <c r="A768" s="114"/>
      <c r="B768" s="23"/>
      <c r="C768" s="23"/>
      <c r="D768" s="23"/>
      <c r="E768" s="23"/>
      <c r="G768" s="23"/>
      <c r="H768" s="23"/>
      <c r="Y768" s="8" t="str">
        <f>IF(A768="","",IFERROR(IF(VLOOKUP(A768,Entry!$D:$D,1,FALSE)=A768,"",ROW()),ROW()))</f>
        <v/>
      </c>
      <c r="AG768" s="8" t="str">
        <f>IF(A768="","",IFERROR(IF(VLOOKUP(A768,Entry!$D:$D,1,FALSE)=A768,TRUE,FALSE),FALSE))</f>
        <v/>
      </c>
    </row>
    <row r="769" spans="1:33" x14ac:dyDescent="0.2">
      <c r="A769" s="114"/>
      <c r="B769" s="23"/>
      <c r="C769" s="23"/>
      <c r="D769" s="23"/>
      <c r="E769" s="23"/>
      <c r="G769" s="23"/>
      <c r="H769" s="23"/>
      <c r="Y769" s="8" t="str">
        <f>IF(A769="","",IFERROR(IF(VLOOKUP(A769,Entry!$D:$D,1,FALSE)=A769,"",ROW()),ROW()))</f>
        <v/>
      </c>
      <c r="AG769" s="8" t="str">
        <f>IF(A769="","",IFERROR(IF(VLOOKUP(A769,Entry!$D:$D,1,FALSE)=A769,TRUE,FALSE),FALSE))</f>
        <v/>
      </c>
    </row>
    <row r="770" spans="1:33" x14ac:dyDescent="0.2">
      <c r="A770" s="114"/>
      <c r="B770" s="23"/>
      <c r="C770" s="23"/>
      <c r="D770" s="23"/>
      <c r="E770" s="23"/>
      <c r="G770" s="23"/>
      <c r="H770" s="23"/>
      <c r="Y770" s="8" t="str">
        <f>IF(A770="","",IFERROR(IF(VLOOKUP(A770,Entry!$D:$D,1,FALSE)=A770,"",ROW()),ROW()))</f>
        <v/>
      </c>
      <c r="AG770" s="8" t="str">
        <f>IF(A770="","",IFERROR(IF(VLOOKUP(A770,Entry!$D:$D,1,FALSE)=A770,TRUE,FALSE),FALSE))</f>
        <v/>
      </c>
    </row>
    <row r="771" spans="1:33" x14ac:dyDescent="0.2">
      <c r="A771" s="114"/>
      <c r="B771" s="23"/>
      <c r="C771" s="23"/>
      <c r="D771" s="23"/>
      <c r="E771" s="23"/>
      <c r="G771" s="23"/>
      <c r="H771" s="23"/>
      <c r="Y771" s="8" t="str">
        <f>IF(A771="","",IFERROR(IF(VLOOKUP(A771,Entry!$D:$D,1,FALSE)=A771,"",ROW()),ROW()))</f>
        <v/>
      </c>
      <c r="AG771" s="8" t="str">
        <f>IF(A771="","",IFERROR(IF(VLOOKUP(A771,Entry!$D:$D,1,FALSE)=A771,TRUE,FALSE),FALSE))</f>
        <v/>
      </c>
    </row>
    <row r="772" spans="1:33" x14ac:dyDescent="0.2">
      <c r="A772" s="114"/>
      <c r="B772" s="23"/>
      <c r="C772" s="23"/>
      <c r="D772" s="23"/>
      <c r="E772" s="23"/>
      <c r="G772" s="23"/>
      <c r="H772" s="23"/>
      <c r="Y772" s="8" t="str">
        <f>IF(A772="","",IFERROR(IF(VLOOKUP(A772,Entry!$D:$D,1,FALSE)=A772,"",ROW()),ROW()))</f>
        <v/>
      </c>
      <c r="AG772" s="8" t="str">
        <f>IF(A772="","",IFERROR(IF(VLOOKUP(A772,Entry!$D:$D,1,FALSE)=A772,TRUE,FALSE),FALSE))</f>
        <v/>
      </c>
    </row>
    <row r="773" spans="1:33" x14ac:dyDescent="0.2">
      <c r="A773" s="114"/>
      <c r="B773" s="23"/>
      <c r="C773" s="23"/>
      <c r="D773" s="23"/>
      <c r="E773" s="23"/>
      <c r="G773" s="23"/>
      <c r="H773" s="23"/>
      <c r="Y773" s="8" t="str">
        <f>IF(A773="","",IFERROR(IF(VLOOKUP(A773,Entry!$D:$D,1,FALSE)=A773,"",ROW()),ROW()))</f>
        <v/>
      </c>
      <c r="AG773" s="8" t="str">
        <f>IF(A773="","",IFERROR(IF(VLOOKUP(A773,Entry!$D:$D,1,FALSE)=A773,TRUE,FALSE),FALSE))</f>
        <v/>
      </c>
    </row>
    <row r="774" spans="1:33" x14ac:dyDescent="0.2">
      <c r="A774" s="114"/>
      <c r="B774" s="23"/>
      <c r="C774" s="23"/>
      <c r="D774" s="23"/>
      <c r="E774" s="23"/>
      <c r="G774" s="23"/>
      <c r="H774" s="23"/>
      <c r="Y774" s="8" t="str">
        <f>IF(A774="","",IFERROR(IF(VLOOKUP(A774,Entry!$D:$D,1,FALSE)=A774,"",ROW()),ROW()))</f>
        <v/>
      </c>
      <c r="AG774" s="8" t="str">
        <f>IF(A774="","",IFERROR(IF(VLOOKUP(A774,Entry!$D:$D,1,FALSE)=A774,TRUE,FALSE),FALSE))</f>
        <v/>
      </c>
    </row>
    <row r="775" spans="1:33" x14ac:dyDescent="0.2">
      <c r="A775" s="114"/>
      <c r="B775" s="23"/>
      <c r="C775" s="23"/>
      <c r="D775" s="23"/>
      <c r="E775" s="23"/>
      <c r="G775" s="23"/>
      <c r="H775" s="23"/>
      <c r="Y775" s="8" t="str">
        <f>IF(A775="","",IFERROR(IF(VLOOKUP(A775,Entry!$D:$D,1,FALSE)=A775,"",ROW()),ROW()))</f>
        <v/>
      </c>
      <c r="AG775" s="8" t="str">
        <f>IF(A775="","",IFERROR(IF(VLOOKUP(A775,Entry!$D:$D,1,FALSE)=A775,TRUE,FALSE),FALSE))</f>
        <v/>
      </c>
    </row>
    <row r="776" spans="1:33" x14ac:dyDescent="0.2">
      <c r="A776" s="114"/>
      <c r="B776" s="23"/>
      <c r="C776" s="23"/>
      <c r="D776" s="23"/>
      <c r="E776" s="23"/>
      <c r="G776" s="23"/>
      <c r="H776" s="23"/>
      <c r="Y776" s="8" t="str">
        <f>IF(A776="","",IFERROR(IF(VLOOKUP(A776,Entry!$D:$D,1,FALSE)=A776,"",ROW()),ROW()))</f>
        <v/>
      </c>
      <c r="AG776" s="8" t="str">
        <f>IF(A776="","",IFERROR(IF(VLOOKUP(A776,Entry!$D:$D,1,FALSE)=A776,TRUE,FALSE),FALSE))</f>
        <v/>
      </c>
    </row>
    <row r="777" spans="1:33" x14ac:dyDescent="0.2">
      <c r="A777" s="114"/>
      <c r="B777" s="23"/>
      <c r="C777" s="23"/>
      <c r="D777" s="23"/>
      <c r="E777" s="23"/>
      <c r="G777" s="23"/>
      <c r="H777" s="23"/>
      <c r="Y777" s="8" t="str">
        <f>IF(A777="","",IFERROR(IF(VLOOKUP(A777,Entry!$D:$D,1,FALSE)=A777,"",ROW()),ROW()))</f>
        <v/>
      </c>
      <c r="AG777" s="8" t="str">
        <f>IF(A777="","",IFERROR(IF(VLOOKUP(A777,Entry!$D:$D,1,FALSE)=A777,TRUE,FALSE),FALSE))</f>
        <v/>
      </c>
    </row>
    <row r="778" spans="1:33" x14ac:dyDescent="0.2">
      <c r="A778" s="114"/>
      <c r="B778" s="23"/>
      <c r="C778" s="23"/>
      <c r="D778" s="23"/>
      <c r="E778" s="23"/>
      <c r="G778" s="23"/>
      <c r="H778" s="23"/>
      <c r="Y778" s="8" t="str">
        <f>IF(A778="","",IFERROR(IF(VLOOKUP(A778,Entry!$D:$D,1,FALSE)=A778,"",ROW()),ROW()))</f>
        <v/>
      </c>
      <c r="AG778" s="8" t="str">
        <f>IF(A778="","",IFERROR(IF(VLOOKUP(A778,Entry!$D:$D,1,FALSE)=A778,TRUE,FALSE),FALSE))</f>
        <v/>
      </c>
    </row>
    <row r="779" spans="1:33" x14ac:dyDescent="0.2">
      <c r="A779" s="114"/>
      <c r="B779" s="23"/>
      <c r="C779" s="23"/>
      <c r="D779" s="23"/>
      <c r="E779" s="23"/>
      <c r="G779" s="23"/>
      <c r="H779" s="23"/>
      <c r="Y779" s="8" t="str">
        <f>IF(A779="","",IFERROR(IF(VLOOKUP(A779,Entry!$D:$D,1,FALSE)=A779,"",ROW()),ROW()))</f>
        <v/>
      </c>
      <c r="AG779" s="8" t="str">
        <f>IF(A779="","",IFERROR(IF(VLOOKUP(A779,Entry!$D:$D,1,FALSE)=A779,TRUE,FALSE),FALSE))</f>
        <v/>
      </c>
    </row>
    <row r="780" spans="1:33" x14ac:dyDescent="0.2">
      <c r="A780" s="114"/>
      <c r="B780" s="23"/>
      <c r="C780" s="23"/>
      <c r="D780" s="23"/>
      <c r="E780" s="23"/>
      <c r="G780" s="23"/>
      <c r="H780" s="23"/>
      <c r="Y780" s="8" t="str">
        <f>IF(A780="","",IFERROR(IF(VLOOKUP(A780,Entry!$D:$D,1,FALSE)=A780,"",ROW()),ROW()))</f>
        <v/>
      </c>
      <c r="AG780" s="8" t="str">
        <f>IF(A780="","",IFERROR(IF(VLOOKUP(A780,Entry!$D:$D,1,FALSE)=A780,TRUE,FALSE),FALSE))</f>
        <v/>
      </c>
    </row>
    <row r="781" spans="1:33" x14ac:dyDescent="0.2">
      <c r="A781" s="114"/>
      <c r="B781" s="23"/>
      <c r="C781" s="23"/>
      <c r="D781" s="23"/>
      <c r="E781" s="23"/>
      <c r="G781" s="23"/>
      <c r="H781" s="23"/>
      <c r="Y781" s="8" t="str">
        <f>IF(A781="","",IFERROR(IF(VLOOKUP(A781,Entry!$D:$D,1,FALSE)=A781,"",ROW()),ROW()))</f>
        <v/>
      </c>
      <c r="AG781" s="8" t="str">
        <f>IF(A781="","",IFERROR(IF(VLOOKUP(A781,Entry!$D:$D,1,FALSE)=A781,TRUE,FALSE),FALSE))</f>
        <v/>
      </c>
    </row>
    <row r="782" spans="1:33" x14ac:dyDescent="0.2">
      <c r="A782" s="114"/>
      <c r="B782" s="23"/>
      <c r="C782" s="23"/>
      <c r="D782" s="23"/>
      <c r="E782" s="23"/>
      <c r="G782" s="23"/>
      <c r="H782" s="23"/>
      <c r="Y782" s="8" t="str">
        <f>IF(A782="","",IFERROR(IF(VLOOKUP(A782,Entry!$D:$D,1,FALSE)=A782,"",ROW()),ROW()))</f>
        <v/>
      </c>
      <c r="AG782" s="8" t="str">
        <f>IF(A782="","",IFERROR(IF(VLOOKUP(A782,Entry!$D:$D,1,FALSE)=A782,TRUE,FALSE),FALSE))</f>
        <v/>
      </c>
    </row>
    <row r="783" spans="1:33" x14ac:dyDescent="0.2">
      <c r="A783" s="114"/>
      <c r="B783" s="23"/>
      <c r="C783" s="23"/>
      <c r="D783" s="23"/>
      <c r="E783" s="23"/>
      <c r="G783" s="23"/>
      <c r="H783" s="23"/>
      <c r="Y783" s="8" t="str">
        <f>IF(A783="","",IFERROR(IF(VLOOKUP(A783,Entry!$D:$D,1,FALSE)=A783,"",ROW()),ROW()))</f>
        <v/>
      </c>
      <c r="AG783" s="8" t="str">
        <f>IF(A783="","",IFERROR(IF(VLOOKUP(A783,Entry!$D:$D,1,FALSE)=A783,TRUE,FALSE),FALSE))</f>
        <v/>
      </c>
    </row>
    <row r="784" spans="1:33" x14ac:dyDescent="0.2">
      <c r="A784" s="114"/>
      <c r="B784" s="23"/>
      <c r="C784" s="23"/>
      <c r="D784" s="23"/>
      <c r="E784" s="23"/>
      <c r="G784" s="23"/>
      <c r="H784" s="23"/>
      <c r="Y784" s="8" t="str">
        <f>IF(A784="","",IFERROR(IF(VLOOKUP(A784,Entry!$D:$D,1,FALSE)=A784,"",ROW()),ROW()))</f>
        <v/>
      </c>
      <c r="AG784" s="8" t="str">
        <f>IF(A784="","",IFERROR(IF(VLOOKUP(A784,Entry!$D:$D,1,FALSE)=A784,TRUE,FALSE),FALSE))</f>
        <v/>
      </c>
    </row>
    <row r="785" spans="1:33" x14ac:dyDescent="0.2">
      <c r="A785" s="114"/>
      <c r="B785" s="23"/>
      <c r="C785" s="23"/>
      <c r="D785" s="23"/>
      <c r="E785" s="23"/>
      <c r="G785" s="23"/>
      <c r="H785" s="23"/>
      <c r="Y785" s="8" t="str">
        <f>IF(A785="","",IFERROR(IF(VLOOKUP(A785,Entry!$D:$D,1,FALSE)=A785,"",ROW()),ROW()))</f>
        <v/>
      </c>
      <c r="AG785" s="8" t="str">
        <f>IF(A785="","",IFERROR(IF(VLOOKUP(A785,Entry!$D:$D,1,FALSE)=A785,TRUE,FALSE),FALSE))</f>
        <v/>
      </c>
    </row>
    <row r="786" spans="1:33" x14ac:dyDescent="0.2">
      <c r="A786" s="114"/>
      <c r="B786" s="23"/>
      <c r="C786" s="23"/>
      <c r="D786" s="23"/>
      <c r="E786" s="23"/>
      <c r="G786" s="23"/>
      <c r="H786" s="23"/>
      <c r="Y786" s="8" t="str">
        <f>IF(A786="","",IFERROR(IF(VLOOKUP(A786,Entry!$D:$D,1,FALSE)=A786,"",ROW()),ROW()))</f>
        <v/>
      </c>
      <c r="AG786" s="8" t="str">
        <f>IF(A786="","",IFERROR(IF(VLOOKUP(A786,Entry!$D:$D,1,FALSE)=A786,TRUE,FALSE),FALSE))</f>
        <v/>
      </c>
    </row>
    <row r="787" spans="1:33" x14ac:dyDescent="0.2">
      <c r="A787" s="114"/>
      <c r="B787" s="23"/>
      <c r="C787" s="23"/>
      <c r="D787" s="23"/>
      <c r="E787" s="23"/>
      <c r="G787" s="23"/>
      <c r="H787" s="23"/>
      <c r="Y787" s="8" t="str">
        <f>IF(A787="","",IFERROR(IF(VLOOKUP(A787,Entry!$D:$D,1,FALSE)=A787,"",ROW()),ROW()))</f>
        <v/>
      </c>
      <c r="AG787" s="8" t="str">
        <f>IF(A787="","",IFERROR(IF(VLOOKUP(A787,Entry!$D:$D,1,FALSE)=A787,TRUE,FALSE),FALSE))</f>
        <v/>
      </c>
    </row>
    <row r="788" spans="1:33" x14ac:dyDescent="0.2">
      <c r="A788" s="114"/>
      <c r="B788" s="23"/>
      <c r="C788" s="23"/>
      <c r="D788" s="23"/>
      <c r="E788" s="23"/>
      <c r="G788" s="23"/>
      <c r="H788" s="23"/>
      <c r="Y788" s="8" t="str">
        <f>IF(A788="","",IFERROR(IF(VLOOKUP(A788,Entry!$D:$D,1,FALSE)=A788,"",ROW()),ROW()))</f>
        <v/>
      </c>
      <c r="AG788" s="8" t="str">
        <f>IF(A788="","",IFERROR(IF(VLOOKUP(A788,Entry!$D:$D,1,FALSE)=A788,TRUE,FALSE),FALSE))</f>
        <v/>
      </c>
    </row>
    <row r="789" spans="1:33" x14ac:dyDescent="0.2">
      <c r="A789" s="114"/>
      <c r="B789" s="23"/>
      <c r="C789" s="23"/>
      <c r="D789" s="23"/>
      <c r="E789" s="23"/>
      <c r="G789" s="23"/>
      <c r="H789" s="23"/>
      <c r="Y789" s="8" t="str">
        <f>IF(A789="","",IFERROR(IF(VLOOKUP(A789,Entry!$D:$D,1,FALSE)=A789,"",ROW()),ROW()))</f>
        <v/>
      </c>
      <c r="AG789" s="8" t="str">
        <f>IF(A789="","",IFERROR(IF(VLOOKUP(A789,Entry!$D:$D,1,FALSE)=A789,TRUE,FALSE),FALSE))</f>
        <v/>
      </c>
    </row>
    <row r="790" spans="1:33" x14ac:dyDescent="0.2">
      <c r="A790" s="114"/>
      <c r="B790" s="23"/>
      <c r="C790" s="23"/>
      <c r="D790" s="23"/>
      <c r="E790" s="23"/>
      <c r="G790" s="23"/>
      <c r="H790" s="23"/>
      <c r="Y790" s="8" t="str">
        <f>IF(A790="","",IFERROR(IF(VLOOKUP(A790,Entry!$D:$D,1,FALSE)=A790,"",ROW()),ROW()))</f>
        <v/>
      </c>
      <c r="AG790" s="8" t="str">
        <f>IF(A790="","",IFERROR(IF(VLOOKUP(A790,Entry!$D:$D,1,FALSE)=A790,TRUE,FALSE),FALSE))</f>
        <v/>
      </c>
    </row>
    <row r="791" spans="1:33" x14ac:dyDescent="0.2">
      <c r="A791" s="114"/>
      <c r="B791" s="23"/>
      <c r="C791" s="23"/>
      <c r="D791" s="23"/>
      <c r="E791" s="23"/>
      <c r="G791" s="23"/>
      <c r="H791" s="23"/>
      <c r="Y791" s="8" t="str">
        <f>IF(A791="","",IFERROR(IF(VLOOKUP(A791,Entry!$D:$D,1,FALSE)=A791,"",ROW()),ROW()))</f>
        <v/>
      </c>
      <c r="AG791" s="8" t="str">
        <f>IF(A791="","",IFERROR(IF(VLOOKUP(A791,Entry!$D:$D,1,FALSE)=A791,TRUE,FALSE),FALSE))</f>
        <v/>
      </c>
    </row>
    <row r="792" spans="1:33" x14ac:dyDescent="0.2">
      <c r="A792" s="114"/>
      <c r="B792" s="23"/>
      <c r="C792" s="23"/>
      <c r="D792" s="23"/>
      <c r="E792" s="23"/>
      <c r="G792" s="23"/>
      <c r="H792" s="23"/>
      <c r="Y792" s="8" t="str">
        <f>IF(A792="","",IFERROR(IF(VLOOKUP(A792,Entry!$D:$D,1,FALSE)=A792,"",ROW()),ROW()))</f>
        <v/>
      </c>
      <c r="AG792" s="8" t="str">
        <f>IF(A792="","",IFERROR(IF(VLOOKUP(A792,Entry!$D:$D,1,FALSE)=A792,TRUE,FALSE),FALSE))</f>
        <v/>
      </c>
    </row>
    <row r="793" spans="1:33" x14ac:dyDescent="0.2">
      <c r="A793" s="114"/>
      <c r="B793" s="23"/>
      <c r="C793" s="23"/>
      <c r="D793" s="23"/>
      <c r="E793" s="23"/>
      <c r="G793" s="23"/>
      <c r="H793" s="23"/>
      <c r="Y793" s="8" t="str">
        <f>IF(A793="","",IFERROR(IF(VLOOKUP(A793,Entry!$D:$D,1,FALSE)=A793,"",ROW()),ROW()))</f>
        <v/>
      </c>
      <c r="AG793" s="8" t="str">
        <f>IF(A793="","",IFERROR(IF(VLOOKUP(A793,Entry!$D:$D,1,FALSE)=A793,TRUE,FALSE),FALSE))</f>
        <v/>
      </c>
    </row>
    <row r="794" spans="1:33" x14ac:dyDescent="0.2">
      <c r="A794" s="114"/>
      <c r="B794" s="23"/>
      <c r="C794" s="23"/>
      <c r="D794" s="23"/>
      <c r="E794" s="23"/>
      <c r="G794" s="23"/>
      <c r="H794" s="23"/>
      <c r="Y794" s="8" t="str">
        <f>IF(A794="","",IFERROR(IF(VLOOKUP(A794,Entry!$D:$D,1,FALSE)=A794,"",ROW()),ROW()))</f>
        <v/>
      </c>
      <c r="AG794" s="8" t="str">
        <f>IF(A794="","",IFERROR(IF(VLOOKUP(A794,Entry!$D:$D,1,FALSE)=A794,TRUE,FALSE),FALSE))</f>
        <v/>
      </c>
    </row>
    <row r="795" spans="1:33" x14ac:dyDescent="0.2">
      <c r="A795" s="114"/>
      <c r="B795" s="23"/>
      <c r="C795" s="23"/>
      <c r="D795" s="23"/>
      <c r="E795" s="23"/>
      <c r="G795" s="23"/>
      <c r="H795" s="23"/>
      <c r="Y795" s="8" t="str">
        <f>IF(A795="","",IFERROR(IF(VLOOKUP(A795,Entry!$D:$D,1,FALSE)=A795,"",ROW()),ROW()))</f>
        <v/>
      </c>
      <c r="AG795" s="8" t="str">
        <f>IF(A795="","",IFERROR(IF(VLOOKUP(A795,Entry!$D:$D,1,FALSE)=A795,TRUE,FALSE),FALSE))</f>
        <v/>
      </c>
    </row>
    <row r="796" spans="1:33" x14ac:dyDescent="0.2">
      <c r="A796" s="114"/>
      <c r="B796" s="23"/>
      <c r="C796" s="23"/>
      <c r="D796" s="23"/>
      <c r="E796" s="23"/>
      <c r="G796" s="23"/>
      <c r="H796" s="23"/>
      <c r="Y796" s="8" t="str">
        <f>IF(A796="","",IFERROR(IF(VLOOKUP(A796,Entry!$D:$D,1,FALSE)=A796,"",ROW()),ROW()))</f>
        <v/>
      </c>
      <c r="AG796" s="8" t="str">
        <f>IF(A796="","",IFERROR(IF(VLOOKUP(A796,Entry!$D:$D,1,FALSE)=A796,TRUE,FALSE),FALSE))</f>
        <v/>
      </c>
    </row>
    <row r="797" spans="1:33" x14ac:dyDescent="0.2">
      <c r="A797" s="114"/>
      <c r="B797" s="23"/>
      <c r="C797" s="23"/>
      <c r="D797" s="23"/>
      <c r="E797" s="23"/>
      <c r="G797" s="23"/>
      <c r="H797" s="23"/>
      <c r="Y797" s="8" t="str">
        <f>IF(A797="","",IFERROR(IF(VLOOKUP(A797,Entry!$D:$D,1,FALSE)=A797,"",ROW()),ROW()))</f>
        <v/>
      </c>
      <c r="AG797" s="8" t="str">
        <f>IF(A797="","",IFERROR(IF(VLOOKUP(A797,Entry!$D:$D,1,FALSE)=A797,TRUE,FALSE),FALSE))</f>
        <v/>
      </c>
    </row>
    <row r="798" spans="1:33" x14ac:dyDescent="0.2">
      <c r="A798" s="114"/>
      <c r="B798" s="23"/>
      <c r="C798" s="23"/>
      <c r="D798" s="23"/>
      <c r="E798" s="23"/>
      <c r="G798" s="23"/>
      <c r="H798" s="23"/>
      <c r="Y798" s="8" t="str">
        <f>IF(A798="","",IFERROR(IF(VLOOKUP(A798,Entry!$D:$D,1,FALSE)=A798,"",ROW()),ROW()))</f>
        <v/>
      </c>
      <c r="AG798" s="8" t="str">
        <f>IF(A798="","",IFERROR(IF(VLOOKUP(A798,Entry!$D:$D,1,FALSE)=A798,TRUE,FALSE),FALSE))</f>
        <v/>
      </c>
    </row>
    <row r="799" spans="1:33" x14ac:dyDescent="0.2">
      <c r="A799" s="114"/>
      <c r="B799" s="23"/>
      <c r="C799" s="23"/>
      <c r="D799" s="23"/>
      <c r="E799" s="23"/>
      <c r="G799" s="23"/>
      <c r="H799" s="23"/>
      <c r="Y799" s="8" t="str">
        <f>IF(A799="","",IFERROR(IF(VLOOKUP(A799,Entry!$D:$D,1,FALSE)=A799,"",ROW()),ROW()))</f>
        <v/>
      </c>
      <c r="AG799" s="8" t="str">
        <f>IF(A799="","",IFERROR(IF(VLOOKUP(A799,Entry!$D:$D,1,FALSE)=A799,TRUE,FALSE),FALSE))</f>
        <v/>
      </c>
    </row>
    <row r="800" spans="1:33" x14ac:dyDescent="0.2">
      <c r="A800" s="114"/>
      <c r="B800" s="23"/>
      <c r="C800" s="23"/>
      <c r="D800" s="23"/>
      <c r="E800" s="23"/>
      <c r="G800" s="23"/>
      <c r="H800" s="23"/>
      <c r="Y800" s="8" t="str">
        <f>IF(A800="","",IFERROR(IF(VLOOKUP(A800,Entry!$D:$D,1,FALSE)=A800,"",ROW()),ROW()))</f>
        <v/>
      </c>
      <c r="AG800" s="8" t="str">
        <f>IF(A800="","",IFERROR(IF(VLOOKUP(A800,Entry!$D:$D,1,FALSE)=A800,TRUE,FALSE),FALSE))</f>
        <v/>
      </c>
    </row>
    <row r="801" spans="1:33" x14ac:dyDescent="0.2">
      <c r="A801" s="114"/>
      <c r="B801" s="23"/>
      <c r="C801" s="23"/>
      <c r="D801" s="23"/>
      <c r="E801" s="23"/>
      <c r="G801" s="23"/>
      <c r="H801" s="23"/>
      <c r="Y801" s="8" t="str">
        <f>IF(A801="","",IFERROR(IF(VLOOKUP(A801,Entry!$D:$D,1,FALSE)=A801,"",ROW()),ROW()))</f>
        <v/>
      </c>
      <c r="AG801" s="8" t="str">
        <f>IF(A801="","",IFERROR(IF(VLOOKUP(A801,Entry!$D:$D,1,FALSE)=A801,TRUE,FALSE),FALSE))</f>
        <v/>
      </c>
    </row>
    <row r="802" spans="1:33" x14ac:dyDescent="0.2">
      <c r="A802" s="114"/>
      <c r="B802" s="23"/>
      <c r="C802" s="23"/>
      <c r="D802" s="23"/>
      <c r="E802" s="23"/>
      <c r="G802" s="23"/>
      <c r="H802" s="23"/>
      <c r="Y802" s="8" t="str">
        <f>IF(A802="","",IFERROR(IF(VLOOKUP(A802,Entry!$D:$D,1,FALSE)=A802,"",ROW()),ROW()))</f>
        <v/>
      </c>
      <c r="AG802" s="8" t="str">
        <f>IF(A802="","",IFERROR(IF(VLOOKUP(A802,Entry!$D:$D,1,FALSE)=A802,TRUE,FALSE),FALSE))</f>
        <v/>
      </c>
    </row>
    <row r="803" spans="1:33" x14ac:dyDescent="0.2">
      <c r="A803" s="114"/>
      <c r="B803" s="23"/>
      <c r="C803" s="23"/>
      <c r="D803" s="23"/>
      <c r="E803" s="23"/>
      <c r="G803" s="23"/>
      <c r="H803" s="23"/>
      <c r="Y803" s="8" t="str">
        <f>IF(A803="","",IFERROR(IF(VLOOKUP(A803,Entry!$D:$D,1,FALSE)=A803,"",ROW()),ROW()))</f>
        <v/>
      </c>
      <c r="AG803" s="8" t="str">
        <f>IF(A803="","",IFERROR(IF(VLOOKUP(A803,Entry!$D:$D,1,FALSE)=A803,TRUE,FALSE),FALSE))</f>
        <v/>
      </c>
    </row>
    <row r="804" spans="1:33" x14ac:dyDescent="0.2">
      <c r="A804" s="114"/>
      <c r="B804" s="23"/>
      <c r="C804" s="23"/>
      <c r="D804" s="23"/>
      <c r="E804" s="23"/>
      <c r="G804" s="23"/>
      <c r="H804" s="23"/>
      <c r="Y804" s="8" t="str">
        <f>IF(A804="","",IFERROR(IF(VLOOKUP(A804,Entry!$D:$D,1,FALSE)=A804,"",ROW()),ROW()))</f>
        <v/>
      </c>
      <c r="AG804" s="8" t="str">
        <f>IF(A804="","",IFERROR(IF(VLOOKUP(A804,Entry!$D:$D,1,FALSE)=A804,TRUE,FALSE),FALSE))</f>
        <v/>
      </c>
    </row>
    <row r="805" spans="1:33" x14ac:dyDescent="0.2">
      <c r="A805" s="114"/>
      <c r="B805" s="23"/>
      <c r="C805" s="23"/>
      <c r="D805" s="23"/>
      <c r="E805" s="23"/>
      <c r="G805" s="23"/>
      <c r="H805" s="23"/>
      <c r="Y805" s="8" t="str">
        <f>IF(A805="","",IFERROR(IF(VLOOKUP(A805,Entry!$D:$D,1,FALSE)=A805,"",ROW()),ROW()))</f>
        <v/>
      </c>
      <c r="AG805" s="8" t="str">
        <f>IF(A805="","",IFERROR(IF(VLOOKUP(A805,Entry!$D:$D,1,FALSE)=A805,TRUE,FALSE),FALSE))</f>
        <v/>
      </c>
    </row>
    <row r="806" spans="1:33" x14ac:dyDescent="0.2">
      <c r="A806" s="114"/>
      <c r="B806" s="23"/>
      <c r="C806" s="23"/>
      <c r="D806" s="23"/>
      <c r="E806" s="23"/>
      <c r="G806" s="23"/>
      <c r="H806" s="23"/>
      <c r="Y806" s="8" t="str">
        <f>IF(A806="","",IFERROR(IF(VLOOKUP(A806,Entry!$D:$D,1,FALSE)=A806,"",ROW()),ROW()))</f>
        <v/>
      </c>
      <c r="AG806" s="8" t="str">
        <f>IF(A806="","",IFERROR(IF(VLOOKUP(A806,Entry!$D:$D,1,FALSE)=A806,TRUE,FALSE),FALSE))</f>
        <v/>
      </c>
    </row>
    <row r="807" spans="1:33" x14ac:dyDescent="0.2">
      <c r="A807" s="114"/>
      <c r="B807" s="23"/>
      <c r="C807" s="23"/>
      <c r="D807" s="23"/>
      <c r="E807" s="23"/>
      <c r="G807" s="23"/>
      <c r="H807" s="23"/>
      <c r="Y807" s="8" t="str">
        <f>IF(A807="","",IFERROR(IF(VLOOKUP(A807,Entry!$D:$D,1,FALSE)=A807,"",ROW()),ROW()))</f>
        <v/>
      </c>
      <c r="AG807" s="8" t="str">
        <f>IF(A807="","",IFERROR(IF(VLOOKUP(A807,Entry!$D:$D,1,FALSE)=A807,TRUE,FALSE),FALSE))</f>
        <v/>
      </c>
    </row>
    <row r="808" spans="1:33" x14ac:dyDescent="0.2">
      <c r="A808" s="114"/>
      <c r="B808" s="23"/>
      <c r="C808" s="23"/>
      <c r="D808" s="23"/>
      <c r="E808" s="23"/>
      <c r="G808" s="23"/>
      <c r="H808" s="23"/>
      <c r="Y808" s="8" t="str">
        <f>IF(A808="","",IFERROR(IF(VLOOKUP(A808,Entry!$D:$D,1,FALSE)=A808,"",ROW()),ROW()))</f>
        <v/>
      </c>
      <c r="AG808" s="8" t="str">
        <f>IF(A808="","",IFERROR(IF(VLOOKUP(A808,Entry!$D:$D,1,FALSE)=A808,TRUE,FALSE),FALSE))</f>
        <v/>
      </c>
    </row>
    <row r="809" spans="1:33" x14ac:dyDescent="0.2">
      <c r="A809" s="114"/>
      <c r="B809" s="23"/>
      <c r="C809" s="23"/>
      <c r="D809" s="23"/>
      <c r="E809" s="23"/>
      <c r="G809" s="23"/>
      <c r="H809" s="23"/>
      <c r="Y809" s="8" t="str">
        <f>IF(A809="","",IFERROR(IF(VLOOKUP(A809,Entry!$D:$D,1,FALSE)=A809,"",ROW()),ROW()))</f>
        <v/>
      </c>
      <c r="AG809" s="8" t="str">
        <f>IF(A809="","",IFERROR(IF(VLOOKUP(A809,Entry!$D:$D,1,FALSE)=A809,TRUE,FALSE),FALSE))</f>
        <v/>
      </c>
    </row>
    <row r="810" spans="1:33" x14ac:dyDescent="0.2">
      <c r="A810" s="114"/>
      <c r="B810" s="23"/>
      <c r="C810" s="23"/>
      <c r="D810" s="23"/>
      <c r="E810" s="23"/>
      <c r="G810" s="23"/>
      <c r="H810" s="23"/>
      <c r="Y810" s="8" t="str">
        <f>IF(A810="","",IFERROR(IF(VLOOKUP(A810,Entry!$D:$D,1,FALSE)=A810,"",ROW()),ROW()))</f>
        <v/>
      </c>
      <c r="AG810" s="8" t="str">
        <f>IF(A810="","",IFERROR(IF(VLOOKUP(A810,Entry!$D:$D,1,FALSE)=A810,TRUE,FALSE),FALSE))</f>
        <v/>
      </c>
    </row>
    <row r="811" spans="1:33" x14ac:dyDescent="0.2">
      <c r="A811" s="114"/>
      <c r="B811" s="23"/>
      <c r="C811" s="23"/>
      <c r="D811" s="23"/>
      <c r="E811" s="23"/>
      <c r="G811" s="23"/>
      <c r="H811" s="23"/>
      <c r="Y811" s="8" t="str">
        <f>IF(A811="","",IFERROR(IF(VLOOKUP(A811,Entry!$D:$D,1,FALSE)=A811,"",ROW()),ROW()))</f>
        <v/>
      </c>
      <c r="AG811" s="8" t="str">
        <f>IF(A811="","",IFERROR(IF(VLOOKUP(A811,Entry!$D:$D,1,FALSE)=A811,TRUE,FALSE),FALSE))</f>
        <v/>
      </c>
    </row>
    <row r="812" spans="1:33" x14ac:dyDescent="0.2">
      <c r="A812" s="114"/>
      <c r="B812" s="23"/>
      <c r="C812" s="23"/>
      <c r="D812" s="23"/>
      <c r="E812" s="23"/>
      <c r="G812" s="23"/>
      <c r="H812" s="23"/>
      <c r="Y812" s="8" t="str">
        <f>IF(A812="","",IFERROR(IF(VLOOKUP(A812,Entry!$D:$D,1,FALSE)=A812,"",ROW()),ROW()))</f>
        <v/>
      </c>
      <c r="AG812" s="8" t="str">
        <f>IF(A812="","",IFERROR(IF(VLOOKUP(A812,Entry!$D:$D,1,FALSE)=A812,TRUE,FALSE),FALSE))</f>
        <v/>
      </c>
    </row>
    <row r="813" spans="1:33" x14ac:dyDescent="0.2">
      <c r="A813" s="114"/>
      <c r="B813" s="23"/>
      <c r="C813" s="23"/>
      <c r="D813" s="23"/>
      <c r="E813" s="23"/>
      <c r="G813" s="23"/>
      <c r="H813" s="23"/>
      <c r="Y813" s="8" t="str">
        <f>IF(A813="","",IFERROR(IF(VLOOKUP(A813,Entry!$D:$D,1,FALSE)=A813,"",ROW()),ROW()))</f>
        <v/>
      </c>
      <c r="AG813" s="8" t="str">
        <f>IF(A813="","",IFERROR(IF(VLOOKUP(A813,Entry!$D:$D,1,FALSE)=A813,TRUE,FALSE),FALSE))</f>
        <v/>
      </c>
    </row>
    <row r="814" spans="1:33" x14ac:dyDescent="0.2">
      <c r="A814" s="114"/>
      <c r="B814" s="23"/>
      <c r="C814" s="23"/>
      <c r="D814" s="23"/>
      <c r="E814" s="23"/>
      <c r="G814" s="23"/>
      <c r="H814" s="23"/>
      <c r="Y814" s="8" t="str">
        <f>IF(A814="","",IFERROR(IF(VLOOKUP(A814,Entry!$D:$D,1,FALSE)=A814,"",ROW()),ROW()))</f>
        <v/>
      </c>
      <c r="AG814" s="8" t="str">
        <f>IF(A814="","",IFERROR(IF(VLOOKUP(A814,Entry!$D:$D,1,FALSE)=A814,TRUE,FALSE),FALSE))</f>
        <v/>
      </c>
    </row>
    <row r="815" spans="1:33" x14ac:dyDescent="0.2">
      <c r="A815" s="114"/>
      <c r="B815" s="23"/>
      <c r="C815" s="23"/>
      <c r="D815" s="23"/>
      <c r="E815" s="23"/>
      <c r="G815" s="23"/>
      <c r="H815" s="23"/>
      <c r="Y815" s="8" t="str">
        <f>IF(A815="","",IFERROR(IF(VLOOKUP(A815,Entry!$D:$D,1,FALSE)=A815,"",ROW()),ROW()))</f>
        <v/>
      </c>
      <c r="AG815" s="8" t="str">
        <f>IF(A815="","",IFERROR(IF(VLOOKUP(A815,Entry!$D:$D,1,FALSE)=A815,TRUE,FALSE),FALSE))</f>
        <v/>
      </c>
    </row>
    <row r="816" spans="1:33" x14ac:dyDescent="0.2">
      <c r="A816" s="114"/>
      <c r="B816" s="23"/>
      <c r="C816" s="23"/>
      <c r="D816" s="23"/>
      <c r="E816" s="23"/>
      <c r="G816" s="23"/>
      <c r="H816" s="23"/>
      <c r="Y816" s="8" t="str">
        <f>IF(A816="","",IFERROR(IF(VLOOKUP(A816,Entry!$D:$D,1,FALSE)=A816,"",ROW()),ROW()))</f>
        <v/>
      </c>
      <c r="AG816" s="8" t="str">
        <f>IF(A816="","",IFERROR(IF(VLOOKUP(A816,Entry!$D:$D,1,FALSE)=A816,TRUE,FALSE),FALSE))</f>
        <v/>
      </c>
    </row>
    <row r="817" spans="1:33" x14ac:dyDescent="0.2">
      <c r="A817" s="114"/>
      <c r="B817" s="23"/>
      <c r="C817" s="23"/>
      <c r="D817" s="23"/>
      <c r="E817" s="23"/>
      <c r="G817" s="23"/>
      <c r="H817" s="23"/>
      <c r="Y817" s="8" t="str">
        <f>IF(A817="","",IFERROR(IF(VLOOKUP(A817,Entry!$D:$D,1,FALSE)=A817,"",ROW()),ROW()))</f>
        <v/>
      </c>
      <c r="AG817" s="8" t="str">
        <f>IF(A817="","",IFERROR(IF(VLOOKUP(A817,Entry!$D:$D,1,FALSE)=A817,TRUE,FALSE),FALSE))</f>
        <v/>
      </c>
    </row>
    <row r="818" spans="1:33" x14ac:dyDescent="0.2">
      <c r="A818" s="114"/>
      <c r="B818" s="23"/>
      <c r="C818" s="23"/>
      <c r="D818" s="23"/>
      <c r="E818" s="23"/>
      <c r="G818" s="23"/>
      <c r="H818" s="23"/>
      <c r="Y818" s="8" t="str">
        <f>IF(A818="","",IFERROR(IF(VLOOKUP(A818,Entry!$D:$D,1,FALSE)=A818,"",ROW()),ROW()))</f>
        <v/>
      </c>
      <c r="AG818" s="8" t="str">
        <f>IF(A818="","",IFERROR(IF(VLOOKUP(A818,Entry!$D:$D,1,FALSE)=A818,TRUE,FALSE),FALSE))</f>
        <v/>
      </c>
    </row>
    <row r="819" spans="1:33" x14ac:dyDescent="0.2">
      <c r="A819" s="114"/>
      <c r="B819" s="23"/>
      <c r="C819" s="23"/>
      <c r="D819" s="23"/>
      <c r="E819" s="23"/>
      <c r="G819" s="23"/>
      <c r="H819" s="23"/>
      <c r="Y819" s="8" t="str">
        <f>IF(A819="","",IFERROR(IF(VLOOKUP(A819,Entry!$D:$D,1,FALSE)=A819,"",ROW()),ROW()))</f>
        <v/>
      </c>
      <c r="AG819" s="8" t="str">
        <f>IF(A819="","",IFERROR(IF(VLOOKUP(A819,Entry!$D:$D,1,FALSE)=A819,TRUE,FALSE),FALSE))</f>
        <v/>
      </c>
    </row>
    <row r="820" spans="1:33" x14ac:dyDescent="0.2">
      <c r="A820" s="114"/>
      <c r="B820" s="23"/>
      <c r="C820" s="23"/>
      <c r="D820" s="23"/>
      <c r="E820" s="23"/>
      <c r="G820" s="23"/>
      <c r="H820" s="23"/>
      <c r="Y820" s="8" t="str">
        <f>IF(A820="","",IFERROR(IF(VLOOKUP(A820,Entry!$D:$D,1,FALSE)=A820,"",ROW()),ROW()))</f>
        <v/>
      </c>
      <c r="AG820" s="8" t="str">
        <f>IF(A820="","",IFERROR(IF(VLOOKUP(A820,Entry!$D:$D,1,FALSE)=A820,TRUE,FALSE),FALSE))</f>
        <v/>
      </c>
    </row>
    <row r="821" spans="1:33" x14ac:dyDescent="0.2">
      <c r="A821" s="114"/>
      <c r="B821" s="23"/>
      <c r="C821" s="23"/>
      <c r="D821" s="23"/>
      <c r="E821" s="23"/>
      <c r="G821" s="23"/>
      <c r="H821" s="23"/>
      <c r="Y821" s="8" t="str">
        <f>IF(A821="","",IFERROR(IF(VLOOKUP(A821,Entry!$D:$D,1,FALSE)=A821,"",ROW()),ROW()))</f>
        <v/>
      </c>
      <c r="AG821" s="8" t="str">
        <f>IF(A821="","",IFERROR(IF(VLOOKUP(A821,Entry!$D:$D,1,FALSE)=A821,TRUE,FALSE),FALSE))</f>
        <v/>
      </c>
    </row>
    <row r="822" spans="1:33" x14ac:dyDescent="0.2">
      <c r="A822" s="114"/>
      <c r="B822" s="23"/>
      <c r="C822" s="23"/>
      <c r="D822" s="23"/>
      <c r="E822" s="23"/>
      <c r="G822" s="23"/>
      <c r="H822" s="23"/>
      <c r="Y822" s="8" t="str">
        <f>IF(A822="","",IFERROR(IF(VLOOKUP(A822,Entry!$D:$D,1,FALSE)=A822,"",ROW()),ROW()))</f>
        <v/>
      </c>
      <c r="AG822" s="8" t="str">
        <f>IF(A822="","",IFERROR(IF(VLOOKUP(A822,Entry!$D:$D,1,FALSE)=A822,TRUE,FALSE),FALSE))</f>
        <v/>
      </c>
    </row>
    <row r="823" spans="1:33" x14ac:dyDescent="0.2">
      <c r="A823" s="114"/>
      <c r="B823" s="23"/>
      <c r="C823" s="23"/>
      <c r="D823" s="23"/>
      <c r="E823" s="23"/>
      <c r="G823" s="23"/>
      <c r="H823" s="23"/>
      <c r="Y823" s="8" t="str">
        <f>IF(A823="","",IFERROR(IF(VLOOKUP(A823,Entry!$D:$D,1,FALSE)=A823,"",ROW()),ROW()))</f>
        <v/>
      </c>
      <c r="AG823" s="8" t="str">
        <f>IF(A823="","",IFERROR(IF(VLOOKUP(A823,Entry!$D:$D,1,FALSE)=A823,TRUE,FALSE),FALSE))</f>
        <v/>
      </c>
    </row>
    <row r="824" spans="1:33" x14ac:dyDescent="0.2">
      <c r="A824" s="114"/>
      <c r="B824" s="23"/>
      <c r="C824" s="23"/>
      <c r="D824" s="23"/>
      <c r="E824" s="23"/>
      <c r="G824" s="23"/>
      <c r="H824" s="23"/>
      <c r="Y824" s="8" t="str">
        <f>IF(A824="","",IFERROR(IF(VLOOKUP(A824,Entry!$D:$D,1,FALSE)=A824,"",ROW()),ROW()))</f>
        <v/>
      </c>
      <c r="AG824" s="8" t="str">
        <f>IF(A824="","",IFERROR(IF(VLOOKUP(A824,Entry!$D:$D,1,FALSE)=A824,TRUE,FALSE),FALSE))</f>
        <v/>
      </c>
    </row>
    <row r="825" spans="1:33" x14ac:dyDescent="0.2">
      <c r="A825" s="114"/>
      <c r="B825" s="23"/>
      <c r="C825" s="23"/>
      <c r="D825" s="23"/>
      <c r="E825" s="23"/>
      <c r="G825" s="23"/>
      <c r="H825" s="23"/>
      <c r="Y825" s="8" t="str">
        <f>IF(A825="","",IFERROR(IF(VLOOKUP(A825,Entry!$D:$D,1,FALSE)=A825,"",ROW()),ROW()))</f>
        <v/>
      </c>
      <c r="AG825" s="8" t="str">
        <f>IF(A825="","",IFERROR(IF(VLOOKUP(A825,Entry!$D:$D,1,FALSE)=A825,TRUE,FALSE),FALSE))</f>
        <v/>
      </c>
    </row>
    <row r="826" spans="1:33" x14ac:dyDescent="0.2">
      <c r="A826" s="114"/>
      <c r="B826" s="23"/>
      <c r="C826" s="23"/>
      <c r="D826" s="23"/>
      <c r="E826" s="23"/>
      <c r="G826" s="23"/>
      <c r="H826" s="23"/>
      <c r="Y826" s="8" t="str">
        <f>IF(A826="","",IFERROR(IF(VLOOKUP(A826,Entry!$D:$D,1,FALSE)=A826,"",ROW()),ROW()))</f>
        <v/>
      </c>
      <c r="AG826" s="8" t="str">
        <f>IF(A826="","",IFERROR(IF(VLOOKUP(A826,Entry!$D:$D,1,FALSE)=A826,TRUE,FALSE),FALSE))</f>
        <v/>
      </c>
    </row>
    <row r="827" spans="1:33" x14ac:dyDescent="0.2">
      <c r="A827" s="114"/>
      <c r="B827" s="23"/>
      <c r="C827" s="23"/>
      <c r="D827" s="23"/>
      <c r="E827" s="23"/>
      <c r="G827" s="23"/>
      <c r="H827" s="23"/>
      <c r="Y827" s="8" t="str">
        <f>IF(A827="","",IFERROR(IF(VLOOKUP(A827,Entry!$D:$D,1,FALSE)=A827,"",ROW()),ROW()))</f>
        <v/>
      </c>
      <c r="AG827" s="8" t="str">
        <f>IF(A827="","",IFERROR(IF(VLOOKUP(A827,Entry!$D:$D,1,FALSE)=A827,TRUE,FALSE),FALSE))</f>
        <v/>
      </c>
    </row>
    <row r="828" spans="1:33" x14ac:dyDescent="0.2">
      <c r="A828" s="114"/>
      <c r="B828" s="23"/>
      <c r="C828" s="23"/>
      <c r="D828" s="23"/>
      <c r="E828" s="23"/>
      <c r="G828" s="23"/>
      <c r="H828" s="23"/>
      <c r="Y828" s="8" t="str">
        <f>IF(A828="","",IFERROR(IF(VLOOKUP(A828,Entry!$D:$D,1,FALSE)=A828,"",ROW()),ROW()))</f>
        <v/>
      </c>
      <c r="AG828" s="8" t="str">
        <f>IF(A828="","",IFERROR(IF(VLOOKUP(A828,Entry!$D:$D,1,FALSE)=A828,TRUE,FALSE),FALSE))</f>
        <v/>
      </c>
    </row>
    <row r="829" spans="1:33" x14ac:dyDescent="0.2">
      <c r="A829" s="114"/>
      <c r="B829" s="23"/>
      <c r="C829" s="23"/>
      <c r="D829" s="23"/>
      <c r="E829" s="23"/>
      <c r="G829" s="23"/>
      <c r="H829" s="23"/>
      <c r="Y829" s="8" t="str">
        <f>IF(A829="","",IFERROR(IF(VLOOKUP(A829,Entry!$D:$D,1,FALSE)=A829,"",ROW()),ROW()))</f>
        <v/>
      </c>
      <c r="AG829" s="8" t="str">
        <f>IF(A829="","",IFERROR(IF(VLOOKUP(A829,Entry!$D:$D,1,FALSE)=A829,TRUE,FALSE),FALSE))</f>
        <v/>
      </c>
    </row>
    <row r="830" spans="1:33" x14ac:dyDescent="0.2">
      <c r="A830" s="114"/>
      <c r="B830" s="23"/>
      <c r="C830" s="23"/>
      <c r="D830" s="23"/>
      <c r="E830" s="23"/>
      <c r="G830" s="23"/>
      <c r="H830" s="23"/>
      <c r="Y830" s="8" t="str">
        <f>IF(A830="","",IFERROR(IF(VLOOKUP(A830,Entry!$D:$D,1,FALSE)=A830,"",ROW()),ROW()))</f>
        <v/>
      </c>
      <c r="AG830" s="8" t="str">
        <f>IF(A830="","",IFERROR(IF(VLOOKUP(A830,Entry!$D:$D,1,FALSE)=A830,TRUE,FALSE),FALSE))</f>
        <v/>
      </c>
    </row>
    <row r="831" spans="1:33" x14ac:dyDescent="0.2">
      <c r="A831" s="114"/>
      <c r="B831" s="23"/>
      <c r="C831" s="23"/>
      <c r="D831" s="23"/>
      <c r="E831" s="23"/>
      <c r="G831" s="23"/>
      <c r="H831" s="23"/>
      <c r="Y831" s="8" t="str">
        <f>IF(A831="","",IFERROR(IF(VLOOKUP(A831,Entry!$D:$D,1,FALSE)=A831,"",ROW()),ROW()))</f>
        <v/>
      </c>
      <c r="AG831" s="8" t="str">
        <f>IF(A831="","",IFERROR(IF(VLOOKUP(A831,Entry!$D:$D,1,FALSE)=A831,TRUE,FALSE),FALSE))</f>
        <v/>
      </c>
    </row>
    <row r="832" spans="1:33" x14ac:dyDescent="0.2">
      <c r="A832" s="114"/>
      <c r="B832" s="23"/>
      <c r="C832" s="23"/>
      <c r="D832" s="23"/>
      <c r="E832" s="23"/>
      <c r="G832" s="23"/>
      <c r="H832" s="23"/>
      <c r="Y832" s="8" t="str">
        <f>IF(A832="","",IFERROR(IF(VLOOKUP(A832,Entry!$D:$D,1,FALSE)=A832,"",ROW()),ROW()))</f>
        <v/>
      </c>
      <c r="AG832" s="8" t="str">
        <f>IF(A832="","",IFERROR(IF(VLOOKUP(A832,Entry!$D:$D,1,FALSE)=A832,TRUE,FALSE),FALSE))</f>
        <v/>
      </c>
    </row>
    <row r="833" spans="1:33" x14ac:dyDescent="0.2">
      <c r="A833" s="114"/>
      <c r="B833" s="23"/>
      <c r="C833" s="23"/>
      <c r="D833" s="23"/>
      <c r="E833" s="23"/>
      <c r="G833" s="23"/>
      <c r="H833" s="23"/>
      <c r="Y833" s="8" t="str">
        <f>IF(A833="","",IFERROR(IF(VLOOKUP(A833,Entry!$D:$D,1,FALSE)=A833,"",ROW()),ROW()))</f>
        <v/>
      </c>
      <c r="AG833" s="8" t="str">
        <f>IF(A833="","",IFERROR(IF(VLOOKUP(A833,Entry!$D:$D,1,FALSE)=A833,TRUE,FALSE),FALSE))</f>
        <v/>
      </c>
    </row>
    <row r="834" spans="1:33" x14ac:dyDescent="0.2">
      <c r="A834" s="114"/>
      <c r="B834" s="23"/>
      <c r="C834" s="23"/>
      <c r="D834" s="23"/>
      <c r="E834" s="23"/>
      <c r="G834" s="23"/>
      <c r="H834" s="23"/>
      <c r="Y834" s="8" t="str">
        <f>IF(A834="","",IFERROR(IF(VLOOKUP(A834,Entry!$D:$D,1,FALSE)=A834,"",ROW()),ROW()))</f>
        <v/>
      </c>
      <c r="AG834" s="8" t="str">
        <f>IF(A834="","",IFERROR(IF(VLOOKUP(A834,Entry!$D:$D,1,FALSE)=A834,TRUE,FALSE),FALSE))</f>
        <v/>
      </c>
    </row>
    <row r="835" spans="1:33" x14ac:dyDescent="0.2">
      <c r="A835" s="114"/>
      <c r="B835" s="23"/>
      <c r="C835" s="23"/>
      <c r="D835" s="23"/>
      <c r="E835" s="23"/>
      <c r="G835" s="23"/>
      <c r="H835" s="23"/>
      <c r="Y835" s="8" t="str">
        <f>IF(A835="","",IFERROR(IF(VLOOKUP(A835,Entry!$D:$D,1,FALSE)=A835,"",ROW()),ROW()))</f>
        <v/>
      </c>
      <c r="AG835" s="8" t="str">
        <f>IF(A835="","",IFERROR(IF(VLOOKUP(A835,Entry!$D:$D,1,FALSE)=A835,TRUE,FALSE),FALSE))</f>
        <v/>
      </c>
    </row>
    <row r="836" spans="1:33" x14ac:dyDescent="0.2">
      <c r="A836" s="114"/>
      <c r="B836" s="23"/>
      <c r="C836" s="23"/>
      <c r="D836" s="23"/>
      <c r="E836" s="23"/>
      <c r="G836" s="23"/>
      <c r="H836" s="23"/>
      <c r="Y836" s="8" t="str">
        <f>IF(A836="","",IFERROR(IF(VLOOKUP(A836,Entry!$D:$D,1,FALSE)=A836,"",ROW()),ROW()))</f>
        <v/>
      </c>
      <c r="AG836" s="8" t="str">
        <f>IF(A836="","",IFERROR(IF(VLOOKUP(A836,Entry!$D:$D,1,FALSE)=A836,TRUE,FALSE),FALSE))</f>
        <v/>
      </c>
    </row>
    <row r="837" spans="1:33" x14ac:dyDescent="0.2">
      <c r="A837" s="114"/>
      <c r="B837" s="23"/>
      <c r="C837" s="23"/>
      <c r="D837" s="23"/>
      <c r="E837" s="23"/>
      <c r="G837" s="23"/>
      <c r="H837" s="23"/>
      <c r="Y837" s="8" t="str">
        <f>IF(A837="","",IFERROR(IF(VLOOKUP(A837,Entry!$D:$D,1,FALSE)=A837,"",ROW()),ROW()))</f>
        <v/>
      </c>
      <c r="AG837" s="8" t="str">
        <f>IF(A837="","",IFERROR(IF(VLOOKUP(A837,Entry!$D:$D,1,FALSE)=A837,TRUE,FALSE),FALSE))</f>
        <v/>
      </c>
    </row>
    <row r="838" spans="1:33" x14ac:dyDescent="0.2">
      <c r="A838" s="114"/>
      <c r="B838" s="23"/>
      <c r="C838" s="23"/>
      <c r="D838" s="23"/>
      <c r="E838" s="23"/>
      <c r="G838" s="23"/>
      <c r="H838" s="23"/>
      <c r="Y838" s="8" t="str">
        <f>IF(A838="","",IFERROR(IF(VLOOKUP(A838,Entry!$D:$D,1,FALSE)=A838,"",ROW()),ROW()))</f>
        <v/>
      </c>
      <c r="AG838" s="8" t="str">
        <f>IF(A838="","",IFERROR(IF(VLOOKUP(A838,Entry!$D:$D,1,FALSE)=A838,TRUE,FALSE),FALSE))</f>
        <v/>
      </c>
    </row>
    <row r="839" spans="1:33" x14ac:dyDescent="0.2">
      <c r="A839" s="114"/>
      <c r="B839" s="23"/>
      <c r="C839" s="23"/>
      <c r="D839" s="23"/>
      <c r="E839" s="23"/>
      <c r="G839" s="23"/>
      <c r="H839" s="23"/>
      <c r="Y839" s="8" t="str">
        <f>IF(A839="","",IFERROR(IF(VLOOKUP(A839,Entry!$D:$D,1,FALSE)=A839,"",ROW()),ROW()))</f>
        <v/>
      </c>
      <c r="AG839" s="8" t="str">
        <f>IF(A839="","",IFERROR(IF(VLOOKUP(A839,Entry!$D:$D,1,FALSE)=A839,TRUE,FALSE),FALSE))</f>
        <v/>
      </c>
    </row>
    <row r="840" spans="1:33" x14ac:dyDescent="0.2">
      <c r="A840" s="114"/>
      <c r="B840" s="23"/>
      <c r="C840" s="23"/>
      <c r="D840" s="23"/>
      <c r="E840" s="23"/>
      <c r="G840" s="23"/>
      <c r="H840" s="23"/>
      <c r="Y840" s="8" t="str">
        <f>IF(A840="","",IFERROR(IF(VLOOKUP(A840,Entry!$D:$D,1,FALSE)=A840,"",ROW()),ROW()))</f>
        <v/>
      </c>
      <c r="AG840" s="8" t="str">
        <f>IF(A840="","",IFERROR(IF(VLOOKUP(A840,Entry!$D:$D,1,FALSE)=A840,TRUE,FALSE),FALSE))</f>
        <v/>
      </c>
    </row>
    <row r="841" spans="1:33" x14ac:dyDescent="0.2">
      <c r="A841" s="114"/>
      <c r="B841" s="23"/>
      <c r="C841" s="23"/>
      <c r="D841" s="23"/>
      <c r="E841" s="23"/>
      <c r="G841" s="23"/>
      <c r="H841" s="23"/>
      <c r="Y841" s="8" t="str">
        <f>IF(A841="","",IFERROR(IF(VLOOKUP(A841,Entry!$D:$D,1,FALSE)=A841,"",ROW()),ROW()))</f>
        <v/>
      </c>
      <c r="AG841" s="8" t="str">
        <f>IF(A841="","",IFERROR(IF(VLOOKUP(A841,Entry!$D:$D,1,FALSE)=A841,TRUE,FALSE),FALSE))</f>
        <v/>
      </c>
    </row>
    <row r="842" spans="1:33" x14ac:dyDescent="0.2">
      <c r="A842" s="114"/>
      <c r="B842" s="23"/>
      <c r="C842" s="23"/>
      <c r="D842" s="23"/>
      <c r="E842" s="23"/>
      <c r="G842" s="23"/>
      <c r="H842" s="23"/>
      <c r="Y842" s="8" t="str">
        <f>IF(A842="","",IFERROR(IF(VLOOKUP(A842,Entry!$D:$D,1,FALSE)=A842,"",ROW()),ROW()))</f>
        <v/>
      </c>
      <c r="AG842" s="8" t="str">
        <f>IF(A842="","",IFERROR(IF(VLOOKUP(A842,Entry!$D:$D,1,FALSE)=A842,TRUE,FALSE),FALSE))</f>
        <v/>
      </c>
    </row>
    <row r="843" spans="1:33" x14ac:dyDescent="0.2">
      <c r="A843" s="114"/>
      <c r="B843" s="23"/>
      <c r="C843" s="23"/>
      <c r="D843" s="23"/>
      <c r="E843" s="23"/>
      <c r="G843" s="23"/>
      <c r="H843" s="23"/>
      <c r="Y843" s="8" t="str">
        <f>IF(A843="","",IFERROR(IF(VLOOKUP(A843,Entry!$D:$D,1,FALSE)=A843,"",ROW()),ROW()))</f>
        <v/>
      </c>
      <c r="AG843" s="8" t="str">
        <f>IF(A843="","",IFERROR(IF(VLOOKUP(A843,Entry!$D:$D,1,FALSE)=A843,TRUE,FALSE),FALSE))</f>
        <v/>
      </c>
    </row>
    <row r="844" spans="1:33" x14ac:dyDescent="0.2">
      <c r="A844" s="114"/>
      <c r="B844" s="23"/>
      <c r="C844" s="23"/>
      <c r="D844" s="23"/>
      <c r="E844" s="23"/>
      <c r="G844" s="23"/>
      <c r="H844" s="23"/>
      <c r="Y844" s="8" t="str">
        <f>IF(A844="","",IFERROR(IF(VLOOKUP(A844,Entry!$D:$D,1,FALSE)=A844,"",ROW()),ROW()))</f>
        <v/>
      </c>
      <c r="AG844" s="8" t="str">
        <f>IF(A844="","",IFERROR(IF(VLOOKUP(A844,Entry!$D:$D,1,FALSE)=A844,TRUE,FALSE),FALSE))</f>
        <v/>
      </c>
    </row>
    <row r="845" spans="1:33" x14ac:dyDescent="0.2">
      <c r="A845" s="114"/>
      <c r="B845" s="23"/>
      <c r="C845" s="23"/>
      <c r="D845" s="23"/>
      <c r="E845" s="23"/>
      <c r="G845" s="23"/>
      <c r="H845" s="23"/>
      <c r="Y845" s="8" t="str">
        <f>IF(A845="","",IFERROR(IF(VLOOKUP(A845,Entry!$D:$D,1,FALSE)=A845,"",ROW()),ROW()))</f>
        <v/>
      </c>
      <c r="AG845" s="8" t="str">
        <f>IF(A845="","",IFERROR(IF(VLOOKUP(A845,Entry!$D:$D,1,FALSE)=A845,TRUE,FALSE),FALSE))</f>
        <v/>
      </c>
    </row>
    <row r="846" spans="1:33" x14ac:dyDescent="0.2">
      <c r="A846" s="114"/>
      <c r="B846" s="23"/>
      <c r="C846" s="23"/>
      <c r="D846" s="23"/>
      <c r="E846" s="23"/>
      <c r="G846" s="23"/>
      <c r="H846" s="23"/>
      <c r="Y846" s="8" t="str">
        <f>IF(A846="","",IFERROR(IF(VLOOKUP(A846,Entry!$D:$D,1,FALSE)=A846,"",ROW()),ROW()))</f>
        <v/>
      </c>
      <c r="AG846" s="8" t="str">
        <f>IF(A846="","",IFERROR(IF(VLOOKUP(A846,Entry!$D:$D,1,FALSE)=A846,TRUE,FALSE),FALSE))</f>
        <v/>
      </c>
    </row>
    <row r="847" spans="1:33" x14ac:dyDescent="0.2">
      <c r="A847" s="114"/>
      <c r="B847" s="23"/>
      <c r="C847" s="23"/>
      <c r="D847" s="23"/>
      <c r="E847" s="23"/>
      <c r="G847" s="23"/>
      <c r="H847" s="23"/>
      <c r="Y847" s="8" t="str">
        <f>IF(A847="","",IFERROR(IF(VLOOKUP(A847,Entry!$D:$D,1,FALSE)=A847,"",ROW()),ROW()))</f>
        <v/>
      </c>
      <c r="AG847" s="8" t="str">
        <f>IF(A847="","",IFERROR(IF(VLOOKUP(A847,Entry!$D:$D,1,FALSE)=A847,TRUE,FALSE),FALSE))</f>
        <v/>
      </c>
    </row>
    <row r="848" spans="1:33" x14ac:dyDescent="0.2">
      <c r="A848" s="114"/>
      <c r="B848" s="23"/>
      <c r="C848" s="23"/>
      <c r="D848" s="23"/>
      <c r="E848" s="23"/>
      <c r="G848" s="23"/>
      <c r="H848" s="23"/>
      <c r="Y848" s="8" t="str">
        <f>IF(A848="","",IFERROR(IF(VLOOKUP(A848,Entry!$D:$D,1,FALSE)=A848,"",ROW()),ROW()))</f>
        <v/>
      </c>
      <c r="AG848" s="8" t="str">
        <f>IF(A848="","",IFERROR(IF(VLOOKUP(A848,Entry!$D:$D,1,FALSE)=A848,TRUE,FALSE),FALSE))</f>
        <v/>
      </c>
    </row>
    <row r="849" spans="1:33" x14ac:dyDescent="0.2">
      <c r="A849" s="114"/>
      <c r="B849" s="23"/>
      <c r="C849" s="23"/>
      <c r="D849" s="23"/>
      <c r="E849" s="23"/>
      <c r="G849" s="23"/>
      <c r="H849" s="23"/>
      <c r="Y849" s="8" t="str">
        <f>IF(A849="","",IFERROR(IF(VLOOKUP(A849,Entry!$D:$D,1,FALSE)=A849,"",ROW()),ROW()))</f>
        <v/>
      </c>
      <c r="AG849" s="8" t="str">
        <f>IF(A849="","",IFERROR(IF(VLOOKUP(A849,Entry!$D:$D,1,FALSE)=A849,TRUE,FALSE),FALSE))</f>
        <v/>
      </c>
    </row>
    <row r="850" spans="1:33" x14ac:dyDescent="0.2">
      <c r="A850" s="114"/>
      <c r="B850" s="23"/>
      <c r="C850" s="23"/>
      <c r="D850" s="23"/>
      <c r="E850" s="23"/>
      <c r="G850" s="23"/>
      <c r="H850" s="23"/>
      <c r="Y850" s="8" t="str">
        <f>IF(A850="","",IFERROR(IF(VLOOKUP(A850,Entry!$D:$D,1,FALSE)=A850,"",ROW()),ROW()))</f>
        <v/>
      </c>
      <c r="AG850" s="8" t="str">
        <f>IF(A850="","",IFERROR(IF(VLOOKUP(A850,Entry!$D:$D,1,FALSE)=A850,TRUE,FALSE),FALSE))</f>
        <v/>
      </c>
    </row>
    <row r="851" spans="1:33" x14ac:dyDescent="0.2">
      <c r="A851" s="114"/>
      <c r="B851" s="23"/>
      <c r="C851" s="23"/>
      <c r="D851" s="23"/>
      <c r="E851" s="23"/>
      <c r="G851" s="23"/>
      <c r="H851" s="23"/>
      <c r="Y851" s="8" t="str">
        <f>IF(A851="","",IFERROR(IF(VLOOKUP(A851,Entry!$D:$D,1,FALSE)=A851,"",ROW()),ROW()))</f>
        <v/>
      </c>
      <c r="AG851" s="8" t="str">
        <f>IF(A851="","",IFERROR(IF(VLOOKUP(A851,Entry!$D:$D,1,FALSE)=A851,TRUE,FALSE),FALSE))</f>
        <v/>
      </c>
    </row>
    <row r="852" spans="1:33" x14ac:dyDescent="0.2">
      <c r="A852" s="114"/>
      <c r="B852" s="23"/>
      <c r="C852" s="23"/>
      <c r="D852" s="23"/>
      <c r="E852" s="23"/>
      <c r="G852" s="23"/>
      <c r="H852" s="23"/>
      <c r="Y852" s="8" t="str">
        <f>IF(A852="","",IFERROR(IF(VLOOKUP(A852,Entry!$D:$D,1,FALSE)=A852,"",ROW()),ROW()))</f>
        <v/>
      </c>
      <c r="AG852" s="8" t="str">
        <f>IF(A852="","",IFERROR(IF(VLOOKUP(A852,Entry!$D:$D,1,FALSE)=A852,TRUE,FALSE),FALSE))</f>
        <v/>
      </c>
    </row>
    <row r="853" spans="1:33" x14ac:dyDescent="0.2">
      <c r="A853" s="114"/>
      <c r="B853" s="23"/>
      <c r="C853" s="23"/>
      <c r="D853" s="23"/>
      <c r="E853" s="23"/>
      <c r="G853" s="23"/>
      <c r="H853" s="23"/>
      <c r="Y853" s="8" t="str">
        <f>IF(A853="","",IFERROR(IF(VLOOKUP(A853,Entry!$D:$D,1,FALSE)=A853,"",ROW()),ROW()))</f>
        <v/>
      </c>
      <c r="AG853" s="8" t="str">
        <f>IF(A853="","",IFERROR(IF(VLOOKUP(A853,Entry!$D:$D,1,FALSE)=A853,TRUE,FALSE),FALSE))</f>
        <v/>
      </c>
    </row>
    <row r="854" spans="1:33" x14ac:dyDescent="0.2">
      <c r="A854" s="114"/>
      <c r="B854" s="23"/>
      <c r="C854" s="23"/>
      <c r="D854" s="23"/>
      <c r="E854" s="23"/>
      <c r="G854" s="23"/>
      <c r="H854" s="23"/>
      <c r="Y854" s="8" t="str">
        <f>IF(A854="","",IFERROR(IF(VLOOKUP(A854,Entry!$D:$D,1,FALSE)=A854,"",ROW()),ROW()))</f>
        <v/>
      </c>
      <c r="AG854" s="8" t="str">
        <f>IF(A854="","",IFERROR(IF(VLOOKUP(A854,Entry!$D:$D,1,FALSE)=A854,TRUE,FALSE),FALSE))</f>
        <v/>
      </c>
    </row>
    <row r="855" spans="1:33" x14ac:dyDescent="0.2">
      <c r="A855" s="114"/>
      <c r="B855" s="23"/>
      <c r="C855" s="23"/>
      <c r="D855" s="23"/>
      <c r="E855" s="23"/>
      <c r="G855" s="23"/>
      <c r="H855" s="23"/>
      <c r="Y855" s="8" t="str">
        <f>IF(A855="","",IFERROR(IF(VLOOKUP(A855,Entry!$D:$D,1,FALSE)=A855,"",ROW()),ROW()))</f>
        <v/>
      </c>
      <c r="AG855" s="8" t="str">
        <f>IF(A855="","",IFERROR(IF(VLOOKUP(A855,Entry!$D:$D,1,FALSE)=A855,TRUE,FALSE),FALSE))</f>
        <v/>
      </c>
    </row>
    <row r="856" spans="1:33" x14ac:dyDescent="0.2">
      <c r="A856" s="114"/>
      <c r="B856" s="23"/>
      <c r="C856" s="23"/>
      <c r="D856" s="23"/>
      <c r="E856" s="23"/>
      <c r="G856" s="23"/>
      <c r="H856" s="23"/>
      <c r="Y856" s="8" t="str">
        <f>IF(A856="","",IFERROR(IF(VLOOKUP(A856,Entry!$D:$D,1,FALSE)=A856,"",ROW()),ROW()))</f>
        <v/>
      </c>
      <c r="AG856" s="8" t="str">
        <f>IF(A856="","",IFERROR(IF(VLOOKUP(A856,Entry!$D:$D,1,FALSE)=A856,TRUE,FALSE),FALSE))</f>
        <v/>
      </c>
    </row>
    <row r="857" spans="1:33" x14ac:dyDescent="0.2">
      <c r="A857" s="114"/>
      <c r="B857" s="23"/>
      <c r="C857" s="23"/>
      <c r="D857" s="23"/>
      <c r="E857" s="23"/>
      <c r="G857" s="23"/>
      <c r="H857" s="23"/>
      <c r="Y857" s="8" t="str">
        <f>IF(A857="","",IFERROR(IF(VLOOKUP(A857,Entry!$D:$D,1,FALSE)=A857,"",ROW()),ROW()))</f>
        <v/>
      </c>
      <c r="AG857" s="8" t="str">
        <f>IF(A857="","",IFERROR(IF(VLOOKUP(A857,Entry!$D:$D,1,FALSE)=A857,TRUE,FALSE),FALSE))</f>
        <v/>
      </c>
    </row>
    <row r="858" spans="1:33" x14ac:dyDescent="0.2">
      <c r="A858" s="114"/>
      <c r="B858" s="23"/>
      <c r="C858" s="23"/>
      <c r="D858" s="23"/>
      <c r="E858" s="23"/>
      <c r="G858" s="23"/>
      <c r="H858" s="23"/>
      <c r="Y858" s="8" t="str">
        <f>IF(A858="","",IFERROR(IF(VLOOKUP(A858,Entry!$D:$D,1,FALSE)=A858,"",ROW()),ROW()))</f>
        <v/>
      </c>
      <c r="AG858" s="8" t="str">
        <f>IF(A858="","",IFERROR(IF(VLOOKUP(A858,Entry!$D:$D,1,FALSE)=A858,TRUE,FALSE),FALSE))</f>
        <v/>
      </c>
    </row>
    <row r="859" spans="1:33" x14ac:dyDescent="0.2">
      <c r="A859" s="114"/>
      <c r="B859" s="23"/>
      <c r="C859" s="23"/>
      <c r="D859" s="23"/>
      <c r="E859" s="23"/>
      <c r="G859" s="23"/>
      <c r="H859" s="23"/>
      <c r="Y859" s="8" t="str">
        <f>IF(A859="","",IFERROR(IF(VLOOKUP(A859,Entry!$D:$D,1,FALSE)=A859,"",ROW()),ROW()))</f>
        <v/>
      </c>
      <c r="AG859" s="8" t="str">
        <f>IF(A859="","",IFERROR(IF(VLOOKUP(A859,Entry!$D:$D,1,FALSE)=A859,TRUE,FALSE),FALSE))</f>
        <v/>
      </c>
    </row>
    <row r="860" spans="1:33" x14ac:dyDescent="0.2">
      <c r="A860" s="114"/>
      <c r="B860" s="23"/>
      <c r="C860" s="23"/>
      <c r="D860" s="23"/>
      <c r="E860" s="23"/>
      <c r="G860" s="23"/>
      <c r="H860" s="23"/>
      <c r="Y860" s="8" t="str">
        <f>IF(A860="","",IFERROR(IF(VLOOKUP(A860,Entry!$D:$D,1,FALSE)=A860,"",ROW()),ROW()))</f>
        <v/>
      </c>
      <c r="AG860" s="8" t="str">
        <f>IF(A860="","",IFERROR(IF(VLOOKUP(A860,Entry!$D:$D,1,FALSE)=A860,TRUE,FALSE),FALSE))</f>
        <v/>
      </c>
    </row>
    <row r="861" spans="1:33" x14ac:dyDescent="0.2">
      <c r="A861" s="114"/>
      <c r="B861" s="23"/>
      <c r="C861" s="23"/>
      <c r="D861" s="23"/>
      <c r="E861" s="23"/>
      <c r="G861" s="23"/>
      <c r="H861" s="23"/>
      <c r="Y861" s="8" t="str">
        <f>IF(A861="","",IFERROR(IF(VLOOKUP(A861,Entry!$D:$D,1,FALSE)=A861,"",ROW()),ROW()))</f>
        <v/>
      </c>
      <c r="AG861" s="8" t="str">
        <f>IF(A861="","",IFERROR(IF(VLOOKUP(A861,Entry!$D:$D,1,FALSE)=A861,TRUE,FALSE),FALSE))</f>
        <v/>
      </c>
    </row>
    <row r="862" spans="1:33" x14ac:dyDescent="0.2">
      <c r="A862" s="114"/>
      <c r="B862" s="23"/>
      <c r="C862" s="23"/>
      <c r="D862" s="23"/>
      <c r="E862" s="23"/>
      <c r="G862" s="23"/>
      <c r="H862" s="23"/>
      <c r="Y862" s="8" t="str">
        <f>IF(A862="","",IFERROR(IF(VLOOKUP(A862,Entry!$D:$D,1,FALSE)=A862,"",ROW()),ROW()))</f>
        <v/>
      </c>
      <c r="AG862" s="8" t="str">
        <f>IF(A862="","",IFERROR(IF(VLOOKUP(A862,Entry!$D:$D,1,FALSE)=A862,TRUE,FALSE),FALSE))</f>
        <v/>
      </c>
    </row>
    <row r="863" spans="1:33" x14ac:dyDescent="0.2">
      <c r="A863" s="114"/>
      <c r="B863" s="23"/>
      <c r="C863" s="23"/>
      <c r="D863" s="23"/>
      <c r="E863" s="23"/>
      <c r="G863" s="23"/>
      <c r="H863" s="23"/>
      <c r="Y863" s="8" t="str">
        <f>IF(A863="","",IFERROR(IF(VLOOKUP(A863,Entry!$D:$D,1,FALSE)=A863,"",ROW()),ROW()))</f>
        <v/>
      </c>
      <c r="AG863" s="8" t="str">
        <f>IF(A863="","",IFERROR(IF(VLOOKUP(A863,Entry!$D:$D,1,FALSE)=A863,TRUE,FALSE),FALSE))</f>
        <v/>
      </c>
    </row>
    <row r="864" spans="1:33" x14ac:dyDescent="0.2">
      <c r="A864" s="114"/>
      <c r="B864" s="23"/>
      <c r="C864" s="23"/>
      <c r="D864" s="23"/>
      <c r="E864" s="23"/>
      <c r="G864" s="23"/>
      <c r="H864" s="23"/>
      <c r="Y864" s="8" t="str">
        <f>IF(A864="","",IFERROR(IF(VLOOKUP(A864,Entry!$D:$D,1,FALSE)=A864,"",ROW()),ROW()))</f>
        <v/>
      </c>
      <c r="AG864" s="8" t="str">
        <f>IF(A864="","",IFERROR(IF(VLOOKUP(A864,Entry!$D:$D,1,FALSE)=A864,TRUE,FALSE),FALSE))</f>
        <v/>
      </c>
    </row>
    <row r="865" spans="1:33" x14ac:dyDescent="0.2">
      <c r="A865" s="114"/>
      <c r="B865" s="23"/>
      <c r="C865" s="23"/>
      <c r="D865" s="23"/>
      <c r="E865" s="23"/>
      <c r="G865" s="23"/>
      <c r="H865" s="23"/>
      <c r="Y865" s="8" t="str">
        <f>IF(A865="","",IFERROR(IF(VLOOKUP(A865,Entry!$D:$D,1,FALSE)=A865,"",ROW()),ROW()))</f>
        <v/>
      </c>
      <c r="AG865" s="8" t="str">
        <f>IF(A865="","",IFERROR(IF(VLOOKUP(A865,Entry!$D:$D,1,FALSE)=A865,TRUE,FALSE),FALSE))</f>
        <v/>
      </c>
    </row>
    <row r="866" spans="1:33" x14ac:dyDescent="0.2">
      <c r="A866" s="114"/>
      <c r="B866" s="23"/>
      <c r="C866" s="23"/>
      <c r="D866" s="23"/>
      <c r="E866" s="23"/>
      <c r="G866" s="23"/>
      <c r="H866" s="23"/>
      <c r="Y866" s="8" t="str">
        <f>IF(A866="","",IFERROR(IF(VLOOKUP(A866,Entry!$D:$D,1,FALSE)=A866,"",ROW()),ROW()))</f>
        <v/>
      </c>
      <c r="AG866" s="8" t="str">
        <f>IF(A866="","",IFERROR(IF(VLOOKUP(A866,Entry!$D:$D,1,FALSE)=A866,TRUE,FALSE),FALSE))</f>
        <v/>
      </c>
    </row>
    <row r="867" spans="1:33" x14ac:dyDescent="0.2">
      <c r="A867" s="114"/>
      <c r="B867" s="23"/>
      <c r="C867" s="23"/>
      <c r="D867" s="23"/>
      <c r="E867" s="23"/>
      <c r="G867" s="23"/>
      <c r="H867" s="23"/>
      <c r="Y867" s="8" t="str">
        <f>IF(A867="","",IFERROR(IF(VLOOKUP(A867,Entry!$D:$D,1,FALSE)=A867,"",ROW()),ROW()))</f>
        <v/>
      </c>
      <c r="AG867" s="8" t="str">
        <f>IF(A867="","",IFERROR(IF(VLOOKUP(A867,Entry!$D:$D,1,FALSE)=A867,TRUE,FALSE),FALSE))</f>
        <v/>
      </c>
    </row>
    <row r="868" spans="1:33" x14ac:dyDescent="0.2">
      <c r="A868" s="114"/>
      <c r="B868" s="23"/>
      <c r="C868" s="23"/>
      <c r="D868" s="23"/>
      <c r="E868" s="23"/>
      <c r="G868" s="23"/>
      <c r="H868" s="23"/>
      <c r="Y868" s="8" t="str">
        <f>IF(A868="","",IFERROR(IF(VLOOKUP(A868,Entry!$D:$D,1,FALSE)=A868,"",ROW()),ROW()))</f>
        <v/>
      </c>
      <c r="AG868" s="8" t="str">
        <f>IF(A868="","",IFERROR(IF(VLOOKUP(A868,Entry!$D:$D,1,FALSE)=A868,TRUE,FALSE),FALSE))</f>
        <v/>
      </c>
    </row>
    <row r="869" spans="1:33" x14ac:dyDescent="0.2">
      <c r="A869" s="114"/>
      <c r="B869" s="23"/>
      <c r="C869" s="23"/>
      <c r="D869" s="23"/>
      <c r="E869" s="23"/>
      <c r="G869" s="23"/>
      <c r="H869" s="23"/>
      <c r="Y869" s="8" t="str">
        <f>IF(A869="","",IFERROR(IF(VLOOKUP(A869,Entry!$D:$D,1,FALSE)=A869,"",ROW()),ROW()))</f>
        <v/>
      </c>
      <c r="AG869" s="8" t="str">
        <f>IF(A869="","",IFERROR(IF(VLOOKUP(A869,Entry!$D:$D,1,FALSE)=A869,TRUE,FALSE),FALSE))</f>
        <v/>
      </c>
    </row>
    <row r="870" spans="1:33" x14ac:dyDescent="0.2">
      <c r="A870" s="114"/>
      <c r="B870" s="23"/>
      <c r="C870" s="23"/>
      <c r="D870" s="23"/>
      <c r="E870" s="23"/>
      <c r="G870" s="23"/>
      <c r="H870" s="23"/>
      <c r="Y870" s="8" t="str">
        <f>IF(A870="","",IFERROR(IF(VLOOKUP(A870,Entry!$D:$D,1,FALSE)=A870,"",ROW()),ROW()))</f>
        <v/>
      </c>
      <c r="AG870" s="8" t="str">
        <f>IF(A870="","",IFERROR(IF(VLOOKUP(A870,Entry!$D:$D,1,FALSE)=A870,TRUE,FALSE),FALSE))</f>
        <v/>
      </c>
    </row>
    <row r="871" spans="1:33" x14ac:dyDescent="0.2">
      <c r="A871" s="114"/>
      <c r="B871" s="23"/>
      <c r="C871" s="23"/>
      <c r="D871" s="23"/>
      <c r="E871" s="23"/>
      <c r="G871" s="23"/>
      <c r="H871" s="23"/>
      <c r="Y871" s="8" t="str">
        <f>IF(A871="","",IFERROR(IF(VLOOKUP(A871,Entry!$D:$D,1,FALSE)=A871,"",ROW()),ROW()))</f>
        <v/>
      </c>
      <c r="AG871" s="8" t="str">
        <f>IF(A871="","",IFERROR(IF(VLOOKUP(A871,Entry!$D:$D,1,FALSE)=A871,TRUE,FALSE),FALSE))</f>
        <v/>
      </c>
    </row>
    <row r="872" spans="1:33" x14ac:dyDescent="0.2">
      <c r="A872" s="114"/>
      <c r="B872" s="23"/>
      <c r="C872" s="23"/>
      <c r="D872" s="23"/>
      <c r="E872" s="23"/>
      <c r="G872" s="23"/>
      <c r="H872" s="23"/>
      <c r="Y872" s="8" t="str">
        <f>IF(A872="","",IFERROR(IF(VLOOKUP(A872,Entry!$D:$D,1,FALSE)=A872,"",ROW()),ROW()))</f>
        <v/>
      </c>
      <c r="AG872" s="8" t="str">
        <f>IF(A872="","",IFERROR(IF(VLOOKUP(A872,Entry!$D:$D,1,FALSE)=A872,TRUE,FALSE),FALSE))</f>
        <v/>
      </c>
    </row>
    <row r="873" spans="1:33" x14ac:dyDescent="0.2">
      <c r="A873" s="114"/>
      <c r="B873" s="23"/>
      <c r="C873" s="23"/>
      <c r="D873" s="23"/>
      <c r="E873" s="23"/>
      <c r="G873" s="23"/>
      <c r="H873" s="23"/>
      <c r="Y873" s="8" t="str">
        <f>IF(A873="","",IFERROR(IF(VLOOKUP(A873,Entry!$D:$D,1,FALSE)=A873,"",ROW()),ROW()))</f>
        <v/>
      </c>
      <c r="AG873" s="8" t="str">
        <f>IF(A873="","",IFERROR(IF(VLOOKUP(A873,Entry!$D:$D,1,FALSE)=A873,TRUE,FALSE),FALSE))</f>
        <v/>
      </c>
    </row>
    <row r="874" spans="1:33" x14ac:dyDescent="0.2">
      <c r="A874" s="114"/>
      <c r="B874" s="23"/>
      <c r="C874" s="23"/>
      <c r="D874" s="23"/>
      <c r="E874" s="23"/>
      <c r="G874" s="23"/>
      <c r="H874" s="23"/>
      <c r="Y874" s="8" t="str">
        <f>IF(A874="","",IFERROR(IF(VLOOKUP(A874,Entry!$D:$D,1,FALSE)=A874,"",ROW()),ROW()))</f>
        <v/>
      </c>
      <c r="AG874" s="8" t="str">
        <f>IF(A874="","",IFERROR(IF(VLOOKUP(A874,Entry!$D:$D,1,FALSE)=A874,TRUE,FALSE),FALSE))</f>
        <v/>
      </c>
    </row>
    <row r="875" spans="1:33" x14ac:dyDescent="0.2">
      <c r="A875" s="114"/>
      <c r="B875" s="23"/>
      <c r="C875" s="23"/>
      <c r="D875" s="23"/>
      <c r="E875" s="23"/>
      <c r="G875" s="23"/>
      <c r="H875" s="23"/>
      <c r="Y875" s="8" t="str">
        <f>IF(A875="","",IFERROR(IF(VLOOKUP(A875,Entry!$D:$D,1,FALSE)=A875,"",ROW()),ROW()))</f>
        <v/>
      </c>
      <c r="AG875" s="8" t="str">
        <f>IF(A875="","",IFERROR(IF(VLOOKUP(A875,Entry!$D:$D,1,FALSE)=A875,TRUE,FALSE),FALSE))</f>
        <v/>
      </c>
    </row>
    <row r="876" spans="1:33" x14ac:dyDescent="0.2">
      <c r="A876" s="114"/>
      <c r="B876" s="23"/>
      <c r="C876" s="23"/>
      <c r="D876" s="23"/>
      <c r="E876" s="23"/>
      <c r="G876" s="23"/>
      <c r="H876" s="23"/>
      <c r="Y876" s="8" t="str">
        <f>IF(A876="","",IFERROR(IF(VLOOKUP(A876,Entry!$D:$D,1,FALSE)=A876,"",ROW()),ROW()))</f>
        <v/>
      </c>
      <c r="AG876" s="8" t="str">
        <f>IF(A876="","",IFERROR(IF(VLOOKUP(A876,Entry!$D:$D,1,FALSE)=A876,TRUE,FALSE),FALSE))</f>
        <v/>
      </c>
    </row>
    <row r="877" spans="1:33" x14ac:dyDescent="0.2">
      <c r="A877" s="114"/>
      <c r="B877" s="23"/>
      <c r="C877" s="23"/>
      <c r="D877" s="23"/>
      <c r="E877" s="23"/>
      <c r="G877" s="23"/>
      <c r="H877" s="23"/>
      <c r="Y877" s="8" t="str">
        <f>IF(A877="","",IFERROR(IF(VLOOKUP(A877,Entry!$D:$D,1,FALSE)=A877,"",ROW()),ROW()))</f>
        <v/>
      </c>
      <c r="AG877" s="8" t="str">
        <f>IF(A877="","",IFERROR(IF(VLOOKUP(A877,Entry!$D:$D,1,FALSE)=A877,TRUE,FALSE),FALSE))</f>
        <v/>
      </c>
    </row>
    <row r="878" spans="1:33" x14ac:dyDescent="0.2">
      <c r="A878" s="114"/>
      <c r="B878" s="23"/>
      <c r="C878" s="23"/>
      <c r="D878" s="23"/>
      <c r="E878" s="23"/>
      <c r="G878" s="23"/>
      <c r="H878" s="23"/>
      <c r="Y878" s="8" t="str">
        <f>IF(A878="","",IFERROR(IF(VLOOKUP(A878,Entry!$D:$D,1,FALSE)=A878,"",ROW()),ROW()))</f>
        <v/>
      </c>
      <c r="AG878" s="8" t="str">
        <f>IF(A878="","",IFERROR(IF(VLOOKUP(A878,Entry!$D:$D,1,FALSE)=A878,TRUE,FALSE),FALSE))</f>
        <v/>
      </c>
    </row>
    <row r="879" spans="1:33" x14ac:dyDescent="0.2">
      <c r="A879" s="114"/>
      <c r="B879" s="23"/>
      <c r="C879" s="23"/>
      <c r="D879" s="23"/>
      <c r="E879" s="23"/>
      <c r="G879" s="23"/>
      <c r="H879" s="23"/>
      <c r="Y879" s="8" t="str">
        <f>IF(A879="","",IFERROR(IF(VLOOKUP(A879,Entry!$D:$D,1,FALSE)=A879,"",ROW()),ROW()))</f>
        <v/>
      </c>
      <c r="AG879" s="8" t="str">
        <f>IF(A879="","",IFERROR(IF(VLOOKUP(A879,Entry!$D:$D,1,FALSE)=A879,TRUE,FALSE),FALSE))</f>
        <v/>
      </c>
    </row>
    <row r="880" spans="1:33" x14ac:dyDescent="0.2">
      <c r="A880" s="114"/>
      <c r="B880" s="23"/>
      <c r="C880" s="23"/>
      <c r="D880" s="23"/>
      <c r="E880" s="23"/>
      <c r="G880" s="23"/>
      <c r="H880" s="23"/>
      <c r="Y880" s="8" t="str">
        <f>IF(A880="","",IFERROR(IF(VLOOKUP(A880,Entry!$D:$D,1,FALSE)=A880,"",ROW()),ROW()))</f>
        <v/>
      </c>
      <c r="AG880" s="8" t="str">
        <f>IF(A880="","",IFERROR(IF(VLOOKUP(A880,Entry!$D:$D,1,FALSE)=A880,TRUE,FALSE),FALSE))</f>
        <v/>
      </c>
    </row>
    <row r="881" spans="1:33" x14ac:dyDescent="0.2">
      <c r="A881" s="114"/>
      <c r="B881" s="23"/>
      <c r="C881" s="23"/>
      <c r="D881" s="23"/>
      <c r="E881" s="23"/>
      <c r="G881" s="23"/>
      <c r="H881" s="23"/>
      <c r="Y881" s="8" t="str">
        <f>IF(A881="","",IFERROR(IF(VLOOKUP(A881,Entry!$D:$D,1,FALSE)=A881,"",ROW()),ROW()))</f>
        <v/>
      </c>
      <c r="AG881" s="8" t="str">
        <f>IF(A881="","",IFERROR(IF(VLOOKUP(A881,Entry!$D:$D,1,FALSE)=A881,TRUE,FALSE),FALSE))</f>
        <v/>
      </c>
    </row>
    <row r="882" spans="1:33" x14ac:dyDescent="0.2">
      <c r="A882" s="114"/>
      <c r="B882" s="23"/>
      <c r="C882" s="23"/>
      <c r="D882" s="23"/>
      <c r="E882" s="23"/>
      <c r="G882" s="23"/>
      <c r="H882" s="23"/>
      <c r="Y882" s="8" t="str">
        <f>IF(A882="","",IFERROR(IF(VLOOKUP(A882,Entry!$D:$D,1,FALSE)=A882,"",ROW()),ROW()))</f>
        <v/>
      </c>
      <c r="AG882" s="8" t="str">
        <f>IF(A882="","",IFERROR(IF(VLOOKUP(A882,Entry!$D:$D,1,FALSE)=A882,TRUE,FALSE),FALSE))</f>
        <v/>
      </c>
    </row>
    <row r="883" spans="1:33" x14ac:dyDescent="0.2">
      <c r="A883" s="114"/>
      <c r="B883" s="23"/>
      <c r="C883" s="23"/>
      <c r="D883" s="23"/>
      <c r="E883" s="23"/>
      <c r="G883" s="23"/>
      <c r="H883" s="23"/>
      <c r="Y883" s="8" t="str">
        <f>IF(A883="","",IFERROR(IF(VLOOKUP(A883,Entry!$D:$D,1,FALSE)=A883,"",ROW()),ROW()))</f>
        <v/>
      </c>
      <c r="AG883" s="8" t="str">
        <f>IF(A883="","",IFERROR(IF(VLOOKUP(A883,Entry!$D:$D,1,FALSE)=A883,TRUE,FALSE),FALSE))</f>
        <v/>
      </c>
    </row>
    <row r="884" spans="1:33" x14ac:dyDescent="0.2">
      <c r="A884" s="114"/>
      <c r="B884" s="23"/>
      <c r="C884" s="23"/>
      <c r="D884" s="23"/>
      <c r="E884" s="23"/>
      <c r="G884" s="23"/>
      <c r="H884" s="23"/>
      <c r="Y884" s="8" t="str">
        <f>IF(A884="","",IFERROR(IF(VLOOKUP(A884,Entry!$D:$D,1,FALSE)=A884,"",ROW()),ROW()))</f>
        <v/>
      </c>
      <c r="AG884" s="8" t="str">
        <f>IF(A884="","",IFERROR(IF(VLOOKUP(A884,Entry!$D:$D,1,FALSE)=A884,TRUE,FALSE),FALSE))</f>
        <v/>
      </c>
    </row>
    <row r="885" spans="1:33" x14ac:dyDescent="0.2">
      <c r="A885" s="114"/>
      <c r="B885" s="23"/>
      <c r="C885" s="23"/>
      <c r="D885" s="23"/>
      <c r="E885" s="23"/>
      <c r="G885" s="23"/>
      <c r="H885" s="23"/>
      <c r="Y885" s="8" t="str">
        <f>IF(A885="","",IFERROR(IF(VLOOKUP(A885,Entry!$D:$D,1,FALSE)=A885,"",ROW()),ROW()))</f>
        <v/>
      </c>
      <c r="AG885" s="8" t="str">
        <f>IF(A885="","",IFERROR(IF(VLOOKUP(A885,Entry!$D:$D,1,FALSE)=A885,TRUE,FALSE),FALSE))</f>
        <v/>
      </c>
    </row>
    <row r="886" spans="1:33" x14ac:dyDescent="0.2">
      <c r="A886" s="114"/>
      <c r="B886" s="23"/>
      <c r="C886" s="23"/>
      <c r="D886" s="23"/>
      <c r="E886" s="23"/>
      <c r="G886" s="23"/>
      <c r="H886" s="23"/>
      <c r="Y886" s="8" t="str">
        <f>IF(A886="","",IFERROR(IF(VLOOKUP(A886,Entry!$D:$D,1,FALSE)=A886,"",ROW()),ROW()))</f>
        <v/>
      </c>
      <c r="AG886" s="8" t="str">
        <f>IF(A886="","",IFERROR(IF(VLOOKUP(A886,Entry!$D:$D,1,FALSE)=A886,TRUE,FALSE),FALSE))</f>
        <v/>
      </c>
    </row>
    <row r="887" spans="1:33" x14ac:dyDescent="0.2">
      <c r="A887" s="114"/>
      <c r="B887" s="23"/>
      <c r="C887" s="23"/>
      <c r="D887" s="23"/>
      <c r="E887" s="23"/>
      <c r="G887" s="23"/>
      <c r="H887" s="23"/>
      <c r="Y887" s="8" t="str">
        <f>IF(A887="","",IFERROR(IF(VLOOKUP(A887,Entry!$D:$D,1,FALSE)=A887,"",ROW()),ROW()))</f>
        <v/>
      </c>
      <c r="AG887" s="8" t="str">
        <f>IF(A887="","",IFERROR(IF(VLOOKUP(A887,Entry!$D:$D,1,FALSE)=A887,TRUE,FALSE),FALSE))</f>
        <v/>
      </c>
    </row>
    <row r="888" spans="1:33" x14ac:dyDescent="0.2">
      <c r="A888" s="114"/>
      <c r="B888" s="23"/>
      <c r="C888" s="23"/>
      <c r="D888" s="23"/>
      <c r="E888" s="23"/>
      <c r="G888" s="23"/>
      <c r="H888" s="23"/>
      <c r="Y888" s="8" t="str">
        <f>IF(A888="","",IFERROR(IF(VLOOKUP(A888,Entry!$D:$D,1,FALSE)=A888,"",ROW()),ROW()))</f>
        <v/>
      </c>
      <c r="AG888" s="8" t="str">
        <f>IF(A888="","",IFERROR(IF(VLOOKUP(A888,Entry!$D:$D,1,FALSE)=A888,TRUE,FALSE),FALSE))</f>
        <v/>
      </c>
    </row>
    <row r="889" spans="1:33" x14ac:dyDescent="0.2">
      <c r="A889" s="114"/>
      <c r="B889" s="23"/>
      <c r="C889" s="23"/>
      <c r="D889" s="23"/>
      <c r="E889" s="23"/>
      <c r="G889" s="23"/>
      <c r="H889" s="23"/>
      <c r="Y889" s="8" t="str">
        <f>IF(A889="","",IFERROR(IF(VLOOKUP(A889,Entry!$D:$D,1,FALSE)=A889,"",ROW()),ROW()))</f>
        <v/>
      </c>
      <c r="AG889" s="8" t="str">
        <f>IF(A889="","",IFERROR(IF(VLOOKUP(A889,Entry!$D:$D,1,FALSE)=A889,TRUE,FALSE),FALSE))</f>
        <v/>
      </c>
    </row>
    <row r="890" spans="1:33" x14ac:dyDescent="0.2">
      <c r="A890" s="114"/>
      <c r="B890" s="23"/>
      <c r="C890" s="23"/>
      <c r="D890" s="23"/>
      <c r="E890" s="23"/>
      <c r="G890" s="23"/>
      <c r="H890" s="23"/>
      <c r="Y890" s="8" t="str">
        <f>IF(A890="","",IFERROR(IF(VLOOKUP(A890,Entry!$D:$D,1,FALSE)=A890,"",ROW()),ROW()))</f>
        <v/>
      </c>
      <c r="AG890" s="8" t="str">
        <f>IF(A890="","",IFERROR(IF(VLOOKUP(A890,Entry!$D:$D,1,FALSE)=A890,TRUE,FALSE),FALSE))</f>
        <v/>
      </c>
    </row>
    <row r="891" spans="1:33" x14ac:dyDescent="0.2">
      <c r="A891" s="114"/>
      <c r="B891" s="23"/>
      <c r="C891" s="23"/>
      <c r="D891" s="23"/>
      <c r="E891" s="23"/>
      <c r="G891" s="23"/>
      <c r="H891" s="23"/>
      <c r="Y891" s="8" t="str">
        <f>IF(A891="","",IFERROR(IF(VLOOKUP(A891,Entry!$D:$D,1,FALSE)=A891,"",ROW()),ROW()))</f>
        <v/>
      </c>
      <c r="AG891" s="8" t="str">
        <f>IF(A891="","",IFERROR(IF(VLOOKUP(A891,Entry!$D:$D,1,FALSE)=A891,TRUE,FALSE),FALSE))</f>
        <v/>
      </c>
    </row>
    <row r="892" spans="1:33" x14ac:dyDescent="0.2">
      <c r="A892" s="114"/>
      <c r="B892" s="23"/>
      <c r="C892" s="23"/>
      <c r="D892" s="23"/>
      <c r="E892" s="23"/>
      <c r="G892" s="23"/>
      <c r="H892" s="23"/>
      <c r="Y892" s="8" t="str">
        <f>IF(A892="","",IFERROR(IF(VLOOKUP(A892,Entry!$D:$D,1,FALSE)=A892,"",ROW()),ROW()))</f>
        <v/>
      </c>
      <c r="AG892" s="8" t="str">
        <f>IF(A892="","",IFERROR(IF(VLOOKUP(A892,Entry!$D:$D,1,FALSE)=A892,TRUE,FALSE),FALSE))</f>
        <v/>
      </c>
    </row>
    <row r="893" spans="1:33" x14ac:dyDescent="0.2">
      <c r="A893" s="114"/>
      <c r="B893" s="23"/>
      <c r="C893" s="23"/>
      <c r="D893" s="23"/>
      <c r="E893" s="23"/>
      <c r="G893" s="23"/>
      <c r="H893" s="23"/>
      <c r="Y893" s="8" t="str">
        <f>IF(A893="","",IFERROR(IF(VLOOKUP(A893,Entry!$D:$D,1,FALSE)=A893,"",ROW()),ROW()))</f>
        <v/>
      </c>
      <c r="AG893" s="8" t="str">
        <f>IF(A893="","",IFERROR(IF(VLOOKUP(A893,Entry!$D:$D,1,FALSE)=A893,TRUE,FALSE),FALSE))</f>
        <v/>
      </c>
    </row>
    <row r="894" spans="1:33" x14ac:dyDescent="0.2">
      <c r="A894" s="114"/>
      <c r="B894" s="23"/>
      <c r="C894" s="23"/>
      <c r="D894" s="23"/>
      <c r="E894" s="23"/>
      <c r="G894" s="23"/>
      <c r="H894" s="23"/>
      <c r="Y894" s="8" t="str">
        <f>IF(A894="","",IFERROR(IF(VLOOKUP(A894,Entry!$D:$D,1,FALSE)=A894,"",ROW()),ROW()))</f>
        <v/>
      </c>
      <c r="AG894" s="8" t="str">
        <f>IF(A894="","",IFERROR(IF(VLOOKUP(A894,Entry!$D:$D,1,FALSE)=A894,TRUE,FALSE),FALSE))</f>
        <v/>
      </c>
    </row>
    <row r="895" spans="1:33" x14ac:dyDescent="0.2">
      <c r="A895" s="114"/>
      <c r="B895" s="23"/>
      <c r="C895" s="23"/>
      <c r="D895" s="23"/>
      <c r="E895" s="23"/>
      <c r="G895" s="23"/>
      <c r="H895" s="23"/>
      <c r="Y895" s="8" t="str">
        <f>IF(A895="","",IFERROR(IF(VLOOKUP(A895,Entry!$D:$D,1,FALSE)=A895,"",ROW()),ROW()))</f>
        <v/>
      </c>
      <c r="AG895" s="8" t="str">
        <f>IF(A895="","",IFERROR(IF(VLOOKUP(A895,Entry!$D:$D,1,FALSE)=A895,TRUE,FALSE),FALSE))</f>
        <v/>
      </c>
    </row>
    <row r="896" spans="1:33" x14ac:dyDescent="0.2">
      <c r="A896" s="114"/>
      <c r="B896" s="23"/>
      <c r="C896" s="23"/>
      <c r="D896" s="23"/>
      <c r="E896" s="23"/>
      <c r="G896" s="23"/>
      <c r="H896" s="23"/>
      <c r="Y896" s="8" t="str">
        <f>IF(A896="","",IFERROR(IF(VLOOKUP(A896,Entry!$D:$D,1,FALSE)=A896,"",ROW()),ROW()))</f>
        <v/>
      </c>
      <c r="AG896" s="8" t="str">
        <f>IF(A896="","",IFERROR(IF(VLOOKUP(A896,Entry!$D:$D,1,FALSE)=A896,TRUE,FALSE),FALSE))</f>
        <v/>
      </c>
    </row>
    <row r="897" spans="1:33" x14ac:dyDescent="0.2">
      <c r="A897" s="114"/>
      <c r="B897" s="23"/>
      <c r="C897" s="23"/>
      <c r="D897" s="23"/>
      <c r="E897" s="23"/>
      <c r="G897" s="23"/>
      <c r="H897" s="23"/>
      <c r="Y897" s="8" t="str">
        <f>IF(A897="","",IFERROR(IF(VLOOKUP(A897,Entry!$D:$D,1,FALSE)=A897,"",ROW()),ROW()))</f>
        <v/>
      </c>
      <c r="AG897" s="8" t="str">
        <f>IF(A897="","",IFERROR(IF(VLOOKUP(A897,Entry!$D:$D,1,FALSE)=A897,TRUE,FALSE),FALSE))</f>
        <v/>
      </c>
    </row>
    <row r="898" spans="1:33" x14ac:dyDescent="0.2">
      <c r="A898" s="114"/>
      <c r="B898" s="23"/>
      <c r="C898" s="23"/>
      <c r="D898" s="23"/>
      <c r="E898" s="23"/>
      <c r="G898" s="23"/>
      <c r="H898" s="23"/>
      <c r="Y898" s="8" t="str">
        <f>IF(A898="","",IFERROR(IF(VLOOKUP(A898,Entry!$D:$D,1,FALSE)=A898,"",ROW()),ROW()))</f>
        <v/>
      </c>
      <c r="AG898" s="8" t="str">
        <f>IF(A898="","",IFERROR(IF(VLOOKUP(A898,Entry!$D:$D,1,FALSE)=A898,TRUE,FALSE),FALSE))</f>
        <v/>
      </c>
    </row>
    <row r="899" spans="1:33" x14ac:dyDescent="0.2">
      <c r="A899" s="114"/>
      <c r="B899" s="23"/>
      <c r="C899" s="23"/>
      <c r="D899" s="23"/>
      <c r="E899" s="23"/>
      <c r="G899" s="23"/>
      <c r="H899" s="23"/>
      <c r="Y899" s="8" t="str">
        <f>IF(A899="","",IFERROR(IF(VLOOKUP(A899,Entry!$D:$D,1,FALSE)=A899,"",ROW()),ROW()))</f>
        <v/>
      </c>
      <c r="AG899" s="8" t="str">
        <f>IF(A899="","",IFERROR(IF(VLOOKUP(A899,Entry!$D:$D,1,FALSE)=A899,TRUE,FALSE),FALSE))</f>
        <v/>
      </c>
    </row>
    <row r="900" spans="1:33" x14ac:dyDescent="0.2">
      <c r="A900" s="114"/>
      <c r="B900" s="23"/>
      <c r="C900" s="23"/>
      <c r="D900" s="23"/>
      <c r="E900" s="23"/>
      <c r="G900" s="23"/>
      <c r="H900" s="23"/>
      <c r="Y900" s="8" t="str">
        <f>IF(A900="","",IFERROR(IF(VLOOKUP(A900,Entry!$D:$D,1,FALSE)=A900,"",ROW()),ROW()))</f>
        <v/>
      </c>
      <c r="AG900" s="8" t="str">
        <f>IF(A900="","",IFERROR(IF(VLOOKUP(A900,Entry!$D:$D,1,FALSE)=A900,TRUE,FALSE),FALSE))</f>
        <v/>
      </c>
    </row>
    <row r="901" spans="1:33" x14ac:dyDescent="0.2">
      <c r="A901" s="114"/>
      <c r="B901" s="23"/>
      <c r="C901" s="23"/>
      <c r="D901" s="23"/>
      <c r="E901" s="23"/>
      <c r="G901" s="23"/>
      <c r="H901" s="23"/>
      <c r="Y901" s="8" t="str">
        <f>IF(A901="","",IFERROR(IF(VLOOKUP(A901,Entry!$D:$D,1,FALSE)=A901,"",ROW()),ROW()))</f>
        <v/>
      </c>
      <c r="AG901" s="8" t="str">
        <f>IF(A901="","",IFERROR(IF(VLOOKUP(A901,Entry!$D:$D,1,FALSE)=A901,TRUE,FALSE),FALSE))</f>
        <v/>
      </c>
    </row>
    <row r="902" spans="1:33" x14ac:dyDescent="0.2">
      <c r="A902" s="114"/>
      <c r="B902" s="23"/>
      <c r="C902" s="23"/>
      <c r="D902" s="23"/>
      <c r="E902" s="23"/>
      <c r="G902" s="23"/>
      <c r="H902" s="23"/>
      <c r="Y902" s="8" t="str">
        <f>IF(A902="","",IFERROR(IF(VLOOKUP(A902,Entry!$D:$D,1,FALSE)=A902,"",ROW()),ROW()))</f>
        <v/>
      </c>
      <c r="AG902" s="8" t="str">
        <f>IF(A902="","",IFERROR(IF(VLOOKUP(A902,Entry!$D:$D,1,FALSE)=A902,TRUE,FALSE),FALSE))</f>
        <v/>
      </c>
    </row>
    <row r="903" spans="1:33" x14ac:dyDescent="0.2">
      <c r="A903" s="114"/>
      <c r="B903" s="23"/>
      <c r="C903" s="23"/>
      <c r="D903" s="23"/>
      <c r="E903" s="23"/>
      <c r="G903" s="23"/>
      <c r="H903" s="23"/>
      <c r="Y903" s="8" t="str">
        <f>IF(A903="","",IFERROR(IF(VLOOKUP(A903,Entry!$D:$D,1,FALSE)=A903,"",ROW()),ROW()))</f>
        <v/>
      </c>
      <c r="AG903" s="8" t="str">
        <f>IF(A903="","",IFERROR(IF(VLOOKUP(A903,Entry!$D:$D,1,FALSE)=A903,TRUE,FALSE),FALSE))</f>
        <v/>
      </c>
    </row>
    <row r="904" spans="1:33" x14ac:dyDescent="0.2">
      <c r="A904" s="114"/>
      <c r="B904" s="23"/>
      <c r="C904" s="23"/>
      <c r="D904" s="23"/>
      <c r="E904" s="23"/>
      <c r="G904" s="23"/>
      <c r="H904" s="23"/>
      <c r="Y904" s="8" t="str">
        <f>IF(A904="","",IFERROR(IF(VLOOKUP(A904,Entry!$D:$D,1,FALSE)=A904,"",ROW()),ROW()))</f>
        <v/>
      </c>
      <c r="AG904" s="8" t="str">
        <f>IF(A904="","",IFERROR(IF(VLOOKUP(A904,Entry!$D:$D,1,FALSE)=A904,TRUE,FALSE),FALSE))</f>
        <v/>
      </c>
    </row>
    <row r="905" spans="1:33" x14ac:dyDescent="0.2">
      <c r="A905" s="114"/>
      <c r="B905" s="23"/>
      <c r="C905" s="23"/>
      <c r="D905" s="23"/>
      <c r="E905" s="23"/>
      <c r="G905" s="23"/>
      <c r="H905" s="23"/>
      <c r="Y905" s="8" t="str">
        <f>IF(A905="","",IFERROR(IF(VLOOKUP(A905,Entry!$D:$D,1,FALSE)=A905,"",ROW()),ROW()))</f>
        <v/>
      </c>
      <c r="AG905" s="8" t="str">
        <f>IF(A905="","",IFERROR(IF(VLOOKUP(A905,Entry!$D:$D,1,FALSE)=A905,TRUE,FALSE),FALSE))</f>
        <v/>
      </c>
    </row>
    <row r="906" spans="1:33" x14ac:dyDescent="0.2">
      <c r="A906" s="114"/>
      <c r="B906" s="23"/>
      <c r="C906" s="23"/>
      <c r="D906" s="23"/>
      <c r="E906" s="23"/>
      <c r="G906" s="23"/>
      <c r="H906" s="23"/>
      <c r="Y906" s="8" t="str">
        <f>IF(A906="","",IFERROR(IF(VLOOKUP(A906,Entry!$D:$D,1,FALSE)=A906,"",ROW()),ROW()))</f>
        <v/>
      </c>
      <c r="AG906" s="8" t="str">
        <f>IF(A906="","",IFERROR(IF(VLOOKUP(A906,Entry!$D:$D,1,FALSE)=A906,TRUE,FALSE),FALSE))</f>
        <v/>
      </c>
    </row>
    <row r="907" spans="1:33" x14ac:dyDescent="0.2">
      <c r="A907" s="114"/>
      <c r="B907" s="23"/>
      <c r="C907" s="23"/>
      <c r="D907" s="23"/>
      <c r="E907" s="23"/>
      <c r="G907" s="23"/>
      <c r="H907" s="23"/>
      <c r="Y907" s="8" t="str">
        <f>IF(A907="","",IFERROR(IF(VLOOKUP(A907,Entry!$D:$D,1,FALSE)=A907,"",ROW()),ROW()))</f>
        <v/>
      </c>
      <c r="AG907" s="8" t="str">
        <f>IF(A907="","",IFERROR(IF(VLOOKUP(A907,Entry!$D:$D,1,FALSE)=A907,TRUE,FALSE),FALSE))</f>
        <v/>
      </c>
    </row>
    <row r="908" spans="1:33" x14ac:dyDescent="0.2">
      <c r="A908" s="114"/>
      <c r="B908" s="23"/>
      <c r="C908" s="23"/>
      <c r="D908" s="23"/>
      <c r="E908" s="23"/>
      <c r="G908" s="23"/>
      <c r="H908" s="23"/>
      <c r="Y908" s="8" t="str">
        <f>IF(A908="","",IFERROR(IF(VLOOKUP(A908,Entry!$D:$D,1,FALSE)=A908,"",ROW()),ROW()))</f>
        <v/>
      </c>
      <c r="AG908" s="8" t="str">
        <f>IF(A908="","",IFERROR(IF(VLOOKUP(A908,Entry!$D:$D,1,FALSE)=A908,TRUE,FALSE),FALSE))</f>
        <v/>
      </c>
    </row>
    <row r="909" spans="1:33" x14ac:dyDescent="0.2">
      <c r="A909" s="114"/>
      <c r="B909" s="23"/>
      <c r="C909" s="23"/>
      <c r="D909" s="23"/>
      <c r="E909" s="23"/>
      <c r="G909" s="23"/>
      <c r="H909" s="23"/>
      <c r="Y909" s="8" t="str">
        <f>IF(A909="","",IFERROR(IF(VLOOKUP(A909,Entry!$D:$D,1,FALSE)=A909,"",ROW()),ROW()))</f>
        <v/>
      </c>
      <c r="AG909" s="8" t="str">
        <f>IF(A909="","",IFERROR(IF(VLOOKUP(A909,Entry!$D:$D,1,FALSE)=A909,TRUE,FALSE),FALSE))</f>
        <v/>
      </c>
    </row>
    <row r="910" spans="1:33" x14ac:dyDescent="0.2">
      <c r="A910" s="114"/>
      <c r="B910" s="23"/>
      <c r="C910" s="23"/>
      <c r="D910" s="23"/>
      <c r="E910" s="23"/>
      <c r="G910" s="23"/>
      <c r="H910" s="23"/>
      <c r="Y910" s="8" t="str">
        <f>IF(A910="","",IFERROR(IF(VLOOKUP(A910,Entry!$D:$D,1,FALSE)=A910,"",ROW()),ROW()))</f>
        <v/>
      </c>
      <c r="AG910" s="8" t="str">
        <f>IF(A910="","",IFERROR(IF(VLOOKUP(A910,Entry!$D:$D,1,FALSE)=A910,TRUE,FALSE),FALSE))</f>
        <v/>
      </c>
    </row>
    <row r="911" spans="1:33" x14ac:dyDescent="0.2">
      <c r="A911" s="114"/>
      <c r="B911" s="23"/>
      <c r="C911" s="23"/>
      <c r="D911" s="23"/>
      <c r="E911" s="23"/>
      <c r="G911" s="23"/>
      <c r="H911" s="23"/>
      <c r="Y911" s="8" t="str">
        <f>IF(A911="","",IFERROR(IF(VLOOKUP(A911,Entry!$D:$D,1,FALSE)=A911,"",ROW()),ROW()))</f>
        <v/>
      </c>
      <c r="AG911" s="8" t="str">
        <f>IF(A911="","",IFERROR(IF(VLOOKUP(A911,Entry!$D:$D,1,FALSE)=A911,TRUE,FALSE),FALSE))</f>
        <v/>
      </c>
    </row>
    <row r="912" spans="1:33" x14ac:dyDescent="0.2">
      <c r="A912" s="114"/>
      <c r="B912" s="23"/>
      <c r="C912" s="23"/>
      <c r="D912" s="23"/>
      <c r="E912" s="23"/>
      <c r="G912" s="23"/>
      <c r="H912" s="23"/>
      <c r="Y912" s="8" t="str">
        <f>IF(A912="","",IFERROR(IF(VLOOKUP(A912,Entry!$D:$D,1,FALSE)=A912,"",ROW()),ROW()))</f>
        <v/>
      </c>
      <c r="AG912" s="8" t="str">
        <f>IF(A912="","",IFERROR(IF(VLOOKUP(A912,Entry!$D:$D,1,FALSE)=A912,TRUE,FALSE),FALSE))</f>
        <v/>
      </c>
    </row>
    <row r="913" spans="1:33" x14ac:dyDescent="0.2">
      <c r="A913" s="114"/>
      <c r="B913" s="23"/>
      <c r="C913" s="23"/>
      <c r="D913" s="23"/>
      <c r="E913" s="23"/>
      <c r="G913" s="23"/>
      <c r="H913" s="23"/>
      <c r="Y913" s="8" t="str">
        <f>IF(A913="","",IFERROR(IF(VLOOKUP(A913,Entry!$D:$D,1,FALSE)=A913,"",ROW()),ROW()))</f>
        <v/>
      </c>
      <c r="AG913" s="8" t="str">
        <f>IF(A913="","",IFERROR(IF(VLOOKUP(A913,Entry!$D:$D,1,FALSE)=A913,TRUE,FALSE),FALSE))</f>
        <v/>
      </c>
    </row>
    <row r="914" spans="1:33" x14ac:dyDescent="0.2">
      <c r="A914" s="114"/>
      <c r="B914" s="23"/>
      <c r="C914" s="23"/>
      <c r="D914" s="23"/>
      <c r="E914" s="23"/>
      <c r="G914" s="23"/>
      <c r="H914" s="23"/>
      <c r="Y914" s="8" t="str">
        <f>IF(A914="","",IFERROR(IF(VLOOKUP(A914,Entry!$D:$D,1,FALSE)=A914,"",ROW()),ROW()))</f>
        <v/>
      </c>
      <c r="AG914" s="8" t="str">
        <f>IF(A914="","",IFERROR(IF(VLOOKUP(A914,Entry!$D:$D,1,FALSE)=A914,TRUE,FALSE),FALSE))</f>
        <v/>
      </c>
    </row>
    <row r="915" spans="1:33" x14ac:dyDescent="0.2">
      <c r="A915" s="114"/>
      <c r="B915" s="23"/>
      <c r="C915" s="23"/>
      <c r="D915" s="23"/>
      <c r="E915" s="23"/>
      <c r="G915" s="23"/>
      <c r="H915" s="23"/>
      <c r="Y915" s="8" t="str">
        <f>IF(A915="","",IFERROR(IF(VLOOKUP(A915,Entry!$D:$D,1,FALSE)=A915,"",ROW()),ROW()))</f>
        <v/>
      </c>
      <c r="AG915" s="8" t="str">
        <f>IF(A915="","",IFERROR(IF(VLOOKUP(A915,Entry!$D:$D,1,FALSE)=A915,TRUE,FALSE),FALSE))</f>
        <v/>
      </c>
    </row>
    <row r="916" spans="1:33" x14ac:dyDescent="0.2">
      <c r="A916" s="114"/>
      <c r="B916" s="23"/>
      <c r="C916" s="23"/>
      <c r="D916" s="23"/>
      <c r="E916" s="23"/>
      <c r="G916" s="23"/>
      <c r="H916" s="23"/>
      <c r="Y916" s="8" t="str">
        <f>IF(A916="","",IFERROR(IF(VLOOKUP(A916,Entry!$D:$D,1,FALSE)=A916,"",ROW()),ROW()))</f>
        <v/>
      </c>
      <c r="AG916" s="8" t="str">
        <f>IF(A916="","",IFERROR(IF(VLOOKUP(A916,Entry!$D:$D,1,FALSE)=A916,TRUE,FALSE),FALSE))</f>
        <v/>
      </c>
    </row>
    <row r="917" spans="1:33" x14ac:dyDescent="0.2">
      <c r="A917" s="114"/>
      <c r="B917" s="23"/>
      <c r="C917" s="23"/>
      <c r="D917" s="23"/>
      <c r="E917" s="23"/>
      <c r="G917" s="23"/>
      <c r="H917" s="23"/>
      <c r="Y917" s="8" t="str">
        <f>IF(A917="","",IFERROR(IF(VLOOKUP(A917,Entry!$D:$D,1,FALSE)=A917,"",ROW()),ROW()))</f>
        <v/>
      </c>
      <c r="AG917" s="8" t="str">
        <f>IF(A917="","",IFERROR(IF(VLOOKUP(A917,Entry!$D:$D,1,FALSE)=A917,TRUE,FALSE),FALSE))</f>
        <v/>
      </c>
    </row>
    <row r="918" spans="1:33" x14ac:dyDescent="0.2">
      <c r="A918" s="114"/>
      <c r="B918" s="23"/>
      <c r="C918" s="23"/>
      <c r="D918" s="23"/>
      <c r="E918" s="23"/>
      <c r="G918" s="23"/>
      <c r="H918" s="23"/>
      <c r="Y918" s="8" t="str">
        <f>IF(A918="","",IFERROR(IF(VLOOKUP(A918,Entry!$D:$D,1,FALSE)=A918,"",ROW()),ROW()))</f>
        <v/>
      </c>
      <c r="AG918" s="8" t="str">
        <f>IF(A918="","",IFERROR(IF(VLOOKUP(A918,Entry!$D:$D,1,FALSE)=A918,TRUE,FALSE),FALSE))</f>
        <v/>
      </c>
    </row>
    <row r="919" spans="1:33" x14ac:dyDescent="0.2">
      <c r="A919" s="114"/>
      <c r="B919" s="23"/>
      <c r="C919" s="23"/>
      <c r="D919" s="23"/>
      <c r="E919" s="23"/>
      <c r="G919" s="23"/>
      <c r="H919" s="23"/>
      <c r="Y919" s="8" t="str">
        <f>IF(A919="","",IFERROR(IF(VLOOKUP(A919,Entry!$D:$D,1,FALSE)=A919,"",ROW()),ROW()))</f>
        <v/>
      </c>
      <c r="AG919" s="8" t="str">
        <f>IF(A919="","",IFERROR(IF(VLOOKUP(A919,Entry!$D:$D,1,FALSE)=A919,TRUE,FALSE),FALSE))</f>
        <v/>
      </c>
    </row>
    <row r="920" spans="1:33" x14ac:dyDescent="0.2">
      <c r="A920" s="114"/>
      <c r="B920" s="23"/>
      <c r="C920" s="23"/>
      <c r="D920" s="23"/>
      <c r="E920" s="23"/>
      <c r="G920" s="23"/>
      <c r="H920" s="23"/>
      <c r="Y920" s="8" t="str">
        <f>IF(A920="","",IFERROR(IF(VLOOKUP(A920,Entry!$D:$D,1,FALSE)=A920,"",ROW()),ROW()))</f>
        <v/>
      </c>
      <c r="AG920" s="8" t="str">
        <f>IF(A920="","",IFERROR(IF(VLOOKUP(A920,Entry!$D:$D,1,FALSE)=A920,TRUE,FALSE),FALSE))</f>
        <v/>
      </c>
    </row>
    <row r="921" spans="1:33" x14ac:dyDescent="0.2">
      <c r="A921" s="114"/>
      <c r="B921" s="23"/>
      <c r="C921" s="23"/>
      <c r="D921" s="23"/>
      <c r="E921" s="23"/>
      <c r="G921" s="23"/>
      <c r="H921" s="23"/>
      <c r="Y921" s="8" t="str">
        <f>IF(A921="","",IFERROR(IF(VLOOKUP(A921,Entry!$D:$D,1,FALSE)=A921,"",ROW()),ROW()))</f>
        <v/>
      </c>
      <c r="AG921" s="8" t="str">
        <f>IF(A921="","",IFERROR(IF(VLOOKUP(A921,Entry!$D:$D,1,FALSE)=A921,TRUE,FALSE),FALSE))</f>
        <v/>
      </c>
    </row>
    <row r="922" spans="1:33" x14ac:dyDescent="0.2">
      <c r="A922" s="114"/>
      <c r="B922" s="23"/>
      <c r="C922" s="23"/>
      <c r="D922" s="23"/>
      <c r="E922" s="23"/>
      <c r="G922" s="23"/>
      <c r="H922" s="23"/>
      <c r="Y922" s="8" t="str">
        <f>IF(A922="","",IFERROR(IF(VLOOKUP(A922,Entry!$D:$D,1,FALSE)=A922,"",ROW()),ROW()))</f>
        <v/>
      </c>
      <c r="AG922" s="8" t="str">
        <f>IF(A922="","",IFERROR(IF(VLOOKUP(A922,Entry!$D:$D,1,FALSE)=A922,TRUE,FALSE),FALSE))</f>
        <v/>
      </c>
    </row>
    <row r="923" spans="1:33" x14ac:dyDescent="0.2">
      <c r="A923" s="114"/>
      <c r="B923" s="23"/>
      <c r="C923" s="23"/>
      <c r="D923" s="23"/>
      <c r="E923" s="23"/>
      <c r="G923" s="23"/>
      <c r="H923" s="23"/>
      <c r="Y923" s="8" t="str">
        <f>IF(A923="","",IFERROR(IF(VLOOKUP(A923,Entry!$D:$D,1,FALSE)=A923,"",ROW()),ROW()))</f>
        <v/>
      </c>
      <c r="AG923" s="8" t="str">
        <f>IF(A923="","",IFERROR(IF(VLOOKUP(A923,Entry!$D:$D,1,FALSE)=A923,TRUE,FALSE),FALSE))</f>
        <v/>
      </c>
    </row>
    <row r="924" spans="1:33" x14ac:dyDescent="0.2">
      <c r="A924" s="114"/>
      <c r="B924" s="23"/>
      <c r="C924" s="23"/>
      <c r="D924" s="23"/>
      <c r="E924" s="23"/>
      <c r="G924" s="23"/>
      <c r="H924" s="23"/>
      <c r="Y924" s="8" t="str">
        <f>IF(A924="","",IFERROR(IF(VLOOKUP(A924,Entry!$D:$D,1,FALSE)=A924,"",ROW()),ROW()))</f>
        <v/>
      </c>
      <c r="AG924" s="8" t="str">
        <f>IF(A924="","",IFERROR(IF(VLOOKUP(A924,Entry!$D:$D,1,FALSE)=A924,TRUE,FALSE),FALSE))</f>
        <v/>
      </c>
    </row>
    <row r="925" spans="1:33" x14ac:dyDescent="0.2">
      <c r="A925" s="114"/>
      <c r="B925" s="23"/>
      <c r="C925" s="23"/>
      <c r="D925" s="23"/>
      <c r="E925" s="23"/>
      <c r="G925" s="23"/>
      <c r="H925" s="23"/>
      <c r="Y925" s="8" t="str">
        <f>IF(A925="","",IFERROR(IF(VLOOKUP(A925,Entry!$D:$D,1,FALSE)=A925,"",ROW()),ROW()))</f>
        <v/>
      </c>
      <c r="AG925" s="8" t="str">
        <f>IF(A925="","",IFERROR(IF(VLOOKUP(A925,Entry!$D:$D,1,FALSE)=A925,TRUE,FALSE),FALSE))</f>
        <v/>
      </c>
    </row>
    <row r="926" spans="1:33" x14ac:dyDescent="0.2">
      <c r="A926" s="114"/>
      <c r="B926" s="23"/>
      <c r="C926" s="23"/>
      <c r="D926" s="23"/>
      <c r="E926" s="23"/>
      <c r="G926" s="23"/>
      <c r="H926" s="23"/>
      <c r="Y926" s="8" t="str">
        <f>IF(A926="","",IFERROR(IF(VLOOKUP(A926,Entry!$D:$D,1,FALSE)=A926,"",ROW()),ROW()))</f>
        <v/>
      </c>
      <c r="AG926" s="8" t="str">
        <f>IF(A926="","",IFERROR(IF(VLOOKUP(A926,Entry!$D:$D,1,FALSE)=A926,TRUE,FALSE),FALSE))</f>
        <v/>
      </c>
    </row>
    <row r="927" spans="1:33" x14ac:dyDescent="0.2">
      <c r="A927" s="114"/>
      <c r="B927" s="23"/>
      <c r="C927" s="23"/>
      <c r="D927" s="23"/>
      <c r="E927" s="23"/>
      <c r="G927" s="23"/>
      <c r="H927" s="23"/>
      <c r="Y927" s="8" t="str">
        <f>IF(A927="","",IFERROR(IF(VLOOKUP(A927,Entry!$D:$D,1,FALSE)=A927,"",ROW()),ROW()))</f>
        <v/>
      </c>
      <c r="AG927" s="8" t="str">
        <f>IF(A927="","",IFERROR(IF(VLOOKUP(A927,Entry!$D:$D,1,FALSE)=A927,TRUE,FALSE),FALSE))</f>
        <v/>
      </c>
    </row>
    <row r="928" spans="1:33" x14ac:dyDescent="0.2">
      <c r="A928" s="114"/>
      <c r="B928" s="23"/>
      <c r="C928" s="23"/>
      <c r="D928" s="23"/>
      <c r="E928" s="23"/>
      <c r="G928" s="23"/>
      <c r="H928" s="23"/>
      <c r="Y928" s="8" t="str">
        <f>IF(A928="","",IFERROR(IF(VLOOKUP(A928,Entry!$D:$D,1,FALSE)=A928,"",ROW()),ROW()))</f>
        <v/>
      </c>
      <c r="AG928" s="8" t="str">
        <f>IF(A928="","",IFERROR(IF(VLOOKUP(A928,Entry!$D:$D,1,FALSE)=A928,TRUE,FALSE),FALSE))</f>
        <v/>
      </c>
    </row>
    <row r="929" spans="1:33" x14ac:dyDescent="0.2">
      <c r="A929" s="114"/>
      <c r="B929" s="23"/>
      <c r="C929" s="23"/>
      <c r="D929" s="23"/>
      <c r="E929" s="23"/>
      <c r="G929" s="23"/>
      <c r="H929" s="23"/>
      <c r="Y929" s="8" t="str">
        <f>IF(A929="","",IFERROR(IF(VLOOKUP(A929,Entry!$D:$D,1,FALSE)=A929,"",ROW()),ROW()))</f>
        <v/>
      </c>
      <c r="AG929" s="8" t="str">
        <f>IF(A929="","",IFERROR(IF(VLOOKUP(A929,Entry!$D:$D,1,FALSE)=A929,TRUE,FALSE),FALSE))</f>
        <v/>
      </c>
    </row>
    <row r="930" spans="1:33" x14ac:dyDescent="0.2">
      <c r="A930" s="114"/>
      <c r="B930" s="23"/>
      <c r="C930" s="23"/>
      <c r="D930" s="23"/>
      <c r="E930" s="23"/>
      <c r="G930" s="23"/>
      <c r="H930" s="23"/>
      <c r="Y930" s="8" t="str">
        <f>IF(A930="","",IFERROR(IF(VLOOKUP(A930,Entry!$D:$D,1,FALSE)=A930,"",ROW()),ROW()))</f>
        <v/>
      </c>
      <c r="AG930" s="8" t="str">
        <f>IF(A930="","",IFERROR(IF(VLOOKUP(A930,Entry!$D:$D,1,FALSE)=A930,TRUE,FALSE),FALSE))</f>
        <v/>
      </c>
    </row>
    <row r="931" spans="1:33" x14ac:dyDescent="0.2">
      <c r="A931" s="114"/>
      <c r="B931" s="23"/>
      <c r="C931" s="23"/>
      <c r="D931" s="23"/>
      <c r="E931" s="23"/>
      <c r="G931" s="23"/>
      <c r="H931" s="23"/>
      <c r="Y931" s="8" t="str">
        <f>IF(A931="","",IFERROR(IF(VLOOKUP(A931,Entry!$D:$D,1,FALSE)=A931,"",ROW()),ROW()))</f>
        <v/>
      </c>
      <c r="AG931" s="8" t="str">
        <f>IF(A931="","",IFERROR(IF(VLOOKUP(A931,Entry!$D:$D,1,FALSE)=A931,TRUE,FALSE),FALSE))</f>
        <v/>
      </c>
    </row>
    <row r="932" spans="1:33" x14ac:dyDescent="0.2">
      <c r="A932" s="114"/>
      <c r="B932" s="23"/>
      <c r="C932" s="23"/>
      <c r="D932" s="23"/>
      <c r="E932" s="23"/>
      <c r="G932" s="23"/>
      <c r="H932" s="23"/>
      <c r="Y932" s="8" t="str">
        <f>IF(A932="","",IFERROR(IF(VLOOKUP(A932,Entry!$D:$D,1,FALSE)=A932,"",ROW()),ROW()))</f>
        <v/>
      </c>
      <c r="AG932" s="8" t="str">
        <f>IF(A932="","",IFERROR(IF(VLOOKUP(A932,Entry!$D:$D,1,FALSE)=A932,TRUE,FALSE),FALSE))</f>
        <v/>
      </c>
    </row>
    <row r="933" spans="1:33" x14ac:dyDescent="0.2">
      <c r="A933" s="114"/>
      <c r="B933" s="23"/>
      <c r="C933" s="23"/>
      <c r="D933" s="23"/>
      <c r="E933" s="23"/>
      <c r="G933" s="23"/>
      <c r="H933" s="23"/>
      <c r="Y933" s="8" t="str">
        <f>IF(A933="","",IFERROR(IF(VLOOKUP(A933,Entry!$D:$D,1,FALSE)=A933,"",ROW()),ROW()))</f>
        <v/>
      </c>
      <c r="AG933" s="8" t="str">
        <f>IF(A933="","",IFERROR(IF(VLOOKUP(A933,Entry!$D:$D,1,FALSE)=A933,TRUE,FALSE),FALSE))</f>
        <v/>
      </c>
    </row>
    <row r="934" spans="1:33" x14ac:dyDescent="0.2">
      <c r="A934" s="114"/>
      <c r="B934" s="23"/>
      <c r="C934" s="23"/>
      <c r="D934" s="23"/>
      <c r="E934" s="23"/>
      <c r="G934" s="23"/>
      <c r="H934" s="23"/>
      <c r="Y934" s="8" t="str">
        <f>IF(A934="","",IFERROR(IF(VLOOKUP(A934,Entry!$D:$D,1,FALSE)=A934,"",ROW()),ROW()))</f>
        <v/>
      </c>
      <c r="AG934" s="8" t="str">
        <f>IF(A934="","",IFERROR(IF(VLOOKUP(A934,Entry!$D:$D,1,FALSE)=A934,TRUE,FALSE),FALSE))</f>
        <v/>
      </c>
    </row>
    <row r="935" spans="1:33" x14ac:dyDescent="0.2">
      <c r="A935" s="114"/>
      <c r="B935" s="23"/>
      <c r="C935" s="23"/>
      <c r="D935" s="23"/>
      <c r="E935" s="23"/>
      <c r="G935" s="23"/>
      <c r="H935" s="23"/>
      <c r="Y935" s="8" t="str">
        <f>IF(A935="","",IFERROR(IF(VLOOKUP(A935,Entry!$D:$D,1,FALSE)=A935,"",ROW()),ROW()))</f>
        <v/>
      </c>
      <c r="AG935" s="8" t="str">
        <f>IF(A935="","",IFERROR(IF(VLOOKUP(A935,Entry!$D:$D,1,FALSE)=A935,TRUE,FALSE),FALSE))</f>
        <v/>
      </c>
    </row>
    <row r="936" spans="1:33" x14ac:dyDescent="0.2">
      <c r="A936" s="114"/>
      <c r="B936" s="23"/>
      <c r="C936" s="23"/>
      <c r="D936" s="23"/>
      <c r="E936" s="23"/>
      <c r="G936" s="23"/>
      <c r="H936" s="23"/>
      <c r="Y936" s="8" t="str">
        <f>IF(A936="","",IFERROR(IF(VLOOKUP(A936,Entry!$D:$D,1,FALSE)=A936,"",ROW()),ROW()))</f>
        <v/>
      </c>
      <c r="AG936" s="8" t="str">
        <f>IF(A936="","",IFERROR(IF(VLOOKUP(A936,Entry!$D:$D,1,FALSE)=A936,TRUE,FALSE),FALSE))</f>
        <v/>
      </c>
    </row>
    <row r="937" spans="1:33" x14ac:dyDescent="0.2">
      <c r="A937" s="114"/>
      <c r="B937" s="23"/>
      <c r="C937" s="23"/>
      <c r="D937" s="23"/>
      <c r="E937" s="23"/>
      <c r="G937" s="23"/>
      <c r="H937" s="23"/>
      <c r="Y937" s="8" t="str">
        <f>IF(A937="","",IFERROR(IF(VLOOKUP(A937,Entry!$D:$D,1,FALSE)=A937,"",ROW()),ROW()))</f>
        <v/>
      </c>
      <c r="AG937" s="8" t="str">
        <f>IF(A937="","",IFERROR(IF(VLOOKUP(A937,Entry!$D:$D,1,FALSE)=A937,TRUE,FALSE),FALSE))</f>
        <v/>
      </c>
    </row>
    <row r="938" spans="1:33" x14ac:dyDescent="0.2">
      <c r="A938" s="114"/>
      <c r="B938" s="23"/>
      <c r="C938" s="23"/>
      <c r="D938" s="23"/>
      <c r="E938" s="23"/>
      <c r="G938" s="23"/>
      <c r="H938" s="23"/>
      <c r="Y938" s="8" t="str">
        <f>IF(A938="","",IFERROR(IF(VLOOKUP(A938,Entry!$D:$D,1,FALSE)=A938,"",ROW()),ROW()))</f>
        <v/>
      </c>
      <c r="AG938" s="8" t="str">
        <f>IF(A938="","",IFERROR(IF(VLOOKUP(A938,Entry!$D:$D,1,FALSE)=A938,TRUE,FALSE),FALSE))</f>
        <v/>
      </c>
    </row>
    <row r="939" spans="1:33" x14ac:dyDescent="0.2">
      <c r="A939" s="114"/>
      <c r="B939" s="23"/>
      <c r="C939" s="23"/>
      <c r="D939" s="23"/>
      <c r="E939" s="23"/>
      <c r="G939" s="23"/>
      <c r="H939" s="23"/>
      <c r="Y939" s="8" t="str">
        <f>IF(A939="","",IFERROR(IF(VLOOKUP(A939,Entry!$D:$D,1,FALSE)=A939,"",ROW()),ROW()))</f>
        <v/>
      </c>
      <c r="AG939" s="8" t="str">
        <f>IF(A939="","",IFERROR(IF(VLOOKUP(A939,Entry!$D:$D,1,FALSE)=A939,TRUE,FALSE),FALSE))</f>
        <v/>
      </c>
    </row>
    <row r="940" spans="1:33" x14ac:dyDescent="0.2">
      <c r="A940" s="114"/>
      <c r="B940" s="23"/>
      <c r="C940" s="23"/>
      <c r="D940" s="23"/>
      <c r="E940" s="23"/>
      <c r="G940" s="23"/>
      <c r="H940" s="23"/>
      <c r="Y940" s="8" t="str">
        <f>IF(A940="","",IFERROR(IF(VLOOKUP(A940,Entry!$D:$D,1,FALSE)=A940,"",ROW()),ROW()))</f>
        <v/>
      </c>
      <c r="AG940" s="8" t="str">
        <f>IF(A940="","",IFERROR(IF(VLOOKUP(A940,Entry!$D:$D,1,FALSE)=A940,TRUE,FALSE),FALSE))</f>
        <v/>
      </c>
    </row>
    <row r="941" spans="1:33" x14ac:dyDescent="0.2">
      <c r="A941" s="114"/>
      <c r="B941" s="23"/>
      <c r="C941" s="23"/>
      <c r="D941" s="23"/>
      <c r="E941" s="23"/>
      <c r="G941" s="23"/>
      <c r="H941" s="23"/>
      <c r="Y941" s="8" t="str">
        <f>IF(A941="","",IFERROR(IF(VLOOKUP(A941,Entry!$D:$D,1,FALSE)=A941,"",ROW()),ROW()))</f>
        <v/>
      </c>
      <c r="AG941" s="8" t="str">
        <f>IF(A941="","",IFERROR(IF(VLOOKUP(A941,Entry!$D:$D,1,FALSE)=A941,TRUE,FALSE),FALSE))</f>
        <v/>
      </c>
    </row>
    <row r="942" spans="1:33" x14ac:dyDescent="0.2">
      <c r="A942" s="114"/>
      <c r="B942" s="23"/>
      <c r="C942" s="23"/>
      <c r="D942" s="23"/>
      <c r="E942" s="23"/>
      <c r="G942" s="23"/>
      <c r="H942" s="23"/>
      <c r="Y942" s="8" t="str">
        <f>IF(A942="","",IFERROR(IF(VLOOKUP(A942,Entry!$D:$D,1,FALSE)=A942,"",ROW()),ROW()))</f>
        <v/>
      </c>
      <c r="AG942" s="8" t="str">
        <f>IF(A942="","",IFERROR(IF(VLOOKUP(A942,Entry!$D:$D,1,FALSE)=A942,TRUE,FALSE),FALSE))</f>
        <v/>
      </c>
    </row>
    <row r="943" spans="1:33" x14ac:dyDescent="0.2">
      <c r="A943" s="114"/>
      <c r="B943" s="23"/>
      <c r="C943" s="23"/>
      <c r="D943" s="23"/>
      <c r="E943" s="23"/>
      <c r="G943" s="23"/>
      <c r="H943" s="23"/>
      <c r="Y943" s="8" t="str">
        <f>IF(A943="","",IFERROR(IF(VLOOKUP(A943,Entry!$D:$D,1,FALSE)=A943,"",ROW()),ROW()))</f>
        <v/>
      </c>
      <c r="AG943" s="8" t="str">
        <f>IF(A943="","",IFERROR(IF(VLOOKUP(A943,Entry!$D:$D,1,FALSE)=A943,TRUE,FALSE),FALSE))</f>
        <v/>
      </c>
    </row>
    <row r="944" spans="1:33" x14ac:dyDescent="0.2">
      <c r="A944" s="114"/>
      <c r="B944" s="23"/>
      <c r="C944" s="23"/>
      <c r="D944" s="23"/>
      <c r="E944" s="23"/>
      <c r="G944" s="23"/>
      <c r="H944" s="23"/>
      <c r="Y944" s="8" t="str">
        <f>IF(A944="","",IFERROR(IF(VLOOKUP(A944,Entry!$D:$D,1,FALSE)=A944,"",ROW()),ROW()))</f>
        <v/>
      </c>
      <c r="AG944" s="8" t="str">
        <f>IF(A944="","",IFERROR(IF(VLOOKUP(A944,Entry!$D:$D,1,FALSE)=A944,TRUE,FALSE),FALSE))</f>
        <v/>
      </c>
    </row>
    <row r="945" spans="1:33" x14ac:dyDescent="0.2">
      <c r="A945" s="114"/>
      <c r="B945" s="23"/>
      <c r="C945" s="23"/>
      <c r="D945" s="23"/>
      <c r="E945" s="23"/>
      <c r="G945" s="23"/>
      <c r="H945" s="23"/>
      <c r="Y945" s="8" t="str">
        <f>IF(A945="","",IFERROR(IF(VLOOKUP(A945,Entry!$D:$D,1,FALSE)=A945,"",ROW()),ROW()))</f>
        <v/>
      </c>
      <c r="AG945" s="8" t="str">
        <f>IF(A945="","",IFERROR(IF(VLOOKUP(A945,Entry!$D:$D,1,FALSE)=A945,TRUE,FALSE),FALSE))</f>
        <v/>
      </c>
    </row>
    <row r="946" spans="1:33" x14ac:dyDescent="0.2">
      <c r="A946" s="114"/>
      <c r="B946" s="23"/>
      <c r="C946" s="23"/>
      <c r="D946" s="23"/>
      <c r="E946" s="23"/>
      <c r="G946" s="23"/>
      <c r="H946" s="23"/>
      <c r="Y946" s="8" t="str">
        <f>IF(A946="","",IFERROR(IF(VLOOKUP(A946,Entry!$D:$D,1,FALSE)=A946,"",ROW()),ROW()))</f>
        <v/>
      </c>
      <c r="AG946" s="8" t="str">
        <f>IF(A946="","",IFERROR(IF(VLOOKUP(A946,Entry!$D:$D,1,FALSE)=A946,TRUE,FALSE),FALSE))</f>
        <v/>
      </c>
    </row>
    <row r="947" spans="1:33" x14ac:dyDescent="0.2">
      <c r="A947" s="114"/>
      <c r="B947" s="23"/>
      <c r="C947" s="23"/>
      <c r="D947" s="23"/>
      <c r="E947" s="23"/>
      <c r="G947" s="23"/>
      <c r="H947" s="23"/>
      <c r="Y947" s="8" t="str">
        <f>IF(A947="","",IFERROR(IF(VLOOKUP(A947,Entry!$D:$D,1,FALSE)=A947,"",ROW()),ROW()))</f>
        <v/>
      </c>
      <c r="AG947" s="8" t="str">
        <f>IF(A947="","",IFERROR(IF(VLOOKUP(A947,Entry!$D:$D,1,FALSE)=A947,TRUE,FALSE),FALSE))</f>
        <v/>
      </c>
    </row>
    <row r="948" spans="1:33" x14ac:dyDescent="0.2">
      <c r="A948" s="114"/>
      <c r="B948" s="23"/>
      <c r="C948" s="23"/>
      <c r="D948" s="23"/>
      <c r="E948" s="23"/>
      <c r="G948" s="23"/>
      <c r="H948" s="23"/>
      <c r="Y948" s="8" t="str">
        <f>IF(A948="","",IFERROR(IF(VLOOKUP(A948,Entry!$D:$D,1,FALSE)=A948,"",ROW()),ROW()))</f>
        <v/>
      </c>
      <c r="AG948" s="8" t="str">
        <f>IF(A948="","",IFERROR(IF(VLOOKUP(A948,Entry!$D:$D,1,FALSE)=A948,TRUE,FALSE),FALSE))</f>
        <v/>
      </c>
    </row>
    <row r="949" spans="1:33" x14ac:dyDescent="0.2">
      <c r="A949" s="114"/>
      <c r="B949" s="23"/>
      <c r="C949" s="23"/>
      <c r="D949" s="23"/>
      <c r="E949" s="23"/>
      <c r="G949" s="23"/>
      <c r="H949" s="23"/>
      <c r="Y949" s="8" t="str">
        <f>IF(A949="","",IFERROR(IF(VLOOKUP(A949,Entry!$D:$D,1,FALSE)=A949,"",ROW()),ROW()))</f>
        <v/>
      </c>
      <c r="AG949" s="8" t="str">
        <f>IF(A949="","",IFERROR(IF(VLOOKUP(A949,Entry!$D:$D,1,FALSE)=A949,TRUE,FALSE),FALSE))</f>
        <v/>
      </c>
    </row>
    <row r="950" spans="1:33" x14ac:dyDescent="0.2">
      <c r="A950" s="114"/>
      <c r="B950" s="23"/>
      <c r="C950" s="23"/>
      <c r="D950" s="23"/>
      <c r="E950" s="23"/>
      <c r="G950" s="23"/>
      <c r="H950" s="23"/>
      <c r="Y950" s="8" t="str">
        <f>IF(A950="","",IFERROR(IF(VLOOKUP(A950,Entry!$D:$D,1,FALSE)=A950,"",ROW()),ROW()))</f>
        <v/>
      </c>
      <c r="AG950" s="8" t="str">
        <f>IF(A950="","",IFERROR(IF(VLOOKUP(A950,Entry!$D:$D,1,FALSE)=A950,TRUE,FALSE),FALSE))</f>
        <v/>
      </c>
    </row>
    <row r="951" spans="1:33" x14ac:dyDescent="0.2">
      <c r="A951" s="114"/>
      <c r="B951" s="23"/>
      <c r="C951" s="23"/>
      <c r="D951" s="23"/>
      <c r="E951" s="23"/>
      <c r="G951" s="23"/>
      <c r="H951" s="23"/>
      <c r="Y951" s="8" t="str">
        <f>IF(A951="","",IFERROR(IF(VLOOKUP(A951,Entry!$D:$D,1,FALSE)=A951,"",ROW()),ROW()))</f>
        <v/>
      </c>
      <c r="AG951" s="8" t="str">
        <f>IF(A951="","",IFERROR(IF(VLOOKUP(A951,Entry!$D:$D,1,FALSE)=A951,TRUE,FALSE),FALSE))</f>
        <v/>
      </c>
    </row>
    <row r="952" spans="1:33" x14ac:dyDescent="0.2">
      <c r="A952" s="114"/>
      <c r="B952" s="23"/>
      <c r="C952" s="23"/>
      <c r="D952" s="23"/>
      <c r="E952" s="23"/>
      <c r="G952" s="23"/>
      <c r="H952" s="23"/>
      <c r="Y952" s="8" t="str">
        <f>IF(A952="","",IFERROR(IF(VLOOKUP(A952,Entry!$D:$D,1,FALSE)=A952,"",ROW()),ROW()))</f>
        <v/>
      </c>
      <c r="AG952" s="8" t="str">
        <f>IF(A952="","",IFERROR(IF(VLOOKUP(A952,Entry!$D:$D,1,FALSE)=A952,TRUE,FALSE),FALSE))</f>
        <v/>
      </c>
    </row>
    <row r="953" spans="1:33" x14ac:dyDescent="0.2">
      <c r="A953" s="114"/>
      <c r="B953" s="23"/>
      <c r="C953" s="23"/>
      <c r="D953" s="23"/>
      <c r="E953" s="23"/>
      <c r="G953" s="23"/>
      <c r="H953" s="23"/>
      <c r="Y953" s="8" t="str">
        <f>IF(A953="","",IFERROR(IF(VLOOKUP(A953,Entry!$D:$D,1,FALSE)=A953,"",ROW()),ROW()))</f>
        <v/>
      </c>
      <c r="AG953" s="8" t="str">
        <f>IF(A953="","",IFERROR(IF(VLOOKUP(A953,Entry!$D:$D,1,FALSE)=A953,TRUE,FALSE),FALSE))</f>
        <v/>
      </c>
    </row>
    <row r="954" spans="1:33" x14ac:dyDescent="0.2">
      <c r="A954" s="114"/>
      <c r="B954" s="23"/>
      <c r="C954" s="23"/>
      <c r="D954" s="23"/>
      <c r="E954" s="23"/>
      <c r="G954" s="23"/>
      <c r="H954" s="23"/>
      <c r="Y954" s="8" t="str">
        <f>IF(A954="","",IFERROR(IF(VLOOKUP(A954,Entry!$D:$D,1,FALSE)=A954,"",ROW()),ROW()))</f>
        <v/>
      </c>
      <c r="AG954" s="8" t="str">
        <f>IF(A954="","",IFERROR(IF(VLOOKUP(A954,Entry!$D:$D,1,FALSE)=A954,TRUE,FALSE),FALSE))</f>
        <v/>
      </c>
    </row>
    <row r="955" spans="1:33" x14ac:dyDescent="0.2">
      <c r="A955" s="114"/>
      <c r="B955" s="23"/>
      <c r="C955" s="23"/>
      <c r="D955" s="23"/>
      <c r="E955" s="23"/>
      <c r="G955" s="23"/>
      <c r="H955" s="23"/>
      <c r="Y955" s="8" t="str">
        <f>IF(A955="","",IFERROR(IF(VLOOKUP(A955,Entry!$D:$D,1,FALSE)=A955,"",ROW()),ROW()))</f>
        <v/>
      </c>
      <c r="AG955" s="8" t="str">
        <f>IF(A955="","",IFERROR(IF(VLOOKUP(A955,Entry!$D:$D,1,FALSE)=A955,TRUE,FALSE),FALSE))</f>
        <v/>
      </c>
    </row>
    <row r="956" spans="1:33" x14ac:dyDescent="0.2">
      <c r="A956" s="114"/>
      <c r="B956" s="23"/>
      <c r="C956" s="23"/>
      <c r="D956" s="23"/>
      <c r="E956" s="23"/>
      <c r="G956" s="23"/>
      <c r="H956" s="23"/>
      <c r="Y956" s="8" t="str">
        <f>IF(A956="","",IFERROR(IF(VLOOKUP(A956,Entry!$D:$D,1,FALSE)=A956,"",ROW()),ROW()))</f>
        <v/>
      </c>
      <c r="AG956" s="8" t="str">
        <f>IF(A956="","",IFERROR(IF(VLOOKUP(A956,Entry!$D:$D,1,FALSE)=A956,TRUE,FALSE),FALSE))</f>
        <v/>
      </c>
    </row>
    <row r="957" spans="1:33" x14ac:dyDescent="0.2">
      <c r="A957" s="114"/>
      <c r="B957" s="23"/>
      <c r="C957" s="23"/>
      <c r="D957" s="23"/>
      <c r="E957" s="23"/>
      <c r="G957" s="23"/>
      <c r="H957" s="23"/>
      <c r="Y957" s="8" t="str">
        <f>IF(A957="","",IFERROR(IF(VLOOKUP(A957,Entry!$D:$D,1,FALSE)=A957,"",ROW()),ROW()))</f>
        <v/>
      </c>
      <c r="AG957" s="8" t="str">
        <f>IF(A957="","",IFERROR(IF(VLOOKUP(A957,Entry!$D:$D,1,FALSE)=A957,TRUE,FALSE),FALSE))</f>
        <v/>
      </c>
    </row>
    <row r="958" spans="1:33" x14ac:dyDescent="0.2">
      <c r="A958" s="114"/>
      <c r="B958" s="23"/>
      <c r="C958" s="23"/>
      <c r="D958" s="23"/>
      <c r="E958" s="23"/>
      <c r="G958" s="23"/>
      <c r="H958" s="23"/>
      <c r="Y958" s="8" t="str">
        <f>IF(A958="","",IFERROR(IF(VLOOKUP(A958,Entry!$D:$D,1,FALSE)=A958,"",ROW()),ROW()))</f>
        <v/>
      </c>
      <c r="AG958" s="8" t="str">
        <f>IF(A958="","",IFERROR(IF(VLOOKUP(A958,Entry!$D:$D,1,FALSE)=A958,TRUE,FALSE),FALSE))</f>
        <v/>
      </c>
    </row>
    <row r="959" spans="1:33" x14ac:dyDescent="0.2">
      <c r="A959" s="114"/>
      <c r="B959" s="23"/>
      <c r="C959" s="23"/>
      <c r="D959" s="23"/>
      <c r="E959" s="23"/>
      <c r="G959" s="23"/>
      <c r="H959" s="23"/>
      <c r="Y959" s="8" t="str">
        <f>IF(A959="","",IFERROR(IF(VLOOKUP(A959,Entry!$D:$D,1,FALSE)=A959,"",ROW()),ROW()))</f>
        <v/>
      </c>
      <c r="AG959" s="8" t="str">
        <f>IF(A959="","",IFERROR(IF(VLOOKUP(A959,Entry!$D:$D,1,FALSE)=A959,TRUE,FALSE),FALSE))</f>
        <v/>
      </c>
    </row>
    <row r="960" spans="1:33" x14ac:dyDescent="0.2">
      <c r="A960" s="114"/>
      <c r="B960" s="23"/>
      <c r="C960" s="23"/>
      <c r="D960" s="23"/>
      <c r="E960" s="23"/>
      <c r="G960" s="23"/>
      <c r="H960" s="23"/>
      <c r="Y960" s="8" t="str">
        <f>IF(A960="","",IFERROR(IF(VLOOKUP(A960,Entry!$D:$D,1,FALSE)=A960,"",ROW()),ROW()))</f>
        <v/>
      </c>
      <c r="AG960" s="8" t="str">
        <f>IF(A960="","",IFERROR(IF(VLOOKUP(A960,Entry!$D:$D,1,FALSE)=A960,TRUE,FALSE),FALSE))</f>
        <v/>
      </c>
    </row>
    <row r="961" spans="1:33" x14ac:dyDescent="0.2">
      <c r="A961" s="114"/>
      <c r="B961" s="23"/>
      <c r="C961" s="23"/>
      <c r="D961" s="23"/>
      <c r="E961" s="23"/>
      <c r="G961" s="23"/>
      <c r="H961" s="23"/>
      <c r="Y961" s="8" t="str">
        <f>IF(A961="","",IFERROR(IF(VLOOKUP(A961,Entry!$D:$D,1,FALSE)=A961,"",ROW()),ROW()))</f>
        <v/>
      </c>
      <c r="AG961" s="8" t="str">
        <f>IF(A961="","",IFERROR(IF(VLOOKUP(A961,Entry!$D:$D,1,FALSE)=A961,TRUE,FALSE),FALSE))</f>
        <v/>
      </c>
    </row>
    <row r="962" spans="1:33" x14ac:dyDescent="0.2">
      <c r="A962" s="114"/>
      <c r="B962" s="23"/>
      <c r="C962" s="23"/>
      <c r="D962" s="23"/>
      <c r="E962" s="23"/>
      <c r="G962" s="23"/>
      <c r="H962" s="23"/>
      <c r="Y962" s="8" t="str">
        <f>IF(A962="","",IFERROR(IF(VLOOKUP(A962,Entry!$D:$D,1,FALSE)=A962,"",ROW()),ROW()))</f>
        <v/>
      </c>
      <c r="AG962" s="8" t="str">
        <f>IF(A962="","",IFERROR(IF(VLOOKUP(A962,Entry!$D:$D,1,FALSE)=A962,TRUE,FALSE),FALSE))</f>
        <v/>
      </c>
    </row>
    <row r="963" spans="1:33" x14ac:dyDescent="0.2">
      <c r="A963" s="114"/>
      <c r="B963" s="23"/>
      <c r="C963" s="23"/>
      <c r="D963" s="23"/>
      <c r="E963" s="23"/>
      <c r="G963" s="23"/>
      <c r="H963" s="23"/>
      <c r="Y963" s="8" t="str">
        <f>IF(A963="","",IFERROR(IF(VLOOKUP(A963,Entry!$D:$D,1,FALSE)=A963,"",ROW()),ROW()))</f>
        <v/>
      </c>
      <c r="AG963" s="8" t="str">
        <f>IF(A963="","",IFERROR(IF(VLOOKUP(A963,Entry!$D:$D,1,FALSE)=A963,TRUE,FALSE),FALSE))</f>
        <v/>
      </c>
    </row>
    <row r="964" spans="1:33" x14ac:dyDescent="0.2">
      <c r="A964" s="114"/>
      <c r="B964" s="23"/>
      <c r="C964" s="23"/>
      <c r="D964" s="23"/>
      <c r="E964" s="23"/>
      <c r="G964" s="23"/>
      <c r="H964" s="23"/>
      <c r="Y964" s="8" t="str">
        <f>IF(A964="","",IFERROR(IF(VLOOKUP(A964,Entry!$D:$D,1,FALSE)=A964,"",ROW()),ROW()))</f>
        <v/>
      </c>
      <c r="AG964" s="8" t="str">
        <f>IF(A964="","",IFERROR(IF(VLOOKUP(A964,Entry!$D:$D,1,FALSE)=A964,TRUE,FALSE),FALSE))</f>
        <v/>
      </c>
    </row>
    <row r="965" spans="1:33" x14ac:dyDescent="0.2">
      <c r="A965" s="114"/>
      <c r="B965" s="23"/>
      <c r="C965" s="23"/>
      <c r="D965" s="23"/>
      <c r="E965" s="23"/>
      <c r="G965" s="23"/>
      <c r="H965" s="23"/>
      <c r="Y965" s="8" t="str">
        <f>IF(A965="","",IFERROR(IF(VLOOKUP(A965,Entry!$D:$D,1,FALSE)=A965,"",ROW()),ROW()))</f>
        <v/>
      </c>
      <c r="AG965" s="8" t="str">
        <f>IF(A965="","",IFERROR(IF(VLOOKUP(A965,Entry!$D:$D,1,FALSE)=A965,TRUE,FALSE),FALSE))</f>
        <v/>
      </c>
    </row>
    <row r="966" spans="1:33" x14ac:dyDescent="0.2">
      <c r="A966" s="114"/>
      <c r="B966" s="23"/>
      <c r="C966" s="23"/>
      <c r="D966" s="23"/>
      <c r="E966" s="23"/>
      <c r="G966" s="23"/>
      <c r="H966" s="23"/>
      <c r="Y966" s="8" t="str">
        <f>IF(A966="","",IFERROR(IF(VLOOKUP(A966,Entry!$D:$D,1,FALSE)=A966,"",ROW()),ROW()))</f>
        <v/>
      </c>
      <c r="AG966" s="8" t="str">
        <f>IF(A966="","",IFERROR(IF(VLOOKUP(A966,Entry!$D:$D,1,FALSE)=A966,TRUE,FALSE),FALSE))</f>
        <v/>
      </c>
    </row>
    <row r="967" spans="1:33" x14ac:dyDescent="0.2">
      <c r="A967" s="114"/>
      <c r="B967" s="23"/>
      <c r="C967" s="23"/>
      <c r="D967" s="23"/>
      <c r="E967" s="23"/>
      <c r="G967" s="23"/>
      <c r="H967" s="23"/>
      <c r="Y967" s="8" t="str">
        <f>IF(A967="","",IFERROR(IF(VLOOKUP(A967,Entry!$D:$D,1,FALSE)=A967,"",ROW()),ROW()))</f>
        <v/>
      </c>
      <c r="AG967" s="8" t="str">
        <f>IF(A967="","",IFERROR(IF(VLOOKUP(A967,Entry!$D:$D,1,FALSE)=A967,TRUE,FALSE),FALSE))</f>
        <v/>
      </c>
    </row>
    <row r="968" spans="1:33" x14ac:dyDescent="0.2">
      <c r="A968" s="114"/>
      <c r="B968" s="23"/>
      <c r="C968" s="23"/>
      <c r="D968" s="23"/>
      <c r="E968" s="23"/>
      <c r="G968" s="23"/>
      <c r="H968" s="23"/>
      <c r="Y968" s="8" t="str">
        <f>IF(A968="","",IFERROR(IF(VLOOKUP(A968,Entry!$D:$D,1,FALSE)=A968,"",ROW()),ROW()))</f>
        <v/>
      </c>
      <c r="AG968" s="8" t="str">
        <f>IF(A968="","",IFERROR(IF(VLOOKUP(A968,Entry!$D:$D,1,FALSE)=A968,TRUE,FALSE),FALSE))</f>
        <v/>
      </c>
    </row>
    <row r="969" spans="1:33" x14ac:dyDescent="0.2">
      <c r="A969" s="114"/>
      <c r="B969" s="23"/>
      <c r="C969" s="23"/>
      <c r="D969" s="23"/>
      <c r="E969" s="23"/>
      <c r="G969" s="23"/>
      <c r="H969" s="23"/>
      <c r="Y969" s="8" t="str">
        <f>IF(A969="","",IFERROR(IF(VLOOKUP(A969,Entry!$D:$D,1,FALSE)=A969,"",ROW()),ROW()))</f>
        <v/>
      </c>
      <c r="AG969" s="8" t="str">
        <f>IF(A969="","",IFERROR(IF(VLOOKUP(A969,Entry!$D:$D,1,FALSE)=A969,TRUE,FALSE),FALSE))</f>
        <v/>
      </c>
    </row>
    <row r="970" spans="1:33" x14ac:dyDescent="0.2">
      <c r="A970" s="114"/>
      <c r="B970" s="23"/>
      <c r="C970" s="23"/>
      <c r="D970" s="23"/>
      <c r="E970" s="23"/>
      <c r="G970" s="23"/>
      <c r="H970" s="23"/>
      <c r="Y970" s="8" t="str">
        <f>IF(A970="","",IFERROR(IF(VLOOKUP(A970,Entry!$D:$D,1,FALSE)=A970,"",ROW()),ROW()))</f>
        <v/>
      </c>
      <c r="AG970" s="8" t="str">
        <f>IF(A970="","",IFERROR(IF(VLOOKUP(A970,Entry!$D:$D,1,FALSE)=A970,TRUE,FALSE),FALSE))</f>
        <v/>
      </c>
    </row>
    <row r="971" spans="1:33" x14ac:dyDescent="0.2">
      <c r="A971" s="114"/>
      <c r="B971" s="23"/>
      <c r="C971" s="23"/>
      <c r="D971" s="23"/>
      <c r="E971" s="23"/>
      <c r="G971" s="23"/>
      <c r="H971" s="23"/>
      <c r="Y971" s="8" t="str">
        <f>IF(A971="","",IFERROR(IF(VLOOKUP(A971,Entry!$D:$D,1,FALSE)=A971,"",ROW()),ROW()))</f>
        <v/>
      </c>
      <c r="AG971" s="8" t="str">
        <f>IF(A971="","",IFERROR(IF(VLOOKUP(A971,Entry!$D:$D,1,FALSE)=A971,TRUE,FALSE),FALSE))</f>
        <v/>
      </c>
    </row>
    <row r="972" spans="1:33" x14ac:dyDescent="0.2">
      <c r="A972" s="114"/>
      <c r="B972" s="23"/>
      <c r="C972" s="23"/>
      <c r="D972" s="23"/>
      <c r="E972" s="23"/>
      <c r="G972" s="23"/>
      <c r="H972" s="23"/>
      <c r="Y972" s="8" t="str">
        <f>IF(A972="","",IFERROR(IF(VLOOKUP(A972,Entry!$D:$D,1,FALSE)=A972,"",ROW()),ROW()))</f>
        <v/>
      </c>
      <c r="AG972" s="8" t="str">
        <f>IF(A972="","",IFERROR(IF(VLOOKUP(A972,Entry!$D:$D,1,FALSE)=A972,TRUE,FALSE),FALSE))</f>
        <v/>
      </c>
    </row>
    <row r="973" spans="1:33" x14ac:dyDescent="0.2">
      <c r="A973" s="114"/>
      <c r="B973" s="23"/>
      <c r="C973" s="23"/>
      <c r="D973" s="23"/>
      <c r="E973" s="23"/>
      <c r="G973" s="23"/>
      <c r="H973" s="23"/>
      <c r="Y973" s="8" t="str">
        <f>IF(A973="","",IFERROR(IF(VLOOKUP(A973,Entry!$D:$D,1,FALSE)=A973,"",ROW()),ROW()))</f>
        <v/>
      </c>
      <c r="AG973" s="8" t="str">
        <f>IF(A973="","",IFERROR(IF(VLOOKUP(A973,Entry!$D:$D,1,FALSE)=A973,TRUE,FALSE),FALSE))</f>
        <v/>
      </c>
    </row>
    <row r="974" spans="1:33" x14ac:dyDescent="0.2">
      <c r="A974" s="114"/>
      <c r="B974" s="23"/>
      <c r="C974" s="23"/>
      <c r="D974" s="23"/>
      <c r="E974" s="23"/>
      <c r="G974" s="23"/>
      <c r="H974" s="23"/>
      <c r="Y974" s="8" t="str">
        <f>IF(A974="","",IFERROR(IF(VLOOKUP(A974,Entry!$D:$D,1,FALSE)=A974,"",ROW()),ROW()))</f>
        <v/>
      </c>
      <c r="AG974" s="8" t="str">
        <f>IF(A974="","",IFERROR(IF(VLOOKUP(A974,Entry!$D:$D,1,FALSE)=A974,TRUE,FALSE),FALSE))</f>
        <v/>
      </c>
    </row>
    <row r="975" spans="1:33" x14ac:dyDescent="0.2">
      <c r="A975" s="114"/>
      <c r="B975" s="23"/>
      <c r="C975" s="23"/>
      <c r="D975" s="23"/>
      <c r="E975" s="23"/>
      <c r="G975" s="23"/>
      <c r="H975" s="23"/>
      <c r="Y975" s="8" t="str">
        <f>IF(A975="","",IFERROR(IF(VLOOKUP(A975,Entry!$D:$D,1,FALSE)=A975,"",ROW()),ROW()))</f>
        <v/>
      </c>
      <c r="AG975" s="8" t="str">
        <f>IF(A975="","",IFERROR(IF(VLOOKUP(A975,Entry!$D:$D,1,FALSE)=A975,TRUE,FALSE),FALSE))</f>
        <v/>
      </c>
    </row>
    <row r="976" spans="1:33" x14ac:dyDescent="0.2">
      <c r="A976" s="114"/>
      <c r="B976" s="23"/>
      <c r="C976" s="23"/>
      <c r="D976" s="23"/>
      <c r="E976" s="23"/>
      <c r="G976" s="23"/>
      <c r="H976" s="23"/>
      <c r="Y976" s="8" t="str">
        <f>IF(A976="","",IFERROR(IF(VLOOKUP(A976,Entry!$D:$D,1,FALSE)=A976,"",ROW()),ROW()))</f>
        <v/>
      </c>
      <c r="AG976" s="8" t="str">
        <f>IF(A976="","",IFERROR(IF(VLOOKUP(A976,Entry!$D:$D,1,FALSE)=A976,TRUE,FALSE),FALSE))</f>
        <v/>
      </c>
    </row>
    <row r="977" spans="1:33" x14ac:dyDescent="0.2">
      <c r="A977" s="114"/>
      <c r="B977" s="23"/>
      <c r="C977" s="23"/>
      <c r="D977" s="23"/>
      <c r="E977" s="23"/>
      <c r="G977" s="23"/>
      <c r="H977" s="23"/>
      <c r="Y977" s="8" t="str">
        <f>IF(A977="","",IFERROR(IF(VLOOKUP(A977,Entry!$D:$D,1,FALSE)=A977,"",ROW()),ROW()))</f>
        <v/>
      </c>
      <c r="AG977" s="8" t="str">
        <f>IF(A977="","",IFERROR(IF(VLOOKUP(A977,Entry!$D:$D,1,FALSE)=A977,TRUE,FALSE),FALSE))</f>
        <v/>
      </c>
    </row>
    <row r="978" spans="1:33" x14ac:dyDescent="0.2">
      <c r="A978" s="114"/>
      <c r="B978" s="23"/>
      <c r="C978" s="23"/>
      <c r="D978" s="23"/>
      <c r="E978" s="23"/>
      <c r="G978" s="23"/>
      <c r="H978" s="23"/>
      <c r="Y978" s="8" t="str">
        <f>IF(A978="","",IFERROR(IF(VLOOKUP(A978,Entry!$D:$D,1,FALSE)=A978,"",ROW()),ROW()))</f>
        <v/>
      </c>
      <c r="AG978" s="8" t="str">
        <f>IF(A978="","",IFERROR(IF(VLOOKUP(A978,Entry!$D:$D,1,FALSE)=A978,TRUE,FALSE),FALSE))</f>
        <v/>
      </c>
    </row>
    <row r="979" spans="1:33" x14ac:dyDescent="0.2">
      <c r="A979" s="114"/>
      <c r="B979" s="23"/>
      <c r="C979" s="23"/>
      <c r="D979" s="23"/>
      <c r="E979" s="23"/>
      <c r="G979" s="23"/>
      <c r="H979" s="23"/>
      <c r="Y979" s="8" t="str">
        <f>IF(A979="","",IFERROR(IF(VLOOKUP(A979,Entry!$D:$D,1,FALSE)=A979,"",ROW()),ROW()))</f>
        <v/>
      </c>
      <c r="AG979" s="8" t="str">
        <f>IF(A979="","",IFERROR(IF(VLOOKUP(A979,Entry!$D:$D,1,FALSE)=A979,TRUE,FALSE),FALSE))</f>
        <v/>
      </c>
    </row>
    <row r="980" spans="1:33" x14ac:dyDescent="0.2">
      <c r="A980" s="114"/>
      <c r="B980" s="23"/>
      <c r="C980" s="23"/>
      <c r="D980" s="23"/>
      <c r="E980" s="23"/>
      <c r="G980" s="23"/>
      <c r="H980" s="23"/>
      <c r="Y980" s="8" t="str">
        <f>IF(A980="","",IFERROR(IF(VLOOKUP(A980,Entry!$D:$D,1,FALSE)=A980,"",ROW()),ROW()))</f>
        <v/>
      </c>
      <c r="AG980" s="8" t="str">
        <f>IF(A980="","",IFERROR(IF(VLOOKUP(A980,Entry!$D:$D,1,FALSE)=A980,TRUE,FALSE),FALSE))</f>
        <v/>
      </c>
    </row>
    <row r="981" spans="1:33" x14ac:dyDescent="0.2">
      <c r="A981" s="114"/>
      <c r="B981" s="23"/>
      <c r="C981" s="23"/>
      <c r="D981" s="23"/>
      <c r="E981" s="23"/>
      <c r="G981" s="23"/>
      <c r="H981" s="23"/>
      <c r="Y981" s="8" t="str">
        <f>IF(A981="","",IFERROR(IF(VLOOKUP(A981,Entry!$D:$D,1,FALSE)=A981,"",ROW()),ROW()))</f>
        <v/>
      </c>
      <c r="AG981" s="8" t="str">
        <f>IF(A981="","",IFERROR(IF(VLOOKUP(A981,Entry!$D:$D,1,FALSE)=A981,TRUE,FALSE),FALSE))</f>
        <v/>
      </c>
    </row>
    <row r="982" spans="1:33" x14ac:dyDescent="0.2">
      <c r="A982" s="114"/>
      <c r="B982" s="23"/>
      <c r="C982" s="23"/>
      <c r="D982" s="23"/>
      <c r="E982" s="23"/>
      <c r="G982" s="23"/>
      <c r="H982" s="23"/>
      <c r="Y982" s="8" t="str">
        <f>IF(A982="","",IFERROR(IF(VLOOKUP(A982,Entry!$D:$D,1,FALSE)=A982,"",ROW()),ROW()))</f>
        <v/>
      </c>
      <c r="AG982" s="8" t="str">
        <f>IF(A982="","",IFERROR(IF(VLOOKUP(A982,Entry!$D:$D,1,FALSE)=A982,TRUE,FALSE),FALSE))</f>
        <v/>
      </c>
    </row>
    <row r="983" spans="1:33" x14ac:dyDescent="0.2">
      <c r="A983" s="114"/>
      <c r="B983" s="23"/>
      <c r="C983" s="23"/>
      <c r="D983" s="23"/>
      <c r="E983" s="23"/>
      <c r="G983" s="23"/>
      <c r="H983" s="23"/>
      <c r="Y983" s="8" t="str">
        <f>IF(A983="","",IFERROR(IF(VLOOKUP(A983,Entry!$D:$D,1,FALSE)=A983,"",ROW()),ROW()))</f>
        <v/>
      </c>
      <c r="AG983" s="8" t="str">
        <f>IF(A983="","",IFERROR(IF(VLOOKUP(A983,Entry!$D:$D,1,FALSE)=A983,TRUE,FALSE),FALSE))</f>
        <v/>
      </c>
    </row>
    <row r="984" spans="1:33" x14ac:dyDescent="0.2">
      <c r="A984" s="114"/>
      <c r="B984" s="23"/>
      <c r="C984" s="23"/>
      <c r="D984" s="23"/>
      <c r="E984" s="23"/>
      <c r="G984" s="23"/>
      <c r="H984" s="23"/>
      <c r="Y984" s="8" t="str">
        <f>IF(A984="","",IFERROR(IF(VLOOKUP(A984,Entry!$D:$D,1,FALSE)=A984,"",ROW()),ROW()))</f>
        <v/>
      </c>
      <c r="AG984" s="8" t="str">
        <f>IF(A984="","",IFERROR(IF(VLOOKUP(A984,Entry!$D:$D,1,FALSE)=A984,TRUE,FALSE),FALSE))</f>
        <v/>
      </c>
    </row>
    <row r="985" spans="1:33" x14ac:dyDescent="0.2">
      <c r="A985" s="114"/>
      <c r="B985" s="23"/>
      <c r="C985" s="23"/>
      <c r="D985" s="23"/>
      <c r="E985" s="23"/>
      <c r="G985" s="23"/>
      <c r="H985" s="23"/>
      <c r="Y985" s="8" t="str">
        <f>IF(A985="","",IFERROR(IF(VLOOKUP(A985,Entry!$D:$D,1,FALSE)=A985,"",ROW()),ROW()))</f>
        <v/>
      </c>
      <c r="AG985" s="8" t="str">
        <f>IF(A985="","",IFERROR(IF(VLOOKUP(A985,Entry!$D:$D,1,FALSE)=A985,TRUE,FALSE),FALSE))</f>
        <v/>
      </c>
    </row>
    <row r="986" spans="1:33" x14ac:dyDescent="0.2">
      <c r="A986" s="114"/>
      <c r="B986" s="23"/>
      <c r="C986" s="23"/>
      <c r="D986" s="23"/>
      <c r="E986" s="23"/>
      <c r="G986" s="23"/>
      <c r="H986" s="23"/>
      <c r="Y986" s="8" t="str">
        <f>IF(A986="","",IFERROR(IF(VLOOKUP(A986,Entry!$D:$D,1,FALSE)=A986,"",ROW()),ROW()))</f>
        <v/>
      </c>
      <c r="AG986" s="8" t="str">
        <f>IF(A986="","",IFERROR(IF(VLOOKUP(A986,Entry!$D:$D,1,FALSE)=A986,TRUE,FALSE),FALSE))</f>
        <v/>
      </c>
    </row>
    <row r="987" spans="1:33" x14ac:dyDescent="0.2">
      <c r="A987" s="114"/>
      <c r="B987" s="23"/>
      <c r="C987" s="23"/>
      <c r="D987" s="23"/>
      <c r="E987" s="23"/>
      <c r="G987" s="23"/>
      <c r="H987" s="23"/>
      <c r="Y987" s="8" t="str">
        <f>IF(A987="","",IFERROR(IF(VLOOKUP(A987,Entry!$D:$D,1,FALSE)=A987,"",ROW()),ROW()))</f>
        <v/>
      </c>
      <c r="AG987" s="8" t="str">
        <f>IF(A987="","",IFERROR(IF(VLOOKUP(A987,Entry!$D:$D,1,FALSE)=A987,TRUE,FALSE),FALSE))</f>
        <v/>
      </c>
    </row>
    <row r="988" spans="1:33" x14ac:dyDescent="0.2">
      <c r="A988" s="114"/>
      <c r="B988" s="23"/>
      <c r="C988" s="23"/>
      <c r="D988" s="23"/>
      <c r="E988" s="23"/>
      <c r="G988" s="23"/>
      <c r="H988" s="23"/>
      <c r="Y988" s="8" t="str">
        <f>IF(A988="","",IFERROR(IF(VLOOKUP(A988,Entry!$D:$D,1,FALSE)=A988,"",ROW()),ROW()))</f>
        <v/>
      </c>
      <c r="AG988" s="8" t="str">
        <f>IF(A988="","",IFERROR(IF(VLOOKUP(A988,Entry!$D:$D,1,FALSE)=A988,TRUE,FALSE),FALSE))</f>
        <v/>
      </c>
    </row>
    <row r="989" spans="1:33" x14ac:dyDescent="0.2">
      <c r="A989" s="114"/>
      <c r="B989" s="23"/>
      <c r="C989" s="23"/>
      <c r="D989" s="23"/>
      <c r="E989" s="23"/>
      <c r="G989" s="23"/>
      <c r="H989" s="23"/>
      <c r="Y989" s="8" t="str">
        <f>IF(A989="","",IFERROR(IF(VLOOKUP(A989,Entry!$D:$D,1,FALSE)=A989,"",ROW()),ROW()))</f>
        <v/>
      </c>
      <c r="AG989" s="8" t="str">
        <f>IF(A989="","",IFERROR(IF(VLOOKUP(A989,Entry!$D:$D,1,FALSE)=A989,TRUE,FALSE),FALSE))</f>
        <v/>
      </c>
    </row>
    <row r="990" spans="1:33" x14ac:dyDescent="0.2">
      <c r="A990" s="114"/>
      <c r="B990" s="23"/>
      <c r="C990" s="23"/>
      <c r="D990" s="23"/>
      <c r="E990" s="23"/>
      <c r="G990" s="23"/>
      <c r="H990" s="23"/>
      <c r="Y990" s="8" t="str">
        <f>IF(A990="","",IFERROR(IF(VLOOKUP(A990,Entry!$D:$D,1,FALSE)=A990,"",ROW()),ROW()))</f>
        <v/>
      </c>
      <c r="AG990" s="8" t="str">
        <f>IF(A990="","",IFERROR(IF(VLOOKUP(A990,Entry!$D:$D,1,FALSE)=A990,TRUE,FALSE),FALSE))</f>
        <v/>
      </c>
    </row>
    <row r="991" spans="1:33" x14ac:dyDescent="0.2">
      <c r="A991" s="114"/>
      <c r="B991" s="23"/>
      <c r="C991" s="23"/>
      <c r="D991" s="23"/>
      <c r="E991" s="23"/>
      <c r="G991" s="23"/>
      <c r="H991" s="23"/>
      <c r="Y991" s="8" t="str">
        <f>IF(A991="","",IFERROR(IF(VLOOKUP(A991,Entry!$D:$D,1,FALSE)=A991,"",ROW()),ROW()))</f>
        <v/>
      </c>
      <c r="AG991" s="8" t="str">
        <f>IF(A991="","",IFERROR(IF(VLOOKUP(A991,Entry!$D:$D,1,FALSE)=A991,TRUE,FALSE),FALSE))</f>
        <v/>
      </c>
    </row>
    <row r="992" spans="1:33" x14ac:dyDescent="0.2">
      <c r="A992" s="114"/>
      <c r="B992" s="23"/>
      <c r="C992" s="23"/>
      <c r="D992" s="23"/>
      <c r="E992" s="23"/>
      <c r="G992" s="23"/>
      <c r="H992" s="23"/>
      <c r="Y992" s="8" t="str">
        <f>IF(A992="","",IFERROR(IF(VLOOKUP(A992,Entry!$D:$D,1,FALSE)=A992,"",ROW()),ROW()))</f>
        <v/>
      </c>
      <c r="AG992" s="8" t="str">
        <f>IF(A992="","",IFERROR(IF(VLOOKUP(A992,Entry!$D:$D,1,FALSE)=A992,TRUE,FALSE),FALSE))</f>
        <v/>
      </c>
    </row>
    <row r="993" spans="1:33" x14ac:dyDescent="0.2">
      <c r="A993" s="114"/>
      <c r="B993" s="23"/>
      <c r="C993" s="23"/>
      <c r="D993" s="23"/>
      <c r="E993" s="23"/>
      <c r="G993" s="23"/>
      <c r="H993" s="23"/>
      <c r="Y993" s="8" t="str">
        <f>IF(A993="","",IFERROR(IF(VLOOKUP(A993,Entry!$D:$D,1,FALSE)=A993,"",ROW()),ROW()))</f>
        <v/>
      </c>
      <c r="AG993" s="8" t="str">
        <f>IF(A993="","",IFERROR(IF(VLOOKUP(A993,Entry!$D:$D,1,FALSE)=A993,TRUE,FALSE),FALSE))</f>
        <v/>
      </c>
    </row>
    <row r="994" spans="1:33" x14ac:dyDescent="0.2">
      <c r="A994" s="114"/>
      <c r="B994" s="23"/>
      <c r="C994" s="23"/>
      <c r="D994" s="23"/>
      <c r="E994" s="23"/>
      <c r="G994" s="23"/>
      <c r="H994" s="23"/>
      <c r="Y994" s="8" t="str">
        <f>IF(A994="","",IFERROR(IF(VLOOKUP(A994,Entry!$D:$D,1,FALSE)=A994,"",ROW()),ROW()))</f>
        <v/>
      </c>
      <c r="AG994" s="8" t="str">
        <f>IF(A994="","",IFERROR(IF(VLOOKUP(A994,Entry!$D:$D,1,FALSE)=A994,TRUE,FALSE),FALSE))</f>
        <v/>
      </c>
    </row>
    <row r="995" spans="1:33" x14ac:dyDescent="0.2">
      <c r="A995" s="114"/>
      <c r="B995" s="23"/>
      <c r="C995" s="23"/>
      <c r="D995" s="23"/>
      <c r="E995" s="23"/>
      <c r="G995" s="23"/>
      <c r="H995" s="23"/>
      <c r="Y995" s="8" t="str">
        <f>IF(A995="","",IFERROR(IF(VLOOKUP(A995,Entry!$D:$D,1,FALSE)=A995,"",ROW()),ROW()))</f>
        <v/>
      </c>
      <c r="AG995" s="8" t="str">
        <f>IF(A995="","",IFERROR(IF(VLOOKUP(A995,Entry!$D:$D,1,FALSE)=A995,TRUE,FALSE),FALSE))</f>
        <v/>
      </c>
    </row>
    <row r="996" spans="1:33" x14ac:dyDescent="0.2">
      <c r="A996" s="114"/>
      <c r="B996" s="23"/>
      <c r="C996" s="23"/>
      <c r="D996" s="23"/>
      <c r="E996" s="23"/>
      <c r="G996" s="23"/>
      <c r="H996" s="23"/>
      <c r="Y996" s="8" t="str">
        <f>IF(A996="","",IFERROR(IF(VLOOKUP(A996,Entry!$D:$D,1,FALSE)=A996,"",ROW()),ROW()))</f>
        <v/>
      </c>
      <c r="AG996" s="8" t="str">
        <f>IF(A996="","",IFERROR(IF(VLOOKUP(A996,Entry!$D:$D,1,FALSE)=A996,TRUE,FALSE),FALSE))</f>
        <v/>
      </c>
    </row>
    <row r="997" spans="1:33" x14ac:dyDescent="0.2">
      <c r="A997" s="114"/>
      <c r="B997" s="23"/>
      <c r="C997" s="23"/>
      <c r="D997" s="23"/>
      <c r="E997" s="23"/>
      <c r="G997" s="23"/>
      <c r="H997" s="23"/>
      <c r="Y997" s="8" t="str">
        <f>IF(A997="","",IFERROR(IF(VLOOKUP(A997,Entry!$D:$D,1,FALSE)=A997,"",ROW()),ROW()))</f>
        <v/>
      </c>
      <c r="AG997" s="8" t="str">
        <f>IF(A997="","",IFERROR(IF(VLOOKUP(A997,Entry!$D:$D,1,FALSE)=A997,TRUE,FALSE),FALSE))</f>
        <v/>
      </c>
    </row>
    <row r="998" spans="1:33" x14ac:dyDescent="0.2">
      <c r="A998" s="114"/>
      <c r="B998" s="23"/>
      <c r="C998" s="23"/>
      <c r="D998" s="23"/>
      <c r="E998" s="23"/>
      <c r="G998" s="23"/>
      <c r="H998" s="23"/>
      <c r="Y998" s="8" t="str">
        <f>IF(A998="","",IFERROR(IF(VLOOKUP(A998,Entry!$D:$D,1,FALSE)=A998,"",ROW()),ROW()))</f>
        <v/>
      </c>
      <c r="AG998" s="8" t="str">
        <f>IF(A998="","",IFERROR(IF(VLOOKUP(A998,Entry!$D:$D,1,FALSE)=A998,TRUE,FALSE),FALSE))</f>
        <v/>
      </c>
    </row>
    <row r="999" spans="1:33" x14ac:dyDescent="0.2">
      <c r="A999" s="114"/>
      <c r="B999" s="23"/>
      <c r="C999" s="23"/>
      <c r="D999" s="23"/>
      <c r="E999" s="23"/>
      <c r="G999" s="23"/>
      <c r="H999" s="23"/>
      <c r="Y999" s="8" t="str">
        <f>IF(A999="","",IFERROR(IF(VLOOKUP(A999,Entry!$D:$D,1,FALSE)=A999,"",ROW()),ROW()))</f>
        <v/>
      </c>
      <c r="AG999" s="8" t="str">
        <f>IF(A999="","",IFERROR(IF(VLOOKUP(A999,Entry!$D:$D,1,FALSE)=A999,TRUE,FALSE),FALSE))</f>
        <v/>
      </c>
    </row>
    <row r="1000" spans="1:33" x14ac:dyDescent="0.2">
      <c r="A1000" s="114"/>
      <c r="B1000" s="23"/>
      <c r="C1000" s="23"/>
      <c r="D1000" s="23"/>
      <c r="E1000" s="23"/>
      <c r="G1000" s="23"/>
      <c r="H1000" s="23"/>
      <c r="Y1000" s="8" t="str">
        <f>IF(A1000="","",IFERROR(IF(VLOOKUP(A1000,Entry!$D:$D,1,FALSE)=A1000,"",ROW()),ROW()))</f>
        <v/>
      </c>
      <c r="AG1000" s="8" t="str">
        <f>IF(A1000="","",IFERROR(IF(VLOOKUP(A1000,Entry!$D:$D,1,FALSE)=A1000,TRUE,FALSE),FALSE))</f>
        <v/>
      </c>
    </row>
    <row r="1001" spans="1:33" x14ac:dyDescent="0.2">
      <c r="A1001" s="114"/>
      <c r="B1001" s="23"/>
      <c r="C1001" s="23"/>
      <c r="D1001" s="23"/>
      <c r="E1001" s="23"/>
      <c r="G1001" s="23"/>
      <c r="H1001" s="23"/>
      <c r="Y1001" s="8" t="str">
        <f>IF(A1001="","",IFERROR(IF(VLOOKUP(A1001,Entry!$D:$D,1,FALSE)=A1001,"",ROW()),ROW()))</f>
        <v/>
      </c>
      <c r="AG1001" s="8" t="str">
        <f>IF(A1001="","",IFERROR(IF(VLOOKUP(A1001,Entry!$D:$D,1,FALSE)=A1001,TRUE,FALSE),FALSE))</f>
        <v/>
      </c>
    </row>
    <row r="1002" spans="1:33" x14ac:dyDescent="0.2">
      <c r="A1002" s="114"/>
      <c r="B1002" s="23"/>
      <c r="C1002" s="23"/>
      <c r="D1002" s="23"/>
      <c r="E1002" s="23"/>
      <c r="G1002" s="23"/>
      <c r="H1002" s="23"/>
      <c r="Y1002" s="8" t="str">
        <f>IF(A1002="","",IFERROR(IF(VLOOKUP(A1002,Entry!$D:$D,1,FALSE)=A1002,"",ROW()),ROW()))</f>
        <v/>
      </c>
      <c r="AG1002" s="8" t="str">
        <f>IF(A1002="","",IFERROR(IF(VLOOKUP(A1002,Entry!$D:$D,1,FALSE)=A1002,TRUE,FALSE),FALSE))</f>
        <v/>
      </c>
    </row>
    <row r="1003" spans="1:33" x14ac:dyDescent="0.2">
      <c r="A1003" s="114"/>
      <c r="B1003" s="23"/>
      <c r="C1003" s="23"/>
      <c r="D1003" s="23"/>
      <c r="E1003" s="23"/>
      <c r="G1003" s="23"/>
      <c r="H1003" s="23"/>
      <c r="Y1003" s="8" t="str">
        <f>IF(A1003="","",IFERROR(IF(VLOOKUP(A1003,Entry!$D:$D,1,FALSE)=A1003,"",ROW()),ROW()))</f>
        <v/>
      </c>
      <c r="AG1003" s="8" t="str">
        <f>IF(A1003="","",IFERROR(IF(VLOOKUP(A1003,Entry!$D:$D,1,FALSE)=A1003,TRUE,FALSE),FALSE))</f>
        <v/>
      </c>
    </row>
    <row r="1004" spans="1:33" x14ac:dyDescent="0.2">
      <c r="A1004" s="114"/>
      <c r="B1004" s="23"/>
      <c r="C1004" s="23"/>
      <c r="D1004" s="23"/>
      <c r="E1004" s="23"/>
      <c r="G1004" s="23"/>
      <c r="H1004" s="23"/>
      <c r="Y1004" s="8" t="str">
        <f>IF(A1004="","",IFERROR(IF(VLOOKUP(A1004,Entry!$D:$D,1,FALSE)=A1004,"",ROW()),ROW()))</f>
        <v/>
      </c>
      <c r="AG1004" s="8" t="str">
        <f>IF(A1004="","",IFERROR(IF(VLOOKUP(A1004,Entry!$D:$D,1,FALSE)=A1004,TRUE,FALSE),FALSE))</f>
        <v/>
      </c>
    </row>
    <row r="1005" spans="1:33" x14ac:dyDescent="0.2">
      <c r="A1005" s="114"/>
      <c r="B1005" s="23"/>
      <c r="C1005" s="23"/>
      <c r="D1005" s="23"/>
      <c r="E1005" s="23"/>
      <c r="G1005" s="23"/>
      <c r="H1005" s="23"/>
      <c r="Y1005" s="8" t="str">
        <f>IF(A1005="","",IFERROR(IF(VLOOKUP(A1005,Entry!$D:$D,1,FALSE)=A1005,"",ROW()),ROW()))</f>
        <v/>
      </c>
      <c r="AG1005" s="8" t="str">
        <f>IF(A1005="","",IFERROR(IF(VLOOKUP(A1005,Entry!$D:$D,1,FALSE)=A1005,TRUE,FALSE),FALSE))</f>
        <v/>
      </c>
    </row>
    <row r="1006" spans="1:33" x14ac:dyDescent="0.2">
      <c r="A1006" s="114"/>
      <c r="B1006" s="23"/>
      <c r="C1006" s="23"/>
      <c r="D1006" s="23"/>
      <c r="E1006" s="23"/>
      <c r="G1006" s="23"/>
      <c r="H1006" s="23"/>
      <c r="Y1006" s="8" t="str">
        <f>IF(A1006="","",IFERROR(IF(VLOOKUP(A1006,Entry!$D:$D,1,FALSE)=A1006,"",ROW()),ROW()))</f>
        <v/>
      </c>
      <c r="AG1006" s="8" t="str">
        <f>IF(A1006="","",IFERROR(IF(VLOOKUP(A1006,Entry!$D:$D,1,FALSE)=A1006,TRUE,FALSE),FALSE))</f>
        <v/>
      </c>
    </row>
    <row r="1007" spans="1:33" x14ac:dyDescent="0.2">
      <c r="A1007" s="114"/>
      <c r="B1007" s="23"/>
      <c r="C1007" s="23"/>
      <c r="D1007" s="23"/>
      <c r="E1007" s="23"/>
      <c r="G1007" s="23"/>
      <c r="H1007" s="23"/>
      <c r="Y1007" s="8" t="str">
        <f>IF(A1007="","",IFERROR(IF(VLOOKUP(A1007,Entry!$D:$D,1,FALSE)=A1007,"",ROW()),ROW()))</f>
        <v/>
      </c>
      <c r="AG1007" s="8" t="str">
        <f>IF(A1007="","",IFERROR(IF(VLOOKUP(A1007,Entry!$D:$D,1,FALSE)=A1007,TRUE,FALSE),FALSE))</f>
        <v/>
      </c>
    </row>
    <row r="1008" spans="1:33" x14ac:dyDescent="0.2">
      <c r="A1008" s="114"/>
      <c r="B1008" s="23"/>
      <c r="C1008" s="23"/>
      <c r="D1008" s="23"/>
      <c r="E1008" s="23"/>
      <c r="G1008" s="23"/>
      <c r="H1008" s="23"/>
      <c r="Y1008" s="8" t="str">
        <f>IF(A1008="","",IFERROR(IF(VLOOKUP(A1008,Entry!$D:$D,1,FALSE)=A1008,"",ROW()),ROW()))</f>
        <v/>
      </c>
      <c r="AG1008" s="8" t="str">
        <f>IF(A1008="","",IFERROR(IF(VLOOKUP(A1008,Entry!$D:$D,1,FALSE)=A1008,TRUE,FALSE),FALSE))</f>
        <v/>
      </c>
    </row>
    <row r="1009" spans="1:33" x14ac:dyDescent="0.2">
      <c r="A1009" s="114"/>
      <c r="B1009" s="23"/>
      <c r="C1009" s="23"/>
      <c r="D1009" s="23"/>
      <c r="E1009" s="23"/>
      <c r="G1009" s="23"/>
      <c r="H1009" s="23"/>
      <c r="Y1009" s="8" t="str">
        <f>IF(A1009="","",IFERROR(IF(VLOOKUP(A1009,Entry!$D:$D,1,FALSE)=A1009,"",ROW()),ROW()))</f>
        <v/>
      </c>
      <c r="AG1009" s="8" t="str">
        <f>IF(A1009="","",IFERROR(IF(VLOOKUP(A1009,Entry!$D:$D,1,FALSE)=A1009,TRUE,FALSE),FALSE))</f>
        <v/>
      </c>
    </row>
    <row r="1010" spans="1:33" x14ac:dyDescent="0.2">
      <c r="A1010" s="114"/>
      <c r="B1010" s="23"/>
      <c r="C1010" s="23"/>
      <c r="D1010" s="23"/>
      <c r="E1010" s="23"/>
      <c r="G1010" s="23"/>
      <c r="H1010" s="23"/>
      <c r="Y1010" s="8" t="str">
        <f>IF(A1010="","",IFERROR(IF(VLOOKUP(A1010,Entry!$D:$D,1,FALSE)=A1010,"",ROW()),ROW()))</f>
        <v/>
      </c>
      <c r="AG1010" s="8" t="str">
        <f>IF(A1010="","",IFERROR(IF(VLOOKUP(A1010,Entry!$D:$D,1,FALSE)=A1010,TRUE,FALSE),FALSE))</f>
        <v/>
      </c>
    </row>
    <row r="1011" spans="1:33" x14ac:dyDescent="0.2">
      <c r="A1011" s="114"/>
      <c r="B1011" s="23"/>
      <c r="C1011" s="23"/>
      <c r="D1011" s="23"/>
      <c r="E1011" s="23"/>
      <c r="G1011" s="23"/>
      <c r="H1011" s="23"/>
      <c r="Y1011" s="8" t="str">
        <f>IF(A1011="","",IFERROR(IF(VLOOKUP(A1011,Entry!$D:$D,1,FALSE)=A1011,"",ROW()),ROW()))</f>
        <v/>
      </c>
      <c r="AG1011" s="8" t="str">
        <f>IF(A1011="","",IFERROR(IF(VLOOKUP(A1011,Entry!$D:$D,1,FALSE)=A1011,TRUE,FALSE),FALSE))</f>
        <v/>
      </c>
    </row>
    <row r="1012" spans="1:33" x14ac:dyDescent="0.2">
      <c r="A1012" s="114"/>
      <c r="B1012" s="23"/>
      <c r="C1012" s="23"/>
      <c r="D1012" s="23"/>
      <c r="E1012" s="23"/>
      <c r="G1012" s="23"/>
      <c r="H1012" s="23"/>
      <c r="Y1012" s="8" t="str">
        <f>IF(A1012="","",IFERROR(IF(VLOOKUP(A1012,Entry!$D:$D,1,FALSE)=A1012,"",ROW()),ROW()))</f>
        <v/>
      </c>
      <c r="AG1012" s="8" t="str">
        <f>IF(A1012="","",IFERROR(IF(VLOOKUP(A1012,Entry!$D:$D,1,FALSE)=A1012,TRUE,FALSE),FALSE))</f>
        <v/>
      </c>
    </row>
    <row r="1013" spans="1:33" x14ac:dyDescent="0.2">
      <c r="A1013" s="114"/>
      <c r="B1013" s="23"/>
      <c r="C1013" s="23"/>
      <c r="D1013" s="23"/>
      <c r="E1013" s="23"/>
      <c r="G1013" s="23"/>
      <c r="H1013" s="23"/>
      <c r="Y1013" s="8" t="str">
        <f>IF(A1013="","",IFERROR(IF(VLOOKUP(A1013,Entry!$D:$D,1,FALSE)=A1013,"",ROW()),ROW()))</f>
        <v/>
      </c>
      <c r="AG1013" s="8" t="str">
        <f>IF(A1013="","",IFERROR(IF(VLOOKUP(A1013,Entry!$D:$D,1,FALSE)=A1013,TRUE,FALSE),FALSE))</f>
        <v/>
      </c>
    </row>
    <row r="1014" spans="1:33" x14ac:dyDescent="0.2">
      <c r="A1014" s="114"/>
      <c r="B1014" s="23"/>
      <c r="C1014" s="23"/>
      <c r="D1014" s="23"/>
      <c r="E1014" s="23"/>
      <c r="G1014" s="23"/>
      <c r="H1014" s="23"/>
      <c r="Y1014" s="8" t="str">
        <f>IF(A1014="","",IFERROR(IF(VLOOKUP(A1014,Entry!$D:$D,1,FALSE)=A1014,"",ROW()),ROW()))</f>
        <v/>
      </c>
      <c r="AG1014" s="8" t="str">
        <f>IF(A1014="","",IFERROR(IF(VLOOKUP(A1014,Entry!$D:$D,1,FALSE)=A1014,TRUE,FALSE),FALSE))</f>
        <v/>
      </c>
    </row>
    <row r="1015" spans="1:33" x14ac:dyDescent="0.2">
      <c r="A1015" s="114"/>
      <c r="B1015" s="23"/>
      <c r="C1015" s="23"/>
      <c r="D1015" s="23"/>
      <c r="E1015" s="23"/>
      <c r="G1015" s="23"/>
      <c r="H1015" s="23"/>
      <c r="Y1015" s="8" t="str">
        <f>IF(A1015="","",IFERROR(IF(VLOOKUP(A1015,Entry!$D:$D,1,FALSE)=A1015,"",ROW()),ROW()))</f>
        <v/>
      </c>
      <c r="AG1015" s="8" t="str">
        <f>IF(A1015="","",IFERROR(IF(VLOOKUP(A1015,Entry!$D:$D,1,FALSE)=A1015,TRUE,FALSE),FALSE))</f>
        <v/>
      </c>
    </row>
    <row r="1016" spans="1:33" x14ac:dyDescent="0.2">
      <c r="A1016" s="114"/>
      <c r="B1016" s="23"/>
      <c r="C1016" s="23"/>
      <c r="D1016" s="23"/>
      <c r="E1016" s="23"/>
      <c r="G1016" s="23"/>
      <c r="H1016" s="23"/>
      <c r="Y1016" s="8" t="str">
        <f>IF(A1016="","",IFERROR(IF(VLOOKUP(A1016,Entry!$D:$D,1,FALSE)=A1016,"",ROW()),ROW()))</f>
        <v/>
      </c>
      <c r="AG1016" s="8" t="str">
        <f>IF(A1016="","",IFERROR(IF(VLOOKUP(A1016,Entry!$D:$D,1,FALSE)=A1016,TRUE,FALSE),FALSE))</f>
        <v/>
      </c>
    </row>
    <row r="1017" spans="1:33" x14ac:dyDescent="0.2">
      <c r="A1017" s="114"/>
      <c r="B1017" s="23"/>
      <c r="C1017" s="23"/>
      <c r="D1017" s="23"/>
      <c r="E1017" s="23"/>
      <c r="G1017" s="23"/>
      <c r="H1017" s="23"/>
      <c r="Y1017" s="8" t="str">
        <f>IF(A1017="","",IFERROR(IF(VLOOKUP(A1017,Entry!$D:$D,1,FALSE)=A1017,"",ROW()),ROW()))</f>
        <v/>
      </c>
      <c r="AG1017" s="8" t="str">
        <f>IF(A1017="","",IFERROR(IF(VLOOKUP(A1017,Entry!$D:$D,1,FALSE)=A1017,TRUE,FALSE),FALSE))</f>
        <v/>
      </c>
    </row>
    <row r="1018" spans="1:33" x14ac:dyDescent="0.2">
      <c r="A1018" s="114"/>
      <c r="B1018" s="23"/>
      <c r="C1018" s="23"/>
      <c r="D1018" s="23"/>
      <c r="E1018" s="23"/>
      <c r="G1018" s="23"/>
      <c r="H1018" s="23"/>
      <c r="Y1018" s="8" t="str">
        <f>IF(A1018="","",IFERROR(IF(VLOOKUP(A1018,Entry!$D:$D,1,FALSE)=A1018,"",ROW()),ROW()))</f>
        <v/>
      </c>
      <c r="AG1018" s="8" t="str">
        <f>IF(A1018="","",IFERROR(IF(VLOOKUP(A1018,Entry!$D:$D,1,FALSE)=A1018,TRUE,FALSE),FALSE))</f>
        <v/>
      </c>
    </row>
    <row r="1019" spans="1:33" x14ac:dyDescent="0.2">
      <c r="A1019" s="114"/>
      <c r="B1019" s="23"/>
      <c r="C1019" s="23"/>
      <c r="D1019" s="23"/>
      <c r="E1019" s="23"/>
      <c r="G1019" s="23"/>
      <c r="H1019" s="23"/>
      <c r="Y1019" s="8" t="str">
        <f>IF(A1019="","",IFERROR(IF(VLOOKUP(A1019,Entry!$D:$D,1,FALSE)=A1019,"",ROW()),ROW()))</f>
        <v/>
      </c>
      <c r="AG1019" s="8" t="str">
        <f>IF(A1019="","",IFERROR(IF(VLOOKUP(A1019,Entry!$D:$D,1,FALSE)=A1019,TRUE,FALSE),FALSE))</f>
        <v/>
      </c>
    </row>
    <row r="1020" spans="1:33" x14ac:dyDescent="0.2">
      <c r="A1020" s="114"/>
      <c r="B1020" s="23"/>
      <c r="C1020" s="23"/>
      <c r="D1020" s="23"/>
      <c r="E1020" s="23"/>
      <c r="G1020" s="23"/>
      <c r="H1020" s="23"/>
      <c r="Y1020" s="8" t="str">
        <f>IF(A1020="","",IFERROR(IF(VLOOKUP(A1020,Entry!$D:$D,1,FALSE)=A1020,"",ROW()),ROW()))</f>
        <v/>
      </c>
      <c r="AG1020" s="8" t="str">
        <f>IF(A1020="","",IFERROR(IF(VLOOKUP(A1020,Entry!$D:$D,1,FALSE)=A1020,TRUE,FALSE),FALSE))</f>
        <v/>
      </c>
    </row>
    <row r="1021" spans="1:33" x14ac:dyDescent="0.2">
      <c r="A1021" s="114"/>
      <c r="B1021" s="23"/>
      <c r="C1021" s="23"/>
      <c r="D1021" s="23"/>
      <c r="E1021" s="23"/>
      <c r="G1021" s="23"/>
      <c r="H1021" s="23"/>
      <c r="Y1021" s="8" t="str">
        <f>IF(A1021="","",IFERROR(IF(VLOOKUP(A1021,Entry!$D:$D,1,FALSE)=A1021,"",ROW()),ROW()))</f>
        <v/>
      </c>
      <c r="AG1021" s="8" t="str">
        <f>IF(A1021="","",IFERROR(IF(VLOOKUP(A1021,Entry!$D:$D,1,FALSE)=A1021,TRUE,FALSE),FALSE))</f>
        <v/>
      </c>
    </row>
    <row r="1022" spans="1:33" x14ac:dyDescent="0.2">
      <c r="A1022" s="114"/>
      <c r="B1022" s="23"/>
      <c r="C1022" s="23"/>
      <c r="D1022" s="23"/>
      <c r="E1022" s="23"/>
      <c r="G1022" s="23"/>
      <c r="H1022" s="23"/>
      <c r="Y1022" s="8" t="str">
        <f>IF(A1022="","",IFERROR(IF(VLOOKUP(A1022,Entry!$D:$D,1,FALSE)=A1022,"",ROW()),ROW()))</f>
        <v/>
      </c>
      <c r="AG1022" s="8" t="str">
        <f>IF(A1022="","",IFERROR(IF(VLOOKUP(A1022,Entry!$D:$D,1,FALSE)=A1022,TRUE,FALSE),FALSE))</f>
        <v/>
      </c>
    </row>
    <row r="1023" spans="1:33" x14ac:dyDescent="0.2">
      <c r="A1023" s="114"/>
      <c r="B1023" s="23"/>
      <c r="C1023" s="23"/>
      <c r="D1023" s="23"/>
      <c r="E1023" s="23"/>
      <c r="G1023" s="23"/>
      <c r="H1023" s="23"/>
      <c r="Y1023" s="8" t="str">
        <f>IF(A1023="","",IFERROR(IF(VLOOKUP(A1023,Entry!$D:$D,1,FALSE)=A1023,"",ROW()),ROW()))</f>
        <v/>
      </c>
      <c r="AG1023" s="8" t="str">
        <f>IF(A1023="","",IFERROR(IF(VLOOKUP(A1023,Entry!$D:$D,1,FALSE)=A1023,TRUE,FALSE),FALSE))</f>
        <v/>
      </c>
    </row>
    <row r="1024" spans="1:33" x14ac:dyDescent="0.2">
      <c r="A1024" s="114"/>
      <c r="B1024" s="23"/>
      <c r="C1024" s="23"/>
      <c r="D1024" s="23"/>
      <c r="E1024" s="23"/>
      <c r="G1024" s="23"/>
      <c r="H1024" s="23"/>
      <c r="Y1024" s="8" t="str">
        <f>IF(A1024="","",IFERROR(IF(VLOOKUP(A1024,Entry!$D:$D,1,FALSE)=A1024,"",ROW()),ROW()))</f>
        <v/>
      </c>
      <c r="AG1024" s="8" t="str">
        <f>IF(A1024="","",IFERROR(IF(VLOOKUP(A1024,Entry!$D:$D,1,FALSE)=A1024,TRUE,FALSE),FALSE))</f>
        <v/>
      </c>
    </row>
    <row r="1025" spans="1:33" x14ac:dyDescent="0.2">
      <c r="A1025" s="114"/>
      <c r="B1025" s="23"/>
      <c r="C1025" s="23"/>
      <c r="D1025" s="23"/>
      <c r="E1025" s="23"/>
      <c r="G1025" s="23"/>
      <c r="H1025" s="23"/>
      <c r="Y1025" s="8" t="str">
        <f>IF(A1025="","",IFERROR(IF(VLOOKUP(A1025,Entry!$D:$D,1,FALSE)=A1025,"",ROW()),ROW()))</f>
        <v/>
      </c>
      <c r="AG1025" s="8" t="str">
        <f>IF(A1025="","",IFERROR(IF(VLOOKUP(A1025,Entry!$D:$D,1,FALSE)=A1025,TRUE,FALSE),FALSE))</f>
        <v/>
      </c>
    </row>
    <row r="1026" spans="1:33" x14ac:dyDescent="0.2">
      <c r="A1026" s="114"/>
      <c r="B1026" s="23"/>
      <c r="C1026" s="23"/>
      <c r="D1026" s="23"/>
      <c r="E1026" s="23"/>
      <c r="G1026" s="23"/>
      <c r="H1026" s="23"/>
      <c r="Y1026" s="8" t="str">
        <f>IF(A1026="","",IFERROR(IF(VLOOKUP(A1026,Entry!$D:$D,1,FALSE)=A1026,"",ROW()),ROW()))</f>
        <v/>
      </c>
      <c r="AG1026" s="8" t="str">
        <f>IF(A1026="","",IFERROR(IF(VLOOKUP(A1026,Entry!$D:$D,1,FALSE)=A1026,TRUE,FALSE),FALSE))</f>
        <v/>
      </c>
    </row>
    <row r="1027" spans="1:33" x14ac:dyDescent="0.2">
      <c r="A1027" s="114"/>
      <c r="B1027" s="23"/>
      <c r="C1027" s="23"/>
      <c r="D1027" s="23"/>
      <c r="E1027" s="23"/>
      <c r="G1027" s="23"/>
      <c r="H1027" s="23"/>
      <c r="Y1027" s="8" t="str">
        <f>IF(A1027="","",IFERROR(IF(VLOOKUP(A1027,Entry!$D:$D,1,FALSE)=A1027,"",ROW()),ROW()))</f>
        <v/>
      </c>
      <c r="AG1027" s="8" t="str">
        <f>IF(A1027="","",IFERROR(IF(VLOOKUP(A1027,Entry!$D:$D,1,FALSE)=A1027,TRUE,FALSE),FALSE))</f>
        <v/>
      </c>
    </row>
    <row r="1028" spans="1:33" x14ac:dyDescent="0.2">
      <c r="A1028" s="114"/>
      <c r="B1028" s="23"/>
      <c r="C1028" s="23"/>
      <c r="D1028" s="23"/>
      <c r="E1028" s="23"/>
      <c r="G1028" s="23"/>
      <c r="H1028" s="23"/>
      <c r="Y1028" s="8" t="str">
        <f>IF(A1028="","",IFERROR(IF(VLOOKUP(A1028,Entry!$D:$D,1,FALSE)=A1028,"",ROW()),ROW()))</f>
        <v/>
      </c>
      <c r="AG1028" s="8" t="str">
        <f>IF(A1028="","",IFERROR(IF(VLOOKUP(A1028,Entry!$D:$D,1,FALSE)=A1028,TRUE,FALSE),FALSE))</f>
        <v/>
      </c>
    </row>
    <row r="1029" spans="1:33" x14ac:dyDescent="0.2">
      <c r="A1029" s="114"/>
      <c r="B1029" s="23"/>
      <c r="C1029" s="23"/>
      <c r="D1029" s="23"/>
      <c r="E1029" s="23"/>
      <c r="G1029" s="23"/>
      <c r="H1029" s="23"/>
      <c r="Y1029" s="8" t="str">
        <f>IF(A1029="","",IFERROR(IF(VLOOKUP(A1029,Entry!$D:$D,1,FALSE)=A1029,"",ROW()),ROW()))</f>
        <v/>
      </c>
      <c r="AG1029" s="8" t="str">
        <f>IF(A1029="","",IFERROR(IF(VLOOKUP(A1029,Entry!$D:$D,1,FALSE)=A1029,TRUE,FALSE),FALSE))</f>
        <v/>
      </c>
    </row>
    <row r="1030" spans="1:33" x14ac:dyDescent="0.2">
      <c r="A1030" s="114"/>
      <c r="B1030" s="23"/>
      <c r="C1030" s="23"/>
      <c r="D1030" s="23"/>
      <c r="E1030" s="23"/>
      <c r="G1030" s="23"/>
      <c r="H1030" s="23"/>
      <c r="Y1030" s="8" t="str">
        <f>IF(A1030="","",IFERROR(IF(VLOOKUP(A1030,Entry!$D:$D,1,FALSE)=A1030,"",ROW()),ROW()))</f>
        <v/>
      </c>
      <c r="AG1030" s="8" t="str">
        <f>IF(A1030="","",IFERROR(IF(VLOOKUP(A1030,Entry!$D:$D,1,FALSE)=A1030,TRUE,FALSE),FALSE))</f>
        <v/>
      </c>
    </row>
    <row r="1031" spans="1:33" x14ac:dyDescent="0.2">
      <c r="A1031" s="114"/>
      <c r="B1031" s="23"/>
      <c r="C1031" s="23"/>
      <c r="D1031" s="23"/>
      <c r="E1031" s="23"/>
      <c r="G1031" s="23"/>
      <c r="H1031" s="23"/>
      <c r="Y1031" s="8" t="str">
        <f>IF(A1031="","",IFERROR(IF(VLOOKUP(A1031,Entry!$D:$D,1,FALSE)=A1031,"",ROW()),ROW()))</f>
        <v/>
      </c>
      <c r="AG1031" s="8" t="str">
        <f>IF(A1031="","",IFERROR(IF(VLOOKUP(A1031,Entry!$D:$D,1,FALSE)=A1031,TRUE,FALSE),FALSE))</f>
        <v/>
      </c>
    </row>
    <row r="1032" spans="1:33" x14ac:dyDescent="0.2">
      <c r="A1032" s="114"/>
      <c r="B1032" s="23"/>
      <c r="C1032" s="23"/>
      <c r="D1032" s="23"/>
      <c r="E1032" s="23"/>
      <c r="G1032" s="23"/>
      <c r="H1032" s="23"/>
      <c r="Y1032" s="8" t="str">
        <f>IF(A1032="","",IFERROR(IF(VLOOKUP(A1032,Entry!$D:$D,1,FALSE)=A1032,"",ROW()),ROW()))</f>
        <v/>
      </c>
      <c r="AG1032" s="8" t="str">
        <f>IF(A1032="","",IFERROR(IF(VLOOKUP(A1032,Entry!$D:$D,1,FALSE)=A1032,TRUE,FALSE),FALSE))</f>
        <v/>
      </c>
    </row>
    <row r="1033" spans="1:33" x14ac:dyDescent="0.2">
      <c r="A1033" s="114"/>
      <c r="B1033" s="23"/>
      <c r="C1033" s="23"/>
      <c r="D1033" s="23"/>
      <c r="E1033" s="23"/>
      <c r="G1033" s="23"/>
      <c r="H1033" s="23"/>
      <c r="Y1033" s="8" t="str">
        <f>IF(A1033="","",IFERROR(IF(VLOOKUP(A1033,Entry!$D:$D,1,FALSE)=A1033,"",ROW()),ROW()))</f>
        <v/>
      </c>
      <c r="AG1033" s="8" t="str">
        <f>IF(A1033="","",IFERROR(IF(VLOOKUP(A1033,Entry!$D:$D,1,FALSE)=A1033,TRUE,FALSE),FALSE))</f>
        <v/>
      </c>
    </row>
    <row r="1034" spans="1:33" x14ac:dyDescent="0.2">
      <c r="A1034" s="114"/>
      <c r="B1034" s="23"/>
      <c r="C1034" s="23"/>
      <c r="D1034" s="23"/>
      <c r="E1034" s="23"/>
      <c r="G1034" s="23"/>
      <c r="H1034" s="23"/>
      <c r="Y1034" s="8" t="str">
        <f>IF(A1034="","",IFERROR(IF(VLOOKUP(A1034,Entry!$D:$D,1,FALSE)=A1034,"",ROW()),ROW()))</f>
        <v/>
      </c>
      <c r="AG1034" s="8" t="str">
        <f>IF(A1034="","",IFERROR(IF(VLOOKUP(A1034,Entry!$D:$D,1,FALSE)=A1034,TRUE,FALSE),FALSE))</f>
        <v/>
      </c>
    </row>
    <row r="1035" spans="1:33" x14ac:dyDescent="0.2">
      <c r="A1035" s="114"/>
      <c r="B1035" s="23"/>
      <c r="C1035" s="23"/>
      <c r="D1035" s="23"/>
      <c r="E1035" s="23"/>
      <c r="G1035" s="23"/>
      <c r="H1035" s="23"/>
      <c r="Y1035" s="8" t="str">
        <f>IF(A1035="","",IFERROR(IF(VLOOKUP(A1035,Entry!$D:$D,1,FALSE)=A1035,"",ROW()),ROW()))</f>
        <v/>
      </c>
      <c r="AG1035" s="8" t="str">
        <f>IF(A1035="","",IFERROR(IF(VLOOKUP(A1035,Entry!$D:$D,1,FALSE)=A1035,TRUE,FALSE),FALSE))</f>
        <v/>
      </c>
    </row>
    <row r="1036" spans="1:33" x14ac:dyDescent="0.2">
      <c r="A1036" s="114"/>
      <c r="B1036" s="23"/>
      <c r="C1036" s="23"/>
      <c r="D1036" s="23"/>
      <c r="E1036" s="23"/>
      <c r="G1036" s="23"/>
      <c r="H1036" s="23"/>
      <c r="Y1036" s="8" t="str">
        <f>IF(A1036="","",IFERROR(IF(VLOOKUP(A1036,Entry!$D:$D,1,FALSE)=A1036,"",ROW()),ROW()))</f>
        <v/>
      </c>
      <c r="AG1036" s="8" t="str">
        <f>IF(A1036="","",IFERROR(IF(VLOOKUP(A1036,Entry!$D:$D,1,FALSE)=A1036,TRUE,FALSE),FALSE))</f>
        <v/>
      </c>
    </row>
    <row r="1037" spans="1:33" x14ac:dyDescent="0.2">
      <c r="A1037" s="114"/>
      <c r="B1037" s="23"/>
      <c r="C1037" s="23"/>
      <c r="D1037" s="23"/>
      <c r="E1037" s="23"/>
      <c r="G1037" s="23"/>
      <c r="H1037" s="23"/>
      <c r="Y1037" s="8" t="str">
        <f>IF(A1037="","",IFERROR(IF(VLOOKUP(A1037,Entry!$D:$D,1,FALSE)=A1037,"",ROW()),ROW()))</f>
        <v/>
      </c>
      <c r="AG1037" s="8" t="str">
        <f>IF(A1037="","",IFERROR(IF(VLOOKUP(A1037,Entry!$D:$D,1,FALSE)=A1037,TRUE,FALSE),FALSE))</f>
        <v/>
      </c>
    </row>
    <row r="1038" spans="1:33" x14ac:dyDescent="0.2">
      <c r="A1038" s="114"/>
      <c r="B1038" s="23"/>
      <c r="C1038" s="23"/>
      <c r="D1038" s="23"/>
      <c r="E1038" s="23"/>
      <c r="G1038" s="23"/>
      <c r="H1038" s="23"/>
      <c r="Y1038" s="8" t="str">
        <f>IF(A1038="","",IFERROR(IF(VLOOKUP(A1038,Entry!$D:$D,1,FALSE)=A1038,"",ROW()),ROW()))</f>
        <v/>
      </c>
      <c r="AG1038" s="8" t="str">
        <f>IF(A1038="","",IFERROR(IF(VLOOKUP(A1038,Entry!$D:$D,1,FALSE)=A1038,TRUE,FALSE),FALSE))</f>
        <v/>
      </c>
    </row>
    <row r="1039" spans="1:33" x14ac:dyDescent="0.2">
      <c r="A1039" s="114"/>
      <c r="B1039" s="23"/>
      <c r="C1039" s="23"/>
      <c r="D1039" s="23"/>
      <c r="E1039" s="23"/>
      <c r="G1039" s="23"/>
      <c r="H1039" s="23"/>
      <c r="Y1039" s="8" t="str">
        <f>IF(A1039="","",IFERROR(IF(VLOOKUP(A1039,Entry!$D:$D,1,FALSE)=A1039,"",ROW()),ROW()))</f>
        <v/>
      </c>
      <c r="AG1039" s="8" t="str">
        <f>IF(A1039="","",IFERROR(IF(VLOOKUP(A1039,Entry!$D:$D,1,FALSE)=A1039,TRUE,FALSE),FALSE))</f>
        <v/>
      </c>
    </row>
    <row r="1040" spans="1:33" x14ac:dyDescent="0.2">
      <c r="A1040" s="114"/>
      <c r="B1040" s="23"/>
      <c r="C1040" s="23"/>
      <c r="D1040" s="23"/>
      <c r="E1040" s="23"/>
      <c r="G1040" s="23"/>
      <c r="H1040" s="23"/>
      <c r="Y1040" s="8" t="str">
        <f>IF(A1040="","",IFERROR(IF(VLOOKUP(A1040,Entry!$D:$D,1,FALSE)=A1040,"",ROW()),ROW()))</f>
        <v/>
      </c>
      <c r="AG1040" s="8" t="str">
        <f>IF(A1040="","",IFERROR(IF(VLOOKUP(A1040,Entry!$D:$D,1,FALSE)=A1040,TRUE,FALSE),FALSE))</f>
        <v/>
      </c>
    </row>
    <row r="1041" spans="1:33" x14ac:dyDescent="0.2">
      <c r="A1041" s="114"/>
      <c r="B1041" s="23"/>
      <c r="C1041" s="23"/>
      <c r="D1041" s="23"/>
      <c r="E1041" s="23"/>
      <c r="G1041" s="23"/>
      <c r="H1041" s="23"/>
      <c r="Y1041" s="8" t="str">
        <f>IF(A1041="","",IFERROR(IF(VLOOKUP(A1041,Entry!$D:$D,1,FALSE)=A1041,"",ROW()),ROW()))</f>
        <v/>
      </c>
      <c r="AG1041" s="8" t="str">
        <f>IF(A1041="","",IFERROR(IF(VLOOKUP(A1041,Entry!$D:$D,1,FALSE)=A1041,TRUE,FALSE),FALSE))</f>
        <v/>
      </c>
    </row>
    <row r="1042" spans="1:33" x14ac:dyDescent="0.2">
      <c r="A1042" s="114"/>
      <c r="B1042" s="23"/>
      <c r="C1042" s="23"/>
      <c r="D1042" s="23"/>
      <c r="E1042" s="23"/>
      <c r="G1042" s="23"/>
      <c r="H1042" s="23"/>
      <c r="Y1042" s="8" t="str">
        <f>IF(A1042="","",IFERROR(IF(VLOOKUP(A1042,Entry!$D:$D,1,FALSE)=A1042,"",ROW()),ROW()))</f>
        <v/>
      </c>
      <c r="AG1042" s="8" t="str">
        <f>IF(A1042="","",IFERROR(IF(VLOOKUP(A1042,Entry!$D:$D,1,FALSE)=A1042,TRUE,FALSE),FALSE))</f>
        <v/>
      </c>
    </row>
    <row r="1043" spans="1:33" x14ac:dyDescent="0.2">
      <c r="A1043" s="114"/>
      <c r="B1043" s="23"/>
      <c r="C1043" s="23"/>
      <c r="D1043" s="23"/>
      <c r="E1043" s="23"/>
      <c r="G1043" s="23"/>
      <c r="H1043" s="23"/>
      <c r="Y1043" s="8" t="str">
        <f>IF(A1043="","",IFERROR(IF(VLOOKUP(A1043,Entry!$D:$D,1,FALSE)=A1043,"",ROW()),ROW()))</f>
        <v/>
      </c>
      <c r="AG1043" s="8" t="str">
        <f>IF(A1043="","",IFERROR(IF(VLOOKUP(A1043,Entry!$D:$D,1,FALSE)=A1043,TRUE,FALSE),FALSE))</f>
        <v/>
      </c>
    </row>
    <row r="1044" spans="1:33" x14ac:dyDescent="0.2">
      <c r="A1044" s="114"/>
      <c r="B1044" s="23"/>
      <c r="C1044" s="23"/>
      <c r="D1044" s="23"/>
      <c r="E1044" s="23"/>
      <c r="G1044" s="23"/>
      <c r="H1044" s="23"/>
      <c r="Y1044" s="8" t="str">
        <f>IF(A1044="","",IFERROR(IF(VLOOKUP(A1044,Entry!$D:$D,1,FALSE)=A1044,"",ROW()),ROW()))</f>
        <v/>
      </c>
      <c r="AG1044" s="8" t="str">
        <f>IF(A1044="","",IFERROR(IF(VLOOKUP(A1044,Entry!$D:$D,1,FALSE)=A1044,TRUE,FALSE),FALSE))</f>
        <v/>
      </c>
    </row>
    <row r="1045" spans="1:33" x14ac:dyDescent="0.2">
      <c r="A1045" s="114"/>
      <c r="B1045" s="23"/>
      <c r="C1045" s="23"/>
      <c r="D1045" s="23"/>
      <c r="E1045" s="23"/>
      <c r="G1045" s="23"/>
      <c r="H1045" s="23"/>
      <c r="Y1045" s="8" t="str">
        <f>IF(A1045="","",IFERROR(IF(VLOOKUP(A1045,Entry!$D:$D,1,FALSE)=A1045,"",ROW()),ROW()))</f>
        <v/>
      </c>
      <c r="AG1045" s="8" t="str">
        <f>IF(A1045="","",IFERROR(IF(VLOOKUP(A1045,Entry!$D:$D,1,FALSE)=A1045,TRUE,FALSE),FALSE))</f>
        <v/>
      </c>
    </row>
    <row r="1046" spans="1:33" x14ac:dyDescent="0.2">
      <c r="A1046" s="114"/>
      <c r="B1046" s="23"/>
      <c r="C1046" s="23"/>
      <c r="D1046" s="23"/>
      <c r="E1046" s="23"/>
      <c r="G1046" s="23"/>
      <c r="H1046" s="23"/>
      <c r="Y1046" s="8" t="str">
        <f>IF(A1046="","",IFERROR(IF(VLOOKUP(A1046,Entry!$D:$D,1,FALSE)=A1046,"",ROW()),ROW()))</f>
        <v/>
      </c>
      <c r="AG1046" s="8" t="str">
        <f>IF(A1046="","",IFERROR(IF(VLOOKUP(A1046,Entry!$D:$D,1,FALSE)=A1046,TRUE,FALSE),FALSE))</f>
        <v/>
      </c>
    </row>
    <row r="1047" spans="1:33" x14ac:dyDescent="0.2">
      <c r="A1047" s="114"/>
      <c r="B1047" s="23"/>
      <c r="C1047" s="23"/>
      <c r="D1047" s="23"/>
      <c r="E1047" s="23"/>
      <c r="G1047" s="23"/>
      <c r="H1047" s="23"/>
      <c r="Y1047" s="8" t="str">
        <f>IF(A1047="","",IFERROR(IF(VLOOKUP(A1047,Entry!$D:$D,1,FALSE)=A1047,"",ROW()),ROW()))</f>
        <v/>
      </c>
      <c r="AG1047" s="8" t="str">
        <f>IF(A1047="","",IFERROR(IF(VLOOKUP(A1047,Entry!$D:$D,1,FALSE)=A1047,TRUE,FALSE),FALSE))</f>
        <v/>
      </c>
    </row>
    <row r="1048" spans="1:33" x14ac:dyDescent="0.2">
      <c r="A1048" s="114"/>
      <c r="B1048" s="23"/>
      <c r="C1048" s="23"/>
      <c r="D1048" s="23"/>
      <c r="E1048" s="23"/>
      <c r="G1048" s="23"/>
      <c r="H1048" s="23"/>
      <c r="Y1048" s="8" t="str">
        <f>IF(A1048="","",IFERROR(IF(VLOOKUP(A1048,Entry!$D:$D,1,FALSE)=A1048,"",ROW()),ROW()))</f>
        <v/>
      </c>
      <c r="AG1048" s="8" t="str">
        <f>IF(A1048="","",IFERROR(IF(VLOOKUP(A1048,Entry!$D:$D,1,FALSE)=A1048,TRUE,FALSE),FALSE))</f>
        <v/>
      </c>
    </row>
    <row r="1049" spans="1:33" x14ac:dyDescent="0.2">
      <c r="A1049" s="114"/>
      <c r="B1049" s="23"/>
      <c r="C1049" s="23"/>
      <c r="D1049" s="23"/>
      <c r="E1049" s="23"/>
      <c r="G1049" s="23"/>
      <c r="H1049" s="23"/>
      <c r="Y1049" s="8" t="str">
        <f>IF(A1049="","",IFERROR(IF(VLOOKUP(A1049,Entry!$D:$D,1,FALSE)=A1049,"",ROW()),ROW()))</f>
        <v/>
      </c>
      <c r="AG1049" s="8" t="str">
        <f>IF(A1049="","",IFERROR(IF(VLOOKUP(A1049,Entry!$D:$D,1,FALSE)=A1049,TRUE,FALSE),FALSE))</f>
        <v/>
      </c>
    </row>
    <row r="1050" spans="1:33" x14ac:dyDescent="0.2">
      <c r="A1050" s="114"/>
      <c r="B1050" s="23"/>
      <c r="C1050" s="23"/>
      <c r="D1050" s="23"/>
      <c r="E1050" s="23"/>
      <c r="G1050" s="23"/>
      <c r="H1050" s="23"/>
      <c r="Y1050" s="8" t="str">
        <f>IF(A1050="","",IFERROR(IF(VLOOKUP(A1050,Entry!$D:$D,1,FALSE)=A1050,"",ROW()),ROW()))</f>
        <v/>
      </c>
      <c r="AG1050" s="8" t="str">
        <f>IF(A1050="","",IFERROR(IF(VLOOKUP(A1050,Entry!$D:$D,1,FALSE)=A1050,TRUE,FALSE),FALSE))</f>
        <v/>
      </c>
    </row>
    <row r="1051" spans="1:33" x14ac:dyDescent="0.2">
      <c r="A1051" s="114"/>
      <c r="B1051" s="23"/>
      <c r="C1051" s="23"/>
      <c r="D1051" s="23"/>
      <c r="E1051" s="23"/>
      <c r="G1051" s="23"/>
      <c r="H1051" s="23"/>
      <c r="Y1051" s="8" t="str">
        <f>IF(A1051="","",IFERROR(IF(VLOOKUP(A1051,Entry!$D:$D,1,FALSE)=A1051,"",ROW()),ROW()))</f>
        <v/>
      </c>
      <c r="AG1051" s="8" t="str">
        <f>IF(A1051="","",IFERROR(IF(VLOOKUP(A1051,Entry!$D:$D,1,FALSE)=A1051,TRUE,FALSE),FALSE))</f>
        <v/>
      </c>
    </row>
    <row r="1052" spans="1:33" x14ac:dyDescent="0.2">
      <c r="A1052" s="114"/>
      <c r="B1052" s="23"/>
      <c r="C1052" s="23"/>
      <c r="D1052" s="23"/>
      <c r="E1052" s="23"/>
      <c r="G1052" s="23"/>
      <c r="H1052" s="23"/>
      <c r="Y1052" s="8" t="str">
        <f>IF(A1052="","",IFERROR(IF(VLOOKUP(A1052,Entry!$D:$D,1,FALSE)=A1052,"",ROW()),ROW()))</f>
        <v/>
      </c>
      <c r="AG1052" s="8" t="str">
        <f>IF(A1052="","",IFERROR(IF(VLOOKUP(A1052,Entry!$D:$D,1,FALSE)=A1052,TRUE,FALSE),FALSE))</f>
        <v/>
      </c>
    </row>
    <row r="1053" spans="1:33" x14ac:dyDescent="0.2">
      <c r="A1053" s="114"/>
      <c r="B1053" s="23"/>
      <c r="C1053" s="23"/>
      <c r="D1053" s="23"/>
      <c r="E1053" s="23"/>
      <c r="G1053" s="23"/>
      <c r="H1053" s="23"/>
      <c r="Y1053" s="8" t="str">
        <f>IF(A1053="","",IFERROR(IF(VLOOKUP(A1053,Entry!$D:$D,1,FALSE)=A1053,"",ROW()),ROW()))</f>
        <v/>
      </c>
      <c r="AG1053" s="8" t="str">
        <f>IF(A1053="","",IFERROR(IF(VLOOKUP(A1053,Entry!$D:$D,1,FALSE)=A1053,TRUE,FALSE),FALSE))</f>
        <v/>
      </c>
    </row>
    <row r="1054" spans="1:33" x14ac:dyDescent="0.2">
      <c r="A1054" s="114"/>
      <c r="B1054" s="23"/>
      <c r="C1054" s="23"/>
      <c r="D1054" s="23"/>
      <c r="E1054" s="23"/>
      <c r="G1054" s="23"/>
      <c r="H1054" s="23"/>
      <c r="Y1054" s="8" t="str">
        <f>IF(A1054="","",IFERROR(IF(VLOOKUP(A1054,Entry!$D:$D,1,FALSE)=A1054,"",ROW()),ROW()))</f>
        <v/>
      </c>
      <c r="AG1054" s="8" t="str">
        <f>IF(A1054="","",IFERROR(IF(VLOOKUP(A1054,Entry!$D:$D,1,FALSE)=A1054,TRUE,FALSE),FALSE))</f>
        <v/>
      </c>
    </row>
    <row r="1055" spans="1:33" x14ac:dyDescent="0.2">
      <c r="A1055" s="114"/>
      <c r="B1055" s="23"/>
      <c r="C1055" s="23"/>
      <c r="D1055" s="23"/>
      <c r="E1055" s="23"/>
      <c r="G1055" s="23"/>
      <c r="H1055" s="23"/>
      <c r="Y1055" s="8" t="str">
        <f>IF(A1055="","",IFERROR(IF(VLOOKUP(A1055,Entry!$D:$D,1,FALSE)=A1055,"",ROW()),ROW()))</f>
        <v/>
      </c>
      <c r="AG1055" s="8" t="str">
        <f>IF(A1055="","",IFERROR(IF(VLOOKUP(A1055,Entry!$D:$D,1,FALSE)=A1055,TRUE,FALSE),FALSE))</f>
        <v/>
      </c>
    </row>
    <row r="1056" spans="1:33" x14ac:dyDescent="0.2">
      <c r="A1056" s="114"/>
      <c r="B1056" s="23"/>
      <c r="C1056" s="23"/>
      <c r="D1056" s="23"/>
      <c r="E1056" s="23"/>
      <c r="G1056" s="23"/>
      <c r="H1056" s="23"/>
      <c r="Y1056" s="8" t="str">
        <f>IF(A1056="","",IFERROR(IF(VLOOKUP(A1056,Entry!$D:$D,1,FALSE)=A1056,"",ROW()),ROW()))</f>
        <v/>
      </c>
      <c r="AG1056" s="8" t="str">
        <f>IF(A1056="","",IFERROR(IF(VLOOKUP(A1056,Entry!$D:$D,1,FALSE)=A1056,TRUE,FALSE),FALSE))</f>
        <v/>
      </c>
    </row>
    <row r="1057" spans="1:33" x14ac:dyDescent="0.2">
      <c r="A1057" s="114"/>
      <c r="B1057" s="23"/>
      <c r="C1057" s="23"/>
      <c r="D1057" s="23"/>
      <c r="E1057" s="23"/>
      <c r="G1057" s="23"/>
      <c r="H1057" s="23"/>
      <c r="Y1057" s="8" t="str">
        <f>IF(A1057="","",IFERROR(IF(VLOOKUP(A1057,Entry!$D:$D,1,FALSE)=A1057,"",ROW()),ROW()))</f>
        <v/>
      </c>
      <c r="AG1057" s="8" t="str">
        <f>IF(A1057="","",IFERROR(IF(VLOOKUP(A1057,Entry!$D:$D,1,FALSE)=A1057,TRUE,FALSE),FALSE))</f>
        <v/>
      </c>
    </row>
    <row r="1058" spans="1:33" x14ac:dyDescent="0.2">
      <c r="A1058" s="114"/>
      <c r="B1058" s="23"/>
      <c r="C1058" s="23"/>
      <c r="D1058" s="23"/>
      <c r="E1058" s="23"/>
      <c r="G1058" s="23"/>
      <c r="H1058" s="23"/>
      <c r="Y1058" s="8" t="str">
        <f>IF(A1058="","",IFERROR(IF(VLOOKUP(A1058,Entry!$D:$D,1,FALSE)=A1058,"",ROW()),ROW()))</f>
        <v/>
      </c>
      <c r="AG1058" s="8" t="str">
        <f>IF(A1058="","",IFERROR(IF(VLOOKUP(A1058,Entry!$D:$D,1,FALSE)=A1058,TRUE,FALSE),FALSE))</f>
        <v/>
      </c>
    </row>
    <row r="1059" spans="1:33" x14ac:dyDescent="0.2">
      <c r="A1059" s="114"/>
      <c r="B1059" s="23"/>
      <c r="C1059" s="23"/>
      <c r="D1059" s="23"/>
      <c r="E1059" s="23"/>
      <c r="G1059" s="23"/>
      <c r="H1059" s="23"/>
      <c r="Y1059" s="8" t="str">
        <f>IF(A1059="","",IFERROR(IF(VLOOKUP(A1059,Entry!$D:$D,1,FALSE)=A1059,"",ROW()),ROW()))</f>
        <v/>
      </c>
      <c r="AG1059" s="8" t="str">
        <f>IF(A1059="","",IFERROR(IF(VLOOKUP(A1059,Entry!$D:$D,1,FALSE)=A1059,TRUE,FALSE),FALSE))</f>
        <v/>
      </c>
    </row>
    <row r="1060" spans="1:33" x14ac:dyDescent="0.2">
      <c r="A1060" s="114"/>
      <c r="B1060" s="23"/>
      <c r="C1060" s="23"/>
      <c r="D1060" s="23"/>
      <c r="E1060" s="23"/>
      <c r="G1060" s="23"/>
      <c r="H1060" s="23"/>
      <c r="Y1060" s="8" t="str">
        <f>IF(A1060="","",IFERROR(IF(VLOOKUP(A1060,Entry!$D:$D,1,FALSE)=A1060,"",ROW()),ROW()))</f>
        <v/>
      </c>
      <c r="AG1060" s="8" t="str">
        <f>IF(A1060="","",IFERROR(IF(VLOOKUP(A1060,Entry!$D:$D,1,FALSE)=A1060,TRUE,FALSE),FALSE))</f>
        <v/>
      </c>
    </row>
    <row r="1061" spans="1:33" x14ac:dyDescent="0.2">
      <c r="A1061" s="114"/>
      <c r="B1061" s="23"/>
      <c r="C1061" s="23"/>
      <c r="D1061" s="23"/>
      <c r="E1061" s="23"/>
      <c r="G1061" s="23"/>
      <c r="H1061" s="23"/>
      <c r="Y1061" s="8" t="str">
        <f>IF(A1061="","",IFERROR(IF(VLOOKUP(A1061,Entry!$D:$D,1,FALSE)=A1061,"",ROW()),ROW()))</f>
        <v/>
      </c>
      <c r="AG1061" s="8" t="str">
        <f>IF(A1061="","",IFERROR(IF(VLOOKUP(A1061,Entry!$D:$D,1,FALSE)=A1061,TRUE,FALSE),FALSE))</f>
        <v/>
      </c>
    </row>
    <row r="1062" spans="1:33" x14ac:dyDescent="0.2">
      <c r="A1062" s="114"/>
      <c r="B1062" s="23"/>
      <c r="C1062" s="23"/>
      <c r="D1062" s="23"/>
      <c r="E1062" s="23"/>
      <c r="G1062" s="23"/>
      <c r="H1062" s="23"/>
      <c r="Y1062" s="8" t="str">
        <f>IF(A1062="","",IFERROR(IF(VLOOKUP(A1062,Entry!$D:$D,1,FALSE)=A1062,"",ROW()),ROW()))</f>
        <v/>
      </c>
      <c r="AG1062" s="8" t="str">
        <f>IF(A1062="","",IFERROR(IF(VLOOKUP(A1062,Entry!$D:$D,1,FALSE)=A1062,TRUE,FALSE),FALSE))</f>
        <v/>
      </c>
    </row>
    <row r="1063" spans="1:33" x14ac:dyDescent="0.2">
      <c r="A1063" s="114"/>
      <c r="B1063" s="23"/>
      <c r="C1063" s="23"/>
      <c r="D1063" s="23"/>
      <c r="E1063" s="23"/>
      <c r="G1063" s="23"/>
      <c r="H1063" s="23"/>
      <c r="Y1063" s="8" t="str">
        <f>IF(A1063="","",IFERROR(IF(VLOOKUP(A1063,Entry!$D:$D,1,FALSE)=A1063,"",ROW()),ROW()))</f>
        <v/>
      </c>
      <c r="AG1063" s="8" t="str">
        <f>IF(A1063="","",IFERROR(IF(VLOOKUP(A1063,Entry!$D:$D,1,FALSE)=A1063,TRUE,FALSE),FALSE))</f>
        <v/>
      </c>
    </row>
    <row r="1064" spans="1:33" x14ac:dyDescent="0.2">
      <c r="A1064" s="114"/>
      <c r="B1064" s="23"/>
      <c r="C1064" s="23"/>
      <c r="D1064" s="23"/>
      <c r="E1064" s="23"/>
      <c r="G1064" s="23"/>
      <c r="H1064" s="23"/>
      <c r="Y1064" s="8" t="str">
        <f>IF(A1064="","",IFERROR(IF(VLOOKUP(A1064,Entry!$D:$D,1,FALSE)=A1064,"",ROW()),ROW()))</f>
        <v/>
      </c>
      <c r="AG1064" s="8" t="str">
        <f>IF(A1064="","",IFERROR(IF(VLOOKUP(A1064,Entry!$D:$D,1,FALSE)=A1064,TRUE,FALSE),FALSE))</f>
        <v/>
      </c>
    </row>
    <row r="1065" spans="1:33" x14ac:dyDescent="0.2">
      <c r="A1065" s="114"/>
      <c r="B1065" s="23"/>
      <c r="C1065" s="23"/>
      <c r="D1065" s="23"/>
      <c r="E1065" s="23"/>
      <c r="G1065" s="23"/>
      <c r="H1065" s="23"/>
      <c r="Y1065" s="8" t="str">
        <f>IF(A1065="","",IFERROR(IF(VLOOKUP(A1065,Entry!$D:$D,1,FALSE)=A1065,"",ROW()),ROW()))</f>
        <v/>
      </c>
      <c r="AG1065" s="8" t="str">
        <f>IF(A1065="","",IFERROR(IF(VLOOKUP(A1065,Entry!$D:$D,1,FALSE)=A1065,TRUE,FALSE),FALSE))</f>
        <v/>
      </c>
    </row>
    <row r="1066" spans="1:33" x14ac:dyDescent="0.2">
      <c r="A1066" s="114"/>
      <c r="B1066" s="23"/>
      <c r="C1066" s="23"/>
      <c r="D1066" s="23"/>
      <c r="E1066" s="23"/>
      <c r="G1066" s="23"/>
      <c r="H1066" s="23"/>
      <c r="Y1066" s="8" t="str">
        <f>IF(A1066="","",IFERROR(IF(VLOOKUP(A1066,Entry!$D:$D,1,FALSE)=A1066,"",ROW()),ROW()))</f>
        <v/>
      </c>
      <c r="AG1066" s="8" t="str">
        <f>IF(A1066="","",IFERROR(IF(VLOOKUP(A1066,Entry!$D:$D,1,FALSE)=A1066,TRUE,FALSE),FALSE))</f>
        <v/>
      </c>
    </row>
    <row r="1067" spans="1:33" x14ac:dyDescent="0.2">
      <c r="A1067" s="114"/>
      <c r="B1067" s="23"/>
      <c r="C1067" s="23"/>
      <c r="D1067" s="23"/>
      <c r="E1067" s="23"/>
      <c r="G1067" s="23"/>
      <c r="H1067" s="23"/>
      <c r="Y1067" s="8" t="str">
        <f>IF(A1067="","",IFERROR(IF(VLOOKUP(A1067,Entry!$D:$D,1,FALSE)=A1067,"",ROW()),ROW()))</f>
        <v/>
      </c>
      <c r="AG1067" s="8" t="str">
        <f>IF(A1067="","",IFERROR(IF(VLOOKUP(A1067,Entry!$D:$D,1,FALSE)=A1067,TRUE,FALSE),FALSE))</f>
        <v/>
      </c>
    </row>
    <row r="1068" spans="1:33" x14ac:dyDescent="0.2">
      <c r="A1068" s="114"/>
      <c r="B1068" s="23"/>
      <c r="C1068" s="23"/>
      <c r="D1068" s="23"/>
      <c r="E1068" s="23"/>
      <c r="G1068" s="23"/>
      <c r="H1068" s="23"/>
      <c r="Y1068" s="8" t="str">
        <f>IF(A1068="","",IFERROR(IF(VLOOKUP(A1068,Entry!$D:$D,1,FALSE)=A1068,"",ROW()),ROW()))</f>
        <v/>
      </c>
      <c r="AG1068" s="8" t="str">
        <f>IF(A1068="","",IFERROR(IF(VLOOKUP(A1068,Entry!$D:$D,1,FALSE)=A1068,TRUE,FALSE),FALSE))</f>
        <v/>
      </c>
    </row>
    <row r="1069" spans="1:33" x14ac:dyDescent="0.2">
      <c r="A1069" s="114"/>
      <c r="B1069" s="23"/>
      <c r="C1069" s="23"/>
      <c r="D1069" s="23"/>
      <c r="E1069" s="23"/>
      <c r="G1069" s="23"/>
      <c r="H1069" s="23"/>
      <c r="Y1069" s="8" t="str">
        <f>IF(A1069="","",IFERROR(IF(VLOOKUP(A1069,Entry!$D:$D,1,FALSE)=A1069,"",ROW()),ROW()))</f>
        <v/>
      </c>
      <c r="AG1069" s="8" t="str">
        <f>IF(A1069="","",IFERROR(IF(VLOOKUP(A1069,Entry!$D:$D,1,FALSE)=A1069,TRUE,FALSE),FALSE))</f>
        <v/>
      </c>
    </row>
    <row r="1070" spans="1:33" x14ac:dyDescent="0.2">
      <c r="A1070" s="114"/>
      <c r="B1070" s="23"/>
      <c r="C1070" s="23"/>
      <c r="D1070" s="23"/>
      <c r="E1070" s="23"/>
      <c r="G1070" s="23"/>
      <c r="H1070" s="23"/>
      <c r="Y1070" s="8" t="str">
        <f>IF(A1070="","",IFERROR(IF(VLOOKUP(A1070,Entry!$D:$D,1,FALSE)=A1070,"",ROW()),ROW()))</f>
        <v/>
      </c>
      <c r="AG1070" s="8" t="str">
        <f>IF(A1070="","",IFERROR(IF(VLOOKUP(A1070,Entry!$D:$D,1,FALSE)=A1070,TRUE,FALSE),FALSE))</f>
        <v/>
      </c>
    </row>
    <row r="1071" spans="1:33" x14ac:dyDescent="0.2">
      <c r="A1071" s="114"/>
      <c r="B1071" s="23"/>
      <c r="C1071" s="23"/>
      <c r="D1071" s="23"/>
      <c r="E1071" s="23"/>
      <c r="G1071" s="23"/>
      <c r="H1071" s="23"/>
      <c r="Y1071" s="8" t="str">
        <f>IF(A1071="","",IFERROR(IF(VLOOKUP(A1071,Entry!$D:$D,1,FALSE)=A1071,"",ROW()),ROW()))</f>
        <v/>
      </c>
      <c r="AG1071" s="8" t="str">
        <f>IF(A1071="","",IFERROR(IF(VLOOKUP(A1071,Entry!$D:$D,1,FALSE)=A1071,TRUE,FALSE),FALSE))</f>
        <v/>
      </c>
    </row>
    <row r="1072" spans="1:33" x14ac:dyDescent="0.2">
      <c r="A1072" s="114"/>
      <c r="B1072" s="23"/>
      <c r="C1072" s="23"/>
      <c r="D1072" s="23"/>
      <c r="E1072" s="23"/>
      <c r="G1072" s="23"/>
      <c r="H1072" s="23"/>
      <c r="Y1072" s="8" t="str">
        <f>IF(A1072="","",IFERROR(IF(VLOOKUP(A1072,Entry!$D:$D,1,FALSE)=A1072,"",ROW()),ROW()))</f>
        <v/>
      </c>
      <c r="AG1072" s="8" t="str">
        <f>IF(A1072="","",IFERROR(IF(VLOOKUP(A1072,Entry!$D:$D,1,FALSE)=A1072,TRUE,FALSE),FALSE))</f>
        <v/>
      </c>
    </row>
    <row r="1073" spans="1:33" x14ac:dyDescent="0.2">
      <c r="A1073" s="114"/>
      <c r="B1073" s="23"/>
      <c r="C1073" s="23"/>
      <c r="D1073" s="23"/>
      <c r="E1073" s="23"/>
      <c r="G1073" s="23"/>
      <c r="H1073" s="23"/>
      <c r="Y1073" s="8" t="str">
        <f>IF(A1073="","",IFERROR(IF(VLOOKUP(A1073,Entry!$D:$D,1,FALSE)=A1073,"",ROW()),ROW()))</f>
        <v/>
      </c>
      <c r="AG1073" s="8" t="str">
        <f>IF(A1073="","",IFERROR(IF(VLOOKUP(A1073,Entry!$D:$D,1,FALSE)=A1073,TRUE,FALSE),FALSE))</f>
        <v/>
      </c>
    </row>
    <row r="1074" spans="1:33" x14ac:dyDescent="0.2">
      <c r="A1074" s="114"/>
      <c r="B1074" s="23"/>
      <c r="C1074" s="23"/>
      <c r="D1074" s="23"/>
      <c r="E1074" s="23"/>
      <c r="G1074" s="23"/>
      <c r="H1074" s="23"/>
      <c r="Y1074" s="8" t="str">
        <f>IF(A1074="","",IFERROR(IF(VLOOKUP(A1074,Entry!$D:$D,1,FALSE)=A1074,"",ROW()),ROW()))</f>
        <v/>
      </c>
      <c r="AG1074" s="8" t="str">
        <f>IF(A1074="","",IFERROR(IF(VLOOKUP(A1074,Entry!$D:$D,1,FALSE)=A1074,TRUE,FALSE),FALSE))</f>
        <v/>
      </c>
    </row>
    <row r="1075" spans="1:33" x14ac:dyDescent="0.2">
      <c r="A1075" s="114"/>
      <c r="B1075" s="23"/>
      <c r="C1075" s="23"/>
      <c r="D1075" s="23"/>
      <c r="E1075" s="23"/>
      <c r="G1075" s="23"/>
      <c r="H1075" s="23"/>
      <c r="Y1075" s="8" t="str">
        <f>IF(A1075="","",IFERROR(IF(VLOOKUP(A1075,Entry!$D:$D,1,FALSE)=A1075,"",ROW()),ROW()))</f>
        <v/>
      </c>
      <c r="AG1075" s="8" t="str">
        <f>IF(A1075="","",IFERROR(IF(VLOOKUP(A1075,Entry!$D:$D,1,FALSE)=A1075,TRUE,FALSE),FALSE))</f>
        <v/>
      </c>
    </row>
    <row r="1076" spans="1:33" x14ac:dyDescent="0.2">
      <c r="A1076" s="114"/>
      <c r="B1076" s="23"/>
      <c r="C1076" s="23"/>
      <c r="D1076" s="23"/>
      <c r="E1076" s="23"/>
      <c r="G1076" s="23"/>
      <c r="H1076" s="23"/>
      <c r="Y1076" s="8" t="str">
        <f>IF(A1076="","",IFERROR(IF(VLOOKUP(A1076,Entry!$D:$D,1,FALSE)=A1076,"",ROW()),ROW()))</f>
        <v/>
      </c>
      <c r="AG1076" s="8" t="str">
        <f>IF(A1076="","",IFERROR(IF(VLOOKUP(A1076,Entry!$D:$D,1,FALSE)=A1076,TRUE,FALSE),FALSE))</f>
        <v/>
      </c>
    </row>
    <row r="1077" spans="1:33" x14ac:dyDescent="0.2">
      <c r="A1077" s="114"/>
      <c r="B1077" s="23"/>
      <c r="C1077" s="23"/>
      <c r="D1077" s="23"/>
      <c r="E1077" s="23"/>
      <c r="G1077" s="23"/>
      <c r="H1077" s="23"/>
      <c r="Y1077" s="8" t="str">
        <f>IF(A1077="","",IFERROR(IF(VLOOKUP(A1077,Entry!$D:$D,1,FALSE)=A1077,"",ROW()),ROW()))</f>
        <v/>
      </c>
      <c r="AG1077" s="8" t="str">
        <f>IF(A1077="","",IFERROR(IF(VLOOKUP(A1077,Entry!$D:$D,1,FALSE)=A1077,TRUE,FALSE),FALSE))</f>
        <v/>
      </c>
    </row>
    <row r="1078" spans="1:33" x14ac:dyDescent="0.2">
      <c r="A1078" s="114"/>
      <c r="B1078" s="23"/>
      <c r="C1078" s="23"/>
      <c r="D1078" s="23"/>
      <c r="E1078" s="23"/>
      <c r="G1078" s="23"/>
      <c r="H1078" s="23"/>
      <c r="Y1078" s="8" t="str">
        <f>IF(A1078="","",IFERROR(IF(VLOOKUP(A1078,Entry!$D:$D,1,FALSE)=A1078,"",ROW()),ROW()))</f>
        <v/>
      </c>
      <c r="AG1078" s="8" t="str">
        <f>IF(A1078="","",IFERROR(IF(VLOOKUP(A1078,Entry!$D:$D,1,FALSE)=A1078,TRUE,FALSE),FALSE))</f>
        <v/>
      </c>
    </row>
    <row r="1079" spans="1:33" x14ac:dyDescent="0.2">
      <c r="A1079" s="114"/>
      <c r="B1079" s="23"/>
      <c r="C1079" s="23"/>
      <c r="D1079" s="23"/>
      <c r="E1079" s="23"/>
      <c r="G1079" s="23"/>
      <c r="H1079" s="23"/>
      <c r="Y1079" s="8" t="str">
        <f>IF(A1079="","",IFERROR(IF(VLOOKUP(A1079,Entry!$D:$D,1,FALSE)=A1079,"",ROW()),ROW()))</f>
        <v/>
      </c>
      <c r="AG1079" s="8" t="str">
        <f>IF(A1079="","",IFERROR(IF(VLOOKUP(A1079,Entry!$D:$D,1,FALSE)=A1079,TRUE,FALSE),FALSE))</f>
        <v/>
      </c>
    </row>
    <row r="1080" spans="1:33" x14ac:dyDescent="0.2">
      <c r="A1080" s="114"/>
      <c r="B1080" s="23"/>
      <c r="C1080" s="23"/>
      <c r="D1080" s="23"/>
      <c r="E1080" s="23"/>
      <c r="G1080" s="23"/>
      <c r="H1080" s="23"/>
      <c r="Y1080" s="8" t="str">
        <f>IF(A1080="","",IFERROR(IF(VLOOKUP(A1080,Entry!$D:$D,1,FALSE)=A1080,"",ROW()),ROW()))</f>
        <v/>
      </c>
      <c r="AG1080" s="8" t="str">
        <f>IF(A1080="","",IFERROR(IF(VLOOKUP(A1080,Entry!$D:$D,1,FALSE)=A1080,TRUE,FALSE),FALSE))</f>
        <v/>
      </c>
    </row>
    <row r="1081" spans="1:33" x14ac:dyDescent="0.2">
      <c r="A1081" s="114"/>
      <c r="B1081" s="23"/>
      <c r="C1081" s="23"/>
      <c r="D1081" s="23"/>
      <c r="E1081" s="23"/>
      <c r="G1081" s="23"/>
      <c r="H1081" s="23"/>
      <c r="Y1081" s="8" t="str">
        <f>IF(A1081="","",IFERROR(IF(VLOOKUP(A1081,Entry!$D:$D,1,FALSE)=A1081,"",ROW()),ROW()))</f>
        <v/>
      </c>
      <c r="AG1081" s="8" t="str">
        <f>IF(A1081="","",IFERROR(IF(VLOOKUP(A1081,Entry!$D:$D,1,FALSE)=A1081,TRUE,FALSE),FALSE))</f>
        <v/>
      </c>
    </row>
    <row r="1082" spans="1:33" x14ac:dyDescent="0.2">
      <c r="A1082" s="114"/>
      <c r="B1082" s="23"/>
      <c r="C1082" s="23"/>
      <c r="D1082" s="23"/>
      <c r="E1082" s="23"/>
      <c r="G1082" s="23"/>
      <c r="H1082" s="23"/>
      <c r="Y1082" s="8" t="str">
        <f>IF(A1082="","",IFERROR(IF(VLOOKUP(A1082,Entry!$D:$D,1,FALSE)=A1082,"",ROW()),ROW()))</f>
        <v/>
      </c>
      <c r="AG1082" s="8" t="str">
        <f>IF(A1082="","",IFERROR(IF(VLOOKUP(A1082,Entry!$D:$D,1,FALSE)=A1082,TRUE,FALSE),FALSE))</f>
        <v/>
      </c>
    </row>
    <row r="1083" spans="1:33" x14ac:dyDescent="0.2">
      <c r="A1083" s="114"/>
      <c r="B1083" s="23"/>
      <c r="C1083" s="23"/>
      <c r="D1083" s="23"/>
      <c r="E1083" s="23"/>
      <c r="G1083" s="23"/>
      <c r="H1083" s="23"/>
      <c r="Y1083" s="8" t="str">
        <f>IF(A1083="","",IFERROR(IF(VLOOKUP(A1083,Entry!$D:$D,1,FALSE)=A1083,"",ROW()),ROW()))</f>
        <v/>
      </c>
      <c r="AG1083" s="8" t="str">
        <f>IF(A1083="","",IFERROR(IF(VLOOKUP(A1083,Entry!$D:$D,1,FALSE)=A1083,TRUE,FALSE),FALSE))</f>
        <v/>
      </c>
    </row>
    <row r="1084" spans="1:33" x14ac:dyDescent="0.2">
      <c r="A1084" s="114"/>
      <c r="B1084" s="23"/>
      <c r="C1084" s="23"/>
      <c r="D1084" s="23"/>
      <c r="E1084" s="23"/>
      <c r="G1084" s="23"/>
      <c r="H1084" s="23"/>
      <c r="Y1084" s="8" t="str">
        <f>IF(A1084="","",IFERROR(IF(VLOOKUP(A1084,Entry!$D:$D,1,FALSE)=A1084,"",ROW()),ROW()))</f>
        <v/>
      </c>
      <c r="AG1084" s="8" t="str">
        <f>IF(A1084="","",IFERROR(IF(VLOOKUP(A1084,Entry!$D:$D,1,FALSE)=A1084,TRUE,FALSE),FALSE))</f>
        <v/>
      </c>
    </row>
    <row r="1085" spans="1:33" x14ac:dyDescent="0.2">
      <c r="A1085" s="114"/>
      <c r="B1085" s="23"/>
      <c r="C1085" s="23"/>
      <c r="D1085" s="23"/>
      <c r="E1085" s="23"/>
      <c r="G1085" s="23"/>
      <c r="H1085" s="23"/>
      <c r="Y1085" s="8" t="str">
        <f>IF(A1085="","",IFERROR(IF(VLOOKUP(A1085,Entry!$D:$D,1,FALSE)=A1085,"",ROW()),ROW()))</f>
        <v/>
      </c>
      <c r="AG1085" s="8" t="str">
        <f>IF(A1085="","",IFERROR(IF(VLOOKUP(A1085,Entry!$D:$D,1,FALSE)=A1085,TRUE,FALSE),FALSE))</f>
        <v/>
      </c>
    </row>
    <row r="1086" spans="1:33" x14ac:dyDescent="0.2">
      <c r="A1086" s="114"/>
      <c r="B1086" s="23"/>
      <c r="C1086" s="23"/>
      <c r="D1086" s="23"/>
      <c r="E1086" s="23"/>
      <c r="G1086" s="23"/>
      <c r="H1086" s="23"/>
      <c r="Y1086" s="8" t="str">
        <f>IF(A1086="","",IFERROR(IF(VLOOKUP(A1086,Entry!$D:$D,1,FALSE)=A1086,"",ROW()),ROW()))</f>
        <v/>
      </c>
      <c r="AG1086" s="8" t="str">
        <f>IF(A1086="","",IFERROR(IF(VLOOKUP(A1086,Entry!$D:$D,1,FALSE)=A1086,TRUE,FALSE),FALSE))</f>
        <v/>
      </c>
    </row>
    <row r="1087" spans="1:33" x14ac:dyDescent="0.2">
      <c r="A1087" s="114"/>
      <c r="B1087" s="23"/>
      <c r="C1087" s="23"/>
      <c r="D1087" s="23"/>
      <c r="E1087" s="23"/>
      <c r="G1087" s="23"/>
      <c r="H1087" s="23"/>
      <c r="Y1087" s="8" t="str">
        <f>IF(A1087="","",IFERROR(IF(VLOOKUP(A1087,Entry!$D:$D,1,FALSE)=A1087,"",ROW()),ROW()))</f>
        <v/>
      </c>
      <c r="AG1087" s="8" t="str">
        <f>IF(A1087="","",IFERROR(IF(VLOOKUP(A1087,Entry!$D:$D,1,FALSE)=A1087,TRUE,FALSE),FALSE))</f>
        <v/>
      </c>
    </row>
    <row r="1088" spans="1:33" x14ac:dyDescent="0.2">
      <c r="A1088" s="114"/>
      <c r="B1088" s="23"/>
      <c r="C1088" s="23"/>
      <c r="D1088" s="23"/>
      <c r="E1088" s="23"/>
      <c r="G1088" s="23"/>
      <c r="H1088" s="23"/>
      <c r="Y1088" s="8" t="str">
        <f>IF(A1088="","",IFERROR(IF(VLOOKUP(A1088,Entry!$D:$D,1,FALSE)=A1088,"",ROW()),ROW()))</f>
        <v/>
      </c>
      <c r="AG1088" s="8" t="str">
        <f>IF(A1088="","",IFERROR(IF(VLOOKUP(A1088,Entry!$D:$D,1,FALSE)=A1088,TRUE,FALSE),FALSE))</f>
        <v/>
      </c>
    </row>
    <row r="1089" spans="1:33" x14ac:dyDescent="0.2">
      <c r="A1089" s="114"/>
      <c r="B1089" s="23"/>
      <c r="C1089" s="23"/>
      <c r="D1089" s="23"/>
      <c r="E1089" s="23"/>
      <c r="G1089" s="23"/>
      <c r="H1089" s="23"/>
      <c r="Y1089" s="8" t="str">
        <f>IF(A1089="","",IFERROR(IF(VLOOKUP(A1089,Entry!$D:$D,1,FALSE)=A1089,"",ROW()),ROW()))</f>
        <v/>
      </c>
      <c r="AG1089" s="8" t="str">
        <f>IF(A1089="","",IFERROR(IF(VLOOKUP(A1089,Entry!$D:$D,1,FALSE)=A1089,TRUE,FALSE),FALSE))</f>
        <v/>
      </c>
    </row>
    <row r="1090" spans="1:33" x14ac:dyDescent="0.2">
      <c r="A1090" s="114"/>
      <c r="B1090" s="23"/>
      <c r="C1090" s="23"/>
      <c r="D1090" s="23"/>
      <c r="E1090" s="23"/>
      <c r="G1090" s="23"/>
      <c r="H1090" s="23"/>
      <c r="Y1090" s="8" t="str">
        <f>IF(A1090="","",IFERROR(IF(VLOOKUP(A1090,Entry!$D:$D,1,FALSE)=A1090,"",ROW()),ROW()))</f>
        <v/>
      </c>
      <c r="AG1090" s="8" t="str">
        <f>IF(A1090="","",IFERROR(IF(VLOOKUP(A1090,Entry!$D:$D,1,FALSE)=A1090,TRUE,FALSE),FALSE))</f>
        <v/>
      </c>
    </row>
    <row r="1091" spans="1:33" x14ac:dyDescent="0.2">
      <c r="A1091" s="114"/>
      <c r="B1091" s="23"/>
      <c r="C1091" s="23"/>
      <c r="D1091" s="23"/>
      <c r="E1091" s="23"/>
      <c r="G1091" s="23"/>
      <c r="H1091" s="23"/>
      <c r="Y1091" s="8" t="str">
        <f>IF(A1091="","",IFERROR(IF(VLOOKUP(A1091,Entry!$D:$D,1,FALSE)=A1091,"",ROW()),ROW()))</f>
        <v/>
      </c>
      <c r="AG1091" s="8" t="str">
        <f>IF(A1091="","",IFERROR(IF(VLOOKUP(A1091,Entry!$D:$D,1,FALSE)=A1091,TRUE,FALSE),FALSE))</f>
        <v/>
      </c>
    </row>
    <row r="1092" spans="1:33" x14ac:dyDescent="0.2">
      <c r="A1092" s="114"/>
      <c r="B1092" s="23"/>
      <c r="C1092" s="23"/>
      <c r="D1092" s="23"/>
      <c r="E1092" s="23"/>
      <c r="G1092" s="23"/>
      <c r="H1092" s="23"/>
      <c r="Y1092" s="8" t="str">
        <f>IF(A1092="","",IFERROR(IF(VLOOKUP(A1092,Entry!$D:$D,1,FALSE)=A1092,"",ROW()),ROW()))</f>
        <v/>
      </c>
      <c r="AG1092" s="8" t="str">
        <f>IF(A1092="","",IFERROR(IF(VLOOKUP(A1092,Entry!$D:$D,1,FALSE)=A1092,TRUE,FALSE),FALSE))</f>
        <v/>
      </c>
    </row>
    <row r="1093" spans="1:33" x14ac:dyDescent="0.2">
      <c r="A1093" s="114"/>
      <c r="B1093" s="23"/>
      <c r="C1093" s="23"/>
      <c r="D1093" s="23"/>
      <c r="E1093" s="23"/>
      <c r="G1093" s="23"/>
      <c r="H1093" s="23"/>
      <c r="Y1093" s="8" t="str">
        <f>IF(A1093="","",IFERROR(IF(VLOOKUP(A1093,Entry!$D:$D,1,FALSE)=A1093,"",ROW()),ROW()))</f>
        <v/>
      </c>
      <c r="AG1093" s="8" t="str">
        <f>IF(A1093="","",IFERROR(IF(VLOOKUP(A1093,Entry!$D:$D,1,FALSE)=A1093,TRUE,FALSE),FALSE))</f>
        <v/>
      </c>
    </row>
    <row r="1094" spans="1:33" x14ac:dyDescent="0.2">
      <c r="A1094" s="114"/>
      <c r="B1094" s="23"/>
      <c r="C1094" s="23"/>
      <c r="D1094" s="23"/>
      <c r="E1094" s="23"/>
      <c r="G1094" s="23"/>
      <c r="H1094" s="23"/>
      <c r="Y1094" s="8" t="str">
        <f>IF(A1094="","",IFERROR(IF(VLOOKUP(A1094,Entry!$D:$D,1,FALSE)=A1094,"",ROW()),ROW()))</f>
        <v/>
      </c>
      <c r="AG1094" s="8" t="str">
        <f>IF(A1094="","",IFERROR(IF(VLOOKUP(A1094,Entry!$D:$D,1,FALSE)=A1094,TRUE,FALSE),FALSE))</f>
        <v/>
      </c>
    </row>
    <row r="1095" spans="1:33" x14ac:dyDescent="0.2">
      <c r="A1095" s="114"/>
      <c r="B1095" s="23"/>
      <c r="C1095" s="23"/>
      <c r="D1095" s="23"/>
      <c r="E1095" s="23"/>
      <c r="G1095" s="23"/>
      <c r="H1095" s="23"/>
      <c r="Y1095" s="8" t="str">
        <f>IF(A1095="","",IFERROR(IF(VLOOKUP(A1095,Entry!$D:$D,1,FALSE)=A1095,"",ROW()),ROW()))</f>
        <v/>
      </c>
      <c r="AG1095" s="8" t="str">
        <f>IF(A1095="","",IFERROR(IF(VLOOKUP(A1095,Entry!$D:$D,1,FALSE)=A1095,TRUE,FALSE),FALSE))</f>
        <v/>
      </c>
    </row>
    <row r="1096" spans="1:33" x14ac:dyDescent="0.2">
      <c r="A1096" s="114"/>
      <c r="B1096" s="23"/>
      <c r="C1096" s="23"/>
      <c r="D1096" s="23"/>
      <c r="E1096" s="23"/>
      <c r="G1096" s="23"/>
      <c r="H1096" s="23"/>
      <c r="Y1096" s="8" t="str">
        <f>IF(A1096="","",IFERROR(IF(VLOOKUP(A1096,Entry!$D:$D,1,FALSE)=A1096,"",ROW()),ROW()))</f>
        <v/>
      </c>
      <c r="AG1096" s="8" t="str">
        <f>IF(A1096="","",IFERROR(IF(VLOOKUP(A1096,Entry!$D:$D,1,FALSE)=A1096,TRUE,FALSE),FALSE))</f>
        <v/>
      </c>
    </row>
    <row r="1097" spans="1:33" x14ac:dyDescent="0.2">
      <c r="A1097" s="114"/>
      <c r="B1097" s="23"/>
      <c r="C1097" s="23"/>
      <c r="D1097" s="23"/>
      <c r="E1097" s="23"/>
      <c r="G1097" s="23"/>
      <c r="H1097" s="23"/>
      <c r="Y1097" s="8" t="str">
        <f>IF(A1097="","",IFERROR(IF(VLOOKUP(A1097,Entry!$D:$D,1,FALSE)=A1097,"",ROW()),ROW()))</f>
        <v/>
      </c>
      <c r="AG1097" s="8" t="str">
        <f>IF(A1097="","",IFERROR(IF(VLOOKUP(A1097,Entry!$D:$D,1,FALSE)=A1097,TRUE,FALSE),FALSE))</f>
        <v/>
      </c>
    </row>
    <row r="1098" spans="1:33" x14ac:dyDescent="0.2">
      <c r="A1098" s="114"/>
      <c r="B1098" s="23"/>
      <c r="C1098" s="23"/>
      <c r="D1098" s="23"/>
      <c r="E1098" s="23"/>
      <c r="G1098" s="23"/>
      <c r="H1098" s="23"/>
      <c r="Y1098" s="8" t="str">
        <f>IF(A1098="","",IFERROR(IF(VLOOKUP(A1098,Entry!$D:$D,1,FALSE)=A1098,"",ROW()),ROW()))</f>
        <v/>
      </c>
      <c r="AG1098" s="8" t="str">
        <f>IF(A1098="","",IFERROR(IF(VLOOKUP(A1098,Entry!$D:$D,1,FALSE)=A1098,TRUE,FALSE),FALSE))</f>
        <v/>
      </c>
    </row>
    <row r="1099" spans="1:33" x14ac:dyDescent="0.2">
      <c r="A1099" s="114"/>
      <c r="B1099" s="23"/>
      <c r="C1099" s="23"/>
      <c r="D1099" s="23"/>
      <c r="E1099" s="23"/>
      <c r="G1099" s="23"/>
      <c r="H1099" s="23"/>
      <c r="Y1099" s="8" t="str">
        <f>IF(A1099="","",IFERROR(IF(VLOOKUP(A1099,Entry!$D:$D,1,FALSE)=A1099,"",ROW()),ROW()))</f>
        <v/>
      </c>
      <c r="AG1099" s="8" t="str">
        <f>IF(A1099="","",IFERROR(IF(VLOOKUP(A1099,Entry!$D:$D,1,FALSE)=A1099,TRUE,FALSE),FALSE))</f>
        <v/>
      </c>
    </row>
    <row r="1100" spans="1:33" x14ac:dyDescent="0.2">
      <c r="A1100" s="114"/>
      <c r="B1100" s="23"/>
      <c r="C1100" s="23"/>
      <c r="D1100" s="23"/>
      <c r="E1100" s="23"/>
      <c r="G1100" s="23"/>
      <c r="H1100" s="23"/>
      <c r="Y1100" s="8" t="str">
        <f>IF(A1100="","",IFERROR(IF(VLOOKUP(A1100,Entry!$D:$D,1,FALSE)=A1100,"",ROW()),ROW()))</f>
        <v/>
      </c>
      <c r="AG1100" s="8" t="str">
        <f>IF(A1100="","",IFERROR(IF(VLOOKUP(A1100,Entry!$D:$D,1,FALSE)=A1100,TRUE,FALSE),FALSE))</f>
        <v/>
      </c>
    </row>
    <row r="1101" spans="1:33" x14ac:dyDescent="0.2">
      <c r="A1101" s="114"/>
      <c r="B1101" s="23"/>
      <c r="C1101" s="23"/>
      <c r="D1101" s="23"/>
      <c r="E1101" s="23"/>
      <c r="G1101" s="23"/>
      <c r="H1101" s="23"/>
      <c r="Y1101" s="8" t="str">
        <f>IF(A1101="","",IFERROR(IF(VLOOKUP(A1101,Entry!$D:$D,1,FALSE)=A1101,"",ROW()),ROW()))</f>
        <v/>
      </c>
      <c r="AG1101" s="8" t="str">
        <f>IF(A1101="","",IFERROR(IF(VLOOKUP(A1101,Entry!$D:$D,1,FALSE)=A1101,TRUE,FALSE),FALSE))</f>
        <v/>
      </c>
    </row>
    <row r="1102" spans="1:33" x14ac:dyDescent="0.2">
      <c r="A1102" s="114"/>
      <c r="B1102" s="23"/>
      <c r="C1102" s="23"/>
      <c r="D1102" s="23"/>
      <c r="E1102" s="23"/>
      <c r="G1102" s="23"/>
      <c r="H1102" s="23"/>
      <c r="Y1102" s="8" t="str">
        <f>IF(A1102="","",IFERROR(IF(VLOOKUP(A1102,Entry!$D:$D,1,FALSE)=A1102,"",ROW()),ROW()))</f>
        <v/>
      </c>
      <c r="AG1102" s="8" t="str">
        <f>IF(A1102="","",IFERROR(IF(VLOOKUP(A1102,Entry!$D:$D,1,FALSE)=A1102,TRUE,FALSE),FALSE))</f>
        <v/>
      </c>
    </row>
    <row r="1103" spans="1:33" x14ac:dyDescent="0.2">
      <c r="A1103" s="114"/>
      <c r="B1103" s="23"/>
      <c r="C1103" s="23"/>
      <c r="D1103" s="23"/>
      <c r="E1103" s="23"/>
      <c r="G1103" s="23"/>
      <c r="H1103" s="23"/>
      <c r="Y1103" s="8" t="str">
        <f>IF(A1103="","",IFERROR(IF(VLOOKUP(A1103,Entry!$D:$D,1,FALSE)=A1103,"",ROW()),ROW()))</f>
        <v/>
      </c>
      <c r="AG1103" s="8" t="str">
        <f>IF(A1103="","",IFERROR(IF(VLOOKUP(A1103,Entry!$D:$D,1,FALSE)=A1103,TRUE,FALSE),FALSE))</f>
        <v/>
      </c>
    </row>
    <row r="1104" spans="1:33" x14ac:dyDescent="0.2">
      <c r="A1104" s="114"/>
      <c r="B1104" s="23"/>
      <c r="C1104" s="23"/>
      <c r="D1104" s="23"/>
      <c r="E1104" s="23"/>
      <c r="G1104" s="23"/>
      <c r="H1104" s="23"/>
      <c r="Y1104" s="8" t="str">
        <f>IF(A1104="","",IFERROR(IF(VLOOKUP(A1104,Entry!$D:$D,1,FALSE)=A1104,"",ROW()),ROW()))</f>
        <v/>
      </c>
      <c r="AG1104" s="8" t="str">
        <f>IF(A1104="","",IFERROR(IF(VLOOKUP(A1104,Entry!$D:$D,1,FALSE)=A1104,TRUE,FALSE),FALSE))</f>
        <v/>
      </c>
    </row>
    <row r="1105" spans="1:33" x14ac:dyDescent="0.2">
      <c r="A1105" s="114"/>
      <c r="B1105" s="23"/>
      <c r="C1105" s="23"/>
      <c r="D1105" s="23"/>
      <c r="E1105" s="23"/>
      <c r="G1105" s="23"/>
      <c r="H1105" s="23"/>
      <c r="Y1105" s="8" t="str">
        <f>IF(A1105="","",IFERROR(IF(VLOOKUP(A1105,Entry!$D:$D,1,FALSE)=A1105,"",ROW()),ROW()))</f>
        <v/>
      </c>
      <c r="AG1105" s="8" t="str">
        <f>IF(A1105="","",IFERROR(IF(VLOOKUP(A1105,Entry!$D:$D,1,FALSE)=A1105,TRUE,FALSE),FALSE))</f>
        <v/>
      </c>
    </row>
    <row r="1106" spans="1:33" x14ac:dyDescent="0.2">
      <c r="A1106" s="114"/>
      <c r="B1106" s="23"/>
      <c r="C1106" s="23"/>
      <c r="D1106" s="23"/>
      <c r="E1106" s="23"/>
      <c r="G1106" s="23"/>
      <c r="H1106" s="23"/>
      <c r="Y1106" s="8" t="str">
        <f>IF(A1106="","",IFERROR(IF(VLOOKUP(A1106,Entry!$D:$D,1,FALSE)=A1106,"",ROW()),ROW()))</f>
        <v/>
      </c>
      <c r="AG1106" s="8" t="str">
        <f>IF(A1106="","",IFERROR(IF(VLOOKUP(A1106,Entry!$D:$D,1,FALSE)=A1106,TRUE,FALSE),FALSE))</f>
        <v/>
      </c>
    </row>
    <row r="1107" spans="1:33" x14ac:dyDescent="0.2">
      <c r="A1107" s="114"/>
      <c r="B1107" s="23"/>
      <c r="C1107" s="23"/>
      <c r="D1107" s="23"/>
      <c r="E1107" s="23"/>
      <c r="G1107" s="23"/>
      <c r="H1107" s="23"/>
      <c r="Y1107" s="8" t="str">
        <f>IF(A1107="","",IFERROR(IF(VLOOKUP(A1107,Entry!$D:$D,1,FALSE)=A1107,"",ROW()),ROW()))</f>
        <v/>
      </c>
      <c r="AG1107" s="8" t="str">
        <f>IF(A1107="","",IFERROR(IF(VLOOKUP(A1107,Entry!$D:$D,1,FALSE)=A1107,TRUE,FALSE),FALSE))</f>
        <v/>
      </c>
    </row>
    <row r="1108" spans="1:33" x14ac:dyDescent="0.2">
      <c r="A1108" s="114"/>
      <c r="B1108" s="23"/>
      <c r="C1108" s="23"/>
      <c r="D1108" s="23"/>
      <c r="E1108" s="23"/>
      <c r="G1108" s="23"/>
      <c r="H1108" s="23"/>
      <c r="Y1108" s="8" t="str">
        <f>IF(A1108="","",IFERROR(IF(VLOOKUP(A1108,Entry!$D:$D,1,FALSE)=A1108,"",ROW()),ROW()))</f>
        <v/>
      </c>
      <c r="AG1108" s="8" t="str">
        <f>IF(A1108="","",IFERROR(IF(VLOOKUP(A1108,Entry!$D:$D,1,FALSE)=A1108,TRUE,FALSE),FALSE))</f>
        <v/>
      </c>
    </row>
    <row r="1109" spans="1:33" x14ac:dyDescent="0.2">
      <c r="A1109" s="114"/>
      <c r="B1109" s="23"/>
      <c r="C1109" s="23"/>
      <c r="D1109" s="23"/>
      <c r="E1109" s="23"/>
      <c r="G1109" s="23"/>
      <c r="H1109" s="23"/>
      <c r="Y1109" s="8" t="str">
        <f>IF(A1109="","",IFERROR(IF(VLOOKUP(A1109,Entry!$D:$D,1,FALSE)=A1109,"",ROW()),ROW()))</f>
        <v/>
      </c>
      <c r="AG1109" s="8" t="str">
        <f>IF(A1109="","",IFERROR(IF(VLOOKUP(A1109,Entry!$D:$D,1,FALSE)=A1109,TRUE,FALSE),FALSE))</f>
        <v/>
      </c>
    </row>
    <row r="1110" spans="1:33" x14ac:dyDescent="0.2">
      <c r="A1110" s="114"/>
      <c r="B1110" s="23"/>
      <c r="C1110" s="23"/>
      <c r="D1110" s="23"/>
      <c r="E1110" s="23"/>
      <c r="G1110" s="23"/>
      <c r="H1110" s="23"/>
      <c r="Y1110" s="8" t="str">
        <f>IF(A1110="","",IFERROR(IF(VLOOKUP(A1110,Entry!$D:$D,1,FALSE)=A1110,"",ROW()),ROW()))</f>
        <v/>
      </c>
      <c r="AG1110" s="8" t="str">
        <f>IF(A1110="","",IFERROR(IF(VLOOKUP(A1110,Entry!$D:$D,1,FALSE)=A1110,TRUE,FALSE),FALSE))</f>
        <v/>
      </c>
    </row>
    <row r="1111" spans="1:33" x14ac:dyDescent="0.2">
      <c r="A1111" s="114"/>
      <c r="B1111" s="23"/>
      <c r="C1111" s="23"/>
      <c r="D1111" s="23"/>
      <c r="E1111" s="23"/>
      <c r="G1111" s="23"/>
      <c r="H1111" s="23"/>
      <c r="Y1111" s="8" t="str">
        <f>IF(A1111="","",IFERROR(IF(VLOOKUP(A1111,Entry!$D:$D,1,FALSE)=A1111,"",ROW()),ROW()))</f>
        <v/>
      </c>
      <c r="AG1111" s="8" t="str">
        <f>IF(A1111="","",IFERROR(IF(VLOOKUP(A1111,Entry!$D:$D,1,FALSE)=A1111,TRUE,FALSE),FALSE))</f>
        <v/>
      </c>
    </row>
    <row r="1112" spans="1:33" x14ac:dyDescent="0.2">
      <c r="A1112" s="114"/>
      <c r="B1112" s="23"/>
      <c r="C1112" s="23"/>
      <c r="D1112" s="23"/>
      <c r="E1112" s="23"/>
      <c r="G1112" s="23"/>
      <c r="H1112" s="23"/>
      <c r="Y1112" s="8" t="str">
        <f>IF(A1112="","",IFERROR(IF(VLOOKUP(A1112,Entry!$D:$D,1,FALSE)=A1112,"",ROW()),ROW()))</f>
        <v/>
      </c>
      <c r="AG1112" s="8" t="str">
        <f>IF(A1112="","",IFERROR(IF(VLOOKUP(A1112,Entry!$D:$D,1,FALSE)=A1112,TRUE,FALSE),FALSE))</f>
        <v/>
      </c>
    </row>
    <row r="1113" spans="1:33" x14ac:dyDescent="0.2">
      <c r="A1113" s="114"/>
      <c r="B1113" s="23"/>
      <c r="C1113" s="23"/>
      <c r="D1113" s="23"/>
      <c r="E1113" s="23"/>
      <c r="G1113" s="23"/>
      <c r="H1113" s="23"/>
      <c r="Y1113" s="8" t="str">
        <f>IF(A1113="","",IFERROR(IF(VLOOKUP(A1113,Entry!$D:$D,1,FALSE)=A1113,"",ROW()),ROW()))</f>
        <v/>
      </c>
      <c r="AG1113" s="8" t="str">
        <f>IF(A1113="","",IFERROR(IF(VLOOKUP(A1113,Entry!$D:$D,1,FALSE)=A1113,TRUE,FALSE),FALSE))</f>
        <v/>
      </c>
    </row>
    <row r="1114" spans="1:33" x14ac:dyDescent="0.2">
      <c r="A1114" s="114"/>
      <c r="B1114" s="23"/>
      <c r="C1114" s="23"/>
      <c r="D1114" s="23"/>
      <c r="E1114" s="23"/>
      <c r="G1114" s="23"/>
      <c r="H1114" s="23"/>
      <c r="Y1114" s="8" t="str">
        <f>IF(A1114="","",IFERROR(IF(VLOOKUP(A1114,Entry!$D:$D,1,FALSE)=A1114,"",ROW()),ROW()))</f>
        <v/>
      </c>
      <c r="AG1114" s="8" t="str">
        <f>IF(A1114="","",IFERROR(IF(VLOOKUP(A1114,Entry!$D:$D,1,FALSE)=A1114,TRUE,FALSE),FALSE))</f>
        <v/>
      </c>
    </row>
    <row r="1115" spans="1:33" x14ac:dyDescent="0.2">
      <c r="A1115" s="114"/>
      <c r="B1115" s="23"/>
      <c r="C1115" s="23"/>
      <c r="D1115" s="23"/>
      <c r="E1115" s="23"/>
      <c r="G1115" s="23"/>
      <c r="H1115" s="23"/>
      <c r="Y1115" s="8" t="str">
        <f>IF(A1115="","",IFERROR(IF(VLOOKUP(A1115,Entry!$D:$D,1,FALSE)=A1115,"",ROW()),ROW()))</f>
        <v/>
      </c>
      <c r="AG1115" s="8" t="str">
        <f>IF(A1115="","",IFERROR(IF(VLOOKUP(A1115,Entry!$D:$D,1,FALSE)=A1115,TRUE,FALSE),FALSE))</f>
        <v/>
      </c>
    </row>
    <row r="1116" spans="1:33" x14ac:dyDescent="0.2">
      <c r="A1116" s="114"/>
      <c r="B1116" s="23"/>
      <c r="C1116" s="23"/>
      <c r="D1116" s="23"/>
      <c r="E1116" s="23"/>
      <c r="G1116" s="23"/>
      <c r="H1116" s="23"/>
      <c r="Y1116" s="8" t="str">
        <f>IF(A1116="","",IFERROR(IF(VLOOKUP(A1116,Entry!$D:$D,1,FALSE)=A1116,"",ROW()),ROW()))</f>
        <v/>
      </c>
      <c r="AG1116" s="8" t="str">
        <f>IF(A1116="","",IFERROR(IF(VLOOKUP(A1116,Entry!$D:$D,1,FALSE)=A1116,TRUE,FALSE),FALSE))</f>
        <v/>
      </c>
    </row>
    <row r="1117" spans="1:33" x14ac:dyDescent="0.2">
      <c r="A1117" s="114"/>
      <c r="B1117" s="23"/>
      <c r="C1117" s="23"/>
      <c r="D1117" s="23"/>
      <c r="E1117" s="23"/>
      <c r="G1117" s="23"/>
      <c r="H1117" s="23"/>
      <c r="Y1117" s="8" t="str">
        <f>IF(A1117="","",IFERROR(IF(VLOOKUP(A1117,Entry!$D:$D,1,FALSE)=A1117,"",ROW()),ROW()))</f>
        <v/>
      </c>
      <c r="AG1117" s="8" t="str">
        <f>IF(A1117="","",IFERROR(IF(VLOOKUP(A1117,Entry!$D:$D,1,FALSE)=A1117,TRUE,FALSE),FALSE))</f>
        <v/>
      </c>
    </row>
    <row r="1118" spans="1:33" x14ac:dyDescent="0.2">
      <c r="A1118" s="114"/>
      <c r="B1118" s="23"/>
      <c r="C1118" s="23"/>
      <c r="D1118" s="23"/>
      <c r="E1118" s="23"/>
      <c r="G1118" s="23"/>
      <c r="H1118" s="23"/>
      <c r="Y1118" s="8" t="str">
        <f>IF(A1118="","",IFERROR(IF(VLOOKUP(A1118,Entry!$D:$D,1,FALSE)=A1118,"",ROW()),ROW()))</f>
        <v/>
      </c>
      <c r="AG1118" s="8" t="str">
        <f>IF(A1118="","",IFERROR(IF(VLOOKUP(A1118,Entry!$D:$D,1,FALSE)=A1118,TRUE,FALSE),FALSE))</f>
        <v/>
      </c>
    </row>
    <row r="1119" spans="1:33" x14ac:dyDescent="0.2">
      <c r="A1119" s="114"/>
      <c r="B1119" s="23"/>
      <c r="C1119" s="23"/>
      <c r="D1119" s="23"/>
      <c r="E1119" s="23"/>
      <c r="G1119" s="23"/>
      <c r="H1119" s="23"/>
      <c r="Y1119" s="8" t="str">
        <f>IF(A1119="","",IFERROR(IF(VLOOKUP(A1119,Entry!$D:$D,1,FALSE)=A1119,"",ROW()),ROW()))</f>
        <v/>
      </c>
      <c r="AG1119" s="8" t="str">
        <f>IF(A1119="","",IFERROR(IF(VLOOKUP(A1119,Entry!$D:$D,1,FALSE)=A1119,TRUE,FALSE),FALSE))</f>
        <v/>
      </c>
    </row>
    <row r="1120" spans="1:33" x14ac:dyDescent="0.2">
      <c r="A1120" s="114"/>
      <c r="B1120" s="23"/>
      <c r="C1120" s="23"/>
      <c r="D1120" s="23"/>
      <c r="E1120" s="23"/>
      <c r="G1120" s="23"/>
      <c r="H1120" s="23"/>
      <c r="Y1120" s="8" t="str">
        <f>IF(A1120="","",IFERROR(IF(VLOOKUP(A1120,Entry!$D:$D,1,FALSE)=A1120,"",ROW()),ROW()))</f>
        <v/>
      </c>
      <c r="AG1120" s="8" t="str">
        <f>IF(A1120="","",IFERROR(IF(VLOOKUP(A1120,Entry!$D:$D,1,FALSE)=A1120,TRUE,FALSE),FALSE))</f>
        <v/>
      </c>
    </row>
    <row r="1121" spans="1:33" x14ac:dyDescent="0.2">
      <c r="A1121" s="114"/>
      <c r="B1121" s="23"/>
      <c r="C1121" s="23"/>
      <c r="D1121" s="23"/>
      <c r="E1121" s="23"/>
      <c r="G1121" s="23"/>
      <c r="H1121" s="23"/>
      <c r="Y1121" s="8" t="str">
        <f>IF(A1121="","",IFERROR(IF(VLOOKUP(A1121,Entry!$D:$D,1,FALSE)=A1121,"",ROW()),ROW()))</f>
        <v/>
      </c>
      <c r="AG1121" s="8" t="str">
        <f>IF(A1121="","",IFERROR(IF(VLOOKUP(A1121,Entry!$D:$D,1,FALSE)=A1121,TRUE,FALSE),FALSE))</f>
        <v/>
      </c>
    </row>
    <row r="1122" spans="1:33" x14ac:dyDescent="0.2">
      <c r="A1122" s="114"/>
      <c r="B1122" s="23"/>
      <c r="C1122" s="23"/>
      <c r="D1122" s="23"/>
      <c r="E1122" s="23"/>
      <c r="G1122" s="23"/>
      <c r="H1122" s="23"/>
      <c r="Y1122" s="8" t="str">
        <f>IF(A1122="","",IFERROR(IF(VLOOKUP(A1122,Entry!$D:$D,1,FALSE)=A1122,"",ROW()),ROW()))</f>
        <v/>
      </c>
      <c r="AG1122" s="8" t="str">
        <f>IF(A1122="","",IFERROR(IF(VLOOKUP(A1122,Entry!$D:$D,1,FALSE)=A1122,TRUE,FALSE),FALSE))</f>
        <v/>
      </c>
    </row>
    <row r="1123" spans="1:33" x14ac:dyDescent="0.2">
      <c r="A1123" s="114"/>
      <c r="B1123" s="23"/>
      <c r="C1123" s="23"/>
      <c r="D1123" s="23"/>
      <c r="E1123" s="23"/>
      <c r="G1123" s="23"/>
      <c r="H1123" s="23"/>
      <c r="Y1123" s="8" t="str">
        <f>IF(A1123="","",IFERROR(IF(VLOOKUP(A1123,Entry!$D:$D,1,FALSE)=A1123,"",ROW()),ROW()))</f>
        <v/>
      </c>
      <c r="AG1123" s="8" t="str">
        <f>IF(A1123="","",IFERROR(IF(VLOOKUP(A1123,Entry!$D:$D,1,FALSE)=A1123,TRUE,FALSE),FALSE))</f>
        <v/>
      </c>
    </row>
    <row r="1124" spans="1:33" x14ac:dyDescent="0.2">
      <c r="A1124" s="114"/>
      <c r="B1124" s="23"/>
      <c r="C1124" s="23"/>
      <c r="D1124" s="23"/>
      <c r="E1124" s="23"/>
      <c r="G1124" s="23"/>
      <c r="H1124" s="23"/>
      <c r="Y1124" s="8" t="str">
        <f>IF(A1124="","",IFERROR(IF(VLOOKUP(A1124,Entry!$D:$D,1,FALSE)=A1124,"",ROW()),ROW()))</f>
        <v/>
      </c>
      <c r="AG1124" s="8" t="str">
        <f>IF(A1124="","",IFERROR(IF(VLOOKUP(A1124,Entry!$D:$D,1,FALSE)=A1124,TRUE,FALSE),FALSE))</f>
        <v/>
      </c>
    </row>
    <row r="1125" spans="1:33" x14ac:dyDescent="0.2">
      <c r="A1125" s="114"/>
      <c r="B1125" s="23"/>
      <c r="C1125" s="23"/>
      <c r="D1125" s="23"/>
      <c r="E1125" s="23"/>
      <c r="G1125" s="23"/>
      <c r="H1125" s="23"/>
      <c r="Y1125" s="8" t="str">
        <f>IF(A1125="","",IFERROR(IF(VLOOKUP(A1125,Entry!$D:$D,1,FALSE)=A1125,"",ROW()),ROW()))</f>
        <v/>
      </c>
      <c r="AG1125" s="8" t="str">
        <f>IF(A1125="","",IFERROR(IF(VLOOKUP(A1125,Entry!$D:$D,1,FALSE)=A1125,TRUE,FALSE),FALSE))</f>
        <v/>
      </c>
    </row>
    <row r="1126" spans="1:33" x14ac:dyDescent="0.2">
      <c r="A1126" s="114"/>
      <c r="B1126" s="23"/>
      <c r="C1126" s="23"/>
      <c r="D1126" s="23"/>
      <c r="E1126" s="23"/>
      <c r="G1126" s="23"/>
      <c r="H1126" s="23"/>
      <c r="Y1126" s="8" t="str">
        <f>IF(A1126="","",IFERROR(IF(VLOOKUP(A1126,Entry!$D:$D,1,FALSE)=A1126,"",ROW()),ROW()))</f>
        <v/>
      </c>
      <c r="AG1126" s="8" t="str">
        <f>IF(A1126="","",IFERROR(IF(VLOOKUP(A1126,Entry!$D:$D,1,FALSE)=A1126,TRUE,FALSE),FALSE))</f>
        <v/>
      </c>
    </row>
    <row r="1127" spans="1:33" x14ac:dyDescent="0.2">
      <c r="A1127" s="114"/>
      <c r="B1127" s="23"/>
      <c r="C1127" s="23"/>
      <c r="D1127" s="23"/>
      <c r="E1127" s="23"/>
      <c r="G1127" s="23"/>
      <c r="H1127" s="23"/>
      <c r="Y1127" s="8" t="str">
        <f>IF(A1127="","",IFERROR(IF(VLOOKUP(A1127,Entry!$D:$D,1,FALSE)=A1127,"",ROW()),ROW()))</f>
        <v/>
      </c>
      <c r="AG1127" s="8" t="str">
        <f>IF(A1127="","",IFERROR(IF(VLOOKUP(A1127,Entry!$D:$D,1,FALSE)=A1127,TRUE,FALSE),FALSE))</f>
        <v/>
      </c>
    </row>
    <row r="1128" spans="1:33" x14ac:dyDescent="0.2">
      <c r="A1128" s="114"/>
      <c r="B1128" s="23"/>
      <c r="C1128" s="23"/>
      <c r="D1128" s="23"/>
      <c r="E1128" s="23"/>
      <c r="G1128" s="23"/>
      <c r="H1128" s="23"/>
      <c r="Y1128" s="8" t="str">
        <f>IF(A1128="","",IFERROR(IF(VLOOKUP(A1128,Entry!$D:$D,1,FALSE)=A1128,"",ROW()),ROW()))</f>
        <v/>
      </c>
      <c r="AG1128" s="8" t="str">
        <f>IF(A1128="","",IFERROR(IF(VLOOKUP(A1128,Entry!$D:$D,1,FALSE)=A1128,TRUE,FALSE),FALSE))</f>
        <v/>
      </c>
    </row>
    <row r="1129" spans="1:33" x14ac:dyDescent="0.2">
      <c r="A1129" s="114"/>
      <c r="B1129" s="23"/>
      <c r="C1129" s="23"/>
      <c r="D1129" s="23"/>
      <c r="E1129" s="23"/>
      <c r="G1129" s="23"/>
      <c r="H1129" s="23"/>
      <c r="Y1129" s="8" t="str">
        <f>IF(A1129="","",IFERROR(IF(VLOOKUP(A1129,Entry!$D:$D,1,FALSE)=A1129,"",ROW()),ROW()))</f>
        <v/>
      </c>
      <c r="AG1129" s="8" t="str">
        <f>IF(A1129="","",IFERROR(IF(VLOOKUP(A1129,Entry!$D:$D,1,FALSE)=A1129,TRUE,FALSE),FALSE))</f>
        <v/>
      </c>
    </row>
    <row r="1130" spans="1:33" x14ac:dyDescent="0.2">
      <c r="A1130" s="114"/>
      <c r="B1130" s="23"/>
      <c r="C1130" s="23"/>
      <c r="D1130" s="23"/>
      <c r="E1130" s="23"/>
      <c r="G1130" s="23"/>
      <c r="H1130" s="23"/>
      <c r="Y1130" s="8" t="str">
        <f>IF(A1130="","",IFERROR(IF(VLOOKUP(A1130,Entry!$D:$D,1,FALSE)=A1130,"",ROW()),ROW()))</f>
        <v/>
      </c>
      <c r="AG1130" s="8" t="str">
        <f>IF(A1130="","",IFERROR(IF(VLOOKUP(A1130,Entry!$D:$D,1,FALSE)=A1130,TRUE,FALSE),FALSE))</f>
        <v/>
      </c>
    </row>
    <row r="1131" spans="1:33" x14ac:dyDescent="0.2">
      <c r="A1131" s="114"/>
      <c r="B1131" s="23"/>
      <c r="C1131" s="23"/>
      <c r="D1131" s="23"/>
      <c r="E1131" s="23"/>
      <c r="G1131" s="23"/>
      <c r="H1131" s="23"/>
      <c r="Y1131" s="8" t="str">
        <f>IF(A1131="","",IFERROR(IF(VLOOKUP(A1131,Entry!$D:$D,1,FALSE)=A1131,"",ROW()),ROW()))</f>
        <v/>
      </c>
      <c r="AG1131" s="8" t="str">
        <f>IF(A1131="","",IFERROR(IF(VLOOKUP(A1131,Entry!$D:$D,1,FALSE)=A1131,TRUE,FALSE),FALSE))</f>
        <v/>
      </c>
    </row>
    <row r="1132" spans="1:33" x14ac:dyDescent="0.2">
      <c r="A1132" s="114"/>
      <c r="B1132" s="23"/>
      <c r="C1132" s="23"/>
      <c r="D1132" s="23"/>
      <c r="E1132" s="23"/>
      <c r="G1132" s="23"/>
      <c r="H1132" s="23"/>
      <c r="Y1132" s="8" t="str">
        <f>IF(A1132="","",IFERROR(IF(VLOOKUP(A1132,Entry!$D:$D,1,FALSE)=A1132,"",ROW()),ROW()))</f>
        <v/>
      </c>
      <c r="AG1132" s="8" t="str">
        <f>IF(A1132="","",IFERROR(IF(VLOOKUP(A1132,Entry!$D:$D,1,FALSE)=A1132,TRUE,FALSE),FALSE))</f>
        <v/>
      </c>
    </row>
    <row r="1133" spans="1:33" x14ac:dyDescent="0.2">
      <c r="A1133" s="114"/>
      <c r="B1133" s="23"/>
      <c r="C1133" s="23"/>
      <c r="D1133" s="23"/>
      <c r="E1133" s="23"/>
      <c r="G1133" s="23"/>
      <c r="H1133" s="23"/>
      <c r="Y1133" s="8" t="str">
        <f>IF(A1133="","",IFERROR(IF(VLOOKUP(A1133,Entry!$D:$D,1,FALSE)=A1133,"",ROW()),ROW()))</f>
        <v/>
      </c>
      <c r="AG1133" s="8" t="str">
        <f>IF(A1133="","",IFERROR(IF(VLOOKUP(A1133,Entry!$D:$D,1,FALSE)=A1133,TRUE,FALSE),FALSE))</f>
        <v/>
      </c>
    </row>
    <row r="1134" spans="1:33" x14ac:dyDescent="0.2">
      <c r="A1134" s="114"/>
      <c r="B1134" s="23"/>
      <c r="C1134" s="23"/>
      <c r="D1134" s="23"/>
      <c r="E1134" s="23"/>
      <c r="G1134" s="23"/>
      <c r="H1134" s="23"/>
      <c r="Y1134" s="8" t="str">
        <f>IF(A1134="","",IFERROR(IF(VLOOKUP(A1134,Entry!$D:$D,1,FALSE)=A1134,"",ROW()),ROW()))</f>
        <v/>
      </c>
      <c r="AG1134" s="8" t="str">
        <f>IF(A1134="","",IFERROR(IF(VLOOKUP(A1134,Entry!$D:$D,1,FALSE)=A1134,TRUE,FALSE),FALSE))</f>
        <v/>
      </c>
    </row>
    <row r="1135" spans="1:33" x14ac:dyDescent="0.2">
      <c r="A1135" s="114"/>
      <c r="B1135" s="23"/>
      <c r="C1135" s="23"/>
      <c r="D1135" s="23"/>
      <c r="E1135" s="23"/>
      <c r="G1135" s="23"/>
      <c r="H1135" s="23"/>
      <c r="Y1135" s="8" t="str">
        <f>IF(A1135="","",IFERROR(IF(VLOOKUP(A1135,Entry!$D:$D,1,FALSE)=A1135,"",ROW()),ROW()))</f>
        <v/>
      </c>
      <c r="AG1135" s="8" t="str">
        <f>IF(A1135="","",IFERROR(IF(VLOOKUP(A1135,Entry!$D:$D,1,FALSE)=A1135,TRUE,FALSE),FALSE))</f>
        <v/>
      </c>
    </row>
    <row r="1136" spans="1:33" x14ac:dyDescent="0.2">
      <c r="A1136" s="114"/>
      <c r="B1136" s="23"/>
      <c r="C1136" s="23"/>
      <c r="D1136" s="23"/>
      <c r="E1136" s="23"/>
      <c r="G1136" s="23"/>
      <c r="H1136" s="23"/>
      <c r="Y1136" s="8" t="str">
        <f>IF(A1136="","",IFERROR(IF(VLOOKUP(A1136,Entry!$D:$D,1,FALSE)=A1136,"",ROW()),ROW()))</f>
        <v/>
      </c>
      <c r="AG1136" s="8" t="str">
        <f>IF(A1136="","",IFERROR(IF(VLOOKUP(A1136,Entry!$D:$D,1,FALSE)=A1136,TRUE,FALSE),FALSE))</f>
        <v/>
      </c>
    </row>
    <row r="1137" spans="1:33" x14ac:dyDescent="0.2">
      <c r="A1137" s="114"/>
      <c r="B1137" s="23"/>
      <c r="C1137" s="23"/>
      <c r="D1137" s="23"/>
      <c r="E1137" s="23"/>
      <c r="G1137" s="23"/>
      <c r="H1137" s="23"/>
      <c r="Y1137" s="8" t="str">
        <f>IF(A1137="","",IFERROR(IF(VLOOKUP(A1137,Entry!$D:$D,1,FALSE)=A1137,"",ROW()),ROW()))</f>
        <v/>
      </c>
      <c r="AG1137" s="8" t="str">
        <f>IF(A1137="","",IFERROR(IF(VLOOKUP(A1137,Entry!$D:$D,1,FALSE)=A1137,TRUE,FALSE),FALSE))</f>
        <v/>
      </c>
    </row>
    <row r="1138" spans="1:33" x14ac:dyDescent="0.2">
      <c r="A1138" s="114"/>
      <c r="B1138" s="23"/>
      <c r="C1138" s="23"/>
      <c r="D1138" s="23"/>
      <c r="E1138" s="23"/>
      <c r="G1138" s="23"/>
      <c r="H1138" s="23"/>
      <c r="Y1138" s="8" t="str">
        <f>IF(A1138="","",IFERROR(IF(VLOOKUP(A1138,Entry!$D:$D,1,FALSE)=A1138,"",ROW()),ROW()))</f>
        <v/>
      </c>
      <c r="AG1138" s="8" t="str">
        <f>IF(A1138="","",IFERROR(IF(VLOOKUP(A1138,Entry!$D:$D,1,FALSE)=A1138,TRUE,FALSE),FALSE))</f>
        <v/>
      </c>
    </row>
    <row r="1139" spans="1:33" x14ac:dyDescent="0.2">
      <c r="A1139" s="114"/>
      <c r="B1139" s="23"/>
      <c r="C1139" s="23"/>
      <c r="D1139" s="23"/>
      <c r="E1139" s="23"/>
      <c r="G1139" s="23"/>
      <c r="H1139" s="23"/>
      <c r="Y1139" s="8" t="str">
        <f>IF(A1139="","",IFERROR(IF(VLOOKUP(A1139,Entry!$D:$D,1,FALSE)=A1139,"",ROW()),ROW()))</f>
        <v/>
      </c>
      <c r="AG1139" s="8" t="str">
        <f>IF(A1139="","",IFERROR(IF(VLOOKUP(A1139,Entry!$D:$D,1,FALSE)=A1139,TRUE,FALSE),FALSE))</f>
        <v/>
      </c>
    </row>
    <row r="1140" spans="1:33" x14ac:dyDescent="0.2">
      <c r="A1140" s="114"/>
      <c r="B1140" s="23"/>
      <c r="C1140" s="23"/>
      <c r="D1140" s="23"/>
      <c r="E1140" s="23"/>
      <c r="G1140" s="23"/>
      <c r="H1140" s="23"/>
      <c r="Y1140" s="8" t="str">
        <f>IF(A1140="","",IFERROR(IF(VLOOKUP(A1140,Entry!$D:$D,1,FALSE)=A1140,"",ROW()),ROW()))</f>
        <v/>
      </c>
      <c r="AG1140" s="8" t="str">
        <f>IF(A1140="","",IFERROR(IF(VLOOKUP(A1140,Entry!$D:$D,1,FALSE)=A1140,TRUE,FALSE),FALSE))</f>
        <v/>
      </c>
    </row>
    <row r="1141" spans="1:33" x14ac:dyDescent="0.2">
      <c r="A1141" s="114"/>
      <c r="B1141" s="23"/>
      <c r="C1141" s="23"/>
      <c r="D1141" s="23"/>
      <c r="E1141" s="23"/>
      <c r="G1141" s="23"/>
      <c r="H1141" s="23"/>
      <c r="Y1141" s="8" t="str">
        <f>IF(A1141="","",IFERROR(IF(VLOOKUP(A1141,Entry!$D:$D,1,FALSE)=A1141,"",ROW()),ROW()))</f>
        <v/>
      </c>
      <c r="AG1141" s="8" t="str">
        <f>IF(A1141="","",IFERROR(IF(VLOOKUP(A1141,Entry!$D:$D,1,FALSE)=A1141,TRUE,FALSE),FALSE))</f>
        <v/>
      </c>
    </row>
    <row r="1142" spans="1:33" x14ac:dyDescent="0.2">
      <c r="A1142" s="114"/>
      <c r="B1142" s="23"/>
      <c r="C1142" s="23"/>
      <c r="D1142" s="23"/>
      <c r="E1142" s="23"/>
      <c r="G1142" s="23"/>
      <c r="H1142" s="23"/>
      <c r="Y1142" s="8" t="str">
        <f>IF(A1142="","",IFERROR(IF(VLOOKUP(A1142,Entry!$D:$D,1,FALSE)=A1142,"",ROW()),ROW()))</f>
        <v/>
      </c>
      <c r="AG1142" s="8" t="str">
        <f>IF(A1142="","",IFERROR(IF(VLOOKUP(A1142,Entry!$D:$D,1,FALSE)=A1142,TRUE,FALSE),FALSE))</f>
        <v/>
      </c>
    </row>
    <row r="1143" spans="1:33" x14ac:dyDescent="0.2">
      <c r="A1143" s="114"/>
      <c r="B1143" s="23"/>
      <c r="C1143" s="23"/>
      <c r="D1143" s="23"/>
      <c r="E1143" s="23"/>
      <c r="G1143" s="23"/>
      <c r="H1143" s="23"/>
      <c r="Y1143" s="8" t="str">
        <f>IF(A1143="","",IFERROR(IF(VLOOKUP(A1143,Entry!$D:$D,1,FALSE)=A1143,"",ROW()),ROW()))</f>
        <v/>
      </c>
      <c r="AG1143" s="8" t="str">
        <f>IF(A1143="","",IFERROR(IF(VLOOKUP(A1143,Entry!$D:$D,1,FALSE)=A1143,TRUE,FALSE),FALSE))</f>
        <v/>
      </c>
    </row>
    <row r="1144" spans="1:33" x14ac:dyDescent="0.2">
      <c r="A1144" s="114"/>
      <c r="B1144" s="23"/>
      <c r="C1144" s="23"/>
      <c r="D1144" s="23"/>
      <c r="E1144" s="23"/>
      <c r="G1144" s="23"/>
      <c r="H1144" s="23"/>
      <c r="Y1144" s="8" t="str">
        <f>IF(A1144="","",IFERROR(IF(VLOOKUP(A1144,Entry!$D:$D,1,FALSE)=A1144,"",ROW()),ROW()))</f>
        <v/>
      </c>
      <c r="AG1144" s="8" t="str">
        <f>IF(A1144="","",IFERROR(IF(VLOOKUP(A1144,Entry!$D:$D,1,FALSE)=A1144,TRUE,FALSE),FALSE))</f>
        <v/>
      </c>
    </row>
    <row r="1145" spans="1:33" x14ac:dyDescent="0.2">
      <c r="A1145" s="114"/>
      <c r="B1145" s="23"/>
      <c r="C1145" s="23"/>
      <c r="D1145" s="23"/>
      <c r="E1145" s="23"/>
      <c r="G1145" s="23"/>
      <c r="H1145" s="23"/>
      <c r="Y1145" s="8" t="str">
        <f>IF(A1145="","",IFERROR(IF(VLOOKUP(A1145,Entry!$D:$D,1,FALSE)=A1145,"",ROW()),ROW()))</f>
        <v/>
      </c>
      <c r="AG1145" s="8" t="str">
        <f>IF(A1145="","",IFERROR(IF(VLOOKUP(A1145,Entry!$D:$D,1,FALSE)=A1145,TRUE,FALSE),FALSE))</f>
        <v/>
      </c>
    </row>
    <row r="1146" spans="1:33" x14ac:dyDescent="0.2">
      <c r="A1146" s="114"/>
      <c r="B1146" s="23"/>
      <c r="C1146" s="23"/>
      <c r="D1146" s="23"/>
      <c r="E1146" s="23"/>
      <c r="G1146" s="23"/>
      <c r="H1146" s="23"/>
      <c r="Y1146" s="8" t="str">
        <f>IF(A1146="","",IFERROR(IF(VLOOKUP(A1146,Entry!$D:$D,1,FALSE)=A1146,"",ROW()),ROW()))</f>
        <v/>
      </c>
      <c r="AG1146" s="8" t="str">
        <f>IF(A1146="","",IFERROR(IF(VLOOKUP(A1146,Entry!$D:$D,1,FALSE)=A1146,TRUE,FALSE),FALSE))</f>
        <v/>
      </c>
    </row>
    <row r="1147" spans="1:33" x14ac:dyDescent="0.2">
      <c r="A1147" s="114"/>
      <c r="B1147" s="23"/>
      <c r="C1147" s="23"/>
      <c r="D1147" s="23"/>
      <c r="E1147" s="23"/>
      <c r="G1147" s="23"/>
      <c r="H1147" s="23"/>
      <c r="Y1147" s="8" t="str">
        <f>IF(A1147="","",IFERROR(IF(VLOOKUP(A1147,Entry!$D:$D,1,FALSE)=A1147,"",ROW()),ROW()))</f>
        <v/>
      </c>
      <c r="AG1147" s="8" t="str">
        <f>IF(A1147="","",IFERROR(IF(VLOOKUP(A1147,Entry!$D:$D,1,FALSE)=A1147,TRUE,FALSE),FALSE))</f>
        <v/>
      </c>
    </row>
    <row r="1148" spans="1:33" x14ac:dyDescent="0.2">
      <c r="A1148" s="114"/>
      <c r="B1148" s="23"/>
      <c r="C1148" s="23"/>
      <c r="D1148" s="23"/>
      <c r="E1148" s="23"/>
      <c r="G1148" s="23"/>
      <c r="H1148" s="23"/>
      <c r="Y1148" s="8" t="str">
        <f>IF(A1148="","",IFERROR(IF(VLOOKUP(A1148,Entry!$D:$D,1,FALSE)=A1148,"",ROW()),ROW()))</f>
        <v/>
      </c>
      <c r="AG1148" s="8" t="str">
        <f>IF(A1148="","",IFERROR(IF(VLOOKUP(A1148,Entry!$D:$D,1,FALSE)=A1148,TRUE,FALSE),FALSE))</f>
        <v/>
      </c>
    </row>
    <row r="1149" spans="1:33" x14ac:dyDescent="0.2">
      <c r="A1149" s="114"/>
      <c r="B1149" s="23"/>
      <c r="C1149" s="23"/>
      <c r="D1149" s="23"/>
      <c r="E1149" s="23"/>
      <c r="G1149" s="23"/>
      <c r="H1149" s="23"/>
      <c r="Y1149" s="8" t="str">
        <f>IF(A1149="","",IFERROR(IF(VLOOKUP(A1149,Entry!$D:$D,1,FALSE)=A1149,"",ROW()),ROW()))</f>
        <v/>
      </c>
      <c r="AG1149" s="8" t="str">
        <f>IF(A1149="","",IFERROR(IF(VLOOKUP(A1149,Entry!$D:$D,1,FALSE)=A1149,TRUE,FALSE),FALSE))</f>
        <v/>
      </c>
    </row>
    <row r="1150" spans="1:33" x14ac:dyDescent="0.2">
      <c r="A1150" s="114"/>
      <c r="B1150" s="23"/>
      <c r="C1150" s="23"/>
      <c r="D1150" s="23"/>
      <c r="E1150" s="23"/>
      <c r="G1150" s="23"/>
      <c r="H1150" s="23"/>
      <c r="Y1150" s="8" t="str">
        <f>IF(A1150="","",IFERROR(IF(VLOOKUP(A1150,Entry!$D:$D,1,FALSE)=A1150,"",ROW()),ROW()))</f>
        <v/>
      </c>
      <c r="AG1150" s="8" t="str">
        <f>IF(A1150="","",IFERROR(IF(VLOOKUP(A1150,Entry!$D:$D,1,FALSE)=A1150,TRUE,FALSE),FALSE))</f>
        <v/>
      </c>
    </row>
    <row r="1151" spans="1:33" x14ac:dyDescent="0.2">
      <c r="A1151" s="114"/>
      <c r="B1151" s="23"/>
      <c r="C1151" s="23"/>
      <c r="D1151" s="23"/>
      <c r="E1151" s="23"/>
      <c r="G1151" s="23"/>
      <c r="H1151" s="23"/>
      <c r="Y1151" s="8" t="str">
        <f>IF(A1151="","",IFERROR(IF(VLOOKUP(A1151,Entry!$D:$D,1,FALSE)=A1151,"",ROW()),ROW()))</f>
        <v/>
      </c>
      <c r="AG1151" s="8" t="str">
        <f>IF(A1151="","",IFERROR(IF(VLOOKUP(A1151,Entry!$D:$D,1,FALSE)=A1151,TRUE,FALSE),FALSE))</f>
        <v/>
      </c>
    </row>
    <row r="1152" spans="1:33" x14ac:dyDescent="0.2">
      <c r="A1152" s="114"/>
      <c r="B1152" s="23"/>
      <c r="C1152" s="23"/>
      <c r="D1152" s="23"/>
      <c r="E1152" s="23"/>
      <c r="G1152" s="23"/>
      <c r="H1152" s="23"/>
      <c r="Y1152" s="8" t="str">
        <f>IF(A1152="","",IFERROR(IF(VLOOKUP(A1152,Entry!$D:$D,1,FALSE)=A1152,"",ROW()),ROW()))</f>
        <v/>
      </c>
      <c r="AG1152" s="8" t="str">
        <f>IF(A1152="","",IFERROR(IF(VLOOKUP(A1152,Entry!$D:$D,1,FALSE)=A1152,TRUE,FALSE),FALSE))</f>
        <v/>
      </c>
    </row>
    <row r="1153" spans="1:33" x14ac:dyDescent="0.2">
      <c r="A1153" s="114"/>
      <c r="B1153" s="23"/>
      <c r="C1153" s="23"/>
      <c r="D1153" s="23"/>
      <c r="E1153" s="23"/>
      <c r="G1153" s="23"/>
      <c r="H1153" s="23"/>
      <c r="Y1153" s="8" t="str">
        <f>IF(A1153="","",IFERROR(IF(VLOOKUP(A1153,Entry!$D:$D,1,FALSE)=A1153,"",ROW()),ROW()))</f>
        <v/>
      </c>
      <c r="AG1153" s="8" t="str">
        <f>IF(A1153="","",IFERROR(IF(VLOOKUP(A1153,Entry!$D:$D,1,FALSE)=A1153,TRUE,FALSE),FALSE))</f>
        <v/>
      </c>
    </row>
    <row r="1154" spans="1:33" x14ac:dyDescent="0.2">
      <c r="A1154" s="114"/>
      <c r="B1154" s="23"/>
      <c r="C1154" s="23"/>
      <c r="D1154" s="23"/>
      <c r="E1154" s="23"/>
      <c r="G1154" s="23"/>
      <c r="H1154" s="23"/>
      <c r="Y1154" s="8" t="str">
        <f>IF(A1154="","",IFERROR(IF(VLOOKUP(A1154,Entry!$D:$D,1,FALSE)=A1154,"",ROW()),ROW()))</f>
        <v/>
      </c>
      <c r="AG1154" s="8" t="str">
        <f>IF(A1154="","",IFERROR(IF(VLOOKUP(A1154,Entry!$D:$D,1,FALSE)=A1154,TRUE,FALSE),FALSE))</f>
        <v/>
      </c>
    </row>
    <row r="1155" spans="1:33" x14ac:dyDescent="0.2">
      <c r="A1155" s="114"/>
      <c r="B1155" s="23"/>
      <c r="C1155" s="23"/>
      <c r="D1155" s="23"/>
      <c r="E1155" s="23"/>
      <c r="G1155" s="23"/>
      <c r="H1155" s="23"/>
      <c r="Y1155" s="8" t="str">
        <f>IF(A1155="","",IFERROR(IF(VLOOKUP(A1155,Entry!$D:$D,1,FALSE)=A1155,"",ROW()),ROW()))</f>
        <v/>
      </c>
      <c r="AG1155" s="8" t="str">
        <f>IF(A1155="","",IFERROR(IF(VLOOKUP(A1155,Entry!$D:$D,1,FALSE)=A1155,TRUE,FALSE),FALSE))</f>
        <v/>
      </c>
    </row>
    <row r="1156" spans="1:33" x14ac:dyDescent="0.2">
      <c r="A1156" s="114"/>
      <c r="B1156" s="23"/>
      <c r="C1156" s="23"/>
      <c r="D1156" s="23"/>
      <c r="E1156" s="23"/>
      <c r="G1156" s="23"/>
      <c r="H1156" s="23"/>
      <c r="Y1156" s="8" t="str">
        <f>IF(A1156="","",IFERROR(IF(VLOOKUP(A1156,Entry!$D:$D,1,FALSE)=A1156,"",ROW()),ROW()))</f>
        <v/>
      </c>
      <c r="AG1156" s="8" t="str">
        <f>IF(A1156="","",IFERROR(IF(VLOOKUP(A1156,Entry!$D:$D,1,FALSE)=A1156,TRUE,FALSE),FALSE))</f>
        <v/>
      </c>
    </row>
    <row r="1157" spans="1:33" x14ac:dyDescent="0.2">
      <c r="A1157" s="114"/>
      <c r="B1157" s="23"/>
      <c r="C1157" s="23"/>
      <c r="D1157" s="23"/>
      <c r="E1157" s="23"/>
      <c r="G1157" s="23"/>
      <c r="H1157" s="23"/>
      <c r="Y1157" s="8" t="str">
        <f>IF(A1157="","",IFERROR(IF(VLOOKUP(A1157,Entry!$D:$D,1,FALSE)=A1157,"",ROW()),ROW()))</f>
        <v/>
      </c>
      <c r="AG1157" s="8" t="str">
        <f>IF(A1157="","",IFERROR(IF(VLOOKUP(A1157,Entry!$D:$D,1,FALSE)=A1157,TRUE,FALSE),FALSE))</f>
        <v/>
      </c>
    </row>
    <row r="1158" spans="1:33" x14ac:dyDescent="0.2">
      <c r="A1158" s="114"/>
      <c r="B1158" s="23"/>
      <c r="C1158" s="23"/>
      <c r="D1158" s="23"/>
      <c r="E1158" s="23"/>
      <c r="G1158" s="23"/>
      <c r="H1158" s="23"/>
      <c r="Y1158" s="8" t="str">
        <f>IF(A1158="","",IFERROR(IF(VLOOKUP(A1158,Entry!$D:$D,1,FALSE)=A1158,"",ROW()),ROW()))</f>
        <v/>
      </c>
      <c r="AG1158" s="8" t="str">
        <f>IF(A1158="","",IFERROR(IF(VLOOKUP(A1158,Entry!$D:$D,1,FALSE)=A1158,TRUE,FALSE),FALSE))</f>
        <v/>
      </c>
    </row>
    <row r="1159" spans="1:33" x14ac:dyDescent="0.2">
      <c r="A1159" s="114"/>
      <c r="B1159" s="23"/>
      <c r="C1159" s="23"/>
      <c r="D1159" s="23"/>
      <c r="E1159" s="23"/>
      <c r="G1159" s="23"/>
      <c r="H1159" s="23"/>
      <c r="Y1159" s="8" t="str">
        <f>IF(A1159="","",IFERROR(IF(VLOOKUP(A1159,Entry!$D:$D,1,FALSE)=A1159,"",ROW()),ROW()))</f>
        <v/>
      </c>
      <c r="AG1159" s="8" t="str">
        <f>IF(A1159="","",IFERROR(IF(VLOOKUP(A1159,Entry!$D:$D,1,FALSE)=A1159,TRUE,FALSE),FALSE))</f>
        <v/>
      </c>
    </row>
    <row r="1160" spans="1:33" x14ac:dyDescent="0.2">
      <c r="A1160" s="114"/>
      <c r="B1160" s="23"/>
      <c r="C1160" s="23"/>
      <c r="D1160" s="23"/>
      <c r="E1160" s="23"/>
      <c r="G1160" s="23"/>
      <c r="H1160" s="23"/>
      <c r="Y1160" s="8" t="str">
        <f>IF(A1160="","",IFERROR(IF(VLOOKUP(A1160,Entry!$D:$D,1,FALSE)=A1160,"",ROW()),ROW()))</f>
        <v/>
      </c>
      <c r="AG1160" s="8" t="str">
        <f>IF(A1160="","",IFERROR(IF(VLOOKUP(A1160,Entry!$D:$D,1,FALSE)=A1160,TRUE,FALSE),FALSE))</f>
        <v/>
      </c>
    </row>
    <row r="1161" spans="1:33" x14ac:dyDescent="0.2">
      <c r="A1161" s="114"/>
      <c r="B1161" s="23"/>
      <c r="C1161" s="23"/>
      <c r="D1161" s="23"/>
      <c r="E1161" s="23"/>
      <c r="G1161" s="23"/>
      <c r="H1161" s="23"/>
      <c r="Y1161" s="8" t="str">
        <f>IF(A1161="","",IFERROR(IF(VLOOKUP(A1161,Entry!$D:$D,1,FALSE)=A1161,"",ROW()),ROW()))</f>
        <v/>
      </c>
      <c r="AG1161" s="8" t="str">
        <f>IF(A1161="","",IFERROR(IF(VLOOKUP(A1161,Entry!$D:$D,1,FALSE)=A1161,TRUE,FALSE),FALSE))</f>
        <v/>
      </c>
    </row>
    <row r="1162" spans="1:33" x14ac:dyDescent="0.2">
      <c r="A1162" s="114"/>
      <c r="B1162" s="23"/>
      <c r="C1162" s="23"/>
      <c r="D1162" s="23"/>
      <c r="E1162" s="23"/>
      <c r="G1162" s="23"/>
      <c r="H1162" s="23"/>
      <c r="Y1162" s="8" t="str">
        <f>IF(A1162="","",IFERROR(IF(VLOOKUP(A1162,Entry!$D:$D,1,FALSE)=A1162,"",ROW()),ROW()))</f>
        <v/>
      </c>
      <c r="AG1162" s="8" t="str">
        <f>IF(A1162="","",IFERROR(IF(VLOOKUP(A1162,Entry!$D:$D,1,FALSE)=A1162,TRUE,FALSE),FALSE))</f>
        <v/>
      </c>
    </row>
    <row r="1163" spans="1:33" x14ac:dyDescent="0.2">
      <c r="A1163" s="114"/>
      <c r="B1163" s="23"/>
      <c r="C1163" s="23"/>
      <c r="D1163" s="23"/>
      <c r="E1163" s="23"/>
      <c r="G1163" s="23"/>
      <c r="H1163" s="23"/>
      <c r="Y1163" s="8" t="str">
        <f>IF(A1163="","",IFERROR(IF(VLOOKUP(A1163,Entry!$D:$D,1,FALSE)=A1163,"",ROW()),ROW()))</f>
        <v/>
      </c>
      <c r="AG1163" s="8" t="str">
        <f>IF(A1163="","",IFERROR(IF(VLOOKUP(A1163,Entry!$D:$D,1,FALSE)=A1163,TRUE,FALSE),FALSE))</f>
        <v/>
      </c>
    </row>
    <row r="1164" spans="1:33" x14ac:dyDescent="0.2">
      <c r="A1164" s="114"/>
      <c r="B1164" s="23"/>
      <c r="C1164" s="23"/>
      <c r="D1164" s="23"/>
      <c r="E1164" s="23"/>
      <c r="G1164" s="23"/>
      <c r="H1164" s="23"/>
      <c r="Y1164" s="8" t="str">
        <f>IF(A1164="","",IFERROR(IF(VLOOKUP(A1164,Entry!$D:$D,1,FALSE)=A1164,"",ROW()),ROW()))</f>
        <v/>
      </c>
      <c r="AG1164" s="8" t="str">
        <f>IF(A1164="","",IFERROR(IF(VLOOKUP(A1164,Entry!$D:$D,1,FALSE)=A1164,TRUE,FALSE),FALSE))</f>
        <v/>
      </c>
    </row>
    <row r="1165" spans="1:33" x14ac:dyDescent="0.2">
      <c r="A1165" s="114"/>
      <c r="B1165" s="23"/>
      <c r="C1165" s="23"/>
      <c r="D1165" s="23"/>
      <c r="E1165" s="23"/>
      <c r="G1165" s="23"/>
      <c r="H1165" s="23"/>
      <c r="Y1165" s="8" t="str">
        <f>IF(A1165="","",IFERROR(IF(VLOOKUP(A1165,Entry!$D:$D,1,FALSE)=A1165,"",ROW()),ROW()))</f>
        <v/>
      </c>
      <c r="AG1165" s="8" t="str">
        <f>IF(A1165="","",IFERROR(IF(VLOOKUP(A1165,Entry!$D:$D,1,FALSE)=A1165,TRUE,FALSE),FALSE))</f>
        <v/>
      </c>
    </row>
    <row r="1166" spans="1:33" x14ac:dyDescent="0.2">
      <c r="A1166" s="114"/>
      <c r="B1166" s="23"/>
      <c r="C1166" s="23"/>
      <c r="D1166" s="23"/>
      <c r="E1166" s="23"/>
      <c r="G1166" s="23"/>
      <c r="H1166" s="23"/>
      <c r="Y1166" s="8" t="str">
        <f>IF(A1166="","",IFERROR(IF(VLOOKUP(A1166,Entry!$D:$D,1,FALSE)=A1166,"",ROW()),ROW()))</f>
        <v/>
      </c>
      <c r="AG1166" s="8" t="str">
        <f>IF(A1166="","",IFERROR(IF(VLOOKUP(A1166,Entry!$D:$D,1,FALSE)=A1166,TRUE,FALSE),FALSE))</f>
        <v/>
      </c>
    </row>
    <row r="1167" spans="1:33" x14ac:dyDescent="0.2">
      <c r="A1167" s="114"/>
      <c r="B1167" s="23"/>
      <c r="C1167" s="23"/>
      <c r="D1167" s="23"/>
      <c r="E1167" s="23"/>
      <c r="G1167" s="23"/>
      <c r="H1167" s="23"/>
      <c r="Y1167" s="8" t="str">
        <f>IF(A1167="","",IFERROR(IF(VLOOKUP(A1167,Entry!$D:$D,1,FALSE)=A1167,"",ROW()),ROW()))</f>
        <v/>
      </c>
      <c r="AG1167" s="8" t="str">
        <f>IF(A1167="","",IFERROR(IF(VLOOKUP(A1167,Entry!$D:$D,1,FALSE)=A1167,TRUE,FALSE),FALSE))</f>
        <v/>
      </c>
    </row>
    <row r="1168" spans="1:33" x14ac:dyDescent="0.2">
      <c r="A1168" s="114"/>
      <c r="B1168" s="23"/>
      <c r="C1168" s="23"/>
      <c r="D1168" s="23"/>
      <c r="E1168" s="23"/>
      <c r="G1168" s="23"/>
      <c r="H1168" s="23"/>
      <c r="Y1168" s="8" t="str">
        <f>IF(A1168="","",IFERROR(IF(VLOOKUP(A1168,Entry!$D:$D,1,FALSE)=A1168,"",ROW()),ROW()))</f>
        <v/>
      </c>
      <c r="AG1168" s="8" t="str">
        <f>IF(A1168="","",IFERROR(IF(VLOOKUP(A1168,Entry!$D:$D,1,FALSE)=A1168,TRUE,FALSE),FALSE))</f>
        <v/>
      </c>
    </row>
    <row r="1169" spans="1:33" x14ac:dyDescent="0.2">
      <c r="A1169" s="114"/>
      <c r="B1169" s="23"/>
      <c r="C1169" s="23"/>
      <c r="D1169" s="23"/>
      <c r="E1169" s="23"/>
      <c r="G1169" s="23"/>
      <c r="H1169" s="23"/>
      <c r="Y1169" s="8" t="str">
        <f>IF(A1169="","",IFERROR(IF(VLOOKUP(A1169,Entry!$D:$D,1,FALSE)=A1169,"",ROW()),ROW()))</f>
        <v/>
      </c>
      <c r="AG1169" s="8" t="str">
        <f>IF(A1169="","",IFERROR(IF(VLOOKUP(A1169,Entry!$D:$D,1,FALSE)=A1169,TRUE,FALSE),FALSE))</f>
        <v/>
      </c>
    </row>
    <row r="1170" spans="1:33" x14ac:dyDescent="0.2">
      <c r="A1170" s="114"/>
      <c r="B1170" s="23"/>
      <c r="C1170" s="23"/>
      <c r="D1170" s="23"/>
      <c r="E1170" s="23"/>
      <c r="G1170" s="23"/>
      <c r="H1170" s="23"/>
      <c r="Y1170" s="8" t="str">
        <f>IF(A1170="","",IFERROR(IF(VLOOKUP(A1170,Entry!$D:$D,1,FALSE)=A1170,"",ROW()),ROW()))</f>
        <v/>
      </c>
      <c r="AG1170" s="8" t="str">
        <f>IF(A1170="","",IFERROR(IF(VLOOKUP(A1170,Entry!$D:$D,1,FALSE)=A1170,TRUE,FALSE),FALSE))</f>
        <v/>
      </c>
    </row>
    <row r="1171" spans="1:33" x14ac:dyDescent="0.2">
      <c r="A1171" s="114"/>
      <c r="B1171" s="23"/>
      <c r="C1171" s="23"/>
      <c r="D1171" s="23"/>
      <c r="E1171" s="23"/>
      <c r="G1171" s="23"/>
      <c r="H1171" s="23"/>
      <c r="Y1171" s="8" t="str">
        <f>IF(A1171="","",IFERROR(IF(VLOOKUP(A1171,Entry!$D:$D,1,FALSE)=A1171,"",ROW()),ROW()))</f>
        <v/>
      </c>
      <c r="AG1171" s="8" t="str">
        <f>IF(A1171="","",IFERROR(IF(VLOOKUP(A1171,Entry!$D:$D,1,FALSE)=A1171,TRUE,FALSE),FALSE))</f>
        <v/>
      </c>
    </row>
    <row r="1172" spans="1:33" x14ac:dyDescent="0.2">
      <c r="A1172" s="114"/>
      <c r="B1172" s="23"/>
      <c r="C1172" s="23"/>
      <c r="D1172" s="23"/>
      <c r="E1172" s="23"/>
      <c r="G1172" s="23"/>
      <c r="H1172" s="23"/>
      <c r="Y1172" s="8" t="str">
        <f>IF(A1172="","",IFERROR(IF(VLOOKUP(A1172,Entry!$D:$D,1,FALSE)=A1172,"",ROW()),ROW()))</f>
        <v/>
      </c>
      <c r="AG1172" s="8" t="str">
        <f>IF(A1172="","",IFERROR(IF(VLOOKUP(A1172,Entry!$D:$D,1,FALSE)=A1172,TRUE,FALSE),FALSE))</f>
        <v/>
      </c>
    </row>
    <row r="1173" spans="1:33" x14ac:dyDescent="0.2">
      <c r="A1173" s="114"/>
      <c r="B1173" s="23"/>
      <c r="C1173" s="23"/>
      <c r="D1173" s="23"/>
      <c r="E1173" s="23"/>
      <c r="G1173" s="23"/>
      <c r="H1173" s="23"/>
      <c r="Y1173" s="8" t="str">
        <f>IF(A1173="","",IFERROR(IF(VLOOKUP(A1173,Entry!$D:$D,1,FALSE)=A1173,"",ROW()),ROW()))</f>
        <v/>
      </c>
      <c r="AG1173" s="8" t="str">
        <f>IF(A1173="","",IFERROR(IF(VLOOKUP(A1173,Entry!$D:$D,1,FALSE)=A1173,TRUE,FALSE),FALSE))</f>
        <v/>
      </c>
    </row>
    <row r="1174" spans="1:33" x14ac:dyDescent="0.2">
      <c r="A1174" s="114"/>
      <c r="B1174" s="23"/>
      <c r="C1174" s="23"/>
      <c r="D1174" s="23"/>
      <c r="E1174" s="23"/>
      <c r="G1174" s="23"/>
      <c r="H1174" s="23"/>
      <c r="Y1174" s="8" t="str">
        <f>IF(A1174="","",IFERROR(IF(VLOOKUP(A1174,Entry!$D:$D,1,FALSE)=A1174,"",ROW()),ROW()))</f>
        <v/>
      </c>
      <c r="AG1174" s="8" t="str">
        <f>IF(A1174="","",IFERROR(IF(VLOOKUP(A1174,Entry!$D:$D,1,FALSE)=A1174,TRUE,FALSE),FALSE))</f>
        <v/>
      </c>
    </row>
    <row r="1175" spans="1:33" x14ac:dyDescent="0.2">
      <c r="A1175" s="114"/>
      <c r="B1175" s="23"/>
      <c r="C1175" s="23"/>
      <c r="D1175" s="23"/>
      <c r="E1175" s="23"/>
      <c r="G1175" s="23"/>
      <c r="H1175" s="23"/>
      <c r="Y1175" s="8" t="str">
        <f>IF(A1175="","",IFERROR(IF(VLOOKUP(A1175,Entry!$D:$D,1,FALSE)=A1175,"",ROW()),ROW()))</f>
        <v/>
      </c>
      <c r="AG1175" s="8" t="str">
        <f>IF(A1175="","",IFERROR(IF(VLOOKUP(A1175,Entry!$D:$D,1,FALSE)=A1175,TRUE,FALSE),FALSE))</f>
        <v/>
      </c>
    </row>
    <row r="1176" spans="1:33" x14ac:dyDescent="0.2">
      <c r="A1176" s="114"/>
      <c r="B1176" s="23"/>
      <c r="C1176" s="23"/>
      <c r="D1176" s="23"/>
      <c r="E1176" s="23"/>
      <c r="G1176" s="23"/>
      <c r="H1176" s="23"/>
      <c r="Y1176" s="8" t="str">
        <f>IF(A1176="","",IFERROR(IF(VLOOKUP(A1176,Entry!$D:$D,1,FALSE)=A1176,"",ROW()),ROW()))</f>
        <v/>
      </c>
      <c r="AG1176" s="8" t="str">
        <f>IF(A1176="","",IFERROR(IF(VLOOKUP(A1176,Entry!$D:$D,1,FALSE)=A1176,TRUE,FALSE),FALSE))</f>
        <v/>
      </c>
    </row>
    <row r="1177" spans="1:33" x14ac:dyDescent="0.2">
      <c r="A1177" s="114"/>
      <c r="B1177" s="23"/>
      <c r="C1177" s="23"/>
      <c r="D1177" s="23"/>
      <c r="E1177" s="23"/>
      <c r="G1177" s="23"/>
      <c r="H1177" s="23"/>
      <c r="Y1177" s="8" t="str">
        <f>IF(A1177="","",IFERROR(IF(VLOOKUP(A1177,Entry!$D:$D,1,FALSE)=A1177,"",ROW()),ROW()))</f>
        <v/>
      </c>
      <c r="AG1177" s="8" t="str">
        <f>IF(A1177="","",IFERROR(IF(VLOOKUP(A1177,Entry!$D:$D,1,FALSE)=A1177,TRUE,FALSE),FALSE))</f>
        <v/>
      </c>
    </row>
    <row r="1178" spans="1:33" x14ac:dyDescent="0.2">
      <c r="A1178" s="114"/>
      <c r="B1178" s="23"/>
      <c r="C1178" s="23"/>
      <c r="D1178" s="23"/>
      <c r="E1178" s="23"/>
      <c r="G1178" s="23"/>
      <c r="H1178" s="23"/>
      <c r="Y1178" s="8" t="str">
        <f>IF(A1178="","",IFERROR(IF(VLOOKUP(A1178,Entry!$D:$D,1,FALSE)=A1178,"",ROW()),ROW()))</f>
        <v/>
      </c>
      <c r="AG1178" s="8" t="str">
        <f>IF(A1178="","",IFERROR(IF(VLOOKUP(A1178,Entry!$D:$D,1,FALSE)=A1178,TRUE,FALSE),FALSE))</f>
        <v/>
      </c>
    </row>
    <row r="1179" spans="1:33" x14ac:dyDescent="0.2">
      <c r="A1179" s="114"/>
      <c r="B1179" s="23"/>
      <c r="C1179" s="23"/>
      <c r="D1179" s="23"/>
      <c r="E1179" s="23"/>
      <c r="G1179" s="23"/>
      <c r="H1179" s="23"/>
      <c r="Y1179" s="8" t="str">
        <f>IF(A1179="","",IFERROR(IF(VLOOKUP(A1179,Entry!$D:$D,1,FALSE)=A1179,"",ROW()),ROW()))</f>
        <v/>
      </c>
      <c r="AG1179" s="8" t="str">
        <f>IF(A1179="","",IFERROR(IF(VLOOKUP(A1179,Entry!$D:$D,1,FALSE)=A1179,TRUE,FALSE),FALSE))</f>
        <v/>
      </c>
    </row>
    <row r="1180" spans="1:33" x14ac:dyDescent="0.2">
      <c r="A1180" s="114"/>
      <c r="B1180" s="23"/>
      <c r="C1180" s="23"/>
      <c r="D1180" s="23"/>
      <c r="E1180" s="23"/>
      <c r="G1180" s="23"/>
      <c r="H1180" s="23"/>
      <c r="Y1180" s="8" t="str">
        <f>IF(A1180="","",IFERROR(IF(VLOOKUP(A1180,Entry!$D:$D,1,FALSE)=A1180,"",ROW()),ROW()))</f>
        <v/>
      </c>
      <c r="AG1180" s="8" t="str">
        <f>IF(A1180="","",IFERROR(IF(VLOOKUP(A1180,Entry!$D:$D,1,FALSE)=A1180,TRUE,FALSE),FALSE))</f>
        <v/>
      </c>
    </row>
    <row r="1181" spans="1:33" x14ac:dyDescent="0.2">
      <c r="A1181" s="114"/>
      <c r="B1181" s="23"/>
      <c r="C1181" s="23"/>
      <c r="D1181" s="23"/>
      <c r="E1181" s="23"/>
      <c r="G1181" s="23"/>
      <c r="H1181" s="23"/>
      <c r="Y1181" s="8" t="str">
        <f>IF(A1181="","",IFERROR(IF(VLOOKUP(A1181,Entry!$D:$D,1,FALSE)=A1181,"",ROW()),ROW()))</f>
        <v/>
      </c>
      <c r="AG1181" s="8" t="str">
        <f>IF(A1181="","",IFERROR(IF(VLOOKUP(A1181,Entry!$D:$D,1,FALSE)=A1181,TRUE,FALSE),FALSE))</f>
        <v/>
      </c>
    </row>
    <row r="1182" spans="1:33" x14ac:dyDescent="0.2">
      <c r="A1182" s="114"/>
      <c r="B1182" s="23"/>
      <c r="C1182" s="23"/>
      <c r="D1182" s="23"/>
      <c r="E1182" s="23"/>
      <c r="G1182" s="23"/>
      <c r="H1182" s="23"/>
      <c r="Y1182" s="8" t="str">
        <f>IF(A1182="","",IFERROR(IF(VLOOKUP(A1182,Entry!$D:$D,1,FALSE)=A1182,"",ROW()),ROW()))</f>
        <v/>
      </c>
      <c r="AG1182" s="8" t="str">
        <f>IF(A1182="","",IFERROR(IF(VLOOKUP(A1182,Entry!$D:$D,1,FALSE)=A1182,TRUE,FALSE),FALSE))</f>
        <v/>
      </c>
    </row>
    <row r="1183" spans="1:33" x14ac:dyDescent="0.2">
      <c r="A1183" s="114"/>
      <c r="B1183" s="23"/>
      <c r="C1183" s="23"/>
      <c r="D1183" s="23"/>
      <c r="E1183" s="23"/>
      <c r="G1183" s="23"/>
      <c r="H1183" s="23"/>
      <c r="Y1183" s="8" t="str">
        <f>IF(A1183="","",IFERROR(IF(VLOOKUP(A1183,Entry!$D:$D,1,FALSE)=A1183,"",ROW()),ROW()))</f>
        <v/>
      </c>
      <c r="AG1183" s="8" t="str">
        <f>IF(A1183="","",IFERROR(IF(VLOOKUP(A1183,Entry!$D:$D,1,FALSE)=A1183,TRUE,FALSE),FALSE))</f>
        <v/>
      </c>
    </row>
    <row r="1184" spans="1:33" x14ac:dyDescent="0.2">
      <c r="A1184" s="114"/>
      <c r="B1184" s="23"/>
      <c r="C1184" s="23"/>
      <c r="D1184" s="23"/>
      <c r="E1184" s="23"/>
      <c r="G1184" s="23"/>
      <c r="H1184" s="23"/>
      <c r="Y1184" s="8" t="str">
        <f>IF(A1184="","",IFERROR(IF(VLOOKUP(A1184,Entry!$D:$D,1,FALSE)=A1184,"",ROW()),ROW()))</f>
        <v/>
      </c>
      <c r="AG1184" s="8" t="str">
        <f>IF(A1184="","",IFERROR(IF(VLOOKUP(A1184,Entry!$D:$D,1,FALSE)=A1184,TRUE,FALSE),FALSE))</f>
        <v/>
      </c>
    </row>
    <row r="1185" spans="1:33" x14ac:dyDescent="0.2">
      <c r="A1185" s="114"/>
      <c r="B1185" s="23"/>
      <c r="C1185" s="23"/>
      <c r="D1185" s="23"/>
      <c r="E1185" s="23"/>
      <c r="G1185" s="23"/>
      <c r="H1185" s="23"/>
      <c r="Y1185" s="8" t="str">
        <f>IF(A1185="","",IFERROR(IF(VLOOKUP(A1185,Entry!$D:$D,1,FALSE)=A1185,"",ROW()),ROW()))</f>
        <v/>
      </c>
      <c r="AG1185" s="8" t="str">
        <f>IF(A1185="","",IFERROR(IF(VLOOKUP(A1185,Entry!$D:$D,1,FALSE)=A1185,TRUE,FALSE),FALSE))</f>
        <v/>
      </c>
    </row>
    <row r="1186" spans="1:33" x14ac:dyDescent="0.2">
      <c r="A1186" s="114"/>
      <c r="B1186" s="23"/>
      <c r="C1186" s="23"/>
      <c r="D1186" s="23"/>
      <c r="E1186" s="23"/>
      <c r="G1186" s="23"/>
      <c r="H1186" s="23"/>
      <c r="Y1186" s="8" t="str">
        <f>IF(A1186="","",IFERROR(IF(VLOOKUP(A1186,Entry!$D:$D,1,FALSE)=A1186,"",ROW()),ROW()))</f>
        <v/>
      </c>
      <c r="AG1186" s="8" t="str">
        <f>IF(A1186="","",IFERROR(IF(VLOOKUP(A1186,Entry!$D:$D,1,FALSE)=A1186,TRUE,FALSE),FALSE))</f>
        <v/>
      </c>
    </row>
    <row r="1187" spans="1:33" x14ac:dyDescent="0.2">
      <c r="A1187" s="114"/>
      <c r="B1187" s="23"/>
      <c r="C1187" s="23"/>
      <c r="D1187" s="23"/>
      <c r="E1187" s="23"/>
      <c r="G1187" s="23"/>
      <c r="H1187" s="23"/>
      <c r="Y1187" s="8" t="str">
        <f>IF(A1187="","",IFERROR(IF(VLOOKUP(A1187,Entry!$D:$D,1,FALSE)=A1187,"",ROW()),ROW()))</f>
        <v/>
      </c>
      <c r="AG1187" s="8" t="str">
        <f>IF(A1187="","",IFERROR(IF(VLOOKUP(A1187,Entry!$D:$D,1,FALSE)=A1187,TRUE,FALSE),FALSE))</f>
        <v/>
      </c>
    </row>
    <row r="1188" spans="1:33" x14ac:dyDescent="0.2">
      <c r="A1188" s="114"/>
      <c r="B1188" s="23"/>
      <c r="C1188" s="23"/>
      <c r="D1188" s="23"/>
      <c r="E1188" s="23"/>
      <c r="G1188" s="23"/>
      <c r="H1188" s="23"/>
      <c r="Y1188" s="8" t="str">
        <f>IF(A1188="","",IFERROR(IF(VLOOKUP(A1188,Entry!$D:$D,1,FALSE)=A1188,"",ROW()),ROW()))</f>
        <v/>
      </c>
      <c r="AG1188" s="8" t="str">
        <f>IF(A1188="","",IFERROR(IF(VLOOKUP(A1188,Entry!$D:$D,1,FALSE)=A1188,TRUE,FALSE),FALSE))</f>
        <v/>
      </c>
    </row>
    <row r="1189" spans="1:33" x14ac:dyDescent="0.2">
      <c r="A1189" s="114"/>
      <c r="B1189" s="23"/>
      <c r="C1189" s="23"/>
      <c r="D1189" s="23"/>
      <c r="E1189" s="23"/>
      <c r="G1189" s="23"/>
      <c r="H1189" s="23"/>
      <c r="Y1189" s="8" t="str">
        <f>IF(A1189="","",IFERROR(IF(VLOOKUP(A1189,Entry!$D:$D,1,FALSE)=A1189,"",ROW()),ROW()))</f>
        <v/>
      </c>
      <c r="AG1189" s="8" t="str">
        <f>IF(A1189="","",IFERROR(IF(VLOOKUP(A1189,Entry!$D:$D,1,FALSE)=A1189,TRUE,FALSE),FALSE))</f>
        <v/>
      </c>
    </row>
    <row r="1190" spans="1:33" x14ac:dyDescent="0.2">
      <c r="A1190" s="114"/>
      <c r="B1190" s="23"/>
      <c r="C1190" s="23"/>
      <c r="D1190" s="23"/>
      <c r="E1190" s="23"/>
      <c r="G1190" s="23"/>
      <c r="H1190" s="23"/>
      <c r="Y1190" s="8" t="str">
        <f>IF(A1190="","",IFERROR(IF(VLOOKUP(A1190,Entry!$D:$D,1,FALSE)=A1190,"",ROW()),ROW()))</f>
        <v/>
      </c>
      <c r="AG1190" s="8" t="str">
        <f>IF(A1190="","",IFERROR(IF(VLOOKUP(A1190,Entry!$D:$D,1,FALSE)=A1190,TRUE,FALSE),FALSE))</f>
        <v/>
      </c>
    </row>
    <row r="1191" spans="1:33" x14ac:dyDescent="0.2">
      <c r="A1191" s="114"/>
      <c r="B1191" s="23"/>
      <c r="C1191" s="23"/>
      <c r="D1191" s="23"/>
      <c r="E1191" s="23"/>
      <c r="G1191" s="23"/>
      <c r="H1191" s="23"/>
      <c r="Y1191" s="8" t="str">
        <f>IF(A1191="","",IFERROR(IF(VLOOKUP(A1191,Entry!$D:$D,1,FALSE)=A1191,"",ROW()),ROW()))</f>
        <v/>
      </c>
      <c r="AG1191" s="8" t="str">
        <f>IF(A1191="","",IFERROR(IF(VLOOKUP(A1191,Entry!$D:$D,1,FALSE)=A1191,TRUE,FALSE),FALSE))</f>
        <v/>
      </c>
    </row>
    <row r="1192" spans="1:33" x14ac:dyDescent="0.2">
      <c r="A1192" s="114"/>
      <c r="B1192" s="23"/>
      <c r="C1192" s="23"/>
      <c r="D1192" s="23"/>
      <c r="E1192" s="23"/>
      <c r="G1192" s="23"/>
      <c r="H1192" s="23"/>
      <c r="Y1192" s="8" t="str">
        <f>IF(A1192="","",IFERROR(IF(VLOOKUP(A1192,Entry!$D:$D,1,FALSE)=A1192,"",ROW()),ROW()))</f>
        <v/>
      </c>
      <c r="AG1192" s="8" t="str">
        <f>IF(A1192="","",IFERROR(IF(VLOOKUP(A1192,Entry!$D:$D,1,FALSE)=A1192,TRUE,FALSE),FALSE))</f>
        <v/>
      </c>
    </row>
    <row r="1193" spans="1:33" x14ac:dyDescent="0.2">
      <c r="A1193" s="114"/>
      <c r="B1193" s="23"/>
      <c r="C1193" s="23"/>
      <c r="D1193" s="23"/>
      <c r="E1193" s="23"/>
      <c r="G1193" s="23"/>
      <c r="H1193" s="23"/>
      <c r="Y1193" s="8" t="str">
        <f>IF(A1193="","",IFERROR(IF(VLOOKUP(A1193,Entry!$D:$D,1,FALSE)=A1193,"",ROW()),ROW()))</f>
        <v/>
      </c>
      <c r="AG1193" s="8" t="str">
        <f>IF(A1193="","",IFERROR(IF(VLOOKUP(A1193,Entry!$D:$D,1,FALSE)=A1193,TRUE,FALSE),FALSE))</f>
        <v/>
      </c>
    </row>
    <row r="1194" spans="1:33" x14ac:dyDescent="0.2">
      <c r="A1194" s="114"/>
      <c r="B1194" s="23"/>
      <c r="C1194" s="23"/>
      <c r="D1194" s="23"/>
      <c r="E1194" s="23"/>
      <c r="G1194" s="23"/>
      <c r="H1194" s="23"/>
      <c r="Y1194" s="8" t="str">
        <f>IF(A1194="","",IFERROR(IF(VLOOKUP(A1194,Entry!$D:$D,1,FALSE)=A1194,"",ROW()),ROW()))</f>
        <v/>
      </c>
      <c r="AG1194" s="8" t="str">
        <f>IF(A1194="","",IFERROR(IF(VLOOKUP(A1194,Entry!$D:$D,1,FALSE)=A1194,TRUE,FALSE),FALSE))</f>
        <v/>
      </c>
    </row>
    <row r="1195" spans="1:33" x14ac:dyDescent="0.2">
      <c r="A1195" s="114"/>
      <c r="B1195" s="23"/>
      <c r="C1195" s="23"/>
      <c r="D1195" s="23"/>
      <c r="E1195" s="23"/>
      <c r="G1195" s="23"/>
      <c r="H1195" s="23"/>
      <c r="Y1195" s="8" t="str">
        <f>IF(A1195="","",IFERROR(IF(VLOOKUP(A1195,Entry!$D:$D,1,FALSE)=A1195,"",ROW()),ROW()))</f>
        <v/>
      </c>
      <c r="AG1195" s="8" t="str">
        <f>IF(A1195="","",IFERROR(IF(VLOOKUP(A1195,Entry!$D:$D,1,FALSE)=A1195,TRUE,FALSE),FALSE))</f>
        <v/>
      </c>
    </row>
    <row r="1196" spans="1:33" x14ac:dyDescent="0.2">
      <c r="A1196" s="114"/>
      <c r="B1196" s="23"/>
      <c r="C1196" s="23"/>
      <c r="D1196" s="23"/>
      <c r="E1196" s="23"/>
      <c r="G1196" s="23"/>
      <c r="H1196" s="23"/>
      <c r="Y1196" s="8" t="str">
        <f>IF(A1196="","",IFERROR(IF(VLOOKUP(A1196,Entry!$D:$D,1,FALSE)=A1196,"",ROW()),ROW()))</f>
        <v/>
      </c>
      <c r="AG1196" s="8" t="str">
        <f>IF(A1196="","",IFERROR(IF(VLOOKUP(A1196,Entry!$D:$D,1,FALSE)=A1196,TRUE,FALSE),FALSE))</f>
        <v/>
      </c>
    </row>
    <row r="1197" spans="1:33" x14ac:dyDescent="0.2">
      <c r="A1197" s="114"/>
      <c r="B1197" s="23"/>
      <c r="C1197" s="23"/>
      <c r="D1197" s="23"/>
      <c r="E1197" s="23"/>
      <c r="G1197" s="23"/>
      <c r="H1197" s="23"/>
      <c r="Y1197" s="8" t="str">
        <f>IF(A1197="","",IFERROR(IF(VLOOKUP(A1197,Entry!$D:$D,1,FALSE)=A1197,"",ROW()),ROW()))</f>
        <v/>
      </c>
      <c r="AG1197" s="8" t="str">
        <f>IF(A1197="","",IFERROR(IF(VLOOKUP(A1197,Entry!$D:$D,1,FALSE)=A1197,TRUE,FALSE),FALSE))</f>
        <v/>
      </c>
    </row>
    <row r="1198" spans="1:33" x14ac:dyDescent="0.2">
      <c r="A1198" s="114"/>
      <c r="B1198" s="23"/>
      <c r="C1198" s="23"/>
      <c r="D1198" s="23"/>
      <c r="E1198" s="23"/>
      <c r="G1198" s="23"/>
      <c r="H1198" s="23"/>
      <c r="Y1198" s="8" t="str">
        <f>IF(A1198="","",IFERROR(IF(VLOOKUP(A1198,Entry!$D:$D,1,FALSE)=A1198,"",ROW()),ROW()))</f>
        <v/>
      </c>
      <c r="AG1198" s="8" t="str">
        <f>IF(A1198="","",IFERROR(IF(VLOOKUP(A1198,Entry!$D:$D,1,FALSE)=A1198,TRUE,FALSE),FALSE))</f>
        <v/>
      </c>
    </row>
    <row r="1199" spans="1:33" x14ac:dyDescent="0.2">
      <c r="A1199" s="114"/>
      <c r="B1199" s="23"/>
      <c r="C1199" s="23"/>
      <c r="D1199" s="23"/>
      <c r="E1199" s="23"/>
      <c r="G1199" s="23"/>
      <c r="H1199" s="23"/>
      <c r="Y1199" s="8" t="str">
        <f>IF(A1199="","",IFERROR(IF(VLOOKUP(A1199,Entry!$D:$D,1,FALSE)=A1199,"",ROW()),ROW()))</f>
        <v/>
      </c>
      <c r="AG1199" s="8" t="str">
        <f>IF(A1199="","",IFERROR(IF(VLOOKUP(A1199,Entry!$D:$D,1,FALSE)=A1199,TRUE,FALSE),FALSE))</f>
        <v/>
      </c>
    </row>
    <row r="1200" spans="1:33" x14ac:dyDescent="0.2">
      <c r="A1200" s="114"/>
      <c r="B1200" s="23"/>
      <c r="C1200" s="23"/>
      <c r="D1200" s="23"/>
      <c r="E1200" s="23"/>
      <c r="G1200" s="23"/>
      <c r="H1200" s="23"/>
      <c r="Y1200" s="8" t="str">
        <f>IF(A1200="","",IFERROR(IF(VLOOKUP(A1200,Entry!$D:$D,1,FALSE)=A1200,"",ROW()),ROW()))</f>
        <v/>
      </c>
      <c r="AG1200" s="8" t="str">
        <f>IF(A1200="","",IFERROR(IF(VLOOKUP(A1200,Entry!$D:$D,1,FALSE)=A1200,TRUE,FALSE),FALSE))</f>
        <v/>
      </c>
    </row>
    <row r="1201" spans="1:33" x14ac:dyDescent="0.2">
      <c r="A1201" s="114"/>
      <c r="B1201" s="23"/>
      <c r="C1201" s="23"/>
      <c r="D1201" s="23"/>
      <c r="E1201" s="23"/>
      <c r="G1201" s="23"/>
      <c r="H1201" s="23"/>
      <c r="Y1201" s="8" t="str">
        <f>IF(A1201="","",IFERROR(IF(VLOOKUP(A1201,Entry!$D:$D,1,FALSE)=A1201,"",ROW()),ROW()))</f>
        <v/>
      </c>
      <c r="AG1201" s="8" t="str">
        <f>IF(A1201="","",IFERROR(IF(VLOOKUP(A1201,Entry!$D:$D,1,FALSE)=A1201,TRUE,FALSE),FALSE))</f>
        <v/>
      </c>
    </row>
    <row r="1202" spans="1:33" x14ac:dyDescent="0.2">
      <c r="A1202" s="114"/>
      <c r="B1202" s="23"/>
      <c r="C1202" s="23"/>
      <c r="D1202" s="23"/>
      <c r="E1202" s="23"/>
      <c r="G1202" s="23"/>
      <c r="H1202" s="23"/>
      <c r="Y1202" s="8" t="str">
        <f>IF(A1202="","",IFERROR(IF(VLOOKUP(A1202,Entry!$D:$D,1,FALSE)=A1202,"",ROW()),ROW()))</f>
        <v/>
      </c>
      <c r="AG1202" s="8" t="str">
        <f>IF(A1202="","",IFERROR(IF(VLOOKUP(A1202,Entry!$D:$D,1,FALSE)=A1202,TRUE,FALSE),FALSE))</f>
        <v/>
      </c>
    </row>
    <row r="1203" spans="1:33" x14ac:dyDescent="0.2">
      <c r="A1203" s="114"/>
      <c r="B1203" s="23"/>
      <c r="C1203" s="23"/>
      <c r="D1203" s="23"/>
      <c r="E1203" s="23"/>
      <c r="G1203" s="23"/>
      <c r="H1203" s="23"/>
      <c r="Y1203" s="8" t="str">
        <f>IF(A1203="","",IFERROR(IF(VLOOKUP(A1203,Entry!$D:$D,1,FALSE)=A1203,"",ROW()),ROW()))</f>
        <v/>
      </c>
      <c r="AG1203" s="8" t="str">
        <f>IF(A1203="","",IFERROR(IF(VLOOKUP(A1203,Entry!$D:$D,1,FALSE)=A1203,TRUE,FALSE),FALSE))</f>
        <v/>
      </c>
    </row>
    <row r="1204" spans="1:33" x14ac:dyDescent="0.2">
      <c r="A1204" s="114"/>
      <c r="B1204" s="23"/>
      <c r="C1204" s="23"/>
      <c r="D1204" s="23"/>
      <c r="E1204" s="23"/>
      <c r="G1204" s="23"/>
      <c r="H1204" s="23"/>
      <c r="Y1204" s="8" t="str">
        <f>IF(A1204="","",IFERROR(IF(VLOOKUP(A1204,Entry!$D:$D,1,FALSE)=A1204,"",ROW()),ROW()))</f>
        <v/>
      </c>
      <c r="AG1204" s="8" t="str">
        <f>IF(A1204="","",IFERROR(IF(VLOOKUP(A1204,Entry!$D:$D,1,FALSE)=A1204,TRUE,FALSE),FALSE))</f>
        <v/>
      </c>
    </row>
    <row r="1205" spans="1:33" x14ac:dyDescent="0.2">
      <c r="A1205" s="114"/>
      <c r="B1205" s="23"/>
      <c r="C1205" s="23"/>
      <c r="D1205" s="23"/>
      <c r="E1205" s="23"/>
      <c r="G1205" s="23"/>
      <c r="H1205" s="23"/>
      <c r="Y1205" s="8" t="str">
        <f>IF(A1205="","",IFERROR(IF(VLOOKUP(A1205,Entry!$D:$D,1,FALSE)=A1205,"",ROW()),ROW()))</f>
        <v/>
      </c>
      <c r="AG1205" s="8" t="str">
        <f>IF(A1205="","",IFERROR(IF(VLOOKUP(A1205,Entry!$D:$D,1,FALSE)=A1205,TRUE,FALSE),FALSE))</f>
        <v/>
      </c>
    </row>
    <row r="1206" spans="1:33" x14ac:dyDescent="0.2">
      <c r="A1206" s="114"/>
      <c r="B1206" s="23"/>
      <c r="C1206" s="23"/>
      <c r="D1206" s="23"/>
      <c r="E1206" s="23"/>
      <c r="G1206" s="23"/>
      <c r="H1206" s="23"/>
      <c r="Y1206" s="8" t="str">
        <f>IF(A1206="","",IFERROR(IF(VLOOKUP(A1206,Entry!$D:$D,1,FALSE)=A1206,"",ROW()),ROW()))</f>
        <v/>
      </c>
      <c r="AG1206" s="8" t="str">
        <f>IF(A1206="","",IFERROR(IF(VLOOKUP(A1206,Entry!$D:$D,1,FALSE)=A1206,TRUE,FALSE),FALSE))</f>
        <v/>
      </c>
    </row>
    <row r="1207" spans="1:33" x14ac:dyDescent="0.2">
      <c r="A1207" s="114"/>
      <c r="B1207" s="23"/>
      <c r="C1207" s="23"/>
      <c r="D1207" s="23"/>
      <c r="E1207" s="23"/>
      <c r="G1207" s="23"/>
      <c r="H1207" s="23"/>
      <c r="Y1207" s="8" t="str">
        <f>IF(A1207="","",IFERROR(IF(VLOOKUP(A1207,Entry!$D:$D,1,FALSE)=A1207,"",ROW()),ROW()))</f>
        <v/>
      </c>
      <c r="AG1207" s="8" t="str">
        <f>IF(A1207="","",IFERROR(IF(VLOOKUP(A1207,Entry!$D:$D,1,FALSE)=A1207,TRUE,FALSE),FALSE))</f>
        <v/>
      </c>
    </row>
    <row r="1208" spans="1:33" x14ac:dyDescent="0.2">
      <c r="A1208" s="114"/>
      <c r="B1208" s="23"/>
      <c r="C1208" s="23"/>
      <c r="D1208" s="23"/>
      <c r="E1208" s="23"/>
      <c r="G1208" s="23"/>
      <c r="H1208" s="23"/>
      <c r="Y1208" s="8" t="str">
        <f>IF(A1208="","",IFERROR(IF(VLOOKUP(A1208,Entry!$D:$D,1,FALSE)=A1208,"",ROW()),ROW()))</f>
        <v/>
      </c>
      <c r="AG1208" s="8" t="str">
        <f>IF(A1208="","",IFERROR(IF(VLOOKUP(A1208,Entry!$D:$D,1,FALSE)=A1208,TRUE,FALSE),FALSE))</f>
        <v/>
      </c>
    </row>
    <row r="1209" spans="1:33" x14ac:dyDescent="0.2">
      <c r="A1209" s="114"/>
      <c r="B1209" s="23"/>
      <c r="C1209" s="23"/>
      <c r="D1209" s="23"/>
      <c r="E1209" s="23"/>
      <c r="G1209" s="23"/>
      <c r="H1209" s="23"/>
      <c r="Y1209" s="8" t="str">
        <f>IF(A1209="","",IFERROR(IF(VLOOKUP(A1209,Entry!$D:$D,1,FALSE)=A1209,"",ROW()),ROW()))</f>
        <v/>
      </c>
      <c r="AG1209" s="8" t="str">
        <f>IF(A1209="","",IFERROR(IF(VLOOKUP(A1209,Entry!$D:$D,1,FALSE)=A1209,TRUE,FALSE),FALSE))</f>
        <v/>
      </c>
    </row>
    <row r="1210" spans="1:33" x14ac:dyDescent="0.2">
      <c r="A1210" s="114"/>
      <c r="B1210" s="23"/>
      <c r="C1210" s="23"/>
      <c r="D1210" s="23"/>
      <c r="E1210" s="23"/>
      <c r="G1210" s="23"/>
      <c r="H1210" s="23"/>
      <c r="Y1210" s="8" t="str">
        <f>IF(A1210="","",IFERROR(IF(VLOOKUP(A1210,Entry!$D:$D,1,FALSE)=A1210,"",ROW()),ROW()))</f>
        <v/>
      </c>
      <c r="AG1210" s="8" t="str">
        <f>IF(A1210="","",IFERROR(IF(VLOOKUP(A1210,Entry!$D:$D,1,FALSE)=A1210,TRUE,FALSE),FALSE))</f>
        <v/>
      </c>
    </row>
    <row r="1211" spans="1:33" x14ac:dyDescent="0.2">
      <c r="A1211" s="114"/>
      <c r="B1211" s="23"/>
      <c r="C1211" s="23"/>
      <c r="D1211" s="23"/>
      <c r="E1211" s="23"/>
      <c r="G1211" s="23"/>
      <c r="H1211" s="23"/>
      <c r="Y1211" s="8" t="str">
        <f>IF(A1211="","",IFERROR(IF(VLOOKUP(A1211,Entry!$D:$D,1,FALSE)=A1211,"",ROW()),ROW()))</f>
        <v/>
      </c>
      <c r="AG1211" s="8" t="str">
        <f>IF(A1211="","",IFERROR(IF(VLOOKUP(A1211,Entry!$D:$D,1,FALSE)=A1211,TRUE,FALSE),FALSE))</f>
        <v/>
      </c>
    </row>
    <row r="1212" spans="1:33" x14ac:dyDescent="0.2">
      <c r="A1212" s="114"/>
      <c r="B1212" s="23"/>
      <c r="C1212" s="23"/>
      <c r="D1212" s="23"/>
      <c r="E1212" s="23"/>
      <c r="G1212" s="23"/>
      <c r="H1212" s="23"/>
      <c r="Y1212" s="8" t="str">
        <f>IF(A1212="","",IFERROR(IF(VLOOKUP(A1212,Entry!$D:$D,1,FALSE)=A1212,"",ROW()),ROW()))</f>
        <v/>
      </c>
      <c r="AG1212" s="8" t="str">
        <f>IF(A1212="","",IFERROR(IF(VLOOKUP(A1212,Entry!$D:$D,1,FALSE)=A1212,TRUE,FALSE),FALSE))</f>
        <v/>
      </c>
    </row>
    <row r="1213" spans="1:33" x14ac:dyDescent="0.2">
      <c r="A1213" s="114"/>
      <c r="B1213" s="23"/>
      <c r="C1213" s="23"/>
      <c r="D1213" s="23"/>
      <c r="E1213" s="23"/>
      <c r="G1213" s="23"/>
      <c r="H1213" s="23"/>
      <c r="Y1213" s="8" t="str">
        <f>IF(A1213="","",IFERROR(IF(VLOOKUP(A1213,Entry!$D:$D,1,FALSE)=A1213,"",ROW()),ROW()))</f>
        <v/>
      </c>
      <c r="AG1213" s="8" t="str">
        <f>IF(A1213="","",IFERROR(IF(VLOOKUP(A1213,Entry!$D:$D,1,FALSE)=A1213,TRUE,FALSE),FALSE))</f>
        <v/>
      </c>
    </row>
    <row r="1214" spans="1:33" x14ac:dyDescent="0.2">
      <c r="A1214" s="114"/>
      <c r="B1214" s="23"/>
      <c r="C1214" s="23"/>
      <c r="D1214" s="23"/>
      <c r="E1214" s="23"/>
      <c r="G1214" s="23"/>
      <c r="H1214" s="23"/>
      <c r="Y1214" s="8" t="str">
        <f>IF(A1214="","",IFERROR(IF(VLOOKUP(A1214,Entry!$D:$D,1,FALSE)=A1214,"",ROW()),ROW()))</f>
        <v/>
      </c>
      <c r="AG1214" s="8" t="str">
        <f>IF(A1214="","",IFERROR(IF(VLOOKUP(A1214,Entry!$D:$D,1,FALSE)=A1214,TRUE,FALSE),FALSE))</f>
        <v/>
      </c>
    </row>
    <row r="1215" spans="1:33" x14ac:dyDescent="0.2">
      <c r="A1215" s="114"/>
      <c r="B1215" s="23"/>
      <c r="C1215" s="23"/>
      <c r="D1215" s="23"/>
      <c r="E1215" s="23"/>
      <c r="G1215" s="23"/>
      <c r="H1215" s="23"/>
      <c r="Y1215" s="8" t="str">
        <f>IF(A1215="","",IFERROR(IF(VLOOKUP(A1215,Entry!$D:$D,1,FALSE)=A1215,"",ROW()),ROW()))</f>
        <v/>
      </c>
      <c r="AG1215" s="8" t="str">
        <f>IF(A1215="","",IFERROR(IF(VLOOKUP(A1215,Entry!$D:$D,1,FALSE)=A1215,TRUE,FALSE),FALSE))</f>
        <v/>
      </c>
    </row>
    <row r="1216" spans="1:33" x14ac:dyDescent="0.2">
      <c r="A1216" s="114"/>
      <c r="B1216" s="23"/>
      <c r="C1216" s="23"/>
      <c r="D1216" s="23"/>
      <c r="E1216" s="23"/>
      <c r="G1216" s="23"/>
      <c r="H1216" s="23"/>
      <c r="Y1216" s="8" t="str">
        <f>IF(A1216="","",IFERROR(IF(VLOOKUP(A1216,Entry!$D:$D,1,FALSE)=A1216,"",ROW()),ROW()))</f>
        <v/>
      </c>
      <c r="AG1216" s="8" t="str">
        <f>IF(A1216="","",IFERROR(IF(VLOOKUP(A1216,Entry!$D:$D,1,FALSE)=A1216,TRUE,FALSE),FALSE))</f>
        <v/>
      </c>
    </row>
    <row r="1217" spans="1:33" x14ac:dyDescent="0.2">
      <c r="A1217" s="114"/>
      <c r="B1217" s="23"/>
      <c r="C1217" s="23"/>
      <c r="D1217" s="23"/>
      <c r="E1217" s="23"/>
      <c r="G1217" s="23"/>
      <c r="H1217" s="23"/>
      <c r="Y1217" s="8" t="str">
        <f>IF(A1217="","",IFERROR(IF(VLOOKUP(A1217,Entry!$D:$D,1,FALSE)=A1217,"",ROW()),ROW()))</f>
        <v/>
      </c>
      <c r="AG1217" s="8" t="str">
        <f>IF(A1217="","",IFERROR(IF(VLOOKUP(A1217,Entry!$D:$D,1,FALSE)=A1217,TRUE,FALSE),FALSE))</f>
        <v/>
      </c>
    </row>
    <row r="1218" spans="1:33" x14ac:dyDescent="0.2">
      <c r="A1218" s="114"/>
      <c r="B1218" s="23"/>
      <c r="C1218" s="23"/>
      <c r="D1218" s="23"/>
      <c r="E1218" s="23"/>
      <c r="G1218" s="23"/>
      <c r="H1218" s="23"/>
      <c r="Y1218" s="8" t="str">
        <f>IF(A1218="","",IFERROR(IF(VLOOKUP(A1218,Entry!$D:$D,1,FALSE)=A1218,"",ROW()),ROW()))</f>
        <v/>
      </c>
      <c r="AG1218" s="8" t="str">
        <f>IF(A1218="","",IFERROR(IF(VLOOKUP(A1218,Entry!$D:$D,1,FALSE)=A1218,TRUE,FALSE),FALSE))</f>
        <v/>
      </c>
    </row>
    <row r="1219" spans="1:33" x14ac:dyDescent="0.2">
      <c r="A1219" s="114"/>
      <c r="B1219" s="23"/>
      <c r="C1219" s="23"/>
      <c r="D1219" s="23"/>
      <c r="E1219" s="23"/>
      <c r="G1219" s="23"/>
      <c r="H1219" s="23"/>
      <c r="Y1219" s="8" t="str">
        <f>IF(A1219="","",IFERROR(IF(VLOOKUP(A1219,Entry!$D:$D,1,FALSE)=A1219,"",ROW()),ROW()))</f>
        <v/>
      </c>
      <c r="AG1219" s="8" t="str">
        <f>IF(A1219="","",IFERROR(IF(VLOOKUP(A1219,Entry!$D:$D,1,FALSE)=A1219,TRUE,FALSE),FALSE))</f>
        <v/>
      </c>
    </row>
    <row r="1220" spans="1:33" x14ac:dyDescent="0.2">
      <c r="A1220" s="114"/>
      <c r="B1220" s="23"/>
      <c r="C1220" s="23"/>
      <c r="D1220" s="23"/>
      <c r="E1220" s="23"/>
      <c r="G1220" s="23"/>
      <c r="H1220" s="23"/>
      <c r="Y1220" s="8" t="str">
        <f>IF(A1220="","",IFERROR(IF(VLOOKUP(A1220,Entry!$D:$D,1,FALSE)=A1220,"",ROW()),ROW()))</f>
        <v/>
      </c>
      <c r="AG1220" s="8" t="str">
        <f>IF(A1220="","",IFERROR(IF(VLOOKUP(A1220,Entry!$D:$D,1,FALSE)=A1220,TRUE,FALSE),FALSE))</f>
        <v/>
      </c>
    </row>
    <row r="1221" spans="1:33" x14ac:dyDescent="0.2">
      <c r="A1221" s="114"/>
      <c r="B1221" s="23"/>
      <c r="C1221" s="23"/>
      <c r="D1221" s="23"/>
      <c r="E1221" s="23"/>
      <c r="G1221" s="23"/>
      <c r="H1221" s="23"/>
      <c r="Y1221" s="8" t="str">
        <f>IF(A1221="","",IFERROR(IF(VLOOKUP(A1221,Entry!$D:$D,1,FALSE)=A1221,"",ROW()),ROW()))</f>
        <v/>
      </c>
      <c r="AG1221" s="8" t="str">
        <f>IF(A1221="","",IFERROR(IF(VLOOKUP(A1221,Entry!$D:$D,1,FALSE)=A1221,TRUE,FALSE),FALSE))</f>
        <v/>
      </c>
    </row>
    <row r="1222" spans="1:33" x14ac:dyDescent="0.2">
      <c r="A1222" s="114"/>
      <c r="B1222" s="23"/>
      <c r="C1222" s="23"/>
      <c r="D1222" s="23"/>
      <c r="E1222" s="23"/>
      <c r="G1222" s="23"/>
      <c r="H1222" s="23"/>
      <c r="Y1222" s="8" t="str">
        <f>IF(A1222="","",IFERROR(IF(VLOOKUP(A1222,Entry!$D:$D,1,FALSE)=A1222,"",ROW()),ROW()))</f>
        <v/>
      </c>
      <c r="AG1222" s="8" t="str">
        <f>IF(A1222="","",IFERROR(IF(VLOOKUP(A1222,Entry!$D:$D,1,FALSE)=A1222,TRUE,FALSE),FALSE))</f>
        <v/>
      </c>
    </row>
    <row r="1223" spans="1:33" x14ac:dyDescent="0.2">
      <c r="A1223" s="114"/>
      <c r="B1223" s="23"/>
      <c r="C1223" s="23"/>
      <c r="D1223" s="23"/>
      <c r="E1223" s="23"/>
      <c r="G1223" s="23"/>
      <c r="H1223" s="23"/>
      <c r="Y1223" s="8" t="str">
        <f>IF(A1223="","",IFERROR(IF(VLOOKUP(A1223,Entry!$D:$D,1,FALSE)=A1223,"",ROW()),ROW()))</f>
        <v/>
      </c>
      <c r="AG1223" s="8" t="str">
        <f>IF(A1223="","",IFERROR(IF(VLOOKUP(A1223,Entry!$D:$D,1,FALSE)=A1223,TRUE,FALSE),FALSE))</f>
        <v/>
      </c>
    </row>
    <row r="1224" spans="1:33" x14ac:dyDescent="0.2">
      <c r="A1224" s="114"/>
      <c r="B1224" s="23"/>
      <c r="C1224" s="23"/>
      <c r="D1224" s="23"/>
      <c r="E1224" s="23"/>
      <c r="G1224" s="23"/>
      <c r="H1224" s="23"/>
      <c r="Y1224" s="8" t="str">
        <f>IF(A1224="","",IFERROR(IF(VLOOKUP(A1224,Entry!$D:$D,1,FALSE)=A1224,"",ROW()),ROW()))</f>
        <v/>
      </c>
      <c r="AG1224" s="8" t="str">
        <f>IF(A1224="","",IFERROR(IF(VLOOKUP(A1224,Entry!$D:$D,1,FALSE)=A1224,TRUE,FALSE),FALSE))</f>
        <v/>
      </c>
    </row>
    <row r="1225" spans="1:33" x14ac:dyDescent="0.2">
      <c r="A1225" s="114"/>
      <c r="B1225" s="23"/>
      <c r="C1225" s="23"/>
      <c r="D1225" s="23"/>
      <c r="E1225" s="23"/>
      <c r="G1225" s="23"/>
      <c r="H1225" s="23"/>
      <c r="Y1225" s="8" t="str">
        <f>IF(A1225="","",IFERROR(IF(VLOOKUP(A1225,Entry!$D:$D,1,FALSE)=A1225,"",ROW()),ROW()))</f>
        <v/>
      </c>
      <c r="AG1225" s="8" t="str">
        <f>IF(A1225="","",IFERROR(IF(VLOOKUP(A1225,Entry!$D:$D,1,FALSE)=A1225,TRUE,FALSE),FALSE))</f>
        <v/>
      </c>
    </row>
    <row r="1226" spans="1:33" x14ac:dyDescent="0.2">
      <c r="A1226" s="114"/>
      <c r="B1226" s="23"/>
      <c r="C1226" s="23"/>
      <c r="D1226" s="23"/>
      <c r="E1226" s="23"/>
      <c r="G1226" s="23"/>
      <c r="H1226" s="23"/>
      <c r="Y1226" s="8" t="str">
        <f>IF(A1226="","",IFERROR(IF(VLOOKUP(A1226,Entry!$D:$D,1,FALSE)=A1226,"",ROW()),ROW()))</f>
        <v/>
      </c>
      <c r="AG1226" s="8" t="str">
        <f>IF(A1226="","",IFERROR(IF(VLOOKUP(A1226,Entry!$D:$D,1,FALSE)=A1226,TRUE,FALSE),FALSE))</f>
        <v/>
      </c>
    </row>
    <row r="1227" spans="1:33" x14ac:dyDescent="0.2">
      <c r="A1227" s="114"/>
      <c r="B1227" s="23"/>
      <c r="C1227" s="23"/>
      <c r="D1227" s="23"/>
      <c r="E1227" s="23"/>
      <c r="G1227" s="23"/>
      <c r="H1227" s="23"/>
      <c r="Y1227" s="8" t="str">
        <f>IF(A1227="","",IFERROR(IF(VLOOKUP(A1227,Entry!$D:$D,1,FALSE)=A1227,"",ROW()),ROW()))</f>
        <v/>
      </c>
      <c r="AG1227" s="8" t="str">
        <f>IF(A1227="","",IFERROR(IF(VLOOKUP(A1227,Entry!$D:$D,1,FALSE)=A1227,TRUE,FALSE),FALSE))</f>
        <v/>
      </c>
    </row>
    <row r="1228" spans="1:33" x14ac:dyDescent="0.2">
      <c r="A1228" s="114"/>
      <c r="B1228" s="23"/>
      <c r="C1228" s="23"/>
      <c r="D1228" s="23"/>
      <c r="E1228" s="23"/>
      <c r="G1228" s="23"/>
      <c r="H1228" s="23"/>
      <c r="Y1228" s="8" t="str">
        <f>IF(A1228="","",IFERROR(IF(VLOOKUP(A1228,Entry!$D:$D,1,FALSE)=A1228,"",ROW()),ROW()))</f>
        <v/>
      </c>
      <c r="AG1228" s="8" t="str">
        <f>IF(A1228="","",IFERROR(IF(VLOOKUP(A1228,Entry!$D:$D,1,FALSE)=A1228,TRUE,FALSE),FALSE))</f>
        <v/>
      </c>
    </row>
    <row r="1229" spans="1:33" x14ac:dyDescent="0.2">
      <c r="A1229" s="114"/>
      <c r="B1229" s="23"/>
      <c r="C1229" s="23"/>
      <c r="D1229" s="23"/>
      <c r="E1229" s="23"/>
      <c r="G1229" s="23"/>
      <c r="H1229" s="23"/>
      <c r="Y1229" s="8" t="str">
        <f>IF(A1229="","",IFERROR(IF(VLOOKUP(A1229,Entry!$D:$D,1,FALSE)=A1229,"",ROW()),ROW()))</f>
        <v/>
      </c>
      <c r="AG1229" s="8" t="str">
        <f>IF(A1229="","",IFERROR(IF(VLOOKUP(A1229,Entry!$D:$D,1,FALSE)=A1229,TRUE,FALSE),FALSE))</f>
        <v/>
      </c>
    </row>
    <row r="1230" spans="1:33" x14ac:dyDescent="0.2">
      <c r="A1230" s="114"/>
      <c r="B1230" s="23"/>
      <c r="C1230" s="23"/>
      <c r="D1230" s="23"/>
      <c r="E1230" s="23"/>
      <c r="G1230" s="23"/>
      <c r="H1230" s="23"/>
      <c r="Y1230" s="8" t="str">
        <f>IF(A1230="","",IFERROR(IF(VLOOKUP(A1230,Entry!$D:$D,1,FALSE)=A1230,"",ROW()),ROW()))</f>
        <v/>
      </c>
      <c r="AG1230" s="8" t="str">
        <f>IF(A1230="","",IFERROR(IF(VLOOKUP(A1230,Entry!$D:$D,1,FALSE)=A1230,TRUE,FALSE),FALSE))</f>
        <v/>
      </c>
    </row>
    <row r="1231" spans="1:33" x14ac:dyDescent="0.2">
      <c r="A1231" s="114"/>
      <c r="B1231" s="23"/>
      <c r="C1231" s="23"/>
      <c r="D1231" s="23"/>
      <c r="E1231" s="23"/>
      <c r="G1231" s="23"/>
      <c r="H1231" s="23"/>
      <c r="Y1231" s="8" t="str">
        <f>IF(A1231="","",IFERROR(IF(VLOOKUP(A1231,Entry!$D:$D,1,FALSE)=A1231,"",ROW()),ROW()))</f>
        <v/>
      </c>
      <c r="AG1231" s="8" t="str">
        <f>IF(A1231="","",IFERROR(IF(VLOOKUP(A1231,Entry!$D:$D,1,FALSE)=A1231,TRUE,FALSE),FALSE))</f>
        <v/>
      </c>
    </row>
    <row r="1232" spans="1:33" x14ac:dyDescent="0.2">
      <c r="A1232" s="114"/>
      <c r="B1232" s="23"/>
      <c r="C1232" s="23"/>
      <c r="D1232" s="23"/>
      <c r="E1232" s="23"/>
      <c r="G1232" s="23"/>
      <c r="H1232" s="23"/>
      <c r="Y1232" s="8" t="str">
        <f>IF(A1232="","",IFERROR(IF(VLOOKUP(A1232,Entry!$D:$D,1,FALSE)=A1232,"",ROW()),ROW()))</f>
        <v/>
      </c>
      <c r="AG1232" s="8" t="str">
        <f>IF(A1232="","",IFERROR(IF(VLOOKUP(A1232,Entry!$D:$D,1,FALSE)=A1232,TRUE,FALSE),FALSE))</f>
        <v/>
      </c>
    </row>
    <row r="1233" spans="1:33" x14ac:dyDescent="0.2">
      <c r="A1233" s="114"/>
      <c r="B1233" s="23"/>
      <c r="C1233" s="23"/>
      <c r="D1233" s="23"/>
      <c r="E1233" s="23"/>
      <c r="G1233" s="23"/>
      <c r="H1233" s="23"/>
      <c r="Y1233" s="8" t="str">
        <f>IF(A1233="","",IFERROR(IF(VLOOKUP(A1233,Entry!$D:$D,1,FALSE)=A1233,"",ROW()),ROW()))</f>
        <v/>
      </c>
      <c r="AG1233" s="8" t="str">
        <f>IF(A1233="","",IFERROR(IF(VLOOKUP(A1233,Entry!$D:$D,1,FALSE)=A1233,TRUE,FALSE),FALSE))</f>
        <v/>
      </c>
    </row>
    <row r="1234" spans="1:33" x14ac:dyDescent="0.2">
      <c r="A1234" s="114"/>
      <c r="B1234" s="23"/>
      <c r="C1234" s="23"/>
      <c r="D1234" s="23"/>
      <c r="E1234" s="23"/>
      <c r="G1234" s="23"/>
      <c r="H1234" s="23"/>
      <c r="Y1234" s="8" t="str">
        <f>IF(A1234="","",IFERROR(IF(VLOOKUP(A1234,Entry!$D:$D,1,FALSE)=A1234,"",ROW()),ROW()))</f>
        <v/>
      </c>
      <c r="AG1234" s="8" t="str">
        <f>IF(A1234="","",IFERROR(IF(VLOOKUP(A1234,Entry!$D:$D,1,FALSE)=A1234,TRUE,FALSE),FALSE))</f>
        <v/>
      </c>
    </row>
    <row r="1235" spans="1:33" x14ac:dyDescent="0.2">
      <c r="A1235" s="114"/>
      <c r="B1235" s="23"/>
      <c r="C1235" s="23"/>
      <c r="D1235" s="23"/>
      <c r="E1235" s="23"/>
      <c r="G1235" s="23"/>
      <c r="H1235" s="23"/>
      <c r="Y1235" s="8" t="str">
        <f>IF(A1235="","",IFERROR(IF(VLOOKUP(A1235,Entry!$D:$D,1,FALSE)=A1235,"",ROW()),ROW()))</f>
        <v/>
      </c>
      <c r="AG1235" s="8" t="str">
        <f>IF(A1235="","",IFERROR(IF(VLOOKUP(A1235,Entry!$D:$D,1,FALSE)=A1235,TRUE,FALSE),FALSE))</f>
        <v/>
      </c>
    </row>
    <row r="1236" spans="1:33" x14ac:dyDescent="0.2">
      <c r="A1236" s="114"/>
      <c r="B1236" s="23"/>
      <c r="C1236" s="23"/>
      <c r="D1236" s="23"/>
      <c r="E1236" s="23"/>
      <c r="G1236" s="23"/>
      <c r="H1236" s="23"/>
      <c r="Y1236" s="8" t="str">
        <f>IF(A1236="","",IFERROR(IF(VLOOKUP(A1236,Entry!$D:$D,1,FALSE)=A1236,"",ROW()),ROW()))</f>
        <v/>
      </c>
      <c r="AG1236" s="8" t="str">
        <f>IF(A1236="","",IFERROR(IF(VLOOKUP(A1236,Entry!$D:$D,1,FALSE)=A1236,TRUE,FALSE),FALSE))</f>
        <v/>
      </c>
    </row>
    <row r="1237" spans="1:33" x14ac:dyDescent="0.2">
      <c r="A1237" s="114"/>
      <c r="B1237" s="23"/>
      <c r="C1237" s="23"/>
      <c r="D1237" s="23"/>
      <c r="E1237" s="23"/>
      <c r="G1237" s="23"/>
      <c r="H1237" s="23"/>
      <c r="Y1237" s="8" t="str">
        <f>IF(A1237="","",IFERROR(IF(VLOOKUP(A1237,Entry!$D:$D,1,FALSE)=A1237,"",ROW()),ROW()))</f>
        <v/>
      </c>
      <c r="AG1237" s="8" t="str">
        <f>IF(A1237="","",IFERROR(IF(VLOOKUP(A1237,Entry!$D:$D,1,FALSE)=A1237,TRUE,FALSE),FALSE))</f>
        <v/>
      </c>
    </row>
    <row r="1238" spans="1:33" x14ac:dyDescent="0.2">
      <c r="A1238" s="114"/>
      <c r="B1238" s="23"/>
      <c r="C1238" s="23"/>
      <c r="D1238" s="23"/>
      <c r="E1238" s="23"/>
      <c r="G1238" s="23"/>
      <c r="H1238" s="23"/>
      <c r="Y1238" s="8" t="str">
        <f>IF(A1238="","",IFERROR(IF(VLOOKUP(A1238,Entry!$D:$D,1,FALSE)=A1238,"",ROW()),ROW()))</f>
        <v/>
      </c>
      <c r="AG1238" s="8" t="str">
        <f>IF(A1238="","",IFERROR(IF(VLOOKUP(A1238,Entry!$D:$D,1,FALSE)=A1238,TRUE,FALSE),FALSE))</f>
        <v/>
      </c>
    </row>
    <row r="1239" spans="1:33" x14ac:dyDescent="0.2">
      <c r="A1239" s="114"/>
      <c r="B1239" s="23"/>
      <c r="C1239" s="23"/>
      <c r="D1239" s="23"/>
      <c r="E1239" s="23"/>
      <c r="G1239" s="23"/>
      <c r="H1239" s="23"/>
      <c r="Y1239" s="8" t="str">
        <f>IF(A1239="","",IFERROR(IF(VLOOKUP(A1239,Entry!$D:$D,1,FALSE)=A1239,"",ROW()),ROW()))</f>
        <v/>
      </c>
      <c r="AG1239" s="8" t="str">
        <f>IF(A1239="","",IFERROR(IF(VLOOKUP(A1239,Entry!$D:$D,1,FALSE)=A1239,TRUE,FALSE),FALSE))</f>
        <v/>
      </c>
    </row>
    <row r="1240" spans="1:33" x14ac:dyDescent="0.2">
      <c r="A1240" s="114"/>
      <c r="B1240" s="23"/>
      <c r="C1240" s="23"/>
      <c r="D1240" s="23"/>
      <c r="E1240" s="23"/>
      <c r="G1240" s="23"/>
      <c r="H1240" s="23"/>
      <c r="Y1240" s="8" t="str">
        <f>IF(A1240="","",IFERROR(IF(VLOOKUP(A1240,Entry!$D:$D,1,FALSE)=A1240,"",ROW()),ROW()))</f>
        <v/>
      </c>
      <c r="AG1240" s="8" t="str">
        <f>IF(A1240="","",IFERROR(IF(VLOOKUP(A1240,Entry!$D:$D,1,FALSE)=A1240,TRUE,FALSE),FALSE))</f>
        <v/>
      </c>
    </row>
    <row r="1241" spans="1:33" x14ac:dyDescent="0.2">
      <c r="A1241" s="114"/>
      <c r="B1241" s="23"/>
      <c r="C1241" s="23"/>
      <c r="D1241" s="23"/>
      <c r="E1241" s="23"/>
      <c r="G1241" s="23"/>
      <c r="H1241" s="23"/>
      <c r="Y1241" s="8" t="str">
        <f>IF(A1241="","",IFERROR(IF(VLOOKUP(A1241,Entry!$D:$D,1,FALSE)=A1241,"",ROW()),ROW()))</f>
        <v/>
      </c>
      <c r="AG1241" s="8" t="str">
        <f>IF(A1241="","",IFERROR(IF(VLOOKUP(A1241,Entry!$D:$D,1,FALSE)=A1241,TRUE,FALSE),FALSE))</f>
        <v/>
      </c>
    </row>
    <row r="1242" spans="1:33" x14ac:dyDescent="0.2">
      <c r="A1242" s="114"/>
      <c r="B1242" s="23"/>
      <c r="C1242" s="23"/>
      <c r="D1242" s="23"/>
      <c r="E1242" s="23"/>
      <c r="G1242" s="23"/>
      <c r="H1242" s="23"/>
      <c r="Y1242" s="8" t="str">
        <f>IF(A1242="","",IFERROR(IF(VLOOKUP(A1242,Entry!$D:$D,1,FALSE)=A1242,"",ROW()),ROW()))</f>
        <v/>
      </c>
      <c r="AG1242" s="8" t="str">
        <f>IF(A1242="","",IFERROR(IF(VLOOKUP(A1242,Entry!$D:$D,1,FALSE)=A1242,TRUE,FALSE),FALSE))</f>
        <v/>
      </c>
    </row>
    <row r="1243" spans="1:33" x14ac:dyDescent="0.2">
      <c r="A1243" s="114"/>
      <c r="B1243" s="23"/>
      <c r="C1243" s="23"/>
      <c r="D1243" s="23"/>
      <c r="E1243" s="23"/>
      <c r="G1243" s="23"/>
      <c r="H1243" s="23"/>
      <c r="Y1243" s="8" t="str">
        <f>IF(A1243="","",IFERROR(IF(VLOOKUP(A1243,Entry!$D:$D,1,FALSE)=A1243,"",ROW()),ROW()))</f>
        <v/>
      </c>
      <c r="AG1243" s="8" t="str">
        <f>IF(A1243="","",IFERROR(IF(VLOOKUP(A1243,Entry!$D:$D,1,FALSE)=A1243,TRUE,FALSE),FALSE))</f>
        <v/>
      </c>
    </row>
    <row r="1244" spans="1:33" x14ac:dyDescent="0.2">
      <c r="A1244" s="114"/>
      <c r="B1244" s="23"/>
      <c r="C1244" s="23"/>
      <c r="D1244" s="23"/>
      <c r="E1244" s="23"/>
      <c r="G1244" s="23"/>
      <c r="H1244" s="23"/>
      <c r="Y1244" s="8" t="str">
        <f>IF(A1244="","",IFERROR(IF(VLOOKUP(A1244,Entry!$D:$D,1,FALSE)=A1244,"",ROW()),ROW()))</f>
        <v/>
      </c>
      <c r="AG1244" s="8" t="str">
        <f>IF(A1244="","",IFERROR(IF(VLOOKUP(A1244,Entry!$D:$D,1,FALSE)=A1244,TRUE,FALSE),FALSE))</f>
        <v/>
      </c>
    </row>
    <row r="1245" spans="1:33" x14ac:dyDescent="0.2">
      <c r="A1245" s="114"/>
      <c r="B1245" s="23"/>
      <c r="C1245" s="23"/>
      <c r="D1245" s="23"/>
      <c r="E1245" s="23"/>
      <c r="G1245" s="23"/>
      <c r="H1245" s="23"/>
      <c r="Y1245" s="8" t="str">
        <f>IF(A1245="","",IFERROR(IF(VLOOKUP(A1245,Entry!$D:$D,1,FALSE)=A1245,"",ROW()),ROW()))</f>
        <v/>
      </c>
      <c r="AG1245" s="8" t="str">
        <f>IF(A1245="","",IFERROR(IF(VLOOKUP(A1245,Entry!$D:$D,1,FALSE)=A1245,TRUE,FALSE),FALSE))</f>
        <v/>
      </c>
    </row>
    <row r="1246" spans="1:33" x14ac:dyDescent="0.2">
      <c r="A1246" s="114"/>
      <c r="B1246" s="23"/>
      <c r="C1246" s="23"/>
      <c r="D1246" s="23"/>
      <c r="E1246" s="23"/>
      <c r="G1246" s="23"/>
      <c r="H1246" s="23"/>
      <c r="Y1246" s="8" t="str">
        <f>IF(A1246="","",IFERROR(IF(VLOOKUP(A1246,Entry!$D:$D,1,FALSE)=A1246,"",ROW()),ROW()))</f>
        <v/>
      </c>
      <c r="AG1246" s="8" t="str">
        <f>IF(A1246="","",IFERROR(IF(VLOOKUP(A1246,Entry!$D:$D,1,FALSE)=A1246,TRUE,FALSE),FALSE))</f>
        <v/>
      </c>
    </row>
    <row r="1247" spans="1:33" x14ac:dyDescent="0.2">
      <c r="A1247" s="114"/>
      <c r="B1247" s="23"/>
      <c r="C1247" s="23"/>
      <c r="D1247" s="23"/>
      <c r="E1247" s="23"/>
      <c r="G1247" s="23"/>
      <c r="H1247" s="23"/>
      <c r="Y1247" s="8" t="str">
        <f>IF(A1247="","",IFERROR(IF(VLOOKUP(A1247,Entry!$D:$D,1,FALSE)=A1247,"",ROW()),ROW()))</f>
        <v/>
      </c>
      <c r="AG1247" s="8" t="str">
        <f>IF(A1247="","",IFERROR(IF(VLOOKUP(A1247,Entry!$D:$D,1,FALSE)=A1247,TRUE,FALSE),FALSE))</f>
        <v/>
      </c>
    </row>
    <row r="1248" spans="1:33" x14ac:dyDescent="0.2">
      <c r="A1248" s="114"/>
      <c r="B1248" s="23"/>
      <c r="C1248" s="23"/>
      <c r="D1248" s="23"/>
      <c r="E1248" s="23"/>
      <c r="G1248" s="23"/>
      <c r="H1248" s="23"/>
      <c r="Y1248" s="8" t="str">
        <f>IF(A1248="","",IFERROR(IF(VLOOKUP(A1248,Entry!$D:$D,1,FALSE)=A1248,"",ROW()),ROW()))</f>
        <v/>
      </c>
      <c r="AG1248" s="8" t="str">
        <f>IF(A1248="","",IFERROR(IF(VLOOKUP(A1248,Entry!$D:$D,1,FALSE)=A1248,TRUE,FALSE),FALSE))</f>
        <v/>
      </c>
    </row>
    <row r="1249" spans="1:33" x14ac:dyDescent="0.2">
      <c r="A1249" s="114"/>
      <c r="B1249" s="23"/>
      <c r="C1249" s="23"/>
      <c r="D1249" s="23"/>
      <c r="E1249" s="23"/>
      <c r="G1249" s="23"/>
      <c r="H1249" s="23"/>
      <c r="Y1249" s="8" t="str">
        <f>IF(A1249="","",IFERROR(IF(VLOOKUP(A1249,Entry!$D:$D,1,FALSE)=A1249,"",ROW()),ROW()))</f>
        <v/>
      </c>
      <c r="AG1249" s="8" t="str">
        <f>IF(A1249="","",IFERROR(IF(VLOOKUP(A1249,Entry!$D:$D,1,FALSE)=A1249,TRUE,FALSE),FALSE))</f>
        <v/>
      </c>
    </row>
    <row r="1250" spans="1:33" x14ac:dyDescent="0.2">
      <c r="A1250" s="114"/>
      <c r="B1250" s="23"/>
      <c r="C1250" s="23"/>
      <c r="D1250" s="23"/>
      <c r="E1250" s="23"/>
      <c r="G1250" s="23"/>
      <c r="H1250" s="23"/>
      <c r="Y1250" s="8" t="str">
        <f>IF(A1250="","",IFERROR(IF(VLOOKUP(A1250,Entry!$D:$D,1,FALSE)=A1250,"",ROW()),ROW()))</f>
        <v/>
      </c>
      <c r="AG1250" s="8" t="str">
        <f>IF(A1250="","",IFERROR(IF(VLOOKUP(A1250,Entry!$D:$D,1,FALSE)=A1250,TRUE,FALSE),FALSE))</f>
        <v/>
      </c>
    </row>
    <row r="1251" spans="1:33" x14ac:dyDescent="0.2">
      <c r="A1251" s="114"/>
      <c r="B1251" s="23"/>
      <c r="C1251" s="23"/>
      <c r="D1251" s="23"/>
      <c r="E1251" s="23"/>
      <c r="G1251" s="23"/>
      <c r="H1251" s="23"/>
      <c r="Y1251" s="8" t="str">
        <f>IF(A1251="","",IFERROR(IF(VLOOKUP(A1251,Entry!$D:$D,1,FALSE)=A1251,"",ROW()),ROW()))</f>
        <v/>
      </c>
      <c r="AG1251" s="8" t="str">
        <f>IF(A1251="","",IFERROR(IF(VLOOKUP(A1251,Entry!$D:$D,1,FALSE)=A1251,TRUE,FALSE),FALSE))</f>
        <v/>
      </c>
    </row>
    <row r="1252" spans="1:33" x14ac:dyDescent="0.2">
      <c r="A1252" s="114"/>
      <c r="B1252" s="23"/>
      <c r="C1252" s="23"/>
      <c r="D1252" s="23"/>
      <c r="E1252" s="23"/>
      <c r="G1252" s="23"/>
      <c r="H1252" s="23"/>
      <c r="Y1252" s="8" t="str">
        <f>IF(A1252="","",IFERROR(IF(VLOOKUP(A1252,Entry!$D:$D,1,FALSE)=A1252,"",ROW()),ROW()))</f>
        <v/>
      </c>
      <c r="AG1252" s="8" t="str">
        <f>IF(A1252="","",IFERROR(IF(VLOOKUP(A1252,Entry!$D:$D,1,FALSE)=A1252,TRUE,FALSE),FALSE))</f>
        <v/>
      </c>
    </row>
    <row r="1253" spans="1:33" x14ac:dyDescent="0.2">
      <c r="A1253" s="114"/>
      <c r="B1253" s="23"/>
      <c r="C1253" s="23"/>
      <c r="D1253" s="23"/>
      <c r="E1253" s="23"/>
      <c r="G1253" s="23"/>
      <c r="H1253" s="23"/>
      <c r="Y1253" s="8" t="str">
        <f>IF(A1253="","",IFERROR(IF(VLOOKUP(A1253,Entry!$D:$D,1,FALSE)=A1253,"",ROW()),ROW()))</f>
        <v/>
      </c>
      <c r="AG1253" s="8" t="str">
        <f>IF(A1253="","",IFERROR(IF(VLOOKUP(A1253,Entry!$D:$D,1,FALSE)=A1253,TRUE,FALSE),FALSE))</f>
        <v/>
      </c>
    </row>
    <row r="1254" spans="1:33" x14ac:dyDescent="0.2">
      <c r="A1254" s="114"/>
      <c r="B1254" s="23"/>
      <c r="C1254" s="23"/>
      <c r="D1254" s="23"/>
      <c r="E1254" s="23"/>
      <c r="G1254" s="23"/>
      <c r="H1254" s="23"/>
      <c r="Y1254" s="8" t="str">
        <f>IF(A1254="","",IFERROR(IF(VLOOKUP(A1254,Entry!$D:$D,1,FALSE)=A1254,"",ROW()),ROW()))</f>
        <v/>
      </c>
      <c r="AG1254" s="8" t="str">
        <f>IF(A1254="","",IFERROR(IF(VLOOKUP(A1254,Entry!$D:$D,1,FALSE)=A1254,TRUE,FALSE),FALSE))</f>
        <v/>
      </c>
    </row>
    <row r="1255" spans="1:33" x14ac:dyDescent="0.2">
      <c r="A1255" s="114"/>
      <c r="B1255" s="23"/>
      <c r="C1255" s="23"/>
      <c r="D1255" s="23"/>
      <c r="E1255" s="23"/>
      <c r="G1255" s="23"/>
      <c r="H1255" s="23"/>
      <c r="Y1255" s="8" t="str">
        <f>IF(A1255="","",IFERROR(IF(VLOOKUP(A1255,Entry!$D:$D,1,FALSE)=A1255,"",ROW()),ROW()))</f>
        <v/>
      </c>
      <c r="AG1255" s="8" t="str">
        <f>IF(A1255="","",IFERROR(IF(VLOOKUP(A1255,Entry!$D:$D,1,FALSE)=A1255,TRUE,FALSE),FALSE))</f>
        <v/>
      </c>
    </row>
    <row r="1256" spans="1:33" x14ac:dyDescent="0.2">
      <c r="A1256" s="114"/>
      <c r="B1256" s="23"/>
      <c r="C1256" s="23"/>
      <c r="D1256" s="23"/>
      <c r="E1256" s="23"/>
      <c r="G1256" s="23"/>
      <c r="H1256" s="23"/>
      <c r="Y1256" s="8" t="str">
        <f>IF(A1256="","",IFERROR(IF(VLOOKUP(A1256,Entry!$D:$D,1,FALSE)=A1256,"",ROW()),ROW()))</f>
        <v/>
      </c>
      <c r="AG1256" s="8" t="str">
        <f>IF(A1256="","",IFERROR(IF(VLOOKUP(A1256,Entry!$D:$D,1,FALSE)=A1256,TRUE,FALSE),FALSE))</f>
        <v/>
      </c>
    </row>
    <row r="1257" spans="1:33" x14ac:dyDescent="0.2">
      <c r="A1257" s="114"/>
      <c r="B1257" s="23"/>
      <c r="C1257" s="23"/>
      <c r="D1257" s="23"/>
      <c r="E1257" s="23"/>
      <c r="G1257" s="23"/>
      <c r="H1257" s="23"/>
      <c r="Y1257" s="8" t="str">
        <f>IF(A1257="","",IFERROR(IF(VLOOKUP(A1257,Entry!$D:$D,1,FALSE)=A1257,"",ROW()),ROW()))</f>
        <v/>
      </c>
      <c r="AG1257" s="8" t="str">
        <f>IF(A1257="","",IFERROR(IF(VLOOKUP(A1257,Entry!$D:$D,1,FALSE)=A1257,TRUE,FALSE),FALSE))</f>
        <v/>
      </c>
    </row>
    <row r="1258" spans="1:33" x14ac:dyDescent="0.2">
      <c r="A1258" s="114"/>
      <c r="B1258" s="23"/>
      <c r="C1258" s="23"/>
      <c r="D1258" s="23"/>
      <c r="E1258" s="23"/>
      <c r="G1258" s="23"/>
      <c r="H1258" s="23"/>
      <c r="Y1258" s="8" t="str">
        <f>IF(A1258="","",IFERROR(IF(VLOOKUP(A1258,Entry!$D:$D,1,FALSE)=A1258,"",ROW()),ROW()))</f>
        <v/>
      </c>
      <c r="AG1258" s="8" t="str">
        <f>IF(A1258="","",IFERROR(IF(VLOOKUP(A1258,Entry!$D:$D,1,FALSE)=A1258,TRUE,FALSE),FALSE))</f>
        <v/>
      </c>
    </row>
    <row r="1259" spans="1:33" x14ac:dyDescent="0.2">
      <c r="A1259" s="114"/>
      <c r="B1259" s="23"/>
      <c r="C1259" s="23"/>
      <c r="D1259" s="23"/>
      <c r="E1259" s="23"/>
      <c r="G1259" s="23"/>
      <c r="H1259" s="23"/>
      <c r="Y1259" s="8" t="str">
        <f>IF(A1259="","",IFERROR(IF(VLOOKUP(A1259,Entry!$D:$D,1,FALSE)=A1259,"",ROW()),ROW()))</f>
        <v/>
      </c>
      <c r="AG1259" s="8" t="str">
        <f>IF(A1259="","",IFERROR(IF(VLOOKUP(A1259,Entry!$D:$D,1,FALSE)=A1259,TRUE,FALSE),FALSE))</f>
        <v/>
      </c>
    </row>
    <row r="1260" spans="1:33" x14ac:dyDescent="0.2">
      <c r="A1260" s="114"/>
      <c r="B1260" s="23"/>
      <c r="C1260" s="23"/>
      <c r="D1260" s="23"/>
      <c r="E1260" s="23"/>
      <c r="G1260" s="23"/>
      <c r="H1260" s="23"/>
      <c r="Y1260" s="8" t="str">
        <f>IF(A1260="","",IFERROR(IF(VLOOKUP(A1260,Entry!$D:$D,1,FALSE)=A1260,"",ROW()),ROW()))</f>
        <v/>
      </c>
      <c r="AG1260" s="8" t="str">
        <f>IF(A1260="","",IFERROR(IF(VLOOKUP(A1260,Entry!$D:$D,1,FALSE)=A1260,TRUE,FALSE),FALSE))</f>
        <v/>
      </c>
    </row>
    <row r="1261" spans="1:33" x14ac:dyDescent="0.2">
      <c r="A1261" s="114"/>
      <c r="B1261" s="23"/>
      <c r="C1261" s="23"/>
      <c r="D1261" s="23"/>
      <c r="E1261" s="23"/>
      <c r="G1261" s="23"/>
      <c r="H1261" s="23"/>
      <c r="Y1261" s="8" t="str">
        <f>IF(A1261="","",IFERROR(IF(VLOOKUP(A1261,Entry!$D:$D,1,FALSE)=A1261,"",ROW()),ROW()))</f>
        <v/>
      </c>
      <c r="AG1261" s="8" t="str">
        <f>IF(A1261="","",IFERROR(IF(VLOOKUP(A1261,Entry!$D:$D,1,FALSE)=A1261,TRUE,FALSE),FALSE))</f>
        <v/>
      </c>
    </row>
    <row r="1262" spans="1:33" x14ac:dyDescent="0.2">
      <c r="A1262" s="114"/>
      <c r="B1262" s="23"/>
      <c r="C1262" s="23"/>
      <c r="D1262" s="23"/>
      <c r="E1262" s="23"/>
      <c r="G1262" s="23"/>
      <c r="H1262" s="23"/>
      <c r="Y1262" s="8" t="str">
        <f>IF(A1262="","",IFERROR(IF(VLOOKUP(A1262,Entry!$D:$D,1,FALSE)=A1262,"",ROW()),ROW()))</f>
        <v/>
      </c>
      <c r="AG1262" s="8" t="str">
        <f>IF(A1262="","",IFERROR(IF(VLOOKUP(A1262,Entry!$D:$D,1,FALSE)=A1262,TRUE,FALSE),FALSE))</f>
        <v/>
      </c>
    </row>
    <row r="1263" spans="1:33" x14ac:dyDescent="0.2">
      <c r="A1263" s="114"/>
      <c r="B1263" s="23"/>
      <c r="C1263" s="23"/>
      <c r="D1263" s="23"/>
      <c r="E1263" s="23"/>
      <c r="G1263" s="23"/>
      <c r="H1263" s="23"/>
      <c r="Y1263" s="8" t="str">
        <f>IF(A1263="","",IFERROR(IF(VLOOKUP(A1263,Entry!$D:$D,1,FALSE)=A1263,"",ROW()),ROW()))</f>
        <v/>
      </c>
      <c r="AG1263" s="8" t="str">
        <f>IF(A1263="","",IFERROR(IF(VLOOKUP(A1263,Entry!$D:$D,1,FALSE)=A1263,TRUE,FALSE),FALSE))</f>
        <v/>
      </c>
    </row>
    <row r="1264" spans="1:33" x14ac:dyDescent="0.2">
      <c r="A1264" s="114"/>
      <c r="B1264" s="23"/>
      <c r="C1264" s="23"/>
      <c r="D1264" s="23"/>
      <c r="E1264" s="23"/>
      <c r="G1264" s="23"/>
      <c r="H1264" s="23"/>
      <c r="Y1264" s="8" t="str">
        <f>IF(A1264="","",IFERROR(IF(VLOOKUP(A1264,Entry!$D:$D,1,FALSE)=A1264,"",ROW()),ROW()))</f>
        <v/>
      </c>
      <c r="AG1264" s="8" t="str">
        <f>IF(A1264="","",IFERROR(IF(VLOOKUP(A1264,Entry!$D:$D,1,FALSE)=A1264,TRUE,FALSE),FALSE))</f>
        <v/>
      </c>
    </row>
    <row r="1265" spans="1:33" x14ac:dyDescent="0.2">
      <c r="A1265" s="114"/>
      <c r="B1265" s="23"/>
      <c r="C1265" s="23"/>
      <c r="D1265" s="23"/>
      <c r="E1265" s="23"/>
      <c r="G1265" s="23"/>
      <c r="H1265" s="23"/>
      <c r="Y1265" s="8" t="str">
        <f>IF(A1265="","",IFERROR(IF(VLOOKUP(A1265,Entry!$D:$D,1,FALSE)=A1265,"",ROW()),ROW()))</f>
        <v/>
      </c>
      <c r="AG1265" s="8" t="str">
        <f>IF(A1265="","",IFERROR(IF(VLOOKUP(A1265,Entry!$D:$D,1,FALSE)=A1265,TRUE,FALSE),FALSE))</f>
        <v/>
      </c>
    </row>
    <row r="1266" spans="1:33" x14ac:dyDescent="0.2">
      <c r="A1266" s="114"/>
      <c r="B1266" s="23"/>
      <c r="C1266" s="23"/>
      <c r="D1266" s="23"/>
      <c r="E1266" s="23"/>
      <c r="G1266" s="23"/>
      <c r="H1266" s="23"/>
      <c r="Y1266" s="8" t="str">
        <f>IF(A1266="","",IFERROR(IF(VLOOKUP(A1266,Entry!$D:$D,1,FALSE)=A1266,"",ROW()),ROW()))</f>
        <v/>
      </c>
      <c r="AG1266" s="8" t="str">
        <f>IF(A1266="","",IFERROR(IF(VLOOKUP(A1266,Entry!$D:$D,1,FALSE)=A1266,TRUE,FALSE),FALSE))</f>
        <v/>
      </c>
    </row>
    <row r="1267" spans="1:33" x14ac:dyDescent="0.2">
      <c r="A1267" s="114"/>
      <c r="B1267" s="23"/>
      <c r="C1267" s="23"/>
      <c r="D1267" s="23"/>
      <c r="E1267" s="23"/>
      <c r="G1267" s="23"/>
      <c r="H1267" s="23"/>
      <c r="Y1267" s="8" t="str">
        <f>IF(A1267="","",IFERROR(IF(VLOOKUP(A1267,Entry!$D:$D,1,FALSE)=A1267,"",ROW()),ROW()))</f>
        <v/>
      </c>
      <c r="AG1267" s="8" t="str">
        <f>IF(A1267="","",IFERROR(IF(VLOOKUP(A1267,Entry!$D:$D,1,FALSE)=A1267,TRUE,FALSE),FALSE))</f>
        <v/>
      </c>
    </row>
    <row r="1268" spans="1:33" x14ac:dyDescent="0.2">
      <c r="A1268" s="114"/>
      <c r="B1268" s="23"/>
      <c r="C1268" s="23"/>
      <c r="D1268" s="23"/>
      <c r="E1268" s="23"/>
      <c r="G1268" s="23"/>
      <c r="H1268" s="23"/>
      <c r="Y1268" s="8" t="str">
        <f>IF(A1268="","",IFERROR(IF(VLOOKUP(A1268,Entry!$D:$D,1,FALSE)=A1268,"",ROW()),ROW()))</f>
        <v/>
      </c>
      <c r="AG1268" s="8" t="str">
        <f>IF(A1268="","",IFERROR(IF(VLOOKUP(A1268,Entry!$D:$D,1,FALSE)=A1268,TRUE,FALSE),FALSE))</f>
        <v/>
      </c>
    </row>
    <row r="1269" spans="1:33" x14ac:dyDescent="0.2">
      <c r="A1269" s="114"/>
      <c r="B1269" s="23"/>
      <c r="C1269" s="23"/>
      <c r="D1269" s="23"/>
      <c r="E1269" s="23"/>
      <c r="G1269" s="23"/>
      <c r="H1269" s="23"/>
      <c r="Y1269" s="8" t="str">
        <f>IF(A1269="","",IFERROR(IF(VLOOKUP(A1269,Entry!$D:$D,1,FALSE)=A1269,"",ROW()),ROW()))</f>
        <v/>
      </c>
      <c r="AG1269" s="8" t="str">
        <f>IF(A1269="","",IFERROR(IF(VLOOKUP(A1269,Entry!$D:$D,1,FALSE)=A1269,TRUE,FALSE),FALSE))</f>
        <v/>
      </c>
    </row>
    <row r="1270" spans="1:33" x14ac:dyDescent="0.2">
      <c r="A1270" s="114"/>
      <c r="B1270" s="23"/>
      <c r="C1270" s="23"/>
      <c r="D1270" s="23"/>
      <c r="E1270" s="23"/>
      <c r="G1270" s="23"/>
      <c r="H1270" s="23"/>
      <c r="Y1270" s="8" t="str">
        <f>IF(A1270="","",IFERROR(IF(VLOOKUP(A1270,Entry!$D:$D,1,FALSE)=A1270,"",ROW()),ROW()))</f>
        <v/>
      </c>
      <c r="AG1270" s="8" t="str">
        <f>IF(A1270="","",IFERROR(IF(VLOOKUP(A1270,Entry!$D:$D,1,FALSE)=A1270,TRUE,FALSE),FALSE))</f>
        <v/>
      </c>
    </row>
    <row r="1271" spans="1:33" x14ac:dyDescent="0.2">
      <c r="A1271" s="114"/>
      <c r="B1271" s="23"/>
      <c r="C1271" s="23"/>
      <c r="D1271" s="23"/>
      <c r="E1271" s="23"/>
      <c r="G1271" s="23"/>
      <c r="H1271" s="23"/>
      <c r="Y1271" s="8" t="str">
        <f>IF(A1271="","",IFERROR(IF(VLOOKUP(A1271,Entry!$D:$D,1,FALSE)=A1271,"",ROW()),ROW()))</f>
        <v/>
      </c>
      <c r="AG1271" s="8" t="str">
        <f>IF(A1271="","",IFERROR(IF(VLOOKUP(A1271,Entry!$D:$D,1,FALSE)=A1271,TRUE,FALSE),FALSE))</f>
        <v/>
      </c>
    </row>
    <row r="1272" spans="1:33" x14ac:dyDescent="0.2">
      <c r="A1272" s="114"/>
      <c r="B1272" s="23"/>
      <c r="C1272" s="23"/>
      <c r="D1272" s="23"/>
      <c r="E1272" s="23"/>
      <c r="G1272" s="23"/>
      <c r="H1272" s="23"/>
      <c r="Y1272" s="8" t="str">
        <f>IF(A1272="","",IFERROR(IF(VLOOKUP(A1272,Entry!$D:$D,1,FALSE)=A1272,"",ROW()),ROW()))</f>
        <v/>
      </c>
      <c r="AG1272" s="8" t="str">
        <f>IF(A1272="","",IFERROR(IF(VLOOKUP(A1272,Entry!$D:$D,1,FALSE)=A1272,TRUE,FALSE),FALSE))</f>
        <v/>
      </c>
    </row>
    <row r="1273" spans="1:33" x14ac:dyDescent="0.2">
      <c r="A1273" s="114"/>
      <c r="B1273" s="23"/>
      <c r="C1273" s="23"/>
      <c r="D1273" s="23"/>
      <c r="E1273" s="23"/>
      <c r="G1273" s="23"/>
      <c r="H1273" s="23"/>
      <c r="Y1273" s="8" t="str">
        <f>IF(A1273="","",IFERROR(IF(VLOOKUP(A1273,Entry!$D:$D,1,FALSE)=A1273,"",ROW()),ROW()))</f>
        <v/>
      </c>
      <c r="AG1273" s="8" t="str">
        <f>IF(A1273="","",IFERROR(IF(VLOOKUP(A1273,Entry!$D:$D,1,FALSE)=A1273,TRUE,FALSE),FALSE))</f>
        <v/>
      </c>
    </row>
    <row r="1274" spans="1:33" x14ac:dyDescent="0.2">
      <c r="A1274" s="114"/>
      <c r="B1274" s="23"/>
      <c r="C1274" s="23"/>
      <c r="D1274" s="23"/>
      <c r="E1274" s="23"/>
      <c r="G1274" s="23"/>
      <c r="H1274" s="23"/>
      <c r="Y1274" s="8" t="str">
        <f>IF(A1274="","",IFERROR(IF(VLOOKUP(A1274,Entry!$D:$D,1,FALSE)=A1274,"",ROW()),ROW()))</f>
        <v/>
      </c>
      <c r="AG1274" s="8" t="str">
        <f>IF(A1274="","",IFERROR(IF(VLOOKUP(A1274,Entry!$D:$D,1,FALSE)=A1274,TRUE,FALSE),FALSE))</f>
        <v/>
      </c>
    </row>
    <row r="1275" spans="1:33" x14ac:dyDescent="0.2">
      <c r="A1275" s="114"/>
      <c r="B1275" s="23"/>
      <c r="C1275" s="23"/>
      <c r="D1275" s="23"/>
      <c r="E1275" s="23"/>
      <c r="G1275" s="23"/>
      <c r="H1275" s="23"/>
      <c r="Y1275" s="8" t="str">
        <f>IF(A1275="","",IFERROR(IF(VLOOKUP(A1275,Entry!$D:$D,1,FALSE)=A1275,"",ROW()),ROW()))</f>
        <v/>
      </c>
      <c r="AG1275" s="8" t="str">
        <f>IF(A1275="","",IFERROR(IF(VLOOKUP(A1275,Entry!$D:$D,1,FALSE)=A1275,TRUE,FALSE),FALSE))</f>
        <v/>
      </c>
    </row>
    <row r="1276" spans="1:33" x14ac:dyDescent="0.2">
      <c r="A1276" s="114"/>
      <c r="B1276" s="23"/>
      <c r="C1276" s="23"/>
      <c r="D1276" s="23"/>
      <c r="E1276" s="23"/>
      <c r="G1276" s="23"/>
      <c r="H1276" s="23"/>
      <c r="Y1276" s="8" t="str">
        <f>IF(A1276="","",IFERROR(IF(VLOOKUP(A1276,Entry!$D:$D,1,FALSE)=A1276,"",ROW()),ROW()))</f>
        <v/>
      </c>
      <c r="AG1276" s="8" t="str">
        <f>IF(A1276="","",IFERROR(IF(VLOOKUP(A1276,Entry!$D:$D,1,FALSE)=A1276,TRUE,FALSE),FALSE))</f>
        <v/>
      </c>
    </row>
    <row r="1277" spans="1:33" x14ac:dyDescent="0.2">
      <c r="A1277" s="114"/>
      <c r="B1277" s="23"/>
      <c r="C1277" s="23"/>
      <c r="D1277" s="23"/>
      <c r="E1277" s="23"/>
      <c r="G1277" s="23"/>
      <c r="H1277" s="23"/>
      <c r="Y1277" s="8" t="str">
        <f>IF(A1277="","",IFERROR(IF(VLOOKUP(A1277,Entry!$D:$D,1,FALSE)=A1277,"",ROW()),ROW()))</f>
        <v/>
      </c>
      <c r="AG1277" s="8" t="str">
        <f>IF(A1277="","",IFERROR(IF(VLOOKUP(A1277,Entry!$D:$D,1,FALSE)=A1277,TRUE,FALSE),FALSE))</f>
        <v/>
      </c>
    </row>
    <row r="1278" spans="1:33" x14ac:dyDescent="0.2">
      <c r="A1278" s="114"/>
      <c r="B1278" s="23"/>
      <c r="C1278" s="23"/>
      <c r="D1278" s="23"/>
      <c r="E1278" s="23"/>
      <c r="G1278" s="23"/>
      <c r="H1278" s="23"/>
      <c r="Y1278" s="8" t="str">
        <f>IF(A1278="","",IFERROR(IF(VLOOKUP(A1278,Entry!$D:$D,1,FALSE)=A1278,"",ROW()),ROW()))</f>
        <v/>
      </c>
      <c r="AG1278" s="8" t="str">
        <f>IF(A1278="","",IFERROR(IF(VLOOKUP(A1278,Entry!$D:$D,1,FALSE)=A1278,TRUE,FALSE),FALSE))</f>
        <v/>
      </c>
    </row>
    <row r="1279" spans="1:33" x14ac:dyDescent="0.2">
      <c r="A1279" s="114"/>
      <c r="B1279" s="23"/>
      <c r="C1279" s="23"/>
      <c r="D1279" s="23"/>
      <c r="E1279" s="23"/>
      <c r="G1279" s="23"/>
      <c r="H1279" s="23"/>
      <c r="Y1279" s="8" t="str">
        <f>IF(A1279="","",IFERROR(IF(VLOOKUP(A1279,Entry!$D:$D,1,FALSE)=A1279,"",ROW()),ROW()))</f>
        <v/>
      </c>
      <c r="AG1279" s="8" t="str">
        <f>IF(A1279="","",IFERROR(IF(VLOOKUP(A1279,Entry!$D:$D,1,FALSE)=A1279,TRUE,FALSE),FALSE))</f>
        <v/>
      </c>
    </row>
    <row r="1280" spans="1:33" x14ac:dyDescent="0.2">
      <c r="A1280" s="114"/>
      <c r="B1280" s="23"/>
      <c r="C1280" s="23"/>
      <c r="D1280" s="23"/>
      <c r="E1280" s="23"/>
      <c r="G1280" s="23"/>
      <c r="H1280" s="23"/>
      <c r="Y1280" s="8" t="str">
        <f>IF(A1280="","",IFERROR(IF(VLOOKUP(A1280,Entry!$D:$D,1,FALSE)=A1280,"",ROW()),ROW()))</f>
        <v/>
      </c>
      <c r="AG1280" s="8" t="str">
        <f>IF(A1280="","",IFERROR(IF(VLOOKUP(A1280,Entry!$D:$D,1,FALSE)=A1280,TRUE,FALSE),FALSE))</f>
        <v/>
      </c>
    </row>
    <row r="1281" spans="1:33" x14ac:dyDescent="0.2">
      <c r="A1281" s="114"/>
      <c r="B1281" s="23"/>
      <c r="C1281" s="23"/>
      <c r="D1281" s="23"/>
      <c r="E1281" s="23"/>
      <c r="G1281" s="23"/>
      <c r="H1281" s="23"/>
      <c r="Y1281" s="8" t="str">
        <f>IF(A1281="","",IFERROR(IF(VLOOKUP(A1281,Entry!$D:$D,1,FALSE)=A1281,"",ROW()),ROW()))</f>
        <v/>
      </c>
      <c r="AG1281" s="8" t="str">
        <f>IF(A1281="","",IFERROR(IF(VLOOKUP(A1281,Entry!$D:$D,1,FALSE)=A1281,TRUE,FALSE),FALSE))</f>
        <v/>
      </c>
    </row>
    <row r="1282" spans="1:33" x14ac:dyDescent="0.2">
      <c r="A1282" s="114"/>
      <c r="B1282" s="23"/>
      <c r="C1282" s="23"/>
      <c r="D1282" s="23"/>
      <c r="E1282" s="23"/>
      <c r="G1282" s="23"/>
      <c r="H1282" s="23"/>
      <c r="Y1282" s="8" t="str">
        <f>IF(A1282="","",IFERROR(IF(VLOOKUP(A1282,Entry!$D:$D,1,FALSE)=A1282,"",ROW()),ROW()))</f>
        <v/>
      </c>
      <c r="AG1282" s="8" t="str">
        <f>IF(A1282="","",IFERROR(IF(VLOOKUP(A1282,Entry!$D:$D,1,FALSE)=A1282,TRUE,FALSE),FALSE))</f>
        <v/>
      </c>
    </row>
    <row r="1283" spans="1:33" x14ac:dyDescent="0.2">
      <c r="A1283" s="114"/>
      <c r="B1283" s="23"/>
      <c r="C1283" s="23"/>
      <c r="D1283" s="23"/>
      <c r="E1283" s="23"/>
      <c r="G1283" s="23"/>
      <c r="H1283" s="23"/>
      <c r="Y1283" s="8" t="str">
        <f>IF(A1283="","",IFERROR(IF(VLOOKUP(A1283,Entry!$D:$D,1,FALSE)=A1283,"",ROW()),ROW()))</f>
        <v/>
      </c>
      <c r="AG1283" s="8" t="str">
        <f>IF(A1283="","",IFERROR(IF(VLOOKUP(A1283,Entry!$D:$D,1,FALSE)=A1283,TRUE,FALSE),FALSE))</f>
        <v/>
      </c>
    </row>
    <row r="1284" spans="1:33" x14ac:dyDescent="0.2">
      <c r="A1284" s="114"/>
      <c r="B1284" s="23"/>
      <c r="C1284" s="23"/>
      <c r="D1284" s="23"/>
      <c r="E1284" s="23"/>
      <c r="G1284" s="23"/>
      <c r="H1284" s="23"/>
      <c r="Y1284" s="8" t="str">
        <f>IF(A1284="","",IFERROR(IF(VLOOKUP(A1284,Entry!$D:$D,1,FALSE)=A1284,"",ROW()),ROW()))</f>
        <v/>
      </c>
      <c r="AG1284" s="8" t="str">
        <f>IF(A1284="","",IFERROR(IF(VLOOKUP(A1284,Entry!$D:$D,1,FALSE)=A1284,TRUE,FALSE),FALSE))</f>
        <v/>
      </c>
    </row>
    <row r="1285" spans="1:33" x14ac:dyDescent="0.2">
      <c r="A1285" s="114"/>
      <c r="B1285" s="23"/>
      <c r="C1285" s="23"/>
      <c r="D1285" s="23"/>
      <c r="E1285" s="23"/>
      <c r="G1285" s="23"/>
      <c r="H1285" s="23"/>
      <c r="Y1285" s="8" t="str">
        <f>IF(A1285="","",IFERROR(IF(VLOOKUP(A1285,Entry!$D:$D,1,FALSE)=A1285,"",ROW()),ROW()))</f>
        <v/>
      </c>
      <c r="AG1285" s="8" t="str">
        <f>IF(A1285="","",IFERROR(IF(VLOOKUP(A1285,Entry!$D:$D,1,FALSE)=A1285,TRUE,FALSE),FALSE))</f>
        <v/>
      </c>
    </row>
    <row r="1286" spans="1:33" x14ac:dyDescent="0.2">
      <c r="A1286" s="114"/>
      <c r="B1286" s="23"/>
      <c r="C1286" s="23"/>
      <c r="D1286" s="23"/>
      <c r="E1286" s="23"/>
      <c r="G1286" s="23"/>
      <c r="H1286" s="23"/>
      <c r="Y1286" s="8" t="str">
        <f>IF(A1286="","",IFERROR(IF(VLOOKUP(A1286,Entry!$D:$D,1,FALSE)=A1286,"",ROW()),ROW()))</f>
        <v/>
      </c>
      <c r="AG1286" s="8" t="str">
        <f>IF(A1286="","",IFERROR(IF(VLOOKUP(A1286,Entry!$D:$D,1,FALSE)=A1286,TRUE,FALSE),FALSE))</f>
        <v/>
      </c>
    </row>
    <row r="1287" spans="1:33" x14ac:dyDescent="0.2">
      <c r="A1287" s="114"/>
      <c r="B1287" s="23"/>
      <c r="C1287" s="23"/>
      <c r="D1287" s="23"/>
      <c r="E1287" s="23"/>
      <c r="G1287" s="23"/>
      <c r="H1287" s="23"/>
      <c r="Y1287" s="8" t="str">
        <f>IF(A1287="","",IFERROR(IF(VLOOKUP(A1287,Entry!$D:$D,1,FALSE)=A1287,"",ROW()),ROW()))</f>
        <v/>
      </c>
      <c r="AG1287" s="8" t="str">
        <f>IF(A1287="","",IFERROR(IF(VLOOKUP(A1287,Entry!$D:$D,1,FALSE)=A1287,TRUE,FALSE),FALSE))</f>
        <v/>
      </c>
    </row>
    <row r="1288" spans="1:33" x14ac:dyDescent="0.2">
      <c r="A1288" s="114"/>
      <c r="B1288" s="23"/>
      <c r="C1288" s="23"/>
      <c r="D1288" s="23"/>
      <c r="E1288" s="23"/>
      <c r="G1288" s="23"/>
      <c r="H1288" s="23"/>
      <c r="Y1288" s="8" t="str">
        <f>IF(A1288="","",IFERROR(IF(VLOOKUP(A1288,Entry!$D:$D,1,FALSE)=A1288,"",ROW()),ROW()))</f>
        <v/>
      </c>
      <c r="AG1288" s="8" t="str">
        <f>IF(A1288="","",IFERROR(IF(VLOOKUP(A1288,Entry!$D:$D,1,FALSE)=A1288,TRUE,FALSE),FALSE))</f>
        <v/>
      </c>
    </row>
    <row r="1289" spans="1:33" x14ac:dyDescent="0.2">
      <c r="A1289" s="114"/>
      <c r="B1289" s="23"/>
      <c r="C1289" s="23"/>
      <c r="D1289" s="23"/>
      <c r="E1289" s="23"/>
      <c r="G1289" s="23"/>
      <c r="H1289" s="23"/>
      <c r="Y1289" s="8" t="str">
        <f>IF(A1289="","",IFERROR(IF(VLOOKUP(A1289,Entry!$D:$D,1,FALSE)=A1289,"",ROW()),ROW()))</f>
        <v/>
      </c>
      <c r="AG1289" s="8" t="str">
        <f>IF(A1289="","",IFERROR(IF(VLOOKUP(A1289,Entry!$D:$D,1,FALSE)=A1289,TRUE,FALSE),FALSE))</f>
        <v/>
      </c>
    </row>
    <row r="1290" spans="1:33" x14ac:dyDescent="0.2">
      <c r="A1290" s="114"/>
      <c r="B1290" s="23"/>
      <c r="C1290" s="23"/>
      <c r="D1290" s="23"/>
      <c r="E1290" s="23"/>
      <c r="G1290" s="23"/>
      <c r="H1290" s="23"/>
      <c r="Y1290" s="8" t="str">
        <f>IF(A1290="","",IFERROR(IF(VLOOKUP(A1290,Entry!$D:$D,1,FALSE)=A1290,"",ROW()),ROW()))</f>
        <v/>
      </c>
      <c r="AG1290" s="8" t="str">
        <f>IF(A1290="","",IFERROR(IF(VLOOKUP(A1290,Entry!$D:$D,1,FALSE)=A1290,TRUE,FALSE),FALSE))</f>
        <v/>
      </c>
    </row>
    <row r="1291" spans="1:33" x14ac:dyDescent="0.2">
      <c r="A1291" s="114"/>
      <c r="B1291" s="23"/>
      <c r="C1291" s="23"/>
      <c r="D1291" s="23"/>
      <c r="E1291" s="23"/>
      <c r="G1291" s="23"/>
      <c r="H1291" s="23"/>
      <c r="Y1291" s="8" t="str">
        <f>IF(A1291="","",IFERROR(IF(VLOOKUP(A1291,Entry!$D:$D,1,FALSE)=A1291,"",ROW()),ROW()))</f>
        <v/>
      </c>
      <c r="AG1291" s="8" t="str">
        <f>IF(A1291="","",IFERROR(IF(VLOOKUP(A1291,Entry!$D:$D,1,FALSE)=A1291,TRUE,FALSE),FALSE))</f>
        <v/>
      </c>
    </row>
    <row r="1292" spans="1:33" x14ac:dyDescent="0.2">
      <c r="A1292" s="114"/>
      <c r="B1292" s="23"/>
      <c r="C1292" s="23"/>
      <c r="D1292" s="23"/>
      <c r="E1292" s="23"/>
      <c r="G1292" s="23"/>
      <c r="H1292" s="23"/>
      <c r="Y1292" s="8" t="str">
        <f>IF(A1292="","",IFERROR(IF(VLOOKUP(A1292,Entry!$D:$D,1,FALSE)=A1292,"",ROW()),ROW()))</f>
        <v/>
      </c>
      <c r="AG1292" s="8" t="str">
        <f>IF(A1292="","",IFERROR(IF(VLOOKUP(A1292,Entry!$D:$D,1,FALSE)=A1292,TRUE,FALSE),FALSE))</f>
        <v/>
      </c>
    </row>
    <row r="1293" spans="1:33" x14ac:dyDescent="0.2">
      <c r="A1293" s="114"/>
      <c r="B1293" s="23"/>
      <c r="C1293" s="23"/>
      <c r="D1293" s="23"/>
      <c r="E1293" s="23"/>
      <c r="G1293" s="23"/>
      <c r="H1293" s="23"/>
      <c r="Y1293" s="8" t="str">
        <f>IF(A1293="","",IFERROR(IF(VLOOKUP(A1293,Entry!$D:$D,1,FALSE)=A1293,"",ROW()),ROW()))</f>
        <v/>
      </c>
      <c r="AG1293" s="8" t="str">
        <f>IF(A1293="","",IFERROR(IF(VLOOKUP(A1293,Entry!$D:$D,1,FALSE)=A1293,TRUE,FALSE),FALSE))</f>
        <v/>
      </c>
    </row>
    <row r="1294" spans="1:33" x14ac:dyDescent="0.2">
      <c r="A1294" s="114"/>
      <c r="B1294" s="23"/>
      <c r="C1294" s="23"/>
      <c r="D1294" s="23"/>
      <c r="E1294" s="23"/>
      <c r="G1294" s="23"/>
      <c r="H1294" s="23"/>
      <c r="Y1294" s="8" t="str">
        <f>IF(A1294="","",IFERROR(IF(VLOOKUP(A1294,Entry!$D:$D,1,FALSE)=A1294,"",ROW()),ROW()))</f>
        <v/>
      </c>
      <c r="AG1294" s="8" t="str">
        <f>IF(A1294="","",IFERROR(IF(VLOOKUP(A1294,Entry!$D:$D,1,FALSE)=A1294,TRUE,FALSE),FALSE))</f>
        <v/>
      </c>
    </row>
    <row r="1295" spans="1:33" x14ac:dyDescent="0.2">
      <c r="A1295" s="114"/>
      <c r="B1295" s="23"/>
      <c r="C1295" s="23"/>
      <c r="D1295" s="23"/>
      <c r="E1295" s="23"/>
      <c r="G1295" s="23"/>
      <c r="H1295" s="23"/>
      <c r="Y1295" s="8" t="str">
        <f>IF(A1295="","",IFERROR(IF(VLOOKUP(A1295,Entry!$D:$D,1,FALSE)=A1295,"",ROW()),ROW()))</f>
        <v/>
      </c>
      <c r="AG1295" s="8" t="str">
        <f>IF(A1295="","",IFERROR(IF(VLOOKUP(A1295,Entry!$D:$D,1,FALSE)=A1295,TRUE,FALSE),FALSE))</f>
        <v/>
      </c>
    </row>
    <row r="1296" spans="1:33" x14ac:dyDescent="0.2">
      <c r="A1296" s="114"/>
      <c r="B1296" s="23"/>
      <c r="C1296" s="23"/>
      <c r="D1296" s="23"/>
      <c r="E1296" s="23"/>
      <c r="G1296" s="23"/>
      <c r="H1296" s="23"/>
      <c r="Y1296" s="8" t="str">
        <f>IF(A1296="","",IFERROR(IF(VLOOKUP(A1296,Entry!$D:$D,1,FALSE)=A1296,"",ROW()),ROW()))</f>
        <v/>
      </c>
      <c r="AG1296" s="8" t="str">
        <f>IF(A1296="","",IFERROR(IF(VLOOKUP(A1296,Entry!$D:$D,1,FALSE)=A1296,TRUE,FALSE),FALSE))</f>
        <v/>
      </c>
    </row>
    <row r="1297" spans="1:33" x14ac:dyDescent="0.2">
      <c r="A1297" s="114"/>
      <c r="B1297" s="23"/>
      <c r="C1297" s="23"/>
      <c r="D1297" s="23"/>
      <c r="E1297" s="23"/>
      <c r="G1297" s="23"/>
      <c r="H1297" s="23"/>
      <c r="Y1297" s="8" t="str">
        <f>IF(A1297="","",IFERROR(IF(VLOOKUP(A1297,Entry!$D:$D,1,FALSE)=A1297,"",ROW()),ROW()))</f>
        <v/>
      </c>
      <c r="AG1297" s="8" t="str">
        <f>IF(A1297="","",IFERROR(IF(VLOOKUP(A1297,Entry!$D:$D,1,FALSE)=A1297,TRUE,FALSE),FALSE))</f>
        <v/>
      </c>
    </row>
    <row r="1298" spans="1:33" x14ac:dyDescent="0.2">
      <c r="A1298" s="114"/>
      <c r="B1298" s="23"/>
      <c r="C1298" s="23"/>
      <c r="D1298" s="23"/>
      <c r="E1298" s="23"/>
      <c r="G1298" s="23"/>
      <c r="H1298" s="23"/>
      <c r="Y1298" s="8" t="str">
        <f>IF(A1298="","",IFERROR(IF(VLOOKUP(A1298,Entry!$D:$D,1,FALSE)=A1298,"",ROW()),ROW()))</f>
        <v/>
      </c>
      <c r="AG1298" s="8" t="str">
        <f>IF(A1298="","",IFERROR(IF(VLOOKUP(A1298,Entry!$D:$D,1,FALSE)=A1298,TRUE,FALSE),FALSE))</f>
        <v/>
      </c>
    </row>
    <row r="1299" spans="1:33" x14ac:dyDescent="0.2">
      <c r="A1299" s="114"/>
      <c r="B1299" s="23"/>
      <c r="C1299" s="23"/>
      <c r="D1299" s="23"/>
      <c r="E1299" s="23"/>
      <c r="G1299" s="23"/>
      <c r="H1299" s="23"/>
      <c r="Y1299" s="8" t="str">
        <f>IF(A1299="","",IFERROR(IF(VLOOKUP(A1299,Entry!$D:$D,1,FALSE)=A1299,"",ROW()),ROW()))</f>
        <v/>
      </c>
      <c r="AG1299" s="8" t="str">
        <f>IF(A1299="","",IFERROR(IF(VLOOKUP(A1299,Entry!$D:$D,1,FALSE)=A1299,TRUE,FALSE),FALSE))</f>
        <v/>
      </c>
    </row>
    <row r="1300" spans="1:33" x14ac:dyDescent="0.2">
      <c r="A1300" s="114"/>
      <c r="B1300" s="23"/>
      <c r="C1300" s="23"/>
      <c r="D1300" s="23"/>
      <c r="E1300" s="23"/>
      <c r="G1300" s="23"/>
      <c r="H1300" s="23"/>
      <c r="Y1300" s="8" t="str">
        <f>IF(A1300="","",IFERROR(IF(VLOOKUP(A1300,Entry!$D:$D,1,FALSE)=A1300,"",ROW()),ROW()))</f>
        <v/>
      </c>
      <c r="AG1300" s="8" t="str">
        <f>IF(A1300="","",IFERROR(IF(VLOOKUP(A1300,Entry!$D:$D,1,FALSE)=A1300,TRUE,FALSE),FALSE))</f>
        <v/>
      </c>
    </row>
    <row r="1301" spans="1:33" x14ac:dyDescent="0.2">
      <c r="A1301" s="114"/>
      <c r="B1301" s="23"/>
      <c r="C1301" s="23"/>
      <c r="D1301" s="23"/>
      <c r="E1301" s="23"/>
      <c r="G1301" s="23"/>
      <c r="H1301" s="23"/>
      <c r="Y1301" s="8" t="str">
        <f>IF(A1301="","",IFERROR(IF(VLOOKUP(A1301,Entry!$D:$D,1,FALSE)=A1301,"",ROW()),ROW()))</f>
        <v/>
      </c>
      <c r="AG1301" s="8" t="str">
        <f>IF(A1301="","",IFERROR(IF(VLOOKUP(A1301,Entry!$D:$D,1,FALSE)=A1301,TRUE,FALSE),FALSE))</f>
        <v/>
      </c>
    </row>
    <row r="1302" spans="1:33" x14ac:dyDescent="0.2">
      <c r="A1302" s="114"/>
      <c r="B1302" s="23"/>
      <c r="C1302" s="23"/>
      <c r="D1302" s="23"/>
      <c r="E1302" s="23"/>
      <c r="G1302" s="23"/>
      <c r="H1302" s="23"/>
      <c r="Y1302" s="8" t="str">
        <f>IF(A1302="","",IFERROR(IF(VLOOKUP(A1302,Entry!$D:$D,1,FALSE)=A1302,"",ROW()),ROW()))</f>
        <v/>
      </c>
      <c r="AG1302" s="8" t="str">
        <f>IF(A1302="","",IFERROR(IF(VLOOKUP(A1302,Entry!$D:$D,1,FALSE)=A1302,TRUE,FALSE),FALSE))</f>
        <v/>
      </c>
    </row>
    <row r="1303" spans="1:33" x14ac:dyDescent="0.2">
      <c r="A1303" s="114"/>
      <c r="B1303" s="23"/>
      <c r="C1303" s="23"/>
      <c r="D1303" s="23"/>
      <c r="E1303" s="23"/>
      <c r="G1303" s="23"/>
      <c r="H1303" s="23"/>
      <c r="Y1303" s="8" t="str">
        <f>IF(A1303="","",IFERROR(IF(VLOOKUP(A1303,Entry!$D:$D,1,FALSE)=A1303,"",ROW()),ROW()))</f>
        <v/>
      </c>
      <c r="AG1303" s="8" t="str">
        <f>IF(A1303="","",IFERROR(IF(VLOOKUP(A1303,Entry!$D:$D,1,FALSE)=A1303,TRUE,FALSE),FALSE))</f>
        <v/>
      </c>
    </row>
    <row r="1304" spans="1:33" x14ac:dyDescent="0.2">
      <c r="A1304" s="114"/>
      <c r="B1304" s="23"/>
      <c r="C1304" s="23"/>
      <c r="D1304" s="23"/>
      <c r="E1304" s="23"/>
      <c r="G1304" s="23"/>
      <c r="H1304" s="23"/>
      <c r="Y1304" s="8" t="str">
        <f>IF(A1304="","",IFERROR(IF(VLOOKUP(A1304,Entry!$D:$D,1,FALSE)=A1304,"",ROW()),ROW()))</f>
        <v/>
      </c>
      <c r="AG1304" s="8" t="str">
        <f>IF(A1304="","",IFERROR(IF(VLOOKUP(A1304,Entry!$D:$D,1,FALSE)=A1304,TRUE,FALSE),FALSE))</f>
        <v/>
      </c>
    </row>
    <row r="1305" spans="1:33" x14ac:dyDescent="0.2">
      <c r="A1305" s="114"/>
      <c r="B1305" s="23"/>
      <c r="C1305" s="23"/>
      <c r="D1305" s="23"/>
      <c r="E1305" s="23"/>
      <c r="G1305" s="23"/>
      <c r="H1305" s="23"/>
      <c r="Y1305" s="8" t="str">
        <f>IF(A1305="","",IFERROR(IF(VLOOKUP(A1305,Entry!$D:$D,1,FALSE)=A1305,"",ROW()),ROW()))</f>
        <v/>
      </c>
      <c r="AG1305" s="8" t="str">
        <f>IF(A1305="","",IFERROR(IF(VLOOKUP(A1305,Entry!$D:$D,1,FALSE)=A1305,TRUE,FALSE),FALSE))</f>
        <v/>
      </c>
    </row>
    <row r="1306" spans="1:33" x14ac:dyDescent="0.2">
      <c r="A1306" s="114"/>
      <c r="B1306" s="23"/>
      <c r="C1306" s="23"/>
      <c r="D1306" s="23"/>
      <c r="E1306" s="23"/>
      <c r="G1306" s="23"/>
      <c r="H1306" s="23"/>
      <c r="Y1306" s="8" t="str">
        <f>IF(A1306="","",IFERROR(IF(VLOOKUP(A1306,Entry!$D:$D,1,FALSE)=A1306,"",ROW()),ROW()))</f>
        <v/>
      </c>
      <c r="AG1306" s="8" t="str">
        <f>IF(A1306="","",IFERROR(IF(VLOOKUP(A1306,Entry!$D:$D,1,FALSE)=A1306,TRUE,FALSE),FALSE))</f>
        <v/>
      </c>
    </row>
    <row r="1307" spans="1:33" x14ac:dyDescent="0.2">
      <c r="A1307" s="114"/>
      <c r="B1307" s="23"/>
      <c r="C1307" s="23"/>
      <c r="D1307" s="23"/>
      <c r="E1307" s="23"/>
      <c r="G1307" s="23"/>
      <c r="H1307" s="23"/>
      <c r="Y1307" s="8" t="str">
        <f>IF(A1307="","",IFERROR(IF(VLOOKUP(A1307,Entry!$D:$D,1,FALSE)=A1307,"",ROW()),ROW()))</f>
        <v/>
      </c>
      <c r="AG1307" s="8" t="str">
        <f>IF(A1307="","",IFERROR(IF(VLOOKUP(A1307,Entry!$D:$D,1,FALSE)=A1307,TRUE,FALSE),FALSE))</f>
        <v/>
      </c>
    </row>
    <row r="1308" spans="1:33" x14ac:dyDescent="0.2">
      <c r="A1308" s="114"/>
      <c r="B1308" s="23"/>
      <c r="C1308" s="23"/>
      <c r="D1308" s="23"/>
      <c r="E1308" s="23"/>
      <c r="G1308" s="23"/>
      <c r="H1308" s="23"/>
      <c r="Y1308" s="8" t="str">
        <f>IF(A1308="","",IFERROR(IF(VLOOKUP(A1308,Entry!$D:$D,1,FALSE)=A1308,"",ROW()),ROW()))</f>
        <v/>
      </c>
      <c r="AG1308" s="8" t="str">
        <f>IF(A1308="","",IFERROR(IF(VLOOKUP(A1308,Entry!$D:$D,1,FALSE)=A1308,TRUE,FALSE),FALSE))</f>
        <v/>
      </c>
    </row>
    <row r="1309" spans="1:33" x14ac:dyDescent="0.2">
      <c r="A1309" s="114"/>
      <c r="B1309" s="23"/>
      <c r="C1309" s="23"/>
      <c r="D1309" s="23"/>
      <c r="E1309" s="23"/>
      <c r="G1309" s="23"/>
      <c r="H1309" s="23"/>
      <c r="Y1309" s="8" t="str">
        <f>IF(A1309="","",IFERROR(IF(VLOOKUP(A1309,Entry!$D:$D,1,FALSE)=A1309,"",ROW()),ROW()))</f>
        <v/>
      </c>
      <c r="AG1309" s="8" t="str">
        <f>IF(A1309="","",IFERROR(IF(VLOOKUP(A1309,Entry!$D:$D,1,FALSE)=A1309,TRUE,FALSE),FALSE))</f>
        <v/>
      </c>
    </row>
    <row r="1310" spans="1:33" x14ac:dyDescent="0.2">
      <c r="A1310" s="114"/>
      <c r="B1310" s="23"/>
      <c r="C1310" s="23"/>
      <c r="D1310" s="23"/>
      <c r="E1310" s="23"/>
      <c r="G1310" s="23"/>
      <c r="H1310" s="23"/>
      <c r="Y1310" s="8" t="str">
        <f>IF(A1310="","",IFERROR(IF(VLOOKUP(A1310,Entry!$D:$D,1,FALSE)=A1310,"",ROW()),ROW()))</f>
        <v/>
      </c>
      <c r="AG1310" s="8" t="str">
        <f>IF(A1310="","",IFERROR(IF(VLOOKUP(A1310,Entry!$D:$D,1,FALSE)=A1310,TRUE,FALSE),FALSE))</f>
        <v/>
      </c>
    </row>
    <row r="1311" spans="1:33" x14ac:dyDescent="0.2">
      <c r="A1311" s="114"/>
      <c r="B1311" s="23"/>
      <c r="C1311" s="23"/>
      <c r="D1311" s="23"/>
      <c r="E1311" s="23"/>
      <c r="G1311" s="23"/>
      <c r="H1311" s="23"/>
      <c r="Y1311" s="8" t="str">
        <f>IF(A1311="","",IFERROR(IF(VLOOKUP(A1311,Entry!$D:$D,1,FALSE)=A1311,"",ROW()),ROW()))</f>
        <v/>
      </c>
      <c r="AG1311" s="8" t="str">
        <f>IF(A1311="","",IFERROR(IF(VLOOKUP(A1311,Entry!$D:$D,1,FALSE)=A1311,TRUE,FALSE),FALSE))</f>
        <v/>
      </c>
    </row>
    <row r="1312" spans="1:33" x14ac:dyDescent="0.2">
      <c r="A1312" s="114"/>
      <c r="B1312" s="23"/>
      <c r="C1312" s="23"/>
      <c r="D1312" s="23"/>
      <c r="E1312" s="23"/>
      <c r="G1312" s="23"/>
      <c r="H1312" s="23"/>
      <c r="Y1312" s="8" t="str">
        <f>IF(A1312="","",IFERROR(IF(VLOOKUP(A1312,Entry!$D:$D,1,FALSE)=A1312,"",ROW()),ROW()))</f>
        <v/>
      </c>
      <c r="AG1312" s="8" t="str">
        <f>IF(A1312="","",IFERROR(IF(VLOOKUP(A1312,Entry!$D:$D,1,FALSE)=A1312,TRUE,FALSE),FALSE))</f>
        <v/>
      </c>
    </row>
    <row r="1313" spans="1:33" x14ac:dyDescent="0.2">
      <c r="A1313" s="114"/>
      <c r="B1313" s="23"/>
      <c r="C1313" s="23"/>
      <c r="D1313" s="23"/>
      <c r="E1313" s="23"/>
      <c r="G1313" s="23"/>
      <c r="H1313" s="23"/>
      <c r="Y1313" s="8" t="str">
        <f>IF(A1313="","",IFERROR(IF(VLOOKUP(A1313,Entry!$D:$D,1,FALSE)=A1313,"",ROW()),ROW()))</f>
        <v/>
      </c>
      <c r="AG1313" s="8" t="str">
        <f>IF(A1313="","",IFERROR(IF(VLOOKUP(A1313,Entry!$D:$D,1,FALSE)=A1313,TRUE,FALSE),FALSE))</f>
        <v/>
      </c>
    </row>
    <row r="1314" spans="1:33" x14ac:dyDescent="0.2">
      <c r="A1314" s="114"/>
      <c r="B1314" s="23"/>
      <c r="C1314" s="23"/>
      <c r="D1314" s="23"/>
      <c r="E1314" s="23"/>
      <c r="G1314" s="23"/>
      <c r="H1314" s="23"/>
      <c r="Y1314" s="8" t="str">
        <f>IF(A1314="","",IFERROR(IF(VLOOKUP(A1314,Entry!$D:$D,1,FALSE)=A1314,"",ROW()),ROW()))</f>
        <v/>
      </c>
      <c r="AG1314" s="8" t="str">
        <f>IF(A1314="","",IFERROR(IF(VLOOKUP(A1314,Entry!$D:$D,1,FALSE)=A1314,TRUE,FALSE),FALSE))</f>
        <v/>
      </c>
    </row>
    <row r="1315" spans="1:33" x14ac:dyDescent="0.2">
      <c r="A1315" s="114"/>
      <c r="B1315" s="23"/>
      <c r="C1315" s="23"/>
      <c r="D1315" s="23"/>
      <c r="E1315" s="23"/>
      <c r="G1315" s="23"/>
      <c r="H1315" s="23"/>
      <c r="Y1315" s="8" t="str">
        <f>IF(A1315="","",IFERROR(IF(VLOOKUP(A1315,Entry!$D:$D,1,FALSE)=A1315,"",ROW()),ROW()))</f>
        <v/>
      </c>
      <c r="AG1315" s="8" t="str">
        <f>IF(A1315="","",IFERROR(IF(VLOOKUP(A1315,Entry!$D:$D,1,FALSE)=A1315,TRUE,FALSE),FALSE))</f>
        <v/>
      </c>
    </row>
    <row r="1316" spans="1:33" x14ac:dyDescent="0.2">
      <c r="A1316" s="114"/>
      <c r="B1316" s="23"/>
      <c r="C1316" s="23"/>
      <c r="D1316" s="23"/>
      <c r="E1316" s="23"/>
      <c r="G1316" s="23"/>
      <c r="H1316" s="23"/>
      <c r="Y1316" s="8" t="str">
        <f>IF(A1316="","",IFERROR(IF(VLOOKUP(A1316,Entry!$D:$D,1,FALSE)=A1316,"",ROW()),ROW()))</f>
        <v/>
      </c>
      <c r="AG1316" s="8" t="str">
        <f>IF(A1316="","",IFERROR(IF(VLOOKUP(A1316,Entry!$D:$D,1,FALSE)=A1316,TRUE,FALSE),FALSE))</f>
        <v/>
      </c>
    </row>
    <row r="1317" spans="1:33" x14ac:dyDescent="0.2">
      <c r="A1317" s="114"/>
      <c r="B1317" s="23"/>
      <c r="C1317" s="23"/>
      <c r="D1317" s="23"/>
      <c r="E1317" s="23"/>
      <c r="G1317" s="23"/>
      <c r="H1317" s="23"/>
      <c r="Y1317" s="8" t="str">
        <f>IF(A1317="","",IFERROR(IF(VLOOKUP(A1317,Entry!$D:$D,1,FALSE)=A1317,"",ROW()),ROW()))</f>
        <v/>
      </c>
      <c r="AG1317" s="8" t="str">
        <f>IF(A1317="","",IFERROR(IF(VLOOKUP(A1317,Entry!$D:$D,1,FALSE)=A1317,TRUE,FALSE),FALSE))</f>
        <v/>
      </c>
    </row>
    <row r="1318" spans="1:33" x14ac:dyDescent="0.2">
      <c r="A1318" s="114"/>
      <c r="B1318" s="23"/>
      <c r="C1318" s="23"/>
      <c r="D1318" s="23"/>
      <c r="E1318" s="23"/>
      <c r="G1318" s="23"/>
      <c r="H1318" s="23"/>
      <c r="Y1318" s="8" t="str">
        <f>IF(A1318="","",IFERROR(IF(VLOOKUP(A1318,Entry!$D:$D,1,FALSE)=A1318,"",ROW()),ROW()))</f>
        <v/>
      </c>
      <c r="AG1318" s="8" t="str">
        <f>IF(A1318="","",IFERROR(IF(VLOOKUP(A1318,Entry!$D:$D,1,FALSE)=A1318,TRUE,FALSE),FALSE))</f>
        <v/>
      </c>
    </row>
    <row r="1319" spans="1:33" x14ac:dyDescent="0.2">
      <c r="A1319" s="114"/>
      <c r="B1319" s="23"/>
      <c r="C1319" s="23"/>
      <c r="D1319" s="23"/>
      <c r="E1319" s="23"/>
      <c r="Y1319" s="8" t="str">
        <f>IF(A1319="","",IFERROR(IF(VLOOKUP(A1319,Entry!$D:$D,1,FALSE)=A1319,"",ROW()),ROW()))</f>
        <v/>
      </c>
      <c r="AG1319" s="8" t="str">
        <f>IF(A1319="","",IFERROR(IF(VLOOKUP(A1319,Entry!$D:$D,1,FALSE)=A1319,TRUE,FALSE),FALSE))</f>
        <v/>
      </c>
    </row>
    <row r="1320" spans="1:33" x14ac:dyDescent="0.2">
      <c r="A1320" s="114"/>
      <c r="B1320" s="23"/>
      <c r="C1320" s="23"/>
      <c r="D1320" s="23"/>
      <c r="E1320" s="23"/>
      <c r="Y1320" s="8" t="str">
        <f>IF(A1320="","",IFERROR(IF(VLOOKUP(A1320,Entry!$D:$D,1,FALSE)=A1320,"",ROW()),ROW()))</f>
        <v/>
      </c>
      <c r="AG1320" s="8" t="str">
        <f>IF(A1320="","",IFERROR(IF(VLOOKUP(A1320,Entry!$D:$D,1,FALSE)=A1320,TRUE,FALSE),FALSE))</f>
        <v/>
      </c>
    </row>
    <row r="1321" spans="1:33" x14ac:dyDescent="0.2">
      <c r="A1321" s="114"/>
      <c r="B1321" s="23"/>
      <c r="C1321" s="23"/>
      <c r="D1321" s="23"/>
      <c r="E1321" s="23"/>
      <c r="Y1321" s="8" t="str">
        <f>IF(A1321="","",IFERROR(IF(VLOOKUP(A1321,Entry!$D:$D,1,FALSE)=A1321,"",ROW()),ROW()))</f>
        <v/>
      </c>
      <c r="AG1321" s="8" t="str">
        <f>IF(A1321="","",IFERROR(IF(VLOOKUP(A1321,Entry!$D:$D,1,FALSE)=A1321,TRUE,FALSE),FALSE))</f>
        <v/>
      </c>
    </row>
    <row r="1322" spans="1:33" x14ac:dyDescent="0.2">
      <c r="A1322" s="114"/>
      <c r="B1322" s="23"/>
      <c r="C1322" s="23"/>
      <c r="D1322" s="23"/>
      <c r="E1322" s="23"/>
      <c r="Y1322" s="8" t="str">
        <f>IF(A1322="","",IFERROR(IF(VLOOKUP(A1322,Entry!$D:$D,1,FALSE)=A1322,"",ROW()),ROW()))</f>
        <v/>
      </c>
      <c r="AG1322" s="8" t="str">
        <f>IF(A1322="","",IFERROR(IF(VLOOKUP(A1322,Entry!$D:$D,1,FALSE)=A1322,TRUE,FALSE),FALSE))</f>
        <v/>
      </c>
    </row>
    <row r="1323" spans="1:33" x14ac:dyDescent="0.2">
      <c r="A1323" s="114"/>
      <c r="B1323" s="23"/>
      <c r="C1323" s="23"/>
      <c r="D1323" s="23"/>
      <c r="E1323" s="23"/>
      <c r="Y1323" s="8" t="str">
        <f>IF(A1323="","",IFERROR(IF(VLOOKUP(A1323,Entry!$D:$D,1,FALSE)=A1323,"",ROW()),ROW()))</f>
        <v/>
      </c>
      <c r="AG1323" s="8" t="str">
        <f>IF(A1323="","",IFERROR(IF(VLOOKUP(A1323,Entry!$D:$D,1,FALSE)=A1323,TRUE,FALSE),FALSE))</f>
        <v/>
      </c>
    </row>
    <row r="1324" spans="1:33" x14ac:dyDescent="0.2">
      <c r="A1324" s="114"/>
      <c r="B1324" s="23"/>
      <c r="C1324" s="23"/>
      <c r="D1324" s="23"/>
      <c r="E1324" s="23"/>
      <c r="Y1324" s="8" t="str">
        <f>IF(A1324="","",IFERROR(IF(VLOOKUP(A1324,Entry!$D:$D,1,FALSE)=A1324,"",ROW()),ROW()))</f>
        <v/>
      </c>
      <c r="AG1324" s="8" t="str">
        <f>IF(A1324="","",IFERROR(IF(VLOOKUP(A1324,Entry!$D:$D,1,FALSE)=A1324,TRUE,FALSE),FALSE))</f>
        <v/>
      </c>
    </row>
    <row r="1325" spans="1:33" x14ac:dyDescent="0.2">
      <c r="A1325" s="114"/>
      <c r="B1325" s="23"/>
      <c r="C1325" s="23"/>
      <c r="D1325" s="23"/>
      <c r="E1325" s="23"/>
      <c r="Y1325" s="8" t="str">
        <f>IF(A1325="","",IFERROR(IF(VLOOKUP(A1325,Entry!$D:$D,1,FALSE)=A1325,"",ROW()),ROW()))</f>
        <v/>
      </c>
      <c r="AG1325" s="8" t="str">
        <f>IF(A1325="","",IFERROR(IF(VLOOKUP(A1325,Entry!$D:$D,1,FALSE)=A1325,TRUE,FALSE),FALSE))</f>
        <v/>
      </c>
    </row>
    <row r="1326" spans="1:33" x14ac:dyDescent="0.2">
      <c r="A1326" s="114"/>
      <c r="B1326" s="23"/>
      <c r="C1326" s="23"/>
      <c r="D1326" s="23"/>
      <c r="E1326" s="23"/>
      <c r="Y1326" s="8" t="str">
        <f>IF(A1326="","",IFERROR(IF(VLOOKUP(A1326,Entry!$D:$D,1,FALSE)=A1326,"",ROW()),ROW()))</f>
        <v/>
      </c>
      <c r="AG1326" s="8" t="str">
        <f>IF(A1326="","",IFERROR(IF(VLOOKUP(A1326,Entry!$D:$D,1,FALSE)=A1326,TRUE,FALSE),FALSE))</f>
        <v/>
      </c>
    </row>
    <row r="1327" spans="1:33" x14ac:dyDescent="0.2">
      <c r="A1327" s="114"/>
      <c r="B1327" s="23"/>
      <c r="C1327" s="23"/>
      <c r="D1327" s="23"/>
      <c r="E1327" s="23"/>
      <c r="Y1327" s="8" t="str">
        <f>IF(A1327="","",IFERROR(IF(VLOOKUP(A1327,Entry!$D:$D,1,FALSE)=A1327,"",ROW()),ROW()))</f>
        <v/>
      </c>
      <c r="AG1327" s="8" t="str">
        <f>IF(A1327="","",IFERROR(IF(VLOOKUP(A1327,Entry!$D:$D,1,FALSE)=A1327,TRUE,FALSE),FALSE))</f>
        <v/>
      </c>
    </row>
    <row r="1328" spans="1:33" x14ac:dyDescent="0.2">
      <c r="A1328" s="114"/>
      <c r="B1328" s="23"/>
      <c r="C1328" s="23"/>
      <c r="D1328" s="23"/>
      <c r="E1328" s="23"/>
      <c r="Y1328" s="8" t="str">
        <f>IF(A1328="","",IFERROR(IF(VLOOKUP(A1328,Entry!$D:$D,1,FALSE)=A1328,"",ROW()),ROW()))</f>
        <v/>
      </c>
      <c r="AG1328" s="8" t="str">
        <f>IF(A1328="","",IFERROR(IF(VLOOKUP(A1328,Entry!$D:$D,1,FALSE)=A1328,TRUE,FALSE),FALSE))</f>
        <v/>
      </c>
    </row>
    <row r="1329" spans="1:33" x14ac:dyDescent="0.2">
      <c r="A1329" s="114"/>
      <c r="B1329" s="23"/>
      <c r="C1329" s="23"/>
      <c r="D1329" s="23"/>
      <c r="E1329" s="23"/>
      <c r="Y1329" s="8" t="str">
        <f>IF(A1329="","",IFERROR(IF(VLOOKUP(A1329,Entry!$D:$D,1,FALSE)=A1329,"",ROW()),ROW()))</f>
        <v/>
      </c>
      <c r="AG1329" s="8" t="str">
        <f>IF(A1329="","",IFERROR(IF(VLOOKUP(A1329,Entry!$D:$D,1,FALSE)=A1329,TRUE,FALSE),FALSE))</f>
        <v/>
      </c>
    </row>
    <row r="1330" spans="1:33" x14ac:dyDescent="0.2">
      <c r="A1330" s="114"/>
      <c r="B1330" s="23"/>
      <c r="C1330" s="23"/>
      <c r="D1330" s="23"/>
      <c r="E1330" s="23"/>
      <c r="Y1330" s="8" t="str">
        <f>IF(A1330="","",IFERROR(IF(VLOOKUP(A1330,Entry!$D:$D,1,FALSE)=A1330,"",ROW()),ROW()))</f>
        <v/>
      </c>
      <c r="AG1330" s="8" t="str">
        <f>IF(A1330="","",IFERROR(IF(VLOOKUP(A1330,Entry!$D:$D,1,FALSE)=A1330,TRUE,FALSE),FALSE))</f>
        <v/>
      </c>
    </row>
    <row r="1331" spans="1:33" x14ac:dyDescent="0.2">
      <c r="A1331" s="114"/>
      <c r="B1331" s="23"/>
      <c r="C1331" s="23"/>
      <c r="D1331" s="23"/>
      <c r="E1331" s="23"/>
      <c r="Y1331" s="8" t="str">
        <f>IF(A1331="","",IFERROR(IF(VLOOKUP(A1331,Entry!$D:$D,1,FALSE)=A1331,"",ROW()),ROW()))</f>
        <v/>
      </c>
      <c r="AG1331" s="8" t="str">
        <f>IF(A1331="","",IFERROR(IF(VLOOKUP(A1331,Entry!$D:$D,1,FALSE)=A1331,TRUE,FALSE),FALSE))</f>
        <v/>
      </c>
    </row>
    <row r="1332" spans="1:33" x14ac:dyDescent="0.2">
      <c r="A1332" s="114"/>
      <c r="B1332" s="23"/>
      <c r="C1332" s="23"/>
      <c r="D1332" s="23"/>
      <c r="E1332" s="23"/>
      <c r="Y1332" s="8" t="str">
        <f>IF(A1332="","",IFERROR(IF(VLOOKUP(A1332,Entry!$D:$D,1,FALSE)=A1332,"",ROW()),ROW()))</f>
        <v/>
      </c>
      <c r="AG1332" s="8" t="str">
        <f>IF(A1332="","",IFERROR(IF(VLOOKUP(A1332,Entry!$D:$D,1,FALSE)=A1332,TRUE,FALSE),FALSE))</f>
        <v/>
      </c>
    </row>
    <row r="1333" spans="1:33" x14ac:dyDescent="0.2">
      <c r="A1333" s="114"/>
      <c r="B1333" s="23"/>
      <c r="C1333" s="23"/>
      <c r="D1333" s="23"/>
      <c r="E1333" s="23"/>
      <c r="Y1333" s="8" t="str">
        <f>IF(A1333="","",IFERROR(IF(VLOOKUP(A1333,Entry!$D:$D,1,FALSE)=A1333,"",ROW()),ROW()))</f>
        <v/>
      </c>
      <c r="AG1333" s="8" t="str">
        <f>IF(A1333="","",IFERROR(IF(VLOOKUP(A1333,Entry!$D:$D,1,FALSE)=A1333,TRUE,FALSE),FALSE))</f>
        <v/>
      </c>
    </row>
    <row r="1334" spans="1:33" x14ac:dyDescent="0.2">
      <c r="A1334" s="114"/>
      <c r="B1334" s="23"/>
      <c r="C1334" s="23"/>
      <c r="D1334" s="23"/>
      <c r="E1334" s="23"/>
      <c r="Y1334" s="8" t="str">
        <f>IF(A1334="","",IFERROR(IF(VLOOKUP(A1334,Entry!$D:$D,1,FALSE)=A1334,"",ROW()),ROW()))</f>
        <v/>
      </c>
      <c r="AG1334" s="8" t="str">
        <f>IF(A1334="","",IFERROR(IF(VLOOKUP(A1334,Entry!$D:$D,1,FALSE)=A1334,TRUE,FALSE),FALSE))</f>
        <v/>
      </c>
    </row>
    <row r="1335" spans="1:33" x14ac:dyDescent="0.2">
      <c r="A1335" s="114"/>
      <c r="B1335" s="23"/>
      <c r="C1335" s="23"/>
      <c r="D1335" s="23"/>
      <c r="E1335" s="23"/>
      <c r="Y1335" s="8" t="str">
        <f>IF(A1335="","",IFERROR(IF(VLOOKUP(A1335,Entry!$D:$D,1,FALSE)=A1335,"",ROW()),ROW()))</f>
        <v/>
      </c>
      <c r="AG1335" s="8" t="str">
        <f>IF(A1335="","",IFERROR(IF(VLOOKUP(A1335,Entry!$D:$D,1,FALSE)=A1335,TRUE,FALSE),FALSE))</f>
        <v/>
      </c>
    </row>
    <row r="1336" spans="1:33" x14ac:dyDescent="0.2">
      <c r="A1336" s="114"/>
      <c r="B1336" s="23"/>
      <c r="C1336" s="23"/>
      <c r="D1336" s="23"/>
      <c r="E1336" s="23"/>
      <c r="Y1336" s="8" t="str">
        <f>IF(A1336="","",IFERROR(IF(VLOOKUP(A1336,Entry!$D:$D,1,FALSE)=A1336,"",ROW()),ROW()))</f>
        <v/>
      </c>
      <c r="AG1336" s="8" t="str">
        <f>IF(A1336="","",IFERROR(IF(VLOOKUP(A1336,Entry!$D:$D,1,FALSE)=A1336,TRUE,FALSE),FALSE))</f>
        <v/>
      </c>
    </row>
    <row r="1337" spans="1:33" x14ac:dyDescent="0.2">
      <c r="A1337" s="114"/>
      <c r="B1337" s="23"/>
      <c r="C1337" s="23"/>
      <c r="D1337" s="23"/>
      <c r="E1337" s="23"/>
      <c r="Y1337" s="8" t="str">
        <f>IF(A1337="","",IFERROR(IF(VLOOKUP(A1337,Entry!$D:$D,1,FALSE)=A1337,"",ROW()),ROW()))</f>
        <v/>
      </c>
      <c r="AG1337" s="8" t="str">
        <f>IF(A1337="","",IFERROR(IF(VLOOKUP(A1337,Entry!$D:$D,1,FALSE)=A1337,TRUE,FALSE),FALSE))</f>
        <v/>
      </c>
    </row>
    <row r="1338" spans="1:33" x14ac:dyDescent="0.2">
      <c r="A1338" s="114"/>
      <c r="B1338" s="23"/>
      <c r="C1338" s="23"/>
      <c r="D1338" s="23"/>
      <c r="E1338" s="23"/>
      <c r="Y1338" s="8" t="str">
        <f>IF(A1338="","",IFERROR(IF(VLOOKUP(A1338,Entry!$D:$D,1,FALSE)=A1338,"",ROW()),ROW()))</f>
        <v/>
      </c>
      <c r="AG1338" s="8" t="str">
        <f>IF(A1338="","",IFERROR(IF(VLOOKUP(A1338,Entry!$D:$D,1,FALSE)=A1338,TRUE,FALSE),FALSE))</f>
        <v/>
      </c>
    </row>
    <row r="1339" spans="1:33" x14ac:dyDescent="0.2">
      <c r="A1339" s="114"/>
      <c r="B1339" s="23"/>
      <c r="C1339" s="23"/>
      <c r="D1339" s="23"/>
      <c r="E1339" s="23"/>
      <c r="Y1339" s="8" t="str">
        <f>IF(A1339="","",IFERROR(IF(VLOOKUP(A1339,Entry!$D:$D,1,FALSE)=A1339,"",ROW()),ROW()))</f>
        <v/>
      </c>
      <c r="AG1339" s="8" t="str">
        <f>IF(A1339="","",IFERROR(IF(VLOOKUP(A1339,Entry!$D:$D,1,FALSE)=A1339,TRUE,FALSE),FALSE))</f>
        <v/>
      </c>
    </row>
    <row r="1340" spans="1:33" x14ac:dyDescent="0.2">
      <c r="A1340" s="114"/>
      <c r="B1340" s="23"/>
      <c r="C1340" s="23"/>
      <c r="D1340" s="23"/>
      <c r="E1340" s="23"/>
      <c r="Y1340" s="8" t="str">
        <f>IF(A1340="","",IFERROR(IF(VLOOKUP(A1340,Entry!$D:$D,1,FALSE)=A1340,"",ROW()),ROW()))</f>
        <v/>
      </c>
      <c r="AG1340" s="8" t="str">
        <f>IF(A1340="","",IFERROR(IF(VLOOKUP(A1340,Entry!$D:$D,1,FALSE)=A1340,TRUE,FALSE),FALSE))</f>
        <v/>
      </c>
    </row>
    <row r="1341" spans="1:33" x14ac:dyDescent="0.2">
      <c r="A1341" s="114"/>
      <c r="B1341" s="23"/>
      <c r="C1341" s="23"/>
      <c r="D1341" s="23"/>
      <c r="E1341" s="23"/>
      <c r="Y1341" s="8" t="str">
        <f>IF(A1341="","",IFERROR(IF(VLOOKUP(A1341,Entry!$D:$D,1,FALSE)=A1341,"",ROW()),ROW()))</f>
        <v/>
      </c>
      <c r="AG1341" s="8" t="str">
        <f>IF(A1341="","",IFERROR(IF(VLOOKUP(A1341,Entry!$D:$D,1,FALSE)=A1341,TRUE,FALSE),FALSE))</f>
        <v/>
      </c>
    </row>
    <row r="1342" spans="1:33" x14ac:dyDescent="0.2">
      <c r="A1342" s="114"/>
      <c r="B1342" s="23"/>
      <c r="C1342" s="23"/>
      <c r="D1342" s="23"/>
      <c r="E1342" s="23"/>
      <c r="Y1342" s="8" t="str">
        <f>IF(A1342="","",IFERROR(IF(VLOOKUP(A1342,Entry!$D:$D,1,FALSE)=A1342,"",ROW()),ROW()))</f>
        <v/>
      </c>
      <c r="AG1342" s="8" t="str">
        <f>IF(A1342="","",IFERROR(IF(VLOOKUP(A1342,Entry!$D:$D,1,FALSE)=A1342,TRUE,FALSE),FALSE))</f>
        <v/>
      </c>
    </row>
    <row r="1343" spans="1:33" x14ac:dyDescent="0.2">
      <c r="A1343" s="114"/>
      <c r="B1343" s="23"/>
      <c r="C1343" s="23"/>
      <c r="D1343" s="23"/>
      <c r="E1343" s="23"/>
      <c r="Y1343" s="8" t="str">
        <f>IF(A1343="","",IFERROR(IF(VLOOKUP(A1343,Entry!$D:$D,1,FALSE)=A1343,"",ROW()),ROW()))</f>
        <v/>
      </c>
      <c r="AG1343" s="8" t="str">
        <f>IF(A1343="","",IFERROR(IF(VLOOKUP(A1343,Entry!$D:$D,1,FALSE)=A1343,TRUE,FALSE),FALSE))</f>
        <v/>
      </c>
    </row>
    <row r="1344" spans="1:33" x14ac:dyDescent="0.2">
      <c r="A1344" s="114"/>
      <c r="B1344" s="23"/>
      <c r="C1344" s="23"/>
      <c r="D1344" s="23"/>
      <c r="E1344" s="23"/>
      <c r="Y1344" s="8" t="str">
        <f>IF(A1344="","",IFERROR(IF(VLOOKUP(A1344,Entry!$D:$D,1,FALSE)=A1344,"",ROW()),ROW()))</f>
        <v/>
      </c>
      <c r="AG1344" s="8" t="str">
        <f>IF(A1344="","",IFERROR(IF(VLOOKUP(A1344,Entry!$D:$D,1,FALSE)=A1344,TRUE,FALSE),FALSE))</f>
        <v/>
      </c>
    </row>
    <row r="1345" spans="1:33" x14ac:dyDescent="0.2">
      <c r="A1345" s="114"/>
      <c r="B1345" s="23"/>
      <c r="C1345" s="23"/>
      <c r="D1345" s="23"/>
      <c r="E1345" s="23"/>
      <c r="Y1345" s="8" t="str">
        <f>IF(A1345="","",IFERROR(IF(VLOOKUP(A1345,Entry!$D:$D,1,FALSE)=A1345,"",ROW()),ROW()))</f>
        <v/>
      </c>
      <c r="AG1345" s="8" t="str">
        <f>IF(A1345="","",IFERROR(IF(VLOOKUP(A1345,Entry!$D:$D,1,FALSE)=A1345,TRUE,FALSE),FALSE))</f>
        <v/>
      </c>
    </row>
    <row r="1346" spans="1:33" x14ac:dyDescent="0.2">
      <c r="A1346" s="114"/>
      <c r="B1346" s="23"/>
      <c r="C1346" s="23"/>
      <c r="D1346" s="23"/>
      <c r="E1346" s="23"/>
      <c r="Y1346" s="8" t="str">
        <f>IF(A1346="","",IFERROR(IF(VLOOKUP(A1346,Entry!$D:$D,1,FALSE)=A1346,"",ROW()),ROW()))</f>
        <v/>
      </c>
      <c r="AG1346" s="8" t="str">
        <f>IF(A1346="","",IFERROR(IF(VLOOKUP(A1346,Entry!$D:$D,1,FALSE)=A1346,TRUE,FALSE),FALSE))</f>
        <v/>
      </c>
    </row>
    <row r="1347" spans="1:33" x14ac:dyDescent="0.2">
      <c r="A1347" s="114"/>
      <c r="B1347" s="23"/>
      <c r="C1347" s="23"/>
      <c r="D1347" s="23"/>
      <c r="E1347" s="23"/>
      <c r="Y1347" s="8" t="str">
        <f>IF(A1347="","",IFERROR(IF(VLOOKUP(A1347,Entry!$D:$D,1,FALSE)=A1347,"",ROW()),ROW()))</f>
        <v/>
      </c>
      <c r="AG1347" s="8" t="str">
        <f>IF(A1347="","",IFERROR(IF(VLOOKUP(A1347,Entry!$D:$D,1,FALSE)=A1347,TRUE,FALSE),FALSE))</f>
        <v/>
      </c>
    </row>
    <row r="1348" spans="1:33" x14ac:dyDescent="0.2">
      <c r="A1348" s="114"/>
      <c r="B1348" s="23"/>
      <c r="C1348" s="23"/>
      <c r="D1348" s="23"/>
      <c r="E1348" s="23"/>
      <c r="Y1348" s="8" t="str">
        <f>IF(A1348="","",IFERROR(IF(VLOOKUP(A1348,Entry!$D:$D,1,FALSE)=A1348,"",ROW()),ROW()))</f>
        <v/>
      </c>
      <c r="AG1348" s="8" t="str">
        <f>IF(A1348="","",IFERROR(IF(VLOOKUP(A1348,Entry!$D:$D,1,FALSE)=A1348,TRUE,FALSE),FALSE))</f>
        <v/>
      </c>
    </row>
    <row r="1349" spans="1:33" x14ac:dyDescent="0.2">
      <c r="A1349" s="114"/>
      <c r="B1349" s="23"/>
      <c r="C1349" s="23"/>
      <c r="D1349" s="23"/>
      <c r="E1349" s="23"/>
      <c r="Y1349" s="8" t="str">
        <f>IF(A1349="","",IFERROR(IF(VLOOKUP(A1349,Entry!$D:$D,1,FALSE)=A1349,"",ROW()),ROW()))</f>
        <v/>
      </c>
      <c r="AG1349" s="8" t="str">
        <f>IF(A1349="","",IFERROR(IF(VLOOKUP(A1349,Entry!$D:$D,1,FALSE)=A1349,TRUE,FALSE),FALSE))</f>
        <v/>
      </c>
    </row>
    <row r="1350" spans="1:33" x14ac:dyDescent="0.2">
      <c r="A1350" s="114"/>
      <c r="B1350" s="23"/>
      <c r="C1350" s="23"/>
      <c r="D1350" s="23"/>
      <c r="E1350" s="23"/>
      <c r="Y1350" s="8" t="str">
        <f>IF(A1350="","",IFERROR(IF(VLOOKUP(A1350,Entry!$D:$D,1,FALSE)=A1350,"",ROW()),ROW()))</f>
        <v/>
      </c>
      <c r="AG1350" s="8" t="str">
        <f>IF(A1350="","",IFERROR(IF(VLOOKUP(A1350,Entry!$D:$D,1,FALSE)=A1350,TRUE,FALSE),FALSE))</f>
        <v/>
      </c>
    </row>
    <row r="1351" spans="1:33" x14ac:dyDescent="0.2">
      <c r="A1351" s="114"/>
      <c r="B1351" s="23"/>
      <c r="C1351" s="23"/>
      <c r="D1351" s="23"/>
      <c r="E1351" s="23"/>
      <c r="Y1351" s="8" t="str">
        <f>IF(A1351="","",IFERROR(IF(VLOOKUP(A1351,Entry!$D:$D,1,FALSE)=A1351,"",ROW()),ROW()))</f>
        <v/>
      </c>
      <c r="AG1351" s="8" t="str">
        <f>IF(A1351="","",IFERROR(IF(VLOOKUP(A1351,Entry!$D:$D,1,FALSE)=A1351,TRUE,FALSE),FALSE))</f>
        <v/>
      </c>
    </row>
    <row r="1352" spans="1:33" x14ac:dyDescent="0.2">
      <c r="A1352" s="114"/>
      <c r="B1352" s="23"/>
      <c r="C1352" s="23"/>
      <c r="D1352" s="23"/>
      <c r="E1352" s="23"/>
      <c r="Y1352" s="8" t="str">
        <f>IF(A1352="","",IFERROR(IF(VLOOKUP(A1352,Entry!$D:$D,1,FALSE)=A1352,"",ROW()),ROW()))</f>
        <v/>
      </c>
      <c r="AG1352" s="8" t="str">
        <f>IF(A1352="","",IFERROR(IF(VLOOKUP(A1352,Entry!$D:$D,1,FALSE)=A1352,TRUE,FALSE),FALSE))</f>
        <v/>
      </c>
    </row>
    <row r="1353" spans="1:33" x14ac:dyDescent="0.2">
      <c r="A1353" s="114"/>
      <c r="B1353" s="23"/>
      <c r="C1353" s="23"/>
      <c r="D1353" s="23"/>
      <c r="E1353" s="23"/>
      <c r="Y1353" s="8" t="str">
        <f>IF(A1353="","",IFERROR(IF(VLOOKUP(A1353,Entry!$D:$D,1,FALSE)=A1353,"",ROW()),ROW()))</f>
        <v/>
      </c>
      <c r="AG1353" s="8" t="str">
        <f>IF(A1353="","",IFERROR(IF(VLOOKUP(A1353,Entry!$D:$D,1,FALSE)=A1353,TRUE,FALSE),FALSE))</f>
        <v/>
      </c>
    </row>
    <row r="1354" spans="1:33" x14ac:dyDescent="0.2">
      <c r="A1354" s="114"/>
      <c r="B1354" s="23"/>
      <c r="C1354" s="23"/>
      <c r="D1354" s="23"/>
      <c r="E1354" s="23"/>
      <c r="Y1354" s="8" t="str">
        <f>IF(A1354="","",IFERROR(IF(VLOOKUP(A1354,Entry!$D:$D,1,FALSE)=A1354,"",ROW()),ROW()))</f>
        <v/>
      </c>
      <c r="AG1354" s="8" t="str">
        <f>IF(A1354="","",IFERROR(IF(VLOOKUP(A1354,Entry!$D:$D,1,FALSE)=A1354,TRUE,FALSE),FALSE))</f>
        <v/>
      </c>
    </row>
    <row r="1355" spans="1:33" x14ac:dyDescent="0.2">
      <c r="A1355" s="114"/>
      <c r="B1355" s="23"/>
      <c r="C1355" s="23"/>
      <c r="D1355" s="23"/>
      <c r="E1355" s="23"/>
      <c r="Y1355" s="8" t="str">
        <f>IF(A1355="","",IFERROR(IF(VLOOKUP(A1355,Entry!$D:$D,1,FALSE)=A1355,"",ROW()),ROW()))</f>
        <v/>
      </c>
      <c r="AG1355" s="8" t="str">
        <f>IF(A1355="","",IFERROR(IF(VLOOKUP(A1355,Entry!$D:$D,1,FALSE)=A1355,TRUE,FALSE),FALSE))</f>
        <v/>
      </c>
    </row>
    <row r="1356" spans="1:33" x14ac:dyDescent="0.2">
      <c r="A1356" s="114"/>
      <c r="B1356" s="23"/>
      <c r="C1356" s="23"/>
      <c r="D1356" s="23"/>
      <c r="E1356" s="23"/>
      <c r="Y1356" s="8" t="str">
        <f>IF(A1356="","",IFERROR(IF(VLOOKUP(A1356,Entry!$D:$D,1,FALSE)=A1356,"",ROW()),ROW()))</f>
        <v/>
      </c>
      <c r="AG1356" s="8" t="str">
        <f>IF(A1356="","",IFERROR(IF(VLOOKUP(A1356,Entry!$D:$D,1,FALSE)=A1356,TRUE,FALSE),FALSE))</f>
        <v/>
      </c>
    </row>
    <row r="1357" spans="1:33" x14ac:dyDescent="0.2">
      <c r="A1357" s="114"/>
      <c r="B1357" s="23"/>
      <c r="C1357" s="23"/>
      <c r="D1357" s="23"/>
      <c r="E1357" s="23"/>
      <c r="Y1357" s="8" t="str">
        <f>IF(A1357="","",IFERROR(IF(VLOOKUP(A1357,Entry!$D:$D,1,FALSE)=A1357,"",ROW()),ROW()))</f>
        <v/>
      </c>
      <c r="AG1357" s="8" t="str">
        <f>IF(A1357="","",IFERROR(IF(VLOOKUP(A1357,Entry!$D:$D,1,FALSE)=A1357,TRUE,FALSE),FALSE))</f>
        <v/>
      </c>
    </row>
    <row r="1358" spans="1:33" x14ac:dyDescent="0.2">
      <c r="A1358" s="114"/>
      <c r="B1358" s="23"/>
      <c r="C1358" s="23"/>
      <c r="D1358" s="23"/>
      <c r="E1358" s="23"/>
      <c r="Y1358" s="8" t="str">
        <f>IF(A1358="","",IFERROR(IF(VLOOKUP(A1358,Entry!$D:$D,1,FALSE)=A1358,"",ROW()),ROW()))</f>
        <v/>
      </c>
      <c r="AG1358" s="8" t="str">
        <f>IF(A1358="","",IFERROR(IF(VLOOKUP(A1358,Entry!$D:$D,1,FALSE)=A1358,TRUE,FALSE),FALSE))</f>
        <v/>
      </c>
    </row>
    <row r="1359" spans="1:33" x14ac:dyDescent="0.2">
      <c r="A1359" s="114"/>
      <c r="B1359" s="23"/>
      <c r="C1359" s="23"/>
      <c r="D1359" s="23"/>
      <c r="E1359" s="23"/>
      <c r="Y1359" s="8" t="str">
        <f>IF(A1359="","",IFERROR(IF(VLOOKUP(A1359,Entry!$D:$D,1,FALSE)=A1359,"",ROW()),ROW()))</f>
        <v/>
      </c>
      <c r="AG1359" s="8" t="str">
        <f>IF(A1359="","",IFERROR(IF(VLOOKUP(A1359,Entry!$D:$D,1,FALSE)=A1359,TRUE,FALSE),FALSE))</f>
        <v/>
      </c>
    </row>
    <row r="1360" spans="1:33" x14ac:dyDescent="0.2">
      <c r="A1360" s="114"/>
      <c r="B1360" s="23"/>
      <c r="C1360" s="23"/>
      <c r="D1360" s="23"/>
      <c r="E1360" s="23"/>
      <c r="Y1360" s="8" t="str">
        <f>IF(A1360="","",IFERROR(IF(VLOOKUP(A1360,Entry!$D:$D,1,FALSE)=A1360,"",ROW()),ROW()))</f>
        <v/>
      </c>
      <c r="AG1360" s="8" t="str">
        <f>IF(A1360="","",IFERROR(IF(VLOOKUP(A1360,Entry!$D:$D,1,FALSE)=A1360,TRUE,FALSE),FALSE))</f>
        <v/>
      </c>
    </row>
    <row r="1361" spans="1:33" x14ac:dyDescent="0.2">
      <c r="A1361" s="114"/>
      <c r="B1361" s="23"/>
      <c r="C1361" s="23"/>
      <c r="D1361" s="23"/>
      <c r="E1361" s="23"/>
      <c r="Y1361" s="8" t="str">
        <f>IF(A1361="","",IFERROR(IF(VLOOKUP(A1361,Entry!$D:$D,1,FALSE)=A1361,"",ROW()),ROW()))</f>
        <v/>
      </c>
      <c r="AG1361" s="8" t="str">
        <f>IF(A1361="","",IFERROR(IF(VLOOKUP(A1361,Entry!$D:$D,1,FALSE)=A1361,TRUE,FALSE),FALSE))</f>
        <v/>
      </c>
    </row>
    <row r="1362" spans="1:33" x14ac:dyDescent="0.2">
      <c r="A1362" s="114"/>
      <c r="B1362" s="23"/>
      <c r="C1362" s="23"/>
      <c r="D1362" s="23"/>
      <c r="E1362" s="23"/>
      <c r="Y1362" s="8" t="str">
        <f>IF(A1362="","",IFERROR(IF(VLOOKUP(A1362,Entry!$D:$D,1,FALSE)=A1362,"",ROW()),ROW()))</f>
        <v/>
      </c>
      <c r="AG1362" s="8" t="str">
        <f>IF(A1362="","",IFERROR(IF(VLOOKUP(A1362,Entry!$D:$D,1,FALSE)=A1362,TRUE,FALSE),FALSE))</f>
        <v/>
      </c>
    </row>
    <row r="1363" spans="1:33" x14ac:dyDescent="0.2">
      <c r="A1363" s="114"/>
      <c r="B1363" s="23"/>
      <c r="C1363" s="23"/>
      <c r="D1363" s="23"/>
      <c r="E1363" s="23"/>
      <c r="Y1363" s="8" t="str">
        <f>IF(A1363="","",IFERROR(IF(VLOOKUP(A1363,Entry!$D:$D,1,FALSE)=A1363,"",ROW()),ROW()))</f>
        <v/>
      </c>
      <c r="AG1363" s="8" t="str">
        <f>IF(A1363="","",IFERROR(IF(VLOOKUP(A1363,Entry!$D:$D,1,FALSE)=A1363,TRUE,FALSE),FALSE))</f>
        <v/>
      </c>
    </row>
    <row r="1364" spans="1:33" x14ac:dyDescent="0.2">
      <c r="A1364" s="114"/>
      <c r="B1364" s="23"/>
      <c r="C1364" s="23"/>
      <c r="D1364" s="23"/>
      <c r="E1364" s="23"/>
      <c r="Y1364" s="8" t="str">
        <f>IF(A1364="","",IFERROR(IF(VLOOKUP(A1364,Entry!$D:$D,1,FALSE)=A1364,"",ROW()),ROW()))</f>
        <v/>
      </c>
      <c r="AG1364" s="8" t="str">
        <f>IF(A1364="","",IFERROR(IF(VLOOKUP(A1364,Entry!$D:$D,1,FALSE)=A1364,TRUE,FALSE),FALSE))</f>
        <v/>
      </c>
    </row>
    <row r="1365" spans="1:33" x14ac:dyDescent="0.2">
      <c r="A1365" s="114"/>
      <c r="B1365" s="23"/>
      <c r="C1365" s="23"/>
      <c r="D1365" s="23"/>
      <c r="E1365" s="23"/>
      <c r="Y1365" s="8" t="str">
        <f>IF(A1365="","",IFERROR(IF(VLOOKUP(A1365,Entry!$D:$D,1,FALSE)=A1365,"",ROW()),ROW()))</f>
        <v/>
      </c>
      <c r="AG1365" s="8" t="str">
        <f>IF(A1365="","",IFERROR(IF(VLOOKUP(A1365,Entry!$D:$D,1,FALSE)=A1365,TRUE,FALSE),FALSE))</f>
        <v/>
      </c>
    </row>
    <row r="1366" spans="1:33" x14ac:dyDescent="0.2">
      <c r="A1366" s="114"/>
      <c r="B1366" s="23"/>
      <c r="C1366" s="23"/>
      <c r="D1366" s="23"/>
      <c r="E1366" s="23"/>
      <c r="Y1366" s="8" t="str">
        <f>IF(A1366="","",IFERROR(IF(VLOOKUP(A1366,Entry!$D:$D,1,FALSE)=A1366,"",ROW()),ROW()))</f>
        <v/>
      </c>
      <c r="AG1366" s="8" t="str">
        <f>IF(A1366="","",IFERROR(IF(VLOOKUP(A1366,Entry!$D:$D,1,FALSE)=A1366,TRUE,FALSE),FALSE))</f>
        <v/>
      </c>
    </row>
    <row r="1367" spans="1:33" x14ac:dyDescent="0.2">
      <c r="A1367" s="114"/>
      <c r="B1367" s="23"/>
      <c r="C1367" s="23"/>
      <c r="D1367" s="23"/>
      <c r="E1367" s="23"/>
      <c r="Y1367" s="8" t="str">
        <f>IF(A1367="","",IFERROR(IF(VLOOKUP(A1367,Entry!$D:$D,1,FALSE)=A1367,"",ROW()),ROW()))</f>
        <v/>
      </c>
      <c r="AG1367" s="8" t="str">
        <f>IF(A1367="","",IFERROR(IF(VLOOKUP(A1367,Entry!$D:$D,1,FALSE)=A1367,TRUE,FALSE),FALSE))</f>
        <v/>
      </c>
    </row>
    <row r="1368" spans="1:33" x14ac:dyDescent="0.2">
      <c r="A1368" s="114"/>
      <c r="B1368" s="23"/>
      <c r="C1368" s="23"/>
      <c r="D1368" s="23"/>
      <c r="E1368" s="23"/>
      <c r="Y1368" s="8" t="str">
        <f>IF(A1368="","",IFERROR(IF(VLOOKUP(A1368,Entry!$D:$D,1,FALSE)=A1368,"",ROW()),ROW()))</f>
        <v/>
      </c>
      <c r="AG1368" s="8" t="str">
        <f>IF(A1368="","",IFERROR(IF(VLOOKUP(A1368,Entry!$D:$D,1,FALSE)=A1368,TRUE,FALSE),FALSE))</f>
        <v/>
      </c>
    </row>
    <row r="1369" spans="1:33" x14ac:dyDescent="0.2">
      <c r="A1369" s="114"/>
      <c r="B1369" s="23"/>
      <c r="C1369" s="23"/>
      <c r="D1369" s="23"/>
      <c r="E1369" s="23"/>
      <c r="Y1369" s="8" t="str">
        <f>IF(A1369="","",IFERROR(IF(VLOOKUP(A1369,Entry!$D:$D,1,FALSE)=A1369,"",ROW()),ROW()))</f>
        <v/>
      </c>
      <c r="AG1369" s="8" t="str">
        <f>IF(A1369="","",IFERROR(IF(VLOOKUP(A1369,Entry!$D:$D,1,FALSE)=A1369,TRUE,FALSE),FALSE))</f>
        <v/>
      </c>
    </row>
    <row r="1370" spans="1:33" x14ac:dyDescent="0.2">
      <c r="A1370" s="114"/>
      <c r="B1370" s="23"/>
      <c r="C1370" s="23"/>
      <c r="D1370" s="23"/>
      <c r="E1370" s="23"/>
      <c r="Y1370" s="8" t="str">
        <f>IF(A1370="","",IFERROR(IF(VLOOKUP(A1370,Entry!$D:$D,1,FALSE)=A1370,"",ROW()),ROW()))</f>
        <v/>
      </c>
      <c r="AG1370" s="8" t="str">
        <f>IF(A1370="","",IFERROR(IF(VLOOKUP(A1370,Entry!$D:$D,1,FALSE)=A1370,TRUE,FALSE),FALSE))</f>
        <v/>
      </c>
    </row>
    <row r="1371" spans="1:33" x14ac:dyDescent="0.2">
      <c r="A1371" s="114"/>
      <c r="B1371" s="23"/>
      <c r="C1371" s="23"/>
      <c r="D1371" s="23"/>
      <c r="E1371" s="23"/>
      <c r="Y1371" s="8" t="str">
        <f>IF(A1371="","",IFERROR(IF(VLOOKUP(A1371,Entry!$D:$D,1,FALSE)=A1371,"",ROW()),ROW()))</f>
        <v/>
      </c>
      <c r="AG1371" s="8" t="str">
        <f>IF(A1371="","",IFERROR(IF(VLOOKUP(A1371,Entry!$D:$D,1,FALSE)=A1371,TRUE,FALSE),FALSE))</f>
        <v/>
      </c>
    </row>
    <row r="1372" spans="1:33" x14ac:dyDescent="0.2">
      <c r="A1372" s="114"/>
      <c r="B1372" s="23"/>
      <c r="C1372" s="23"/>
      <c r="D1372" s="23"/>
      <c r="E1372" s="23"/>
      <c r="Y1372" s="8" t="str">
        <f>IF(A1372="","",IFERROR(IF(VLOOKUP(A1372,Entry!$D:$D,1,FALSE)=A1372,"",ROW()),ROW()))</f>
        <v/>
      </c>
      <c r="AG1372" s="8" t="str">
        <f>IF(A1372="","",IFERROR(IF(VLOOKUP(A1372,Entry!$D:$D,1,FALSE)=A1372,TRUE,FALSE),FALSE))</f>
        <v/>
      </c>
    </row>
    <row r="1373" spans="1:33" x14ac:dyDescent="0.2">
      <c r="A1373" s="114"/>
      <c r="B1373" s="23"/>
      <c r="C1373" s="23"/>
      <c r="D1373" s="23"/>
      <c r="E1373" s="23"/>
      <c r="Y1373" s="8" t="str">
        <f>IF(A1373="","",IFERROR(IF(VLOOKUP(A1373,Entry!$D:$D,1,FALSE)=A1373,"",ROW()),ROW()))</f>
        <v/>
      </c>
      <c r="AG1373" s="8" t="str">
        <f>IF(A1373="","",IFERROR(IF(VLOOKUP(A1373,Entry!$D:$D,1,FALSE)=A1373,TRUE,FALSE),FALSE))</f>
        <v/>
      </c>
    </row>
    <row r="1374" spans="1:33" x14ac:dyDescent="0.2">
      <c r="A1374" s="114"/>
      <c r="B1374" s="23"/>
      <c r="C1374" s="23"/>
      <c r="D1374" s="23"/>
      <c r="E1374" s="23"/>
      <c r="Y1374" s="8" t="str">
        <f>IF(A1374="","",IFERROR(IF(VLOOKUP(A1374,Entry!$D:$D,1,FALSE)=A1374,"",ROW()),ROW()))</f>
        <v/>
      </c>
      <c r="AG1374" s="8" t="str">
        <f>IF(A1374="","",IFERROR(IF(VLOOKUP(A1374,Entry!$D:$D,1,FALSE)=A1374,TRUE,FALSE),FALSE))</f>
        <v/>
      </c>
    </row>
    <row r="1375" spans="1:33" x14ac:dyDescent="0.2">
      <c r="A1375" s="114"/>
      <c r="B1375" s="23"/>
      <c r="C1375" s="23"/>
      <c r="D1375" s="23"/>
      <c r="E1375" s="23"/>
      <c r="Y1375" s="8" t="str">
        <f>IF(A1375="","",IFERROR(IF(VLOOKUP(A1375,Entry!$D:$D,1,FALSE)=A1375,"",ROW()),ROW()))</f>
        <v/>
      </c>
      <c r="AG1375" s="8" t="str">
        <f>IF(A1375="","",IFERROR(IF(VLOOKUP(A1375,Entry!$D:$D,1,FALSE)=A1375,TRUE,FALSE),FALSE))</f>
        <v/>
      </c>
    </row>
    <row r="1376" spans="1:33" x14ac:dyDescent="0.2">
      <c r="A1376" s="114"/>
      <c r="B1376" s="23"/>
      <c r="C1376" s="23"/>
      <c r="D1376" s="23"/>
      <c r="E1376" s="23"/>
      <c r="Y1376" s="8" t="str">
        <f>IF(A1376="","",IFERROR(IF(VLOOKUP(A1376,Entry!$D:$D,1,FALSE)=A1376,"",ROW()),ROW()))</f>
        <v/>
      </c>
      <c r="AG1376" s="8" t="str">
        <f>IF(A1376="","",IFERROR(IF(VLOOKUP(A1376,Entry!$D:$D,1,FALSE)=A1376,TRUE,FALSE),FALSE))</f>
        <v/>
      </c>
    </row>
    <row r="1377" spans="1:33" x14ac:dyDescent="0.2">
      <c r="A1377" s="114"/>
      <c r="B1377" s="23"/>
      <c r="C1377" s="23"/>
      <c r="D1377" s="23"/>
      <c r="E1377" s="23"/>
      <c r="Y1377" s="8" t="str">
        <f>IF(A1377="","",IFERROR(IF(VLOOKUP(A1377,Entry!$D:$D,1,FALSE)=A1377,"",ROW()),ROW()))</f>
        <v/>
      </c>
      <c r="AG1377" s="8" t="str">
        <f>IF(A1377="","",IFERROR(IF(VLOOKUP(A1377,Entry!$D:$D,1,FALSE)=A1377,TRUE,FALSE),FALSE))</f>
        <v/>
      </c>
    </row>
    <row r="1378" spans="1:33" x14ac:dyDescent="0.2">
      <c r="A1378" s="114"/>
      <c r="B1378" s="23"/>
      <c r="C1378" s="23"/>
      <c r="D1378" s="23"/>
      <c r="E1378" s="23"/>
      <c r="Y1378" s="8" t="str">
        <f>IF(A1378="","",IFERROR(IF(VLOOKUP(A1378,Entry!$D:$D,1,FALSE)=A1378,"",ROW()),ROW()))</f>
        <v/>
      </c>
      <c r="AG1378" s="8" t="str">
        <f>IF(A1378="","",IFERROR(IF(VLOOKUP(A1378,Entry!$D:$D,1,FALSE)=A1378,TRUE,FALSE),FALSE))</f>
        <v/>
      </c>
    </row>
    <row r="1379" spans="1:33" x14ac:dyDescent="0.2">
      <c r="A1379" s="114"/>
      <c r="B1379" s="23"/>
      <c r="C1379" s="23"/>
      <c r="D1379" s="23"/>
      <c r="E1379" s="23"/>
      <c r="Y1379" s="8" t="str">
        <f>IF(A1379="","",IFERROR(IF(VLOOKUP(A1379,Entry!$D:$D,1,FALSE)=A1379,"",ROW()),ROW()))</f>
        <v/>
      </c>
      <c r="AG1379" s="8" t="str">
        <f>IF(A1379="","",IFERROR(IF(VLOOKUP(A1379,Entry!$D:$D,1,FALSE)=A1379,TRUE,FALSE),FALSE))</f>
        <v/>
      </c>
    </row>
    <row r="1380" spans="1:33" x14ac:dyDescent="0.2">
      <c r="A1380" s="114"/>
      <c r="B1380" s="23"/>
      <c r="C1380" s="23"/>
      <c r="D1380" s="23"/>
      <c r="E1380" s="23"/>
      <c r="Y1380" s="8" t="str">
        <f>IF(A1380="","",IFERROR(IF(VLOOKUP(A1380,Entry!$D:$D,1,FALSE)=A1380,"",ROW()),ROW()))</f>
        <v/>
      </c>
      <c r="AG1380" s="8" t="str">
        <f>IF(A1380="","",IFERROR(IF(VLOOKUP(A1380,Entry!$D:$D,1,FALSE)=A1380,TRUE,FALSE),FALSE))</f>
        <v/>
      </c>
    </row>
    <row r="1381" spans="1:33" x14ac:dyDescent="0.2">
      <c r="A1381" s="114"/>
      <c r="B1381" s="23"/>
      <c r="C1381" s="23"/>
      <c r="D1381" s="23"/>
      <c r="E1381" s="23"/>
      <c r="Y1381" s="8" t="str">
        <f>IF(A1381="","",IFERROR(IF(VLOOKUP(A1381,Entry!$D:$D,1,FALSE)=A1381,"",ROW()),ROW()))</f>
        <v/>
      </c>
      <c r="AG1381" s="8" t="str">
        <f>IF(A1381="","",IFERROR(IF(VLOOKUP(A1381,Entry!$D:$D,1,FALSE)=A1381,TRUE,FALSE),FALSE))</f>
        <v/>
      </c>
    </row>
    <row r="1382" spans="1:33" x14ac:dyDescent="0.2">
      <c r="A1382" s="114"/>
      <c r="B1382" s="23"/>
      <c r="C1382" s="23"/>
      <c r="D1382" s="23"/>
      <c r="E1382" s="23"/>
      <c r="Y1382" s="8" t="str">
        <f>IF(A1382="","",IFERROR(IF(VLOOKUP(A1382,Entry!$D:$D,1,FALSE)=A1382,"",ROW()),ROW()))</f>
        <v/>
      </c>
      <c r="AG1382" s="8" t="str">
        <f>IF(A1382="","",IFERROR(IF(VLOOKUP(A1382,Entry!$D:$D,1,FALSE)=A1382,TRUE,FALSE),FALSE))</f>
        <v/>
      </c>
    </row>
    <row r="1383" spans="1:33" x14ac:dyDescent="0.2">
      <c r="A1383" s="114"/>
      <c r="B1383" s="23"/>
      <c r="C1383" s="23"/>
      <c r="D1383" s="23"/>
      <c r="E1383" s="23"/>
      <c r="Y1383" s="8" t="str">
        <f>IF(A1383="","",IFERROR(IF(VLOOKUP(A1383,Entry!$D:$D,1,FALSE)=A1383,"",ROW()),ROW()))</f>
        <v/>
      </c>
      <c r="AG1383" s="8" t="str">
        <f>IF(A1383="","",IFERROR(IF(VLOOKUP(A1383,Entry!$D:$D,1,FALSE)=A1383,TRUE,FALSE),FALSE))</f>
        <v/>
      </c>
    </row>
    <row r="1384" spans="1:33" x14ac:dyDescent="0.2">
      <c r="A1384" s="114"/>
      <c r="B1384" s="23"/>
      <c r="C1384" s="23"/>
      <c r="D1384" s="23"/>
      <c r="E1384" s="23"/>
      <c r="Y1384" s="8" t="str">
        <f>IF(A1384="","",IFERROR(IF(VLOOKUP(A1384,Entry!$D:$D,1,FALSE)=A1384,"",ROW()),ROW()))</f>
        <v/>
      </c>
      <c r="AG1384" s="8" t="str">
        <f>IF(A1384="","",IFERROR(IF(VLOOKUP(A1384,Entry!$D:$D,1,FALSE)=A1384,TRUE,FALSE),FALSE))</f>
        <v/>
      </c>
    </row>
    <row r="1385" spans="1:33" x14ac:dyDescent="0.2">
      <c r="A1385" s="114"/>
      <c r="B1385" s="23"/>
      <c r="C1385" s="23"/>
      <c r="D1385" s="23"/>
      <c r="E1385" s="23"/>
      <c r="Y1385" s="8" t="str">
        <f>IF(A1385="","",IFERROR(IF(VLOOKUP(A1385,Entry!$D:$D,1,FALSE)=A1385,"",ROW()),ROW()))</f>
        <v/>
      </c>
      <c r="AG1385" s="8" t="str">
        <f>IF(A1385="","",IFERROR(IF(VLOOKUP(A1385,Entry!$D:$D,1,FALSE)=A1385,TRUE,FALSE),FALSE))</f>
        <v/>
      </c>
    </row>
    <row r="1386" spans="1:33" x14ac:dyDescent="0.2">
      <c r="A1386" s="114"/>
      <c r="B1386" s="23"/>
      <c r="C1386" s="23"/>
      <c r="D1386" s="23"/>
      <c r="E1386" s="23"/>
      <c r="Y1386" s="8" t="str">
        <f>IF(A1386="","",IFERROR(IF(VLOOKUP(A1386,Entry!$D:$D,1,FALSE)=A1386,"",ROW()),ROW()))</f>
        <v/>
      </c>
      <c r="AG1386" s="8" t="str">
        <f>IF(A1386="","",IFERROR(IF(VLOOKUP(A1386,Entry!$D:$D,1,FALSE)=A1386,TRUE,FALSE),FALSE))</f>
        <v/>
      </c>
    </row>
    <row r="1387" spans="1:33" x14ac:dyDescent="0.2">
      <c r="A1387" s="114"/>
      <c r="B1387" s="23"/>
      <c r="C1387" s="23"/>
      <c r="D1387" s="23"/>
      <c r="E1387" s="23"/>
      <c r="Y1387" s="8" t="str">
        <f>IF(A1387="","",IFERROR(IF(VLOOKUP(A1387,Entry!$D:$D,1,FALSE)=A1387,"",ROW()),ROW()))</f>
        <v/>
      </c>
      <c r="AG1387" s="8" t="str">
        <f>IF(A1387="","",IFERROR(IF(VLOOKUP(A1387,Entry!$D:$D,1,FALSE)=A1387,TRUE,FALSE),FALSE))</f>
        <v/>
      </c>
    </row>
    <row r="1388" spans="1:33" x14ac:dyDescent="0.2">
      <c r="A1388" s="114"/>
      <c r="B1388" s="23"/>
      <c r="C1388" s="23"/>
      <c r="D1388" s="23"/>
      <c r="E1388" s="23"/>
      <c r="Y1388" s="8" t="str">
        <f>IF(A1388="","",IFERROR(IF(VLOOKUP(A1388,Entry!$D:$D,1,FALSE)=A1388,"",ROW()),ROW()))</f>
        <v/>
      </c>
      <c r="AG1388" s="8" t="str">
        <f>IF(A1388="","",IFERROR(IF(VLOOKUP(A1388,Entry!$D:$D,1,FALSE)=A1388,TRUE,FALSE),FALSE))</f>
        <v/>
      </c>
    </row>
    <row r="1389" spans="1:33" x14ac:dyDescent="0.2">
      <c r="A1389" s="114"/>
      <c r="B1389" s="23"/>
      <c r="C1389" s="23"/>
      <c r="D1389" s="23"/>
      <c r="E1389" s="23"/>
      <c r="Y1389" s="8" t="str">
        <f>IF(A1389="","",IFERROR(IF(VLOOKUP(A1389,Entry!$D:$D,1,FALSE)=A1389,"",ROW()),ROW()))</f>
        <v/>
      </c>
      <c r="AG1389" s="8" t="str">
        <f>IF(A1389="","",IFERROR(IF(VLOOKUP(A1389,Entry!$D:$D,1,FALSE)=A1389,TRUE,FALSE),FALSE))</f>
        <v/>
      </c>
    </row>
    <row r="1390" spans="1:33" x14ac:dyDescent="0.2">
      <c r="A1390" s="114"/>
      <c r="B1390" s="23"/>
      <c r="C1390" s="23"/>
      <c r="D1390" s="23"/>
      <c r="E1390" s="23"/>
      <c r="Y1390" s="8" t="str">
        <f>IF(A1390="","",IFERROR(IF(VLOOKUP(A1390,Entry!$D:$D,1,FALSE)=A1390,"",ROW()),ROW()))</f>
        <v/>
      </c>
      <c r="AG1390" s="8" t="str">
        <f>IF(A1390="","",IFERROR(IF(VLOOKUP(A1390,Entry!$D:$D,1,FALSE)=A1390,TRUE,FALSE),FALSE))</f>
        <v/>
      </c>
    </row>
    <row r="1391" spans="1:33" x14ac:dyDescent="0.2">
      <c r="A1391" s="114"/>
      <c r="B1391" s="23"/>
      <c r="C1391" s="23"/>
      <c r="D1391" s="23"/>
      <c r="E1391" s="23"/>
      <c r="Y1391" s="8" t="str">
        <f>IF(A1391="","",IFERROR(IF(VLOOKUP(A1391,Entry!$D:$D,1,FALSE)=A1391,"",ROW()),ROW()))</f>
        <v/>
      </c>
      <c r="AG1391" s="8" t="str">
        <f>IF(A1391="","",IFERROR(IF(VLOOKUP(A1391,Entry!$D:$D,1,FALSE)=A1391,TRUE,FALSE),FALSE))</f>
        <v/>
      </c>
    </row>
    <row r="1392" spans="1:33" x14ac:dyDescent="0.2">
      <c r="A1392" s="114"/>
      <c r="B1392" s="23"/>
      <c r="C1392" s="23"/>
      <c r="D1392" s="23"/>
      <c r="E1392" s="23"/>
      <c r="Y1392" s="8" t="str">
        <f>IF(A1392="","",IFERROR(IF(VLOOKUP(A1392,Entry!$D:$D,1,FALSE)=A1392,"",ROW()),ROW()))</f>
        <v/>
      </c>
      <c r="AG1392" s="8" t="str">
        <f>IF(A1392="","",IFERROR(IF(VLOOKUP(A1392,Entry!$D:$D,1,FALSE)=A1392,TRUE,FALSE),FALSE))</f>
        <v/>
      </c>
    </row>
    <row r="1393" spans="1:33" x14ac:dyDescent="0.2">
      <c r="A1393" s="114"/>
      <c r="B1393" s="23"/>
      <c r="C1393" s="23"/>
      <c r="D1393" s="23"/>
      <c r="E1393" s="23"/>
      <c r="Y1393" s="8" t="str">
        <f>IF(A1393="","",IFERROR(IF(VLOOKUP(A1393,Entry!$D:$D,1,FALSE)=A1393,"",ROW()),ROW()))</f>
        <v/>
      </c>
      <c r="AG1393" s="8" t="str">
        <f>IF(A1393="","",IFERROR(IF(VLOOKUP(A1393,Entry!$D:$D,1,FALSE)=A1393,TRUE,FALSE),FALSE))</f>
        <v/>
      </c>
    </row>
    <row r="1394" spans="1:33" x14ac:dyDescent="0.2">
      <c r="A1394" s="114"/>
      <c r="B1394" s="23"/>
      <c r="C1394" s="23"/>
      <c r="D1394" s="23"/>
      <c r="E1394" s="23"/>
      <c r="Y1394" s="8" t="str">
        <f>IF(A1394="","",IFERROR(IF(VLOOKUP(A1394,Entry!$D:$D,1,FALSE)=A1394,"",ROW()),ROW()))</f>
        <v/>
      </c>
      <c r="AG1394" s="8" t="str">
        <f>IF(A1394="","",IFERROR(IF(VLOOKUP(A1394,Entry!$D:$D,1,FALSE)=A1394,TRUE,FALSE),FALSE))</f>
        <v/>
      </c>
    </row>
    <row r="1395" spans="1:33" x14ac:dyDescent="0.2">
      <c r="A1395" s="114"/>
      <c r="B1395" s="23"/>
      <c r="C1395" s="23"/>
      <c r="D1395" s="23"/>
      <c r="E1395" s="23"/>
      <c r="Y1395" s="8" t="str">
        <f>IF(A1395="","",IFERROR(IF(VLOOKUP(A1395,Entry!$D:$D,1,FALSE)=A1395,"",ROW()),ROW()))</f>
        <v/>
      </c>
      <c r="AG1395" s="8" t="str">
        <f>IF(A1395="","",IFERROR(IF(VLOOKUP(A1395,Entry!$D:$D,1,FALSE)=A1395,TRUE,FALSE),FALSE))</f>
        <v/>
      </c>
    </row>
    <row r="1396" spans="1:33" x14ac:dyDescent="0.2">
      <c r="A1396" s="114"/>
      <c r="B1396" s="23"/>
      <c r="C1396" s="23"/>
      <c r="D1396" s="23"/>
      <c r="E1396" s="23"/>
      <c r="Y1396" s="8" t="str">
        <f>IF(A1396="","",IFERROR(IF(VLOOKUP(A1396,Entry!$D:$D,1,FALSE)=A1396,"",ROW()),ROW()))</f>
        <v/>
      </c>
      <c r="AG1396" s="8" t="str">
        <f>IF(A1396="","",IFERROR(IF(VLOOKUP(A1396,Entry!$D:$D,1,FALSE)=A1396,TRUE,FALSE),FALSE))</f>
        <v/>
      </c>
    </row>
    <row r="1397" spans="1:33" x14ac:dyDescent="0.2">
      <c r="A1397" s="114"/>
      <c r="B1397" s="23"/>
      <c r="C1397" s="23"/>
      <c r="D1397" s="23"/>
      <c r="E1397" s="23"/>
      <c r="Y1397" s="8" t="str">
        <f>IF(A1397="","",IFERROR(IF(VLOOKUP(A1397,Entry!$D:$D,1,FALSE)=A1397,"",ROW()),ROW()))</f>
        <v/>
      </c>
      <c r="AG1397" s="8" t="str">
        <f>IF(A1397="","",IFERROR(IF(VLOOKUP(A1397,Entry!$D:$D,1,FALSE)=A1397,TRUE,FALSE),FALSE))</f>
        <v/>
      </c>
    </row>
    <row r="1398" spans="1:33" x14ac:dyDescent="0.2">
      <c r="A1398" s="114"/>
      <c r="B1398" s="23"/>
      <c r="C1398" s="23"/>
      <c r="D1398" s="23"/>
      <c r="E1398" s="23"/>
      <c r="Y1398" s="8" t="str">
        <f>IF(A1398="","",IFERROR(IF(VLOOKUP(A1398,Entry!$D:$D,1,FALSE)=A1398,"",ROW()),ROW()))</f>
        <v/>
      </c>
      <c r="AG1398" s="8" t="str">
        <f>IF(A1398="","",IFERROR(IF(VLOOKUP(A1398,Entry!$D:$D,1,FALSE)=A1398,TRUE,FALSE),FALSE))</f>
        <v/>
      </c>
    </row>
    <row r="1399" spans="1:33" x14ac:dyDescent="0.2">
      <c r="A1399" s="114"/>
      <c r="B1399" s="23"/>
      <c r="C1399" s="23"/>
      <c r="D1399" s="23"/>
      <c r="E1399" s="23"/>
      <c r="Y1399" s="8" t="str">
        <f>IF(A1399="","",IFERROR(IF(VLOOKUP(A1399,Entry!$D:$D,1,FALSE)=A1399,"",ROW()),ROW()))</f>
        <v/>
      </c>
      <c r="AG1399" s="8" t="str">
        <f>IF(A1399="","",IFERROR(IF(VLOOKUP(A1399,Entry!$D:$D,1,FALSE)=A1399,TRUE,FALSE),FALSE))</f>
        <v/>
      </c>
    </row>
    <row r="1400" spans="1:33" x14ac:dyDescent="0.2">
      <c r="A1400" s="114"/>
      <c r="B1400" s="23"/>
      <c r="C1400" s="23"/>
      <c r="D1400" s="23"/>
      <c r="E1400" s="23"/>
      <c r="Y1400" s="8" t="str">
        <f>IF(A1400="","",IFERROR(IF(VLOOKUP(A1400,Entry!$D:$D,1,FALSE)=A1400,"",ROW()),ROW()))</f>
        <v/>
      </c>
      <c r="AG1400" s="8" t="str">
        <f>IF(A1400="","",IFERROR(IF(VLOOKUP(A1400,Entry!$D:$D,1,FALSE)=A1400,TRUE,FALSE),FALSE))</f>
        <v/>
      </c>
    </row>
    <row r="1401" spans="1:33" x14ac:dyDescent="0.2">
      <c r="A1401" s="114"/>
      <c r="B1401" s="23"/>
      <c r="C1401" s="23"/>
      <c r="D1401" s="23"/>
      <c r="E1401" s="23"/>
      <c r="Y1401" s="8" t="str">
        <f>IF(A1401="","",IFERROR(IF(VLOOKUP(A1401,Entry!$D:$D,1,FALSE)=A1401,"",ROW()),ROW()))</f>
        <v/>
      </c>
      <c r="AG1401" s="8" t="str">
        <f>IF(A1401="","",IFERROR(IF(VLOOKUP(A1401,Entry!$D:$D,1,FALSE)=A1401,TRUE,FALSE),FALSE))</f>
        <v/>
      </c>
    </row>
    <row r="1402" spans="1:33" x14ac:dyDescent="0.2">
      <c r="A1402" s="114"/>
      <c r="B1402" s="23"/>
      <c r="C1402" s="23"/>
      <c r="D1402" s="23"/>
      <c r="E1402" s="23"/>
      <c r="Y1402" s="8" t="str">
        <f>IF(A1402="","",IFERROR(IF(VLOOKUP(A1402,Entry!$D:$D,1,FALSE)=A1402,"",ROW()),ROW()))</f>
        <v/>
      </c>
      <c r="AG1402" s="8" t="str">
        <f>IF(A1402="","",IFERROR(IF(VLOOKUP(A1402,Entry!$D:$D,1,FALSE)=A1402,TRUE,FALSE),FALSE))</f>
        <v/>
      </c>
    </row>
    <row r="1403" spans="1:33" x14ac:dyDescent="0.2">
      <c r="A1403" s="114"/>
      <c r="B1403" s="23"/>
      <c r="C1403" s="23"/>
      <c r="D1403" s="23"/>
      <c r="E1403" s="23"/>
      <c r="Y1403" s="8" t="str">
        <f>IF(A1403="","",IFERROR(IF(VLOOKUP(A1403,Entry!$D:$D,1,FALSE)=A1403,"",ROW()),ROW()))</f>
        <v/>
      </c>
      <c r="AG1403" s="8" t="str">
        <f>IF(A1403="","",IFERROR(IF(VLOOKUP(A1403,Entry!$D:$D,1,FALSE)=A1403,TRUE,FALSE),FALSE))</f>
        <v/>
      </c>
    </row>
    <row r="1404" spans="1:33" x14ac:dyDescent="0.2">
      <c r="A1404" s="114"/>
      <c r="B1404" s="23"/>
      <c r="C1404" s="23"/>
      <c r="D1404" s="23"/>
      <c r="E1404" s="23"/>
      <c r="Y1404" s="8" t="str">
        <f>IF(A1404="","",IFERROR(IF(VLOOKUP(A1404,Entry!$D:$D,1,FALSE)=A1404,"",ROW()),ROW()))</f>
        <v/>
      </c>
      <c r="AG1404" s="8" t="str">
        <f>IF(A1404="","",IFERROR(IF(VLOOKUP(A1404,Entry!$D:$D,1,FALSE)=A1404,TRUE,FALSE),FALSE))</f>
        <v/>
      </c>
    </row>
    <row r="1405" spans="1:33" x14ac:dyDescent="0.2">
      <c r="A1405" s="114"/>
      <c r="B1405" s="23"/>
      <c r="C1405" s="23"/>
      <c r="D1405" s="23"/>
      <c r="E1405" s="23"/>
      <c r="Y1405" s="8" t="str">
        <f>IF(A1405="","",IFERROR(IF(VLOOKUP(A1405,Entry!$D:$D,1,FALSE)=A1405,"",ROW()),ROW()))</f>
        <v/>
      </c>
      <c r="AG1405" s="8" t="str">
        <f>IF(A1405="","",IFERROR(IF(VLOOKUP(A1405,Entry!$D:$D,1,FALSE)=A1405,TRUE,FALSE),FALSE))</f>
        <v/>
      </c>
    </row>
    <row r="1406" spans="1:33" x14ac:dyDescent="0.2">
      <c r="A1406" s="114"/>
      <c r="B1406" s="23"/>
      <c r="C1406" s="23"/>
      <c r="D1406" s="23"/>
      <c r="E1406" s="23"/>
      <c r="Y1406" s="8" t="str">
        <f>IF(A1406="","",IFERROR(IF(VLOOKUP(A1406,Entry!$D:$D,1,FALSE)=A1406,"",ROW()),ROW()))</f>
        <v/>
      </c>
      <c r="AG1406" s="8" t="str">
        <f>IF(A1406="","",IFERROR(IF(VLOOKUP(A1406,Entry!$D:$D,1,FALSE)=A1406,TRUE,FALSE),FALSE))</f>
        <v/>
      </c>
    </row>
    <row r="1407" spans="1:33" x14ac:dyDescent="0.2">
      <c r="A1407" s="114"/>
      <c r="B1407" s="23"/>
      <c r="C1407" s="23"/>
      <c r="D1407" s="23"/>
      <c r="E1407" s="23"/>
      <c r="Y1407" s="8" t="str">
        <f>IF(A1407="","",IFERROR(IF(VLOOKUP(A1407,Entry!$D:$D,1,FALSE)=A1407,"",ROW()),ROW()))</f>
        <v/>
      </c>
      <c r="AG1407" s="8" t="str">
        <f>IF(A1407="","",IFERROR(IF(VLOOKUP(A1407,Entry!$D:$D,1,FALSE)=A1407,TRUE,FALSE),FALSE))</f>
        <v/>
      </c>
    </row>
    <row r="1408" spans="1:33" x14ac:dyDescent="0.2">
      <c r="A1408" s="114"/>
      <c r="B1408" s="23"/>
      <c r="C1408" s="23"/>
      <c r="D1408" s="23"/>
      <c r="E1408" s="23"/>
      <c r="Y1408" s="8" t="str">
        <f>IF(A1408="","",IFERROR(IF(VLOOKUP(A1408,Entry!$D:$D,1,FALSE)=A1408,"",ROW()),ROW()))</f>
        <v/>
      </c>
      <c r="AG1408" s="8" t="str">
        <f>IF(A1408="","",IFERROR(IF(VLOOKUP(A1408,Entry!$D:$D,1,FALSE)=A1408,TRUE,FALSE),FALSE))</f>
        <v/>
      </c>
    </row>
    <row r="1409" spans="1:33" x14ac:dyDescent="0.2">
      <c r="A1409" s="114"/>
      <c r="B1409" s="23"/>
      <c r="C1409" s="23"/>
      <c r="D1409" s="23"/>
      <c r="E1409" s="23"/>
      <c r="Y1409" s="8" t="str">
        <f>IF(A1409="","",IFERROR(IF(VLOOKUP(A1409,Entry!$D:$D,1,FALSE)=A1409,"",ROW()),ROW()))</f>
        <v/>
      </c>
      <c r="AG1409" s="8" t="str">
        <f>IF(A1409="","",IFERROR(IF(VLOOKUP(A1409,Entry!$D:$D,1,FALSE)=A1409,TRUE,FALSE),FALSE))</f>
        <v/>
      </c>
    </row>
    <row r="1410" spans="1:33" x14ac:dyDescent="0.2">
      <c r="A1410" s="114"/>
      <c r="B1410" s="23"/>
      <c r="C1410" s="23"/>
      <c r="D1410" s="23"/>
      <c r="E1410" s="23"/>
      <c r="Y1410" s="8" t="str">
        <f>IF(A1410="","",IFERROR(IF(VLOOKUP(A1410,Entry!$D:$D,1,FALSE)=A1410,"",ROW()),ROW()))</f>
        <v/>
      </c>
      <c r="AG1410" s="8" t="str">
        <f>IF(A1410="","",IFERROR(IF(VLOOKUP(A1410,Entry!$D:$D,1,FALSE)=A1410,TRUE,FALSE),FALSE))</f>
        <v/>
      </c>
    </row>
    <row r="1411" spans="1:33" x14ac:dyDescent="0.2">
      <c r="A1411" s="114"/>
      <c r="B1411" s="23"/>
      <c r="C1411" s="23"/>
      <c r="D1411" s="23"/>
      <c r="E1411" s="23"/>
      <c r="Y1411" s="8" t="str">
        <f>IF(A1411="","",IFERROR(IF(VLOOKUP(A1411,Entry!$D:$D,1,FALSE)=A1411,"",ROW()),ROW()))</f>
        <v/>
      </c>
      <c r="AG1411" s="8" t="str">
        <f>IF(A1411="","",IFERROR(IF(VLOOKUP(A1411,Entry!$D:$D,1,FALSE)=A1411,TRUE,FALSE),FALSE))</f>
        <v/>
      </c>
    </row>
    <row r="1412" spans="1:33" x14ac:dyDescent="0.2">
      <c r="A1412" s="114"/>
      <c r="B1412" s="23"/>
      <c r="C1412" s="23"/>
      <c r="D1412" s="23"/>
      <c r="E1412" s="23"/>
      <c r="Y1412" s="8" t="str">
        <f>IF(A1412="","",IFERROR(IF(VLOOKUP(A1412,Entry!$D:$D,1,FALSE)=A1412,"",ROW()),ROW()))</f>
        <v/>
      </c>
      <c r="AG1412" s="8" t="str">
        <f>IF(A1412="","",IFERROR(IF(VLOOKUP(A1412,Entry!$D:$D,1,FALSE)=A1412,TRUE,FALSE),FALSE))</f>
        <v/>
      </c>
    </row>
    <row r="1413" spans="1:33" x14ac:dyDescent="0.2">
      <c r="A1413" s="114"/>
      <c r="B1413" s="23"/>
      <c r="C1413" s="23"/>
      <c r="D1413" s="23"/>
      <c r="E1413" s="23"/>
      <c r="Y1413" s="8" t="str">
        <f>IF(A1413="","",IFERROR(IF(VLOOKUP(A1413,Entry!$D:$D,1,FALSE)=A1413,"",ROW()),ROW()))</f>
        <v/>
      </c>
      <c r="AG1413" s="8" t="str">
        <f>IF(A1413="","",IFERROR(IF(VLOOKUP(A1413,Entry!$D:$D,1,FALSE)=A1413,TRUE,FALSE),FALSE))</f>
        <v/>
      </c>
    </row>
    <row r="1414" spans="1:33" x14ac:dyDescent="0.2">
      <c r="A1414" s="114"/>
      <c r="B1414" s="23"/>
      <c r="C1414" s="23"/>
      <c r="D1414" s="23"/>
      <c r="E1414" s="23"/>
      <c r="Y1414" s="8" t="str">
        <f>IF(A1414="","",IFERROR(IF(VLOOKUP(A1414,Entry!$D:$D,1,FALSE)=A1414,"",ROW()),ROW()))</f>
        <v/>
      </c>
      <c r="AG1414" s="8" t="str">
        <f>IF(A1414="","",IFERROR(IF(VLOOKUP(A1414,Entry!$D:$D,1,FALSE)=A1414,TRUE,FALSE),FALSE))</f>
        <v/>
      </c>
    </row>
    <row r="1415" spans="1:33" x14ac:dyDescent="0.2">
      <c r="A1415" s="114"/>
      <c r="B1415" s="23"/>
      <c r="C1415" s="23"/>
      <c r="D1415" s="23"/>
      <c r="E1415" s="23"/>
      <c r="Y1415" s="8" t="str">
        <f>IF(A1415="","",IFERROR(IF(VLOOKUP(A1415,Entry!$D:$D,1,FALSE)=A1415,"",ROW()),ROW()))</f>
        <v/>
      </c>
      <c r="AG1415" s="8" t="str">
        <f>IF(A1415="","",IFERROR(IF(VLOOKUP(A1415,Entry!$D:$D,1,FALSE)=A1415,TRUE,FALSE),FALSE))</f>
        <v/>
      </c>
    </row>
    <row r="1416" spans="1:33" x14ac:dyDescent="0.2">
      <c r="A1416" s="114"/>
      <c r="B1416" s="23"/>
      <c r="C1416" s="23"/>
      <c r="D1416" s="23"/>
      <c r="E1416" s="23"/>
      <c r="Y1416" s="8" t="str">
        <f>IF(A1416="","",IFERROR(IF(VLOOKUP(A1416,Entry!$D:$D,1,FALSE)=A1416,"",ROW()),ROW()))</f>
        <v/>
      </c>
      <c r="AG1416" s="8" t="str">
        <f>IF(A1416="","",IFERROR(IF(VLOOKUP(A1416,Entry!$D:$D,1,FALSE)=A1416,TRUE,FALSE),FALSE))</f>
        <v/>
      </c>
    </row>
    <row r="1417" spans="1:33" x14ac:dyDescent="0.2">
      <c r="A1417" s="114"/>
      <c r="B1417" s="23"/>
      <c r="C1417" s="23"/>
      <c r="D1417" s="23"/>
      <c r="E1417" s="23"/>
      <c r="Y1417" s="8" t="str">
        <f>IF(A1417="","",IFERROR(IF(VLOOKUP(A1417,Entry!$D:$D,1,FALSE)=A1417,"",ROW()),ROW()))</f>
        <v/>
      </c>
      <c r="AG1417" s="8" t="str">
        <f>IF(A1417="","",IFERROR(IF(VLOOKUP(A1417,Entry!$D:$D,1,FALSE)=A1417,TRUE,FALSE),FALSE))</f>
        <v/>
      </c>
    </row>
    <row r="1418" spans="1:33" x14ac:dyDescent="0.2">
      <c r="A1418" s="114"/>
      <c r="B1418" s="23"/>
      <c r="C1418" s="23"/>
      <c r="D1418" s="23"/>
      <c r="E1418" s="23"/>
      <c r="Y1418" s="8" t="str">
        <f>IF(A1418="","",IFERROR(IF(VLOOKUP(A1418,Entry!$D:$D,1,FALSE)=A1418,"",ROW()),ROW()))</f>
        <v/>
      </c>
      <c r="AG1418" s="8" t="str">
        <f>IF(A1418="","",IFERROR(IF(VLOOKUP(A1418,Entry!$D:$D,1,FALSE)=A1418,TRUE,FALSE),FALSE))</f>
        <v/>
      </c>
    </row>
    <row r="1419" spans="1:33" x14ac:dyDescent="0.2">
      <c r="A1419" s="114"/>
      <c r="B1419" s="23"/>
      <c r="C1419" s="23"/>
      <c r="D1419" s="23"/>
      <c r="E1419" s="23"/>
      <c r="Y1419" s="8" t="str">
        <f>IF(A1419="","",IFERROR(IF(VLOOKUP(A1419,Entry!$D:$D,1,FALSE)=A1419,"",ROW()),ROW()))</f>
        <v/>
      </c>
      <c r="AG1419" s="8" t="str">
        <f>IF(A1419="","",IFERROR(IF(VLOOKUP(A1419,Entry!$D:$D,1,FALSE)=A1419,TRUE,FALSE),FALSE))</f>
        <v/>
      </c>
    </row>
    <row r="1420" spans="1:33" x14ac:dyDescent="0.2">
      <c r="A1420" s="114"/>
      <c r="B1420" s="23"/>
      <c r="C1420" s="23"/>
      <c r="D1420" s="23"/>
      <c r="E1420" s="23"/>
      <c r="Y1420" s="8" t="str">
        <f>IF(A1420="","",IFERROR(IF(VLOOKUP(A1420,Entry!$D:$D,1,FALSE)=A1420,"",ROW()),ROW()))</f>
        <v/>
      </c>
      <c r="AG1420" s="8" t="str">
        <f>IF(A1420="","",IFERROR(IF(VLOOKUP(A1420,Entry!$D:$D,1,FALSE)=A1420,TRUE,FALSE),FALSE))</f>
        <v/>
      </c>
    </row>
    <row r="1421" spans="1:33" x14ac:dyDescent="0.2">
      <c r="A1421" s="114"/>
      <c r="B1421" s="23"/>
      <c r="C1421" s="23"/>
      <c r="D1421" s="23"/>
      <c r="E1421" s="23"/>
      <c r="Y1421" s="8" t="str">
        <f>IF(A1421="","",IFERROR(IF(VLOOKUP(A1421,Entry!$D:$D,1,FALSE)=A1421,"",ROW()),ROW()))</f>
        <v/>
      </c>
      <c r="AG1421" s="8" t="str">
        <f>IF(A1421="","",IFERROR(IF(VLOOKUP(A1421,Entry!$D:$D,1,FALSE)=A1421,TRUE,FALSE),FALSE))</f>
        <v/>
      </c>
    </row>
    <row r="1422" spans="1:33" x14ac:dyDescent="0.2">
      <c r="A1422" s="114"/>
      <c r="B1422" s="23"/>
      <c r="C1422" s="23"/>
      <c r="D1422" s="23"/>
      <c r="E1422" s="23"/>
      <c r="Y1422" s="8" t="str">
        <f>IF(A1422="","",IFERROR(IF(VLOOKUP(A1422,Entry!$D:$D,1,FALSE)=A1422,"",ROW()),ROW()))</f>
        <v/>
      </c>
      <c r="AG1422" s="8" t="str">
        <f>IF(A1422="","",IFERROR(IF(VLOOKUP(A1422,Entry!$D:$D,1,FALSE)=A1422,TRUE,FALSE),FALSE))</f>
        <v/>
      </c>
    </row>
    <row r="1423" spans="1:33" x14ac:dyDescent="0.2">
      <c r="A1423" s="114"/>
      <c r="B1423" s="23"/>
      <c r="C1423" s="23"/>
      <c r="D1423" s="23"/>
      <c r="E1423" s="23"/>
      <c r="Y1423" s="8" t="str">
        <f>IF(A1423="","",IFERROR(IF(VLOOKUP(A1423,Entry!$D:$D,1,FALSE)=A1423,"",ROW()),ROW()))</f>
        <v/>
      </c>
      <c r="AG1423" s="8" t="str">
        <f>IF(A1423="","",IFERROR(IF(VLOOKUP(A1423,Entry!$D:$D,1,FALSE)=A1423,TRUE,FALSE),FALSE))</f>
        <v/>
      </c>
    </row>
    <row r="1424" spans="1:33" x14ac:dyDescent="0.2">
      <c r="A1424" s="114"/>
      <c r="B1424" s="23"/>
      <c r="C1424" s="23"/>
      <c r="D1424" s="23"/>
      <c r="E1424" s="23"/>
      <c r="Y1424" s="8" t="str">
        <f>IF(A1424="","",IFERROR(IF(VLOOKUP(A1424,Entry!$D:$D,1,FALSE)=A1424,"",ROW()),ROW()))</f>
        <v/>
      </c>
      <c r="AG1424" s="8" t="str">
        <f>IF(A1424="","",IFERROR(IF(VLOOKUP(A1424,Entry!$D:$D,1,FALSE)=A1424,TRUE,FALSE),FALSE))</f>
        <v/>
      </c>
    </row>
    <row r="1425" spans="1:33" x14ac:dyDescent="0.2">
      <c r="A1425" s="114"/>
      <c r="B1425" s="23"/>
      <c r="C1425" s="23"/>
      <c r="D1425" s="23"/>
      <c r="E1425" s="23"/>
      <c r="Y1425" s="8" t="str">
        <f>IF(A1425="","",IFERROR(IF(VLOOKUP(A1425,Entry!$D:$D,1,FALSE)=A1425,"",ROW()),ROW()))</f>
        <v/>
      </c>
      <c r="AG1425" s="8" t="str">
        <f>IF(A1425="","",IFERROR(IF(VLOOKUP(A1425,Entry!$D:$D,1,FALSE)=A1425,TRUE,FALSE),FALSE))</f>
        <v/>
      </c>
    </row>
    <row r="1426" spans="1:33" x14ac:dyDescent="0.2">
      <c r="A1426" s="114"/>
      <c r="B1426" s="23"/>
      <c r="C1426" s="23"/>
      <c r="D1426" s="23"/>
      <c r="E1426" s="23"/>
      <c r="Y1426" s="8" t="str">
        <f>IF(A1426="","",IFERROR(IF(VLOOKUP(A1426,Entry!$D:$D,1,FALSE)=A1426,"",ROW()),ROW()))</f>
        <v/>
      </c>
      <c r="AG1426" s="8" t="str">
        <f>IF(A1426="","",IFERROR(IF(VLOOKUP(A1426,Entry!$D:$D,1,FALSE)=A1426,TRUE,FALSE),FALSE))</f>
        <v/>
      </c>
    </row>
    <row r="1427" spans="1:33" x14ac:dyDescent="0.2">
      <c r="A1427" s="114"/>
      <c r="B1427" s="23"/>
      <c r="C1427" s="23"/>
      <c r="D1427" s="23"/>
      <c r="E1427" s="23"/>
      <c r="Y1427" s="8" t="str">
        <f>IF(A1427="","",IFERROR(IF(VLOOKUP(A1427,Entry!$D:$D,1,FALSE)=A1427,"",ROW()),ROW()))</f>
        <v/>
      </c>
      <c r="AG1427" s="8" t="str">
        <f>IF(A1427="","",IFERROR(IF(VLOOKUP(A1427,Entry!$D:$D,1,FALSE)=A1427,TRUE,FALSE),FALSE))</f>
        <v/>
      </c>
    </row>
    <row r="1428" spans="1:33" x14ac:dyDescent="0.2">
      <c r="A1428" s="114"/>
      <c r="B1428" s="23"/>
      <c r="C1428" s="23"/>
      <c r="D1428" s="23"/>
      <c r="E1428" s="23"/>
      <c r="Y1428" s="8" t="str">
        <f>IF(A1428="","",IFERROR(IF(VLOOKUP(A1428,Entry!$D:$D,1,FALSE)=A1428,"",ROW()),ROW()))</f>
        <v/>
      </c>
      <c r="AG1428" s="8" t="str">
        <f>IF(A1428="","",IFERROR(IF(VLOOKUP(A1428,Entry!$D:$D,1,FALSE)=A1428,TRUE,FALSE),FALSE))</f>
        <v/>
      </c>
    </row>
    <row r="1429" spans="1:33" x14ac:dyDescent="0.2">
      <c r="A1429" s="114"/>
      <c r="B1429" s="23"/>
      <c r="C1429" s="23"/>
      <c r="D1429" s="23"/>
      <c r="E1429" s="23"/>
      <c r="Y1429" s="8" t="str">
        <f>IF(A1429="","",IFERROR(IF(VLOOKUP(A1429,Entry!$D:$D,1,FALSE)=A1429,"",ROW()),ROW()))</f>
        <v/>
      </c>
      <c r="AG1429" s="8" t="str">
        <f>IF(A1429="","",IFERROR(IF(VLOOKUP(A1429,Entry!$D:$D,1,FALSE)=A1429,TRUE,FALSE),FALSE))</f>
        <v/>
      </c>
    </row>
    <row r="1430" spans="1:33" x14ac:dyDescent="0.2">
      <c r="A1430" s="114"/>
      <c r="B1430" s="23"/>
      <c r="C1430" s="23"/>
      <c r="D1430" s="23"/>
      <c r="E1430" s="23"/>
      <c r="Y1430" s="8" t="str">
        <f>IF(A1430="","",IFERROR(IF(VLOOKUP(A1430,Entry!$D:$D,1,FALSE)=A1430,"",ROW()),ROW()))</f>
        <v/>
      </c>
      <c r="AG1430" s="8" t="str">
        <f>IF(A1430="","",IFERROR(IF(VLOOKUP(A1430,Entry!$D:$D,1,FALSE)=A1430,TRUE,FALSE),FALSE))</f>
        <v/>
      </c>
    </row>
    <row r="1431" spans="1:33" x14ac:dyDescent="0.2">
      <c r="A1431" s="114"/>
      <c r="B1431" s="23"/>
      <c r="C1431" s="23"/>
      <c r="D1431" s="23"/>
      <c r="E1431" s="23"/>
      <c r="Y1431" s="8" t="str">
        <f>IF(A1431="","",IFERROR(IF(VLOOKUP(A1431,Entry!$D:$D,1,FALSE)=A1431,"",ROW()),ROW()))</f>
        <v/>
      </c>
      <c r="AG1431" s="8" t="str">
        <f>IF(A1431="","",IFERROR(IF(VLOOKUP(A1431,Entry!$D:$D,1,FALSE)=A1431,TRUE,FALSE),FALSE))</f>
        <v/>
      </c>
    </row>
    <row r="1432" spans="1:33" x14ac:dyDescent="0.2">
      <c r="A1432" s="114"/>
      <c r="B1432" s="23"/>
      <c r="C1432" s="23"/>
      <c r="D1432" s="23"/>
      <c r="E1432" s="23"/>
      <c r="Y1432" s="8" t="str">
        <f>IF(A1432="","",IFERROR(IF(VLOOKUP(A1432,Entry!$D:$D,1,FALSE)=A1432,"",ROW()),ROW()))</f>
        <v/>
      </c>
      <c r="AG1432" s="8" t="str">
        <f>IF(A1432="","",IFERROR(IF(VLOOKUP(A1432,Entry!$D:$D,1,FALSE)=A1432,TRUE,FALSE),FALSE))</f>
        <v/>
      </c>
    </row>
    <row r="1433" spans="1:33" x14ac:dyDescent="0.2">
      <c r="A1433" s="114"/>
      <c r="B1433" s="23"/>
      <c r="C1433" s="23"/>
      <c r="D1433" s="23"/>
      <c r="E1433" s="23"/>
      <c r="Y1433" s="8" t="str">
        <f>IF(A1433="","",IFERROR(IF(VLOOKUP(A1433,Entry!$D:$D,1,FALSE)=A1433,"",ROW()),ROW()))</f>
        <v/>
      </c>
      <c r="AG1433" s="8" t="str">
        <f>IF(A1433="","",IFERROR(IF(VLOOKUP(A1433,Entry!$D:$D,1,FALSE)=A1433,TRUE,FALSE),FALSE))</f>
        <v/>
      </c>
    </row>
    <row r="1434" spans="1:33" x14ac:dyDescent="0.2">
      <c r="A1434" s="114"/>
      <c r="B1434" s="23"/>
      <c r="C1434" s="23"/>
      <c r="D1434" s="23"/>
      <c r="E1434" s="23"/>
      <c r="Y1434" s="8" t="str">
        <f>IF(A1434="","",IFERROR(IF(VLOOKUP(A1434,Entry!$D:$D,1,FALSE)=A1434,"",ROW()),ROW()))</f>
        <v/>
      </c>
      <c r="AG1434" s="8" t="str">
        <f>IF(A1434="","",IFERROR(IF(VLOOKUP(A1434,Entry!$D:$D,1,FALSE)=A1434,TRUE,FALSE),FALSE))</f>
        <v/>
      </c>
    </row>
    <row r="1435" spans="1:33" x14ac:dyDescent="0.2">
      <c r="A1435" s="114"/>
      <c r="B1435" s="23"/>
      <c r="C1435" s="23"/>
      <c r="D1435" s="23"/>
      <c r="E1435" s="23"/>
      <c r="Y1435" s="8" t="str">
        <f>IF(A1435="","",IFERROR(IF(VLOOKUP(A1435,Entry!$D:$D,1,FALSE)=A1435,"",ROW()),ROW()))</f>
        <v/>
      </c>
      <c r="AG1435" s="8" t="str">
        <f>IF(A1435="","",IFERROR(IF(VLOOKUP(A1435,Entry!$D:$D,1,FALSE)=A1435,TRUE,FALSE),FALSE))</f>
        <v/>
      </c>
    </row>
    <row r="1436" spans="1:33" x14ac:dyDescent="0.2">
      <c r="A1436" s="114"/>
      <c r="B1436" s="23"/>
      <c r="C1436" s="23"/>
      <c r="D1436" s="23"/>
      <c r="E1436" s="23"/>
      <c r="Y1436" s="8" t="str">
        <f>IF(A1436="","",IFERROR(IF(VLOOKUP(A1436,Entry!$D:$D,1,FALSE)=A1436,"",ROW()),ROW()))</f>
        <v/>
      </c>
      <c r="AG1436" s="8" t="str">
        <f>IF(A1436="","",IFERROR(IF(VLOOKUP(A1436,Entry!$D:$D,1,FALSE)=A1436,TRUE,FALSE),FALSE))</f>
        <v/>
      </c>
    </row>
    <row r="1437" spans="1:33" x14ac:dyDescent="0.2">
      <c r="A1437" s="114"/>
      <c r="B1437" s="23"/>
      <c r="C1437" s="23"/>
      <c r="D1437" s="23"/>
      <c r="E1437" s="23"/>
      <c r="Y1437" s="8" t="str">
        <f>IF(A1437="","",IFERROR(IF(VLOOKUP(A1437,Entry!$D:$D,1,FALSE)=A1437,"",ROW()),ROW()))</f>
        <v/>
      </c>
      <c r="AG1437" s="8" t="str">
        <f>IF(A1437="","",IFERROR(IF(VLOOKUP(A1437,Entry!$D:$D,1,FALSE)=A1437,TRUE,FALSE),FALSE))</f>
        <v/>
      </c>
    </row>
    <row r="1438" spans="1:33" x14ac:dyDescent="0.2">
      <c r="A1438" s="114"/>
      <c r="B1438" s="23"/>
      <c r="C1438" s="23"/>
      <c r="D1438" s="23"/>
      <c r="E1438" s="23"/>
      <c r="Y1438" s="8" t="str">
        <f>IF(A1438="","",IFERROR(IF(VLOOKUP(A1438,Entry!$D:$D,1,FALSE)=A1438,"",ROW()),ROW()))</f>
        <v/>
      </c>
      <c r="AG1438" s="8" t="str">
        <f>IF(A1438="","",IFERROR(IF(VLOOKUP(A1438,Entry!$D:$D,1,FALSE)=A1438,TRUE,FALSE),FALSE))</f>
        <v/>
      </c>
    </row>
    <row r="1439" spans="1:33" x14ac:dyDescent="0.2">
      <c r="A1439" s="114"/>
      <c r="B1439" s="23"/>
      <c r="C1439" s="23"/>
      <c r="D1439" s="23"/>
      <c r="E1439" s="23"/>
      <c r="Y1439" s="8" t="str">
        <f>IF(A1439="","",IFERROR(IF(VLOOKUP(A1439,Entry!$D:$D,1,FALSE)=A1439,"",ROW()),ROW()))</f>
        <v/>
      </c>
      <c r="AG1439" s="8" t="str">
        <f>IF(A1439="","",IFERROR(IF(VLOOKUP(A1439,Entry!$D:$D,1,FALSE)=A1439,TRUE,FALSE),FALSE))</f>
        <v/>
      </c>
    </row>
    <row r="1440" spans="1:33" x14ac:dyDescent="0.2">
      <c r="A1440" s="114"/>
      <c r="B1440" s="23"/>
      <c r="C1440" s="23"/>
      <c r="D1440" s="23"/>
      <c r="E1440" s="23"/>
      <c r="Y1440" s="8" t="str">
        <f>IF(A1440="","",IFERROR(IF(VLOOKUP(A1440,Entry!$D:$D,1,FALSE)=A1440,"",ROW()),ROW()))</f>
        <v/>
      </c>
      <c r="AG1440" s="8" t="str">
        <f>IF(A1440="","",IFERROR(IF(VLOOKUP(A1440,Entry!$D:$D,1,FALSE)=A1440,TRUE,FALSE),FALSE))</f>
        <v/>
      </c>
    </row>
    <row r="1441" spans="1:33" x14ac:dyDescent="0.2">
      <c r="A1441" s="114"/>
      <c r="B1441" s="23"/>
      <c r="C1441" s="23"/>
      <c r="D1441" s="23"/>
      <c r="E1441" s="23"/>
      <c r="Y1441" s="8" t="str">
        <f>IF(A1441="","",IFERROR(IF(VLOOKUP(A1441,Entry!$D:$D,1,FALSE)=A1441,"",ROW()),ROW()))</f>
        <v/>
      </c>
      <c r="AG1441" s="8" t="str">
        <f>IF(A1441="","",IFERROR(IF(VLOOKUP(A1441,Entry!$D:$D,1,FALSE)=A1441,TRUE,FALSE),FALSE))</f>
        <v/>
      </c>
    </row>
    <row r="1442" spans="1:33" x14ac:dyDescent="0.2">
      <c r="A1442" s="114"/>
      <c r="B1442" s="23"/>
      <c r="C1442" s="23"/>
      <c r="D1442" s="23"/>
      <c r="E1442" s="23"/>
      <c r="Y1442" s="8" t="str">
        <f>IF(A1442="","",IFERROR(IF(VLOOKUP(A1442,Entry!$D:$D,1,FALSE)=A1442,"",ROW()),ROW()))</f>
        <v/>
      </c>
      <c r="AG1442" s="8" t="str">
        <f>IF(A1442="","",IFERROR(IF(VLOOKUP(A1442,Entry!$D:$D,1,FALSE)=A1442,TRUE,FALSE),FALSE))</f>
        <v/>
      </c>
    </row>
    <row r="1443" spans="1:33" x14ac:dyDescent="0.2">
      <c r="A1443" s="114"/>
      <c r="B1443" s="23"/>
      <c r="C1443" s="23"/>
      <c r="D1443" s="23"/>
      <c r="E1443" s="23"/>
      <c r="Y1443" s="8" t="str">
        <f>IF(A1443="","",IFERROR(IF(VLOOKUP(A1443,Entry!$D:$D,1,FALSE)=A1443,"",ROW()),ROW()))</f>
        <v/>
      </c>
      <c r="AG1443" s="8" t="str">
        <f>IF(A1443="","",IFERROR(IF(VLOOKUP(A1443,Entry!$D:$D,1,FALSE)=A1443,TRUE,FALSE),FALSE))</f>
        <v/>
      </c>
    </row>
    <row r="1444" spans="1:33" x14ac:dyDescent="0.2">
      <c r="A1444" s="114"/>
      <c r="B1444" s="23"/>
      <c r="C1444" s="23"/>
      <c r="D1444" s="23"/>
      <c r="E1444" s="23"/>
      <c r="Y1444" s="8" t="str">
        <f>IF(A1444="","",IFERROR(IF(VLOOKUP(A1444,Entry!$D:$D,1,FALSE)=A1444,"",ROW()),ROW()))</f>
        <v/>
      </c>
      <c r="AG1444" s="8" t="str">
        <f>IF(A1444="","",IFERROR(IF(VLOOKUP(A1444,Entry!$D:$D,1,FALSE)=A1444,TRUE,FALSE),FALSE))</f>
        <v/>
      </c>
    </row>
    <row r="1445" spans="1:33" x14ac:dyDescent="0.2">
      <c r="A1445" s="114"/>
      <c r="B1445" s="23"/>
      <c r="C1445" s="23"/>
      <c r="D1445" s="23"/>
      <c r="E1445" s="23"/>
      <c r="Y1445" s="8" t="str">
        <f>IF(A1445="","",IFERROR(IF(VLOOKUP(A1445,Entry!$D:$D,1,FALSE)=A1445,"",ROW()),ROW()))</f>
        <v/>
      </c>
      <c r="AG1445" s="8" t="str">
        <f>IF(A1445="","",IFERROR(IF(VLOOKUP(A1445,Entry!$D:$D,1,FALSE)=A1445,TRUE,FALSE),FALSE))</f>
        <v/>
      </c>
    </row>
    <row r="1446" spans="1:33" x14ac:dyDescent="0.2">
      <c r="A1446" s="114"/>
      <c r="B1446" s="23"/>
      <c r="C1446" s="23"/>
      <c r="D1446" s="23"/>
      <c r="E1446" s="23"/>
      <c r="Y1446" s="8" t="str">
        <f>IF(A1446="","",IFERROR(IF(VLOOKUP(A1446,Entry!$D:$D,1,FALSE)=A1446,"",ROW()),ROW()))</f>
        <v/>
      </c>
      <c r="AG1446" s="8" t="str">
        <f>IF(A1446="","",IFERROR(IF(VLOOKUP(A1446,Entry!$D:$D,1,FALSE)=A1446,TRUE,FALSE),FALSE))</f>
        <v/>
      </c>
    </row>
    <row r="1447" spans="1:33" x14ac:dyDescent="0.2">
      <c r="A1447" s="114"/>
      <c r="B1447" s="23"/>
      <c r="C1447" s="23"/>
      <c r="D1447" s="23"/>
      <c r="E1447" s="23"/>
      <c r="Y1447" s="8" t="str">
        <f>IF(A1447="","",IFERROR(IF(VLOOKUP(A1447,Entry!$D:$D,1,FALSE)=A1447,"",ROW()),ROW()))</f>
        <v/>
      </c>
      <c r="AG1447" s="8" t="str">
        <f>IF(A1447="","",IFERROR(IF(VLOOKUP(A1447,Entry!$D:$D,1,FALSE)=A1447,TRUE,FALSE),FALSE))</f>
        <v/>
      </c>
    </row>
    <row r="1448" spans="1:33" x14ac:dyDescent="0.2">
      <c r="A1448" s="114"/>
      <c r="B1448" s="23"/>
      <c r="C1448" s="23"/>
      <c r="D1448" s="23"/>
      <c r="E1448" s="23"/>
      <c r="Y1448" s="8" t="str">
        <f>IF(A1448="","",IFERROR(IF(VLOOKUP(A1448,Entry!$D:$D,1,FALSE)=A1448,"",ROW()),ROW()))</f>
        <v/>
      </c>
      <c r="AG1448" s="8" t="str">
        <f>IF(A1448="","",IFERROR(IF(VLOOKUP(A1448,Entry!$D:$D,1,FALSE)=A1448,TRUE,FALSE),FALSE))</f>
        <v/>
      </c>
    </row>
    <row r="1449" spans="1:33" x14ac:dyDescent="0.2">
      <c r="A1449" s="114"/>
      <c r="B1449" s="23"/>
      <c r="C1449" s="23"/>
      <c r="D1449" s="23"/>
      <c r="E1449" s="23"/>
      <c r="Y1449" s="8" t="str">
        <f>IF(A1449="","",IFERROR(IF(VLOOKUP(A1449,Entry!$D:$D,1,FALSE)=A1449,"",ROW()),ROW()))</f>
        <v/>
      </c>
      <c r="AG1449" s="8" t="str">
        <f>IF(A1449="","",IFERROR(IF(VLOOKUP(A1449,Entry!$D:$D,1,FALSE)=A1449,TRUE,FALSE),FALSE))</f>
        <v/>
      </c>
    </row>
    <row r="1450" spans="1:33" x14ac:dyDescent="0.2">
      <c r="A1450" s="114"/>
      <c r="B1450" s="23"/>
      <c r="C1450" s="23"/>
      <c r="D1450" s="23"/>
      <c r="E1450" s="23"/>
      <c r="Y1450" s="8" t="str">
        <f>IF(A1450="","",IFERROR(IF(VLOOKUP(A1450,Entry!$D:$D,1,FALSE)=A1450,"",ROW()),ROW()))</f>
        <v/>
      </c>
      <c r="AG1450" s="8" t="str">
        <f>IF(A1450="","",IFERROR(IF(VLOOKUP(A1450,Entry!$D:$D,1,FALSE)=A1450,TRUE,FALSE),FALSE))</f>
        <v/>
      </c>
    </row>
    <row r="1451" spans="1:33" x14ac:dyDescent="0.2">
      <c r="A1451" s="114"/>
      <c r="B1451" s="23"/>
      <c r="C1451" s="23"/>
      <c r="D1451" s="23"/>
      <c r="E1451" s="23"/>
      <c r="Y1451" s="8" t="str">
        <f>IF(A1451="","",IFERROR(IF(VLOOKUP(A1451,Entry!$D:$D,1,FALSE)=A1451,"",ROW()),ROW()))</f>
        <v/>
      </c>
      <c r="AG1451" s="8" t="str">
        <f>IF(A1451="","",IFERROR(IF(VLOOKUP(A1451,Entry!$D:$D,1,FALSE)=A1451,TRUE,FALSE),FALSE))</f>
        <v/>
      </c>
    </row>
    <row r="1452" spans="1:33" x14ac:dyDescent="0.2">
      <c r="A1452" s="114"/>
      <c r="B1452" s="23"/>
      <c r="C1452" s="23"/>
      <c r="D1452" s="23"/>
      <c r="E1452" s="23"/>
      <c r="Y1452" s="8" t="str">
        <f>IF(A1452="","",IFERROR(IF(VLOOKUP(A1452,Entry!$D:$D,1,FALSE)=A1452,"",ROW()),ROW()))</f>
        <v/>
      </c>
      <c r="AG1452" s="8" t="str">
        <f>IF(A1452="","",IFERROR(IF(VLOOKUP(A1452,Entry!$D:$D,1,FALSE)=A1452,TRUE,FALSE),FALSE))</f>
        <v/>
      </c>
    </row>
    <row r="1453" spans="1:33" x14ac:dyDescent="0.2">
      <c r="A1453" s="114"/>
      <c r="B1453" s="23"/>
      <c r="C1453" s="23"/>
      <c r="D1453" s="23"/>
      <c r="E1453" s="23"/>
      <c r="Y1453" s="8" t="str">
        <f>IF(A1453="","",IFERROR(IF(VLOOKUP(A1453,Entry!$D:$D,1,FALSE)=A1453,"",ROW()),ROW()))</f>
        <v/>
      </c>
      <c r="AG1453" s="8" t="str">
        <f>IF(A1453="","",IFERROR(IF(VLOOKUP(A1453,Entry!$D:$D,1,FALSE)=A1453,TRUE,FALSE),FALSE))</f>
        <v/>
      </c>
    </row>
    <row r="1454" spans="1:33" x14ac:dyDescent="0.2">
      <c r="A1454" s="114"/>
      <c r="B1454" s="23"/>
      <c r="C1454" s="23"/>
      <c r="D1454" s="23"/>
      <c r="E1454" s="23"/>
      <c r="Y1454" s="8" t="str">
        <f>IF(A1454="","",IFERROR(IF(VLOOKUP(A1454,Entry!$D:$D,1,FALSE)=A1454,"",ROW()),ROW()))</f>
        <v/>
      </c>
      <c r="AG1454" s="8" t="str">
        <f>IF(A1454="","",IFERROR(IF(VLOOKUP(A1454,Entry!$D:$D,1,FALSE)=A1454,TRUE,FALSE),FALSE))</f>
        <v/>
      </c>
    </row>
    <row r="1455" spans="1:33" x14ac:dyDescent="0.2">
      <c r="A1455" s="114"/>
      <c r="B1455" s="23"/>
      <c r="C1455" s="23"/>
      <c r="D1455" s="23"/>
      <c r="E1455" s="23"/>
      <c r="Y1455" s="8" t="str">
        <f>IF(A1455="","",IFERROR(IF(VLOOKUP(A1455,Entry!$D:$D,1,FALSE)=A1455,"",ROW()),ROW()))</f>
        <v/>
      </c>
      <c r="AG1455" s="8" t="str">
        <f>IF(A1455="","",IFERROR(IF(VLOOKUP(A1455,Entry!$D:$D,1,FALSE)=A1455,TRUE,FALSE),FALSE))</f>
        <v/>
      </c>
    </row>
    <row r="1456" spans="1:33" x14ac:dyDescent="0.2">
      <c r="A1456" s="114"/>
      <c r="B1456" s="23"/>
      <c r="C1456" s="23"/>
      <c r="D1456" s="23"/>
      <c r="E1456" s="23"/>
      <c r="Y1456" s="8" t="str">
        <f>IF(A1456="","",IFERROR(IF(VLOOKUP(A1456,Entry!$D:$D,1,FALSE)=A1456,"",ROW()),ROW()))</f>
        <v/>
      </c>
      <c r="AG1456" s="8" t="str">
        <f>IF(A1456="","",IFERROR(IF(VLOOKUP(A1456,Entry!$D:$D,1,FALSE)=A1456,TRUE,FALSE),FALSE))</f>
        <v/>
      </c>
    </row>
    <row r="1457" spans="1:33" x14ac:dyDescent="0.2">
      <c r="A1457" s="114"/>
      <c r="B1457" s="23"/>
      <c r="C1457" s="23"/>
      <c r="D1457" s="23"/>
      <c r="E1457" s="23"/>
      <c r="Y1457" s="8" t="str">
        <f>IF(A1457="","",IFERROR(IF(VLOOKUP(A1457,Entry!$D:$D,1,FALSE)=A1457,"",ROW()),ROW()))</f>
        <v/>
      </c>
      <c r="AG1457" s="8" t="str">
        <f>IF(A1457="","",IFERROR(IF(VLOOKUP(A1457,Entry!$D:$D,1,FALSE)=A1457,TRUE,FALSE),FALSE))</f>
        <v/>
      </c>
    </row>
    <row r="1458" spans="1:33" x14ac:dyDescent="0.2">
      <c r="A1458" s="114"/>
      <c r="B1458" s="23"/>
      <c r="C1458" s="23"/>
      <c r="D1458" s="23"/>
      <c r="E1458" s="23"/>
      <c r="Y1458" s="8" t="str">
        <f>IF(A1458="","",IFERROR(IF(VLOOKUP(A1458,Entry!$D:$D,1,FALSE)=A1458,"",ROW()),ROW()))</f>
        <v/>
      </c>
      <c r="AG1458" s="8" t="str">
        <f>IF(A1458="","",IFERROR(IF(VLOOKUP(A1458,Entry!$D:$D,1,FALSE)=A1458,TRUE,FALSE),FALSE))</f>
        <v/>
      </c>
    </row>
    <row r="1459" spans="1:33" x14ac:dyDescent="0.2">
      <c r="A1459" s="114"/>
      <c r="B1459" s="23"/>
      <c r="C1459" s="23"/>
      <c r="D1459" s="23"/>
      <c r="E1459" s="23"/>
      <c r="Y1459" s="8" t="str">
        <f>IF(A1459="","",IFERROR(IF(VLOOKUP(A1459,Entry!$D:$D,1,FALSE)=A1459,"",ROW()),ROW()))</f>
        <v/>
      </c>
      <c r="AG1459" s="8" t="str">
        <f>IF(A1459="","",IFERROR(IF(VLOOKUP(A1459,Entry!$D:$D,1,FALSE)=A1459,TRUE,FALSE),FALSE))</f>
        <v/>
      </c>
    </row>
    <row r="1460" spans="1:33" x14ac:dyDescent="0.2">
      <c r="A1460" s="114"/>
      <c r="B1460" s="23"/>
      <c r="C1460" s="23"/>
      <c r="D1460" s="23"/>
      <c r="E1460" s="23"/>
      <c r="Y1460" s="8" t="str">
        <f>IF(A1460="","",IFERROR(IF(VLOOKUP(A1460,Entry!$D:$D,1,FALSE)=A1460,"",ROW()),ROW()))</f>
        <v/>
      </c>
      <c r="AG1460" s="8" t="str">
        <f>IF(A1460="","",IFERROR(IF(VLOOKUP(A1460,Entry!$D:$D,1,FALSE)=A1460,TRUE,FALSE),FALSE))</f>
        <v/>
      </c>
    </row>
    <row r="1461" spans="1:33" x14ac:dyDescent="0.2">
      <c r="A1461" s="114"/>
      <c r="B1461" s="23"/>
      <c r="C1461" s="23"/>
      <c r="D1461" s="23"/>
      <c r="E1461" s="23"/>
      <c r="Y1461" s="8" t="str">
        <f>IF(A1461="","",IFERROR(IF(VLOOKUP(A1461,Entry!$D:$D,1,FALSE)=A1461,"",ROW()),ROW()))</f>
        <v/>
      </c>
      <c r="AG1461" s="8" t="str">
        <f>IF(A1461="","",IFERROR(IF(VLOOKUP(A1461,Entry!$D:$D,1,FALSE)=A1461,TRUE,FALSE),FALSE))</f>
        <v/>
      </c>
    </row>
    <row r="1462" spans="1:33" x14ac:dyDescent="0.2">
      <c r="A1462" s="114"/>
      <c r="B1462" s="23"/>
      <c r="C1462" s="23"/>
      <c r="D1462" s="23"/>
      <c r="E1462" s="23"/>
      <c r="Y1462" s="8" t="str">
        <f>IF(A1462="","",IFERROR(IF(VLOOKUP(A1462,Entry!$D:$D,1,FALSE)=A1462,"",ROW()),ROW()))</f>
        <v/>
      </c>
      <c r="AG1462" s="8" t="str">
        <f>IF(A1462="","",IFERROR(IF(VLOOKUP(A1462,Entry!$D:$D,1,FALSE)=A1462,TRUE,FALSE),FALSE))</f>
        <v/>
      </c>
    </row>
    <row r="1463" spans="1:33" x14ac:dyDescent="0.2">
      <c r="A1463" s="114"/>
      <c r="B1463" s="23"/>
      <c r="C1463" s="23"/>
      <c r="D1463" s="23"/>
      <c r="E1463" s="23"/>
      <c r="Y1463" s="8" t="str">
        <f>IF(A1463="","",IFERROR(IF(VLOOKUP(A1463,Entry!$D:$D,1,FALSE)=A1463,"",ROW()),ROW()))</f>
        <v/>
      </c>
      <c r="AG1463" s="8" t="str">
        <f>IF(A1463="","",IFERROR(IF(VLOOKUP(A1463,Entry!$D:$D,1,FALSE)=A1463,TRUE,FALSE),FALSE))</f>
        <v/>
      </c>
    </row>
    <row r="1464" spans="1:33" x14ac:dyDescent="0.2">
      <c r="A1464" s="114"/>
      <c r="B1464" s="23"/>
      <c r="C1464" s="23"/>
      <c r="D1464" s="23"/>
      <c r="E1464" s="23"/>
      <c r="Y1464" s="8" t="str">
        <f>IF(A1464="","",IFERROR(IF(VLOOKUP(A1464,Entry!$D:$D,1,FALSE)=A1464,"",ROW()),ROW()))</f>
        <v/>
      </c>
      <c r="AG1464" s="8" t="str">
        <f>IF(A1464="","",IFERROR(IF(VLOOKUP(A1464,Entry!$D:$D,1,FALSE)=A1464,TRUE,FALSE),FALSE))</f>
        <v/>
      </c>
    </row>
    <row r="1465" spans="1:33" x14ac:dyDescent="0.2">
      <c r="A1465" s="114"/>
      <c r="B1465" s="23"/>
      <c r="C1465" s="23"/>
      <c r="D1465" s="23"/>
      <c r="E1465" s="23"/>
      <c r="Y1465" s="8" t="str">
        <f>IF(A1465="","",IFERROR(IF(VLOOKUP(A1465,Entry!$D:$D,1,FALSE)=A1465,"",ROW()),ROW()))</f>
        <v/>
      </c>
      <c r="AG1465" s="8" t="str">
        <f>IF(A1465="","",IFERROR(IF(VLOOKUP(A1465,Entry!$D:$D,1,FALSE)=A1465,TRUE,FALSE),FALSE))</f>
        <v/>
      </c>
    </row>
    <row r="1466" spans="1:33" x14ac:dyDescent="0.2">
      <c r="A1466" s="114"/>
      <c r="B1466" s="23"/>
      <c r="C1466" s="23"/>
      <c r="D1466" s="23"/>
      <c r="E1466" s="23"/>
      <c r="Y1466" s="8" t="str">
        <f>IF(A1466="","",IFERROR(IF(VLOOKUP(A1466,Entry!$D:$D,1,FALSE)=A1466,"",ROW()),ROW()))</f>
        <v/>
      </c>
      <c r="AG1466" s="8" t="str">
        <f>IF(A1466="","",IFERROR(IF(VLOOKUP(A1466,Entry!$D:$D,1,FALSE)=A1466,TRUE,FALSE),FALSE))</f>
        <v/>
      </c>
    </row>
    <row r="1467" spans="1:33" x14ac:dyDescent="0.2">
      <c r="A1467" s="114"/>
      <c r="B1467" s="23"/>
      <c r="C1467" s="23"/>
      <c r="D1467" s="23"/>
      <c r="E1467" s="23"/>
      <c r="Y1467" s="8" t="str">
        <f>IF(A1467="","",IFERROR(IF(VLOOKUP(A1467,Entry!$D:$D,1,FALSE)=A1467,"",ROW()),ROW()))</f>
        <v/>
      </c>
      <c r="AG1467" s="8" t="str">
        <f>IF(A1467="","",IFERROR(IF(VLOOKUP(A1467,Entry!$D:$D,1,FALSE)=A1467,TRUE,FALSE),FALSE))</f>
        <v/>
      </c>
    </row>
    <row r="1468" spans="1:33" x14ac:dyDescent="0.2">
      <c r="A1468" s="114"/>
      <c r="B1468" s="23"/>
      <c r="C1468" s="23"/>
      <c r="D1468" s="23"/>
      <c r="E1468" s="23"/>
      <c r="Y1468" s="8" t="str">
        <f>IF(A1468="","",IFERROR(IF(VLOOKUP(A1468,Entry!$D:$D,1,FALSE)=A1468,"",ROW()),ROW()))</f>
        <v/>
      </c>
      <c r="AG1468" s="8" t="str">
        <f>IF(A1468="","",IFERROR(IF(VLOOKUP(A1468,Entry!$D:$D,1,FALSE)=A1468,TRUE,FALSE),FALSE))</f>
        <v/>
      </c>
    </row>
    <row r="1469" spans="1:33" x14ac:dyDescent="0.2">
      <c r="A1469" s="114"/>
      <c r="B1469" s="23"/>
      <c r="C1469" s="23"/>
      <c r="D1469" s="23"/>
      <c r="E1469" s="23"/>
      <c r="Y1469" s="8" t="str">
        <f>IF(A1469="","",IFERROR(IF(VLOOKUP(A1469,Entry!$D:$D,1,FALSE)=A1469,"",ROW()),ROW()))</f>
        <v/>
      </c>
      <c r="AG1469" s="8" t="str">
        <f>IF(A1469="","",IFERROR(IF(VLOOKUP(A1469,Entry!$D:$D,1,FALSE)=A1469,TRUE,FALSE),FALSE))</f>
        <v/>
      </c>
    </row>
    <row r="1470" spans="1:33" x14ac:dyDescent="0.2">
      <c r="A1470" s="114"/>
      <c r="B1470" s="23"/>
      <c r="C1470" s="23"/>
      <c r="D1470" s="23"/>
      <c r="E1470" s="23"/>
      <c r="Y1470" s="8" t="str">
        <f>IF(A1470="","",IFERROR(IF(VLOOKUP(A1470,Entry!$D:$D,1,FALSE)=A1470,"",ROW()),ROW()))</f>
        <v/>
      </c>
      <c r="AG1470" s="8" t="str">
        <f>IF(A1470="","",IFERROR(IF(VLOOKUP(A1470,Entry!$D:$D,1,FALSE)=A1470,TRUE,FALSE),FALSE))</f>
        <v/>
      </c>
    </row>
    <row r="1471" spans="1:33" x14ac:dyDescent="0.2">
      <c r="A1471" s="114"/>
      <c r="B1471" s="23"/>
      <c r="C1471" s="23"/>
      <c r="D1471" s="23"/>
      <c r="E1471" s="23"/>
      <c r="Y1471" s="8" t="str">
        <f>IF(A1471="","",IFERROR(IF(VLOOKUP(A1471,Entry!$D:$D,1,FALSE)=A1471,"",ROW()),ROW()))</f>
        <v/>
      </c>
      <c r="AG1471" s="8" t="str">
        <f>IF(A1471="","",IFERROR(IF(VLOOKUP(A1471,Entry!$D:$D,1,FALSE)=A1471,TRUE,FALSE),FALSE))</f>
        <v/>
      </c>
    </row>
    <row r="1472" spans="1:33" x14ac:dyDescent="0.2">
      <c r="A1472" s="114"/>
      <c r="B1472" s="23"/>
      <c r="C1472" s="23"/>
      <c r="D1472" s="23"/>
      <c r="E1472" s="23"/>
      <c r="Y1472" s="8" t="str">
        <f>IF(A1472="","",IFERROR(IF(VLOOKUP(A1472,Entry!$D:$D,1,FALSE)=A1472,"",ROW()),ROW()))</f>
        <v/>
      </c>
      <c r="AG1472" s="8" t="str">
        <f>IF(A1472="","",IFERROR(IF(VLOOKUP(A1472,Entry!$D:$D,1,FALSE)=A1472,TRUE,FALSE),FALSE))</f>
        <v/>
      </c>
    </row>
    <row r="1473" spans="1:33" x14ac:dyDescent="0.2">
      <c r="A1473" s="114"/>
      <c r="B1473" s="23"/>
      <c r="C1473" s="23"/>
      <c r="D1473" s="23"/>
      <c r="E1473" s="23"/>
      <c r="Y1473" s="8" t="str">
        <f>IF(A1473="","",IFERROR(IF(VLOOKUP(A1473,Entry!$D:$D,1,FALSE)=A1473,"",ROW()),ROW()))</f>
        <v/>
      </c>
      <c r="AG1473" s="8" t="str">
        <f>IF(A1473="","",IFERROR(IF(VLOOKUP(A1473,Entry!$D:$D,1,FALSE)=A1473,TRUE,FALSE),FALSE))</f>
        <v/>
      </c>
    </row>
    <row r="1474" spans="1:33" x14ac:dyDescent="0.2">
      <c r="A1474" s="114"/>
      <c r="B1474" s="23"/>
      <c r="C1474" s="23"/>
      <c r="D1474" s="23"/>
      <c r="E1474" s="23"/>
      <c r="Y1474" s="8" t="str">
        <f>IF(A1474="","",IFERROR(IF(VLOOKUP(A1474,Entry!$D:$D,1,FALSE)=A1474,"",ROW()),ROW()))</f>
        <v/>
      </c>
      <c r="AG1474" s="8" t="str">
        <f>IF(A1474="","",IFERROR(IF(VLOOKUP(A1474,Entry!$D:$D,1,FALSE)=A1474,TRUE,FALSE),FALSE))</f>
        <v/>
      </c>
    </row>
    <row r="1475" spans="1:33" x14ac:dyDescent="0.2">
      <c r="A1475" s="114"/>
      <c r="B1475" s="23"/>
      <c r="C1475" s="23"/>
      <c r="D1475" s="23"/>
      <c r="E1475" s="23"/>
      <c r="Y1475" s="8" t="str">
        <f>IF(A1475="","",IFERROR(IF(VLOOKUP(A1475,Entry!$D:$D,1,FALSE)=A1475,"",ROW()),ROW()))</f>
        <v/>
      </c>
      <c r="AG1475" s="8" t="str">
        <f>IF(A1475="","",IFERROR(IF(VLOOKUP(A1475,Entry!$D:$D,1,FALSE)=A1475,TRUE,FALSE),FALSE))</f>
        <v/>
      </c>
    </row>
    <row r="1476" spans="1:33" x14ac:dyDescent="0.2">
      <c r="A1476" s="114"/>
      <c r="B1476" s="23"/>
      <c r="C1476" s="23"/>
      <c r="D1476" s="23"/>
      <c r="E1476" s="23"/>
      <c r="Y1476" s="8" t="str">
        <f>IF(A1476="","",IFERROR(IF(VLOOKUP(A1476,Entry!$D:$D,1,FALSE)=A1476,"",ROW()),ROW()))</f>
        <v/>
      </c>
      <c r="AG1476" s="8" t="str">
        <f>IF(A1476="","",IFERROR(IF(VLOOKUP(A1476,Entry!$D:$D,1,FALSE)=A1476,TRUE,FALSE),FALSE))</f>
        <v/>
      </c>
    </row>
    <row r="1477" spans="1:33" x14ac:dyDescent="0.2">
      <c r="A1477" s="114"/>
      <c r="B1477" s="23"/>
      <c r="C1477" s="23"/>
      <c r="D1477" s="23"/>
      <c r="E1477" s="23"/>
      <c r="Y1477" s="8" t="str">
        <f>IF(A1477="","",IFERROR(IF(VLOOKUP(A1477,Entry!$D:$D,1,FALSE)=A1477,"",ROW()),ROW()))</f>
        <v/>
      </c>
      <c r="AG1477" s="8" t="str">
        <f>IF(A1477="","",IFERROR(IF(VLOOKUP(A1477,Entry!$D:$D,1,FALSE)=A1477,TRUE,FALSE),FALSE))</f>
        <v/>
      </c>
    </row>
    <row r="1478" spans="1:33" x14ac:dyDescent="0.2">
      <c r="A1478" s="114"/>
      <c r="B1478" s="23"/>
      <c r="C1478" s="23"/>
      <c r="D1478" s="23"/>
      <c r="E1478" s="23"/>
      <c r="Y1478" s="8" t="str">
        <f>IF(A1478="","",IFERROR(IF(VLOOKUP(A1478,Entry!$D:$D,1,FALSE)=A1478,"",ROW()),ROW()))</f>
        <v/>
      </c>
      <c r="AG1478" s="8" t="str">
        <f>IF(A1478="","",IFERROR(IF(VLOOKUP(A1478,Entry!$D:$D,1,FALSE)=A1478,TRUE,FALSE),FALSE))</f>
        <v/>
      </c>
    </row>
    <row r="1479" spans="1:33" x14ac:dyDescent="0.2">
      <c r="A1479" s="114"/>
      <c r="B1479" s="23"/>
      <c r="C1479" s="23"/>
      <c r="D1479" s="23"/>
      <c r="E1479" s="23"/>
      <c r="Y1479" s="8" t="str">
        <f>IF(A1479="","",IFERROR(IF(VLOOKUP(A1479,Entry!$D:$D,1,FALSE)=A1479,"",ROW()),ROW()))</f>
        <v/>
      </c>
      <c r="AG1479" s="8" t="str">
        <f>IF(A1479="","",IFERROR(IF(VLOOKUP(A1479,Entry!$D:$D,1,FALSE)=A1479,TRUE,FALSE),FALSE))</f>
        <v/>
      </c>
    </row>
    <row r="1480" spans="1:33" x14ac:dyDescent="0.2">
      <c r="A1480" s="114"/>
      <c r="B1480" s="23"/>
      <c r="C1480" s="23"/>
      <c r="D1480" s="23"/>
      <c r="E1480" s="23"/>
      <c r="Y1480" s="8" t="str">
        <f>IF(A1480="","",IFERROR(IF(VLOOKUP(A1480,Entry!$D:$D,1,FALSE)=A1480,"",ROW()),ROW()))</f>
        <v/>
      </c>
      <c r="AG1480" s="8" t="str">
        <f>IF(A1480="","",IFERROR(IF(VLOOKUP(A1480,Entry!$D:$D,1,FALSE)=A1480,TRUE,FALSE),FALSE))</f>
        <v/>
      </c>
    </row>
    <row r="1481" spans="1:33" x14ac:dyDescent="0.2">
      <c r="A1481" s="114"/>
      <c r="B1481" s="23"/>
      <c r="C1481" s="23"/>
      <c r="D1481" s="23"/>
      <c r="E1481" s="23"/>
      <c r="Y1481" s="8" t="str">
        <f>IF(A1481="","",IFERROR(IF(VLOOKUP(A1481,Entry!$D:$D,1,FALSE)=A1481,"",ROW()),ROW()))</f>
        <v/>
      </c>
      <c r="AG1481" s="8" t="str">
        <f>IF(A1481="","",IFERROR(IF(VLOOKUP(A1481,Entry!$D:$D,1,FALSE)=A1481,TRUE,FALSE),FALSE))</f>
        <v/>
      </c>
    </row>
    <row r="1482" spans="1:33" x14ac:dyDescent="0.2">
      <c r="A1482" s="114"/>
      <c r="B1482" s="23"/>
      <c r="C1482" s="23"/>
      <c r="D1482" s="23"/>
      <c r="E1482" s="23"/>
      <c r="Y1482" s="8" t="str">
        <f>IF(A1482="","",IFERROR(IF(VLOOKUP(A1482,Entry!$D:$D,1,FALSE)=A1482,"",ROW()),ROW()))</f>
        <v/>
      </c>
      <c r="AG1482" s="8" t="str">
        <f>IF(A1482="","",IFERROR(IF(VLOOKUP(A1482,Entry!$D:$D,1,FALSE)=A1482,TRUE,FALSE),FALSE))</f>
        <v/>
      </c>
    </row>
    <row r="1483" spans="1:33" x14ac:dyDescent="0.2">
      <c r="A1483" s="114"/>
      <c r="B1483" s="23"/>
      <c r="C1483" s="23"/>
      <c r="D1483" s="23"/>
      <c r="E1483" s="23"/>
      <c r="Y1483" s="8" t="str">
        <f>IF(A1483="","",IFERROR(IF(VLOOKUP(A1483,Entry!$D:$D,1,FALSE)=A1483,"",ROW()),ROW()))</f>
        <v/>
      </c>
      <c r="AG1483" s="8" t="str">
        <f>IF(A1483="","",IFERROR(IF(VLOOKUP(A1483,Entry!$D:$D,1,FALSE)=A1483,TRUE,FALSE),FALSE))</f>
        <v/>
      </c>
    </row>
    <row r="1484" spans="1:33" x14ac:dyDescent="0.2">
      <c r="A1484" s="114"/>
      <c r="B1484" s="23"/>
      <c r="C1484" s="23"/>
      <c r="D1484" s="23"/>
      <c r="E1484" s="23"/>
      <c r="Y1484" s="8" t="str">
        <f>IF(A1484="","",IFERROR(IF(VLOOKUP(A1484,Entry!$D:$D,1,FALSE)=A1484,"",ROW()),ROW()))</f>
        <v/>
      </c>
      <c r="AG1484" s="8" t="str">
        <f>IF(A1484="","",IFERROR(IF(VLOOKUP(A1484,Entry!$D:$D,1,FALSE)=A1484,TRUE,FALSE),FALSE))</f>
        <v/>
      </c>
    </row>
    <row r="1485" spans="1:33" x14ac:dyDescent="0.2">
      <c r="A1485" s="114"/>
      <c r="B1485" s="23"/>
      <c r="C1485" s="23"/>
      <c r="D1485" s="23"/>
      <c r="E1485" s="23"/>
      <c r="Y1485" s="8" t="str">
        <f>IF(A1485="","",IFERROR(IF(VLOOKUP(A1485,Entry!$D:$D,1,FALSE)=A1485,"",ROW()),ROW()))</f>
        <v/>
      </c>
      <c r="AG1485" s="8" t="str">
        <f>IF(A1485="","",IFERROR(IF(VLOOKUP(A1485,Entry!$D:$D,1,FALSE)=A1485,TRUE,FALSE),FALSE))</f>
        <v/>
      </c>
    </row>
    <row r="1486" spans="1:33" x14ac:dyDescent="0.2">
      <c r="A1486" s="114"/>
      <c r="B1486" s="23"/>
      <c r="C1486" s="23"/>
      <c r="D1486" s="23"/>
      <c r="E1486" s="23"/>
      <c r="Y1486" s="8" t="str">
        <f>IF(A1486="","",IFERROR(IF(VLOOKUP(A1486,Entry!$D:$D,1,FALSE)=A1486,"",ROW()),ROW()))</f>
        <v/>
      </c>
      <c r="AG1486" s="8" t="str">
        <f>IF(A1486="","",IFERROR(IF(VLOOKUP(A1486,Entry!$D:$D,1,FALSE)=A1486,TRUE,FALSE),FALSE))</f>
        <v/>
      </c>
    </row>
    <row r="1487" spans="1:33" x14ac:dyDescent="0.2">
      <c r="A1487" s="114"/>
      <c r="B1487" s="23"/>
      <c r="C1487" s="23"/>
      <c r="D1487" s="23"/>
      <c r="E1487" s="23"/>
      <c r="Y1487" s="8" t="str">
        <f>IF(A1487="","",IFERROR(IF(VLOOKUP(A1487,Entry!$D:$D,1,FALSE)=A1487,"",ROW()),ROW()))</f>
        <v/>
      </c>
      <c r="AG1487" s="8" t="str">
        <f>IF(A1487="","",IFERROR(IF(VLOOKUP(A1487,Entry!$D:$D,1,FALSE)=A1487,TRUE,FALSE),FALSE))</f>
        <v/>
      </c>
    </row>
    <row r="1488" spans="1:33" x14ac:dyDescent="0.2">
      <c r="A1488" s="114"/>
      <c r="B1488" s="23"/>
      <c r="C1488" s="23"/>
      <c r="D1488" s="23"/>
      <c r="E1488" s="23"/>
      <c r="Y1488" s="8" t="str">
        <f>IF(A1488="","",IFERROR(IF(VLOOKUP(A1488,Entry!$D:$D,1,FALSE)=A1488,"",ROW()),ROW()))</f>
        <v/>
      </c>
      <c r="AG1488" s="8" t="str">
        <f>IF(A1488="","",IFERROR(IF(VLOOKUP(A1488,Entry!$D:$D,1,FALSE)=A1488,TRUE,FALSE),FALSE))</f>
        <v/>
      </c>
    </row>
    <row r="1489" spans="1:33" x14ac:dyDescent="0.2">
      <c r="A1489" s="114"/>
      <c r="B1489" s="23"/>
      <c r="C1489" s="23"/>
      <c r="D1489" s="23"/>
      <c r="E1489" s="23"/>
      <c r="Y1489" s="8" t="str">
        <f>IF(A1489="","",IFERROR(IF(VLOOKUP(A1489,Entry!$D:$D,1,FALSE)=A1489,"",ROW()),ROW()))</f>
        <v/>
      </c>
      <c r="AG1489" s="8" t="str">
        <f>IF(A1489="","",IFERROR(IF(VLOOKUP(A1489,Entry!$D:$D,1,FALSE)=A1489,TRUE,FALSE),FALSE))</f>
        <v/>
      </c>
    </row>
    <row r="1490" spans="1:33" x14ac:dyDescent="0.2">
      <c r="A1490" s="114"/>
      <c r="B1490" s="23"/>
      <c r="C1490" s="23"/>
      <c r="D1490" s="23"/>
      <c r="E1490" s="23"/>
      <c r="Y1490" s="8" t="str">
        <f>IF(A1490="","",IFERROR(IF(VLOOKUP(A1490,Entry!$D:$D,1,FALSE)=A1490,"",ROW()),ROW()))</f>
        <v/>
      </c>
      <c r="AG1490" s="8" t="str">
        <f>IF(A1490="","",IFERROR(IF(VLOOKUP(A1490,Entry!$D:$D,1,FALSE)=A1490,TRUE,FALSE),FALSE))</f>
        <v/>
      </c>
    </row>
    <row r="1491" spans="1:33" x14ac:dyDescent="0.2">
      <c r="A1491" s="114"/>
      <c r="B1491" s="23"/>
      <c r="C1491" s="23"/>
      <c r="D1491" s="23"/>
      <c r="E1491" s="23"/>
      <c r="Y1491" s="8" t="str">
        <f>IF(A1491="","",IFERROR(IF(VLOOKUP(A1491,Entry!$D:$D,1,FALSE)=A1491,"",ROW()),ROW()))</f>
        <v/>
      </c>
      <c r="AG1491" s="8" t="str">
        <f>IF(A1491="","",IFERROR(IF(VLOOKUP(A1491,Entry!$D:$D,1,FALSE)=A1491,TRUE,FALSE),FALSE))</f>
        <v/>
      </c>
    </row>
    <row r="1492" spans="1:33" x14ac:dyDescent="0.2">
      <c r="A1492" s="114"/>
      <c r="B1492" s="23"/>
      <c r="C1492" s="23"/>
      <c r="D1492" s="23"/>
      <c r="E1492" s="23"/>
      <c r="Y1492" s="8" t="str">
        <f>IF(A1492="","",IFERROR(IF(VLOOKUP(A1492,Entry!$D:$D,1,FALSE)=A1492,"",ROW()),ROW()))</f>
        <v/>
      </c>
      <c r="AG1492" s="8" t="str">
        <f>IF(A1492="","",IFERROR(IF(VLOOKUP(A1492,Entry!$D:$D,1,FALSE)=A1492,TRUE,FALSE),FALSE))</f>
        <v/>
      </c>
    </row>
    <row r="1493" spans="1:33" x14ac:dyDescent="0.2">
      <c r="A1493" s="114"/>
      <c r="B1493" s="23"/>
      <c r="C1493" s="23"/>
      <c r="D1493" s="23"/>
      <c r="E1493" s="23"/>
      <c r="Y1493" s="8" t="str">
        <f>IF(A1493="","",IFERROR(IF(VLOOKUP(A1493,Entry!$D:$D,1,FALSE)=A1493,"",ROW()),ROW()))</f>
        <v/>
      </c>
      <c r="AG1493" s="8" t="str">
        <f>IF(A1493="","",IFERROR(IF(VLOOKUP(A1493,Entry!$D:$D,1,FALSE)=A1493,TRUE,FALSE),FALSE))</f>
        <v/>
      </c>
    </row>
    <row r="1494" spans="1:33" x14ac:dyDescent="0.2">
      <c r="A1494" s="114"/>
      <c r="B1494" s="23"/>
      <c r="C1494" s="23"/>
      <c r="D1494" s="23"/>
      <c r="E1494" s="23"/>
      <c r="Y1494" s="8" t="str">
        <f>IF(A1494="","",IFERROR(IF(VLOOKUP(A1494,Entry!$D:$D,1,FALSE)=A1494,"",ROW()),ROW()))</f>
        <v/>
      </c>
      <c r="AG1494" s="8" t="str">
        <f>IF(A1494="","",IFERROR(IF(VLOOKUP(A1494,Entry!$D:$D,1,FALSE)=A1494,TRUE,FALSE),FALSE))</f>
        <v/>
      </c>
    </row>
    <row r="1495" spans="1:33" x14ac:dyDescent="0.2">
      <c r="A1495" s="114"/>
      <c r="B1495" s="23"/>
      <c r="C1495" s="23"/>
      <c r="D1495" s="23"/>
      <c r="E1495" s="23"/>
      <c r="Y1495" s="8" t="str">
        <f>IF(A1495="","",IFERROR(IF(VLOOKUP(A1495,Entry!$D:$D,1,FALSE)=A1495,"",ROW()),ROW()))</f>
        <v/>
      </c>
      <c r="AG1495" s="8" t="str">
        <f>IF(A1495="","",IFERROR(IF(VLOOKUP(A1495,Entry!$D:$D,1,FALSE)=A1495,TRUE,FALSE),FALSE))</f>
        <v/>
      </c>
    </row>
    <row r="1496" spans="1:33" x14ac:dyDescent="0.2">
      <c r="A1496" s="114"/>
      <c r="B1496" s="23"/>
      <c r="C1496" s="23"/>
      <c r="D1496" s="23"/>
      <c r="E1496" s="23"/>
      <c r="Y1496" s="8" t="str">
        <f>IF(A1496="","",IFERROR(IF(VLOOKUP(A1496,Entry!$D:$D,1,FALSE)=A1496,"",ROW()),ROW()))</f>
        <v/>
      </c>
      <c r="AG1496" s="8" t="str">
        <f>IF(A1496="","",IFERROR(IF(VLOOKUP(A1496,Entry!$D:$D,1,FALSE)=A1496,TRUE,FALSE),FALSE))</f>
        <v/>
      </c>
    </row>
    <row r="1497" spans="1:33" x14ac:dyDescent="0.2">
      <c r="A1497" s="114"/>
      <c r="B1497" s="23"/>
      <c r="C1497" s="23"/>
      <c r="D1497" s="23"/>
      <c r="E1497" s="23"/>
      <c r="Y1497" s="8" t="str">
        <f>IF(A1497="","",IFERROR(IF(VLOOKUP(A1497,Entry!$D:$D,1,FALSE)=A1497,"",ROW()),ROW()))</f>
        <v/>
      </c>
      <c r="AG1497" s="8" t="str">
        <f>IF(A1497="","",IFERROR(IF(VLOOKUP(A1497,Entry!$D:$D,1,FALSE)=A1497,TRUE,FALSE),FALSE))</f>
        <v/>
      </c>
    </row>
    <row r="1498" spans="1:33" x14ac:dyDescent="0.2">
      <c r="A1498" s="114"/>
      <c r="B1498" s="23"/>
      <c r="C1498" s="23"/>
      <c r="D1498" s="23"/>
      <c r="E1498" s="23"/>
      <c r="Y1498" s="8" t="str">
        <f>IF(A1498="","",IFERROR(IF(VLOOKUP(A1498,Entry!$D:$D,1,FALSE)=A1498,"",ROW()),ROW()))</f>
        <v/>
      </c>
      <c r="AG1498" s="8" t="str">
        <f>IF(A1498="","",IFERROR(IF(VLOOKUP(A1498,Entry!$D:$D,1,FALSE)=A1498,TRUE,FALSE),FALSE))</f>
        <v/>
      </c>
    </row>
    <row r="1499" spans="1:33" x14ac:dyDescent="0.2">
      <c r="A1499" s="114"/>
      <c r="B1499" s="23"/>
      <c r="C1499" s="23"/>
      <c r="D1499" s="23"/>
      <c r="E1499" s="23"/>
      <c r="Y1499" s="8" t="str">
        <f>IF(A1499="","",IFERROR(IF(VLOOKUP(A1499,Entry!$D:$D,1,FALSE)=A1499,"",ROW()),ROW()))</f>
        <v/>
      </c>
      <c r="AG1499" s="8" t="str">
        <f>IF(A1499="","",IFERROR(IF(VLOOKUP(A1499,Entry!$D:$D,1,FALSE)=A1499,TRUE,FALSE),FALSE))</f>
        <v/>
      </c>
    </row>
    <row r="1500" spans="1:33" x14ac:dyDescent="0.2">
      <c r="A1500" s="114"/>
      <c r="B1500" s="23"/>
      <c r="C1500" s="23"/>
      <c r="D1500" s="23"/>
      <c r="E1500" s="23"/>
      <c r="Y1500" s="8" t="str">
        <f>IF(A1500="","",IFERROR(IF(VLOOKUP(A1500,Entry!$D:$D,1,FALSE)=A1500,"",ROW()),ROW()))</f>
        <v/>
      </c>
      <c r="AG1500" s="8" t="str">
        <f>IF(A1500="","",IFERROR(IF(VLOOKUP(A1500,Entry!$D:$D,1,FALSE)=A1500,TRUE,FALSE),FALSE))</f>
        <v/>
      </c>
    </row>
    <row r="1501" spans="1:33" x14ac:dyDescent="0.2">
      <c r="A1501" s="114"/>
      <c r="B1501" s="23"/>
      <c r="C1501" s="23"/>
      <c r="D1501" s="23"/>
      <c r="E1501" s="23"/>
      <c r="Y1501" s="8" t="str">
        <f>IF(A1501="","",IFERROR(IF(VLOOKUP(A1501,Entry!$D:$D,1,FALSE)=A1501,"",ROW()),ROW()))</f>
        <v/>
      </c>
      <c r="AG1501" s="8" t="str">
        <f>IF(A1501="","",IFERROR(IF(VLOOKUP(A1501,Entry!$D:$D,1,FALSE)=A1501,TRUE,FALSE),FALSE))</f>
        <v/>
      </c>
    </row>
    <row r="1502" spans="1:33" x14ac:dyDescent="0.2">
      <c r="A1502" s="114"/>
      <c r="B1502" s="23"/>
      <c r="C1502" s="23"/>
      <c r="D1502" s="23"/>
      <c r="E1502" s="23"/>
      <c r="Y1502" s="8" t="str">
        <f>IF(A1502="","",IFERROR(IF(VLOOKUP(A1502,Entry!$D:$D,1,FALSE)=A1502,"",ROW()),ROW()))</f>
        <v/>
      </c>
      <c r="AG1502" s="8" t="str">
        <f>IF(A1502="","",IFERROR(IF(VLOOKUP(A1502,Entry!$D:$D,1,FALSE)=A1502,TRUE,FALSE),FALSE))</f>
        <v/>
      </c>
    </row>
    <row r="1503" spans="1:33" x14ac:dyDescent="0.2">
      <c r="A1503" s="114"/>
      <c r="B1503" s="23"/>
      <c r="C1503" s="23"/>
      <c r="D1503" s="23"/>
      <c r="E1503" s="23"/>
      <c r="Y1503" s="8" t="str">
        <f>IF(A1503="","",IFERROR(IF(VLOOKUP(A1503,Entry!$D:$D,1,FALSE)=A1503,"",ROW()),ROW()))</f>
        <v/>
      </c>
      <c r="AG1503" s="8" t="str">
        <f>IF(A1503="","",IFERROR(IF(VLOOKUP(A1503,Entry!$D:$D,1,FALSE)=A1503,TRUE,FALSE),FALSE))</f>
        <v/>
      </c>
    </row>
    <row r="1504" spans="1:33" x14ac:dyDescent="0.2">
      <c r="A1504" s="114"/>
      <c r="B1504" s="23"/>
      <c r="C1504" s="23"/>
      <c r="D1504" s="23"/>
      <c r="E1504" s="23"/>
      <c r="Y1504" s="8" t="str">
        <f>IF(A1504="","",IFERROR(IF(VLOOKUP(A1504,Entry!$D:$D,1,FALSE)=A1504,"",ROW()),ROW()))</f>
        <v/>
      </c>
      <c r="AG1504" s="8" t="str">
        <f>IF(A1504="","",IFERROR(IF(VLOOKUP(A1504,Entry!$D:$D,1,FALSE)=A1504,TRUE,FALSE),FALSE))</f>
        <v/>
      </c>
    </row>
    <row r="1505" spans="1:33" x14ac:dyDescent="0.2">
      <c r="A1505" s="114"/>
      <c r="B1505" s="23"/>
      <c r="C1505" s="23"/>
      <c r="D1505" s="23"/>
      <c r="E1505" s="23"/>
      <c r="Y1505" s="8" t="str">
        <f>IF(A1505="","",IFERROR(IF(VLOOKUP(A1505,Entry!$D:$D,1,FALSE)=A1505,"",ROW()),ROW()))</f>
        <v/>
      </c>
      <c r="AG1505" s="8" t="str">
        <f>IF(A1505="","",IFERROR(IF(VLOOKUP(A1505,Entry!$D:$D,1,FALSE)=A1505,TRUE,FALSE),FALSE))</f>
        <v/>
      </c>
    </row>
    <row r="1506" spans="1:33" x14ac:dyDescent="0.2">
      <c r="A1506" s="114"/>
      <c r="B1506" s="23"/>
      <c r="C1506" s="23"/>
      <c r="D1506" s="23"/>
      <c r="E1506" s="23"/>
      <c r="Y1506" s="8" t="str">
        <f>IF(A1506="","",IFERROR(IF(VLOOKUP(A1506,Entry!$D:$D,1,FALSE)=A1506,"",ROW()),ROW()))</f>
        <v/>
      </c>
      <c r="AG1506" s="8" t="str">
        <f>IF(A1506="","",IFERROR(IF(VLOOKUP(A1506,Entry!$D:$D,1,FALSE)=A1506,TRUE,FALSE),FALSE))</f>
        <v/>
      </c>
    </row>
    <row r="1507" spans="1:33" x14ac:dyDescent="0.2">
      <c r="A1507" s="114"/>
      <c r="B1507" s="23"/>
      <c r="C1507" s="23"/>
      <c r="D1507" s="23"/>
      <c r="E1507" s="23"/>
      <c r="Y1507" s="8" t="str">
        <f>IF(A1507="","",IFERROR(IF(VLOOKUP(A1507,Entry!$D:$D,1,FALSE)=A1507,"",ROW()),ROW()))</f>
        <v/>
      </c>
      <c r="AG1507" s="8" t="str">
        <f>IF(A1507="","",IFERROR(IF(VLOOKUP(A1507,Entry!$D:$D,1,FALSE)=A1507,TRUE,FALSE),FALSE))</f>
        <v/>
      </c>
    </row>
    <row r="1508" spans="1:33" x14ac:dyDescent="0.2">
      <c r="A1508" s="114"/>
      <c r="B1508" s="23"/>
      <c r="C1508" s="23"/>
      <c r="D1508" s="23"/>
      <c r="E1508" s="23"/>
      <c r="Y1508" s="8" t="str">
        <f>IF(A1508="","",IFERROR(IF(VLOOKUP(A1508,Entry!$D:$D,1,FALSE)=A1508,"",ROW()),ROW()))</f>
        <v/>
      </c>
      <c r="AG1508" s="8" t="str">
        <f>IF(A1508="","",IFERROR(IF(VLOOKUP(A1508,Entry!$D:$D,1,FALSE)=A1508,TRUE,FALSE),FALSE))</f>
        <v/>
      </c>
    </row>
    <row r="1509" spans="1:33" x14ac:dyDescent="0.2">
      <c r="A1509" s="114"/>
      <c r="B1509" s="23"/>
      <c r="C1509" s="23"/>
      <c r="D1509" s="23"/>
      <c r="E1509" s="23"/>
      <c r="Y1509" s="8" t="str">
        <f>IF(A1509="","",IFERROR(IF(VLOOKUP(A1509,Entry!$D:$D,1,FALSE)=A1509,"",ROW()),ROW()))</f>
        <v/>
      </c>
      <c r="AG1509" s="8" t="str">
        <f>IF(A1509="","",IFERROR(IF(VLOOKUP(A1509,Entry!$D:$D,1,FALSE)=A1509,TRUE,FALSE),FALSE))</f>
        <v/>
      </c>
    </row>
    <row r="1510" spans="1:33" x14ac:dyDescent="0.2">
      <c r="A1510" s="114"/>
      <c r="B1510" s="23"/>
      <c r="C1510" s="23"/>
      <c r="D1510" s="23"/>
      <c r="E1510" s="23"/>
      <c r="Y1510" s="8" t="str">
        <f>IF(A1510="","",IFERROR(IF(VLOOKUP(A1510,Entry!$D:$D,1,FALSE)=A1510,"",ROW()),ROW()))</f>
        <v/>
      </c>
      <c r="AG1510" s="8" t="str">
        <f>IF(A1510="","",IFERROR(IF(VLOOKUP(A1510,Entry!$D:$D,1,FALSE)=A1510,TRUE,FALSE),FALSE))</f>
        <v/>
      </c>
    </row>
    <row r="1511" spans="1:33" x14ac:dyDescent="0.2">
      <c r="A1511" s="114"/>
      <c r="B1511" s="23"/>
      <c r="C1511" s="23"/>
      <c r="D1511" s="23"/>
      <c r="E1511" s="23"/>
      <c r="Y1511" s="8" t="str">
        <f>IF(A1511="","",IFERROR(IF(VLOOKUP(A1511,Entry!$D:$D,1,FALSE)=A1511,"",ROW()),ROW()))</f>
        <v/>
      </c>
      <c r="AG1511" s="8" t="str">
        <f>IF(A1511="","",IFERROR(IF(VLOOKUP(A1511,Entry!$D:$D,1,FALSE)=A1511,TRUE,FALSE),FALSE))</f>
        <v/>
      </c>
    </row>
    <row r="1512" spans="1:33" x14ac:dyDescent="0.2">
      <c r="A1512" s="114"/>
      <c r="B1512" s="23"/>
      <c r="C1512" s="23"/>
      <c r="D1512" s="23"/>
      <c r="E1512" s="23"/>
      <c r="Y1512" s="8" t="str">
        <f>IF(A1512="","",IFERROR(IF(VLOOKUP(A1512,Entry!$D:$D,1,FALSE)=A1512,"",ROW()),ROW()))</f>
        <v/>
      </c>
      <c r="AG1512" s="8" t="str">
        <f>IF(A1512="","",IFERROR(IF(VLOOKUP(A1512,Entry!$D:$D,1,FALSE)=A1512,TRUE,FALSE),FALSE))</f>
        <v/>
      </c>
    </row>
    <row r="1513" spans="1:33" x14ac:dyDescent="0.2">
      <c r="A1513" s="114"/>
      <c r="B1513" s="23"/>
      <c r="C1513" s="23"/>
      <c r="D1513" s="23"/>
      <c r="E1513" s="23"/>
      <c r="Y1513" s="8" t="str">
        <f>IF(A1513="","",IFERROR(IF(VLOOKUP(A1513,Entry!$D:$D,1,FALSE)=A1513,"",ROW()),ROW()))</f>
        <v/>
      </c>
      <c r="AG1513" s="8" t="str">
        <f>IF(A1513="","",IFERROR(IF(VLOOKUP(A1513,Entry!$D:$D,1,FALSE)=A1513,TRUE,FALSE),FALSE))</f>
        <v/>
      </c>
    </row>
    <row r="1514" spans="1:33" x14ac:dyDescent="0.2">
      <c r="A1514" s="114"/>
      <c r="B1514" s="23"/>
      <c r="C1514" s="23"/>
      <c r="D1514" s="23"/>
      <c r="E1514" s="23"/>
      <c r="Y1514" s="8" t="str">
        <f>IF(A1514="","",IFERROR(IF(VLOOKUP(A1514,Entry!$D:$D,1,FALSE)=A1514,"",ROW()),ROW()))</f>
        <v/>
      </c>
      <c r="AG1514" s="8" t="str">
        <f>IF(A1514="","",IFERROR(IF(VLOOKUP(A1514,Entry!$D:$D,1,FALSE)=A1514,TRUE,FALSE),FALSE))</f>
        <v/>
      </c>
    </row>
    <row r="1515" spans="1:33" x14ac:dyDescent="0.2">
      <c r="A1515" s="114"/>
      <c r="B1515" s="23"/>
      <c r="C1515" s="23"/>
      <c r="D1515" s="23"/>
      <c r="E1515" s="23"/>
      <c r="Y1515" s="8" t="str">
        <f>IF(A1515="","",IFERROR(IF(VLOOKUP(A1515,Entry!$D:$D,1,FALSE)=A1515,"",ROW()),ROW()))</f>
        <v/>
      </c>
    </row>
    <row r="1516" spans="1:33" x14ac:dyDescent="0.2">
      <c r="A1516" s="114"/>
      <c r="B1516" s="23"/>
      <c r="C1516" s="23"/>
      <c r="D1516" s="23"/>
      <c r="E1516" s="23"/>
      <c r="Y1516" s="8" t="str">
        <f>IF(A1516="","",IFERROR(IF(VLOOKUP(A1516,Entry!$D:$D,1,FALSE)=A1516,"",ROW()),ROW()))</f>
        <v/>
      </c>
    </row>
    <row r="1517" spans="1:33" x14ac:dyDescent="0.2">
      <c r="A1517" s="114"/>
      <c r="B1517" s="23"/>
      <c r="C1517" s="23"/>
      <c r="D1517" s="23"/>
      <c r="E1517" s="23"/>
      <c r="Y1517" s="8" t="str">
        <f>IF(A1517="","",IFERROR(IF(VLOOKUP(A1517,Entry!$D:$D,1,FALSE)=A1517,"",ROW()),ROW()))</f>
        <v/>
      </c>
    </row>
    <row r="1518" spans="1:33" x14ac:dyDescent="0.2">
      <c r="A1518" s="114"/>
      <c r="B1518" s="23"/>
      <c r="C1518" s="23"/>
      <c r="D1518" s="23"/>
      <c r="E1518" s="23"/>
      <c r="Y1518" s="8" t="str">
        <f>IF(A1518="","",IFERROR(IF(VLOOKUP(A1518,Entry!$D:$D,1,FALSE)=A1518,"",ROW()),ROW()))</f>
        <v/>
      </c>
    </row>
    <row r="1519" spans="1:33" x14ac:dyDescent="0.2">
      <c r="A1519" s="114"/>
      <c r="B1519" s="23"/>
      <c r="C1519" s="23"/>
      <c r="D1519" s="23"/>
      <c r="E1519" s="23"/>
      <c r="Y1519" s="8" t="str">
        <f>IF(A1519="","",IFERROR(IF(VLOOKUP(A1519,Entry!$D:$D,1,FALSE)=A1519,"",ROW()),ROW()))</f>
        <v/>
      </c>
    </row>
    <row r="1520" spans="1:33" x14ac:dyDescent="0.2">
      <c r="A1520" s="114"/>
      <c r="B1520" s="23"/>
      <c r="C1520" s="23"/>
      <c r="D1520" s="23"/>
      <c r="E1520" s="23"/>
      <c r="Y1520" s="8" t="str">
        <f>IF(A1520="","",IFERROR(IF(VLOOKUP(A1520,Entry!$D:$D,1,FALSE)=A1520,"",ROW()),ROW()))</f>
        <v/>
      </c>
    </row>
    <row r="1521" spans="1:25" x14ac:dyDescent="0.2">
      <c r="A1521" s="114"/>
      <c r="B1521" s="23"/>
      <c r="C1521" s="23"/>
      <c r="D1521" s="23"/>
      <c r="E1521" s="23"/>
      <c r="Y1521" s="8" t="str">
        <f>IF(A1521="","",IFERROR(IF(VLOOKUP(A1521,Entry!$D:$D,1,FALSE)=A1521,"",ROW()),ROW()))</f>
        <v/>
      </c>
    </row>
    <row r="1522" spans="1:25" x14ac:dyDescent="0.2">
      <c r="A1522" s="114"/>
      <c r="B1522" s="23"/>
      <c r="C1522" s="23"/>
      <c r="D1522" s="23"/>
      <c r="E1522" s="23"/>
      <c r="Y1522" s="8" t="str">
        <f>IF(A1522="","",IFERROR(IF(VLOOKUP(A1522,Entry!$D:$D,1,FALSE)=A1522,"",ROW()),ROW()))</f>
        <v/>
      </c>
    </row>
    <row r="1523" spans="1:25" x14ac:dyDescent="0.2">
      <c r="A1523" s="114"/>
      <c r="B1523" s="23"/>
      <c r="C1523" s="23"/>
      <c r="D1523" s="23"/>
      <c r="E1523" s="23"/>
      <c r="Y1523" s="8" t="str">
        <f>IF(A1523="","",IFERROR(IF(VLOOKUP(A1523,Entry!$D:$D,1,FALSE)=A1523,"",ROW()),ROW()))</f>
        <v/>
      </c>
    </row>
    <row r="1524" spans="1:25" x14ac:dyDescent="0.2">
      <c r="A1524" s="114"/>
      <c r="B1524" s="23"/>
      <c r="C1524" s="23"/>
      <c r="D1524" s="23"/>
      <c r="E1524" s="23"/>
      <c r="Y1524" s="8" t="str">
        <f>IF(A1524="","",IFERROR(IF(VLOOKUP(A1524,Entry!$D:$D,1,FALSE)=A1524,"",ROW()),ROW()))</f>
        <v/>
      </c>
    </row>
    <row r="1525" spans="1:25" x14ac:dyDescent="0.2">
      <c r="A1525" s="114"/>
      <c r="B1525" s="23"/>
      <c r="C1525" s="23"/>
      <c r="D1525" s="23"/>
      <c r="E1525" s="23"/>
      <c r="Y1525" s="8" t="str">
        <f>IF(A1525="","",IFERROR(IF(VLOOKUP(A1525,Entry!$D:$D,1,FALSE)=A1525,"",ROW()),ROW()))</f>
        <v/>
      </c>
    </row>
    <row r="1526" spans="1:25" x14ac:dyDescent="0.2">
      <c r="A1526" s="114"/>
      <c r="B1526" s="23"/>
      <c r="C1526" s="23"/>
      <c r="D1526" s="23"/>
      <c r="E1526" s="23"/>
      <c r="Y1526" s="8" t="str">
        <f>IF(A1526="","",IFERROR(IF(VLOOKUP(A1526,Entry!$D:$D,1,FALSE)=A1526,"",ROW()),ROW()))</f>
        <v/>
      </c>
    </row>
    <row r="1527" spans="1:25" x14ac:dyDescent="0.2">
      <c r="A1527" s="114"/>
      <c r="B1527" s="23"/>
      <c r="C1527" s="23"/>
      <c r="D1527" s="23"/>
      <c r="E1527" s="23"/>
      <c r="Y1527" s="8" t="str">
        <f>IF(A1527="","",IFERROR(IF(VLOOKUP(A1527,Entry!$D:$D,1,FALSE)=A1527,"",ROW()),ROW()))</f>
        <v/>
      </c>
    </row>
    <row r="1528" spans="1:25" x14ac:dyDescent="0.2">
      <c r="A1528" s="114"/>
      <c r="B1528" s="23"/>
      <c r="C1528" s="23"/>
      <c r="D1528" s="23"/>
      <c r="E1528" s="23"/>
      <c r="Y1528" s="8" t="str">
        <f>IF(A1528="","",IFERROR(IF(VLOOKUP(A1528,Entry!$D:$D,1,FALSE)=A1528,"",ROW()),ROW()))</f>
        <v/>
      </c>
    </row>
    <row r="1529" spans="1:25" x14ac:dyDescent="0.2">
      <c r="A1529" s="114"/>
      <c r="B1529" s="23"/>
      <c r="C1529" s="23"/>
      <c r="D1529" s="23"/>
      <c r="E1529" s="23"/>
      <c r="Y1529" s="8" t="str">
        <f>IF(A1529="","",IFERROR(IF(VLOOKUP(A1529,Entry!$D:$D,1,FALSE)=A1529,"",ROW()),ROW()))</f>
        <v/>
      </c>
    </row>
    <row r="1530" spans="1:25" x14ac:dyDescent="0.2">
      <c r="A1530" s="114"/>
      <c r="B1530" s="23"/>
      <c r="C1530" s="23"/>
      <c r="D1530" s="23"/>
      <c r="E1530" s="23"/>
      <c r="Y1530" s="8" t="str">
        <f>IF(A1530="","",IFERROR(IF(VLOOKUP(A1530,Entry!$D:$D,1,FALSE)=A1530,"",ROW()),ROW()))</f>
        <v/>
      </c>
    </row>
    <row r="1531" spans="1:25" x14ac:dyDescent="0.2">
      <c r="A1531" s="114"/>
      <c r="B1531" s="23"/>
      <c r="C1531" s="23"/>
      <c r="D1531" s="23"/>
      <c r="E1531" s="23"/>
      <c r="Y1531" s="8" t="str">
        <f>IF(A1531="","",IFERROR(IF(VLOOKUP(A1531,Entry!$D:$D,1,FALSE)=A1531,"",ROW()),ROW()))</f>
        <v/>
      </c>
    </row>
    <row r="1532" spans="1:25" x14ac:dyDescent="0.2">
      <c r="A1532" s="114"/>
      <c r="B1532" s="23"/>
      <c r="C1532" s="23"/>
      <c r="D1532" s="23"/>
      <c r="E1532" s="23"/>
      <c r="Y1532" s="8" t="str">
        <f>IF(A1532="","",IFERROR(IF(VLOOKUP(A1532,Entry!$D:$D,1,FALSE)=A1532,"",ROW()),ROW()))</f>
        <v/>
      </c>
    </row>
    <row r="1533" spans="1:25" x14ac:dyDescent="0.2">
      <c r="A1533" s="114"/>
      <c r="B1533" s="23"/>
      <c r="C1533" s="23"/>
      <c r="D1533" s="23"/>
      <c r="E1533" s="23"/>
      <c r="Y1533" s="8" t="str">
        <f>IF(A1533="","",IFERROR(IF(VLOOKUP(A1533,Entry!$D:$D,1,FALSE)=A1533,"",ROW()),ROW()))</f>
        <v/>
      </c>
    </row>
    <row r="1534" spans="1:25" x14ac:dyDescent="0.2">
      <c r="A1534" s="114"/>
      <c r="B1534" s="23"/>
      <c r="C1534" s="23"/>
      <c r="D1534" s="23"/>
      <c r="E1534" s="23"/>
      <c r="Y1534" s="8" t="str">
        <f>IF(A1534="","",IFERROR(IF(VLOOKUP(A1534,Entry!$D:$D,1,FALSE)=A1534,"",ROW()),ROW()))</f>
        <v/>
      </c>
    </row>
    <row r="1535" spans="1:25" x14ac:dyDescent="0.2">
      <c r="A1535" s="114"/>
      <c r="B1535" s="23"/>
      <c r="C1535" s="23"/>
      <c r="D1535" s="23"/>
      <c r="E1535" s="23"/>
      <c r="Y1535" s="8" t="str">
        <f>IF(A1535="","",IFERROR(IF(VLOOKUP(A1535,Entry!$D:$D,1,FALSE)=A1535,"",ROW()),ROW()))</f>
        <v/>
      </c>
    </row>
    <row r="1536" spans="1:25" x14ac:dyDescent="0.2">
      <c r="A1536" s="114"/>
      <c r="B1536" s="23"/>
      <c r="C1536" s="23"/>
      <c r="D1536" s="23"/>
      <c r="E1536" s="23"/>
      <c r="Y1536" s="8" t="str">
        <f>IF(A1536="","",IFERROR(IF(VLOOKUP(A1536,Entry!$D:$D,1,FALSE)=A1536,"",ROW()),ROW()))</f>
        <v/>
      </c>
    </row>
    <row r="1537" spans="1:25" x14ac:dyDescent="0.2">
      <c r="A1537" s="114"/>
      <c r="B1537" s="23"/>
      <c r="C1537" s="23"/>
      <c r="D1537" s="23"/>
      <c r="E1537" s="23"/>
      <c r="Y1537" s="8" t="str">
        <f>IF(A1537="","",IFERROR(IF(VLOOKUP(A1537,Entry!$D:$D,1,FALSE)=A1537,"",ROW()),ROW()))</f>
        <v/>
      </c>
    </row>
    <row r="1538" spans="1:25" x14ac:dyDescent="0.2">
      <c r="A1538" s="114"/>
      <c r="B1538" s="23"/>
      <c r="C1538" s="23"/>
      <c r="D1538" s="23"/>
      <c r="E1538" s="23"/>
      <c r="Y1538" s="8" t="str">
        <f>IF(A1538="","",IFERROR(IF(VLOOKUP(A1538,Entry!$D:$D,1,FALSE)=A1538,"",ROW()),ROW()))</f>
        <v/>
      </c>
    </row>
    <row r="1539" spans="1:25" x14ac:dyDescent="0.2">
      <c r="A1539" s="114"/>
      <c r="B1539" s="23"/>
      <c r="C1539" s="23"/>
      <c r="D1539" s="23"/>
      <c r="E1539" s="23"/>
      <c r="Y1539" s="8" t="str">
        <f>IF(A1539="","",IFERROR(IF(VLOOKUP(A1539,Entry!$D:$D,1,FALSE)=A1539,"",ROW()),ROW()))</f>
        <v/>
      </c>
    </row>
    <row r="1540" spans="1:25" x14ac:dyDescent="0.2">
      <c r="A1540" s="114"/>
      <c r="B1540" s="23"/>
      <c r="C1540" s="23"/>
      <c r="D1540" s="23"/>
      <c r="E1540" s="23"/>
      <c r="Y1540" s="8" t="str">
        <f>IF(A1540="","",IFERROR(IF(VLOOKUP(A1540,Entry!$D:$D,1,FALSE)=A1540,"",ROW()),ROW()))</f>
        <v/>
      </c>
    </row>
    <row r="1541" spans="1:25" x14ac:dyDescent="0.2">
      <c r="A1541" s="114"/>
      <c r="B1541" s="23"/>
      <c r="C1541" s="23"/>
      <c r="D1541" s="23"/>
      <c r="E1541" s="23"/>
      <c r="Y1541" s="8" t="str">
        <f>IF(A1541="","",IFERROR(IF(VLOOKUP(A1541,Entry!$D:$D,1,FALSE)=A1541,"",ROW()),ROW()))</f>
        <v/>
      </c>
    </row>
    <row r="1542" spans="1:25" x14ac:dyDescent="0.2">
      <c r="A1542" s="114"/>
      <c r="B1542" s="23"/>
      <c r="C1542" s="23"/>
      <c r="D1542" s="23"/>
      <c r="E1542" s="23"/>
      <c r="Y1542" s="8" t="str">
        <f>IF(A1542="","",IFERROR(IF(VLOOKUP(A1542,Entry!$D:$D,1,FALSE)=A1542,"",ROW()),ROW()))</f>
        <v/>
      </c>
    </row>
    <row r="1543" spans="1:25" x14ac:dyDescent="0.2">
      <c r="A1543" s="114"/>
      <c r="B1543" s="23"/>
      <c r="C1543" s="23"/>
      <c r="D1543" s="23"/>
      <c r="E1543" s="23"/>
      <c r="Y1543" s="8" t="str">
        <f>IF(A1543="","",IFERROR(IF(VLOOKUP(A1543,Entry!$D:$D,1,FALSE)=A1543,"",ROW()),ROW()))</f>
        <v/>
      </c>
    </row>
    <row r="1544" spans="1:25" x14ac:dyDescent="0.2">
      <c r="A1544" s="114"/>
      <c r="B1544" s="23"/>
      <c r="C1544" s="23"/>
      <c r="D1544" s="23"/>
      <c r="E1544" s="23"/>
      <c r="Y1544" s="8" t="str">
        <f>IF(A1544="","",IFERROR(IF(VLOOKUP(A1544,Entry!$D:$D,1,FALSE)=A1544,"",ROW()),ROW()))</f>
        <v/>
      </c>
    </row>
    <row r="1545" spans="1:25" x14ac:dyDescent="0.2">
      <c r="A1545" s="114"/>
      <c r="B1545" s="23"/>
      <c r="C1545" s="23"/>
      <c r="D1545" s="23"/>
      <c r="E1545" s="23"/>
      <c r="Y1545" s="8" t="str">
        <f>IF(A1545="","",IFERROR(IF(VLOOKUP(A1545,Entry!$D:$D,1,FALSE)=A1545,"",ROW()),ROW()))</f>
        <v/>
      </c>
    </row>
    <row r="1546" spans="1:25" x14ac:dyDescent="0.2">
      <c r="A1546" s="114"/>
      <c r="B1546" s="23"/>
      <c r="C1546" s="23"/>
      <c r="D1546" s="23"/>
      <c r="E1546" s="23"/>
      <c r="Y1546" s="8" t="str">
        <f>IF(A1546="","",IFERROR(IF(VLOOKUP(A1546,Entry!$D:$D,1,FALSE)=A1546,"",ROW()),ROW()))</f>
        <v/>
      </c>
    </row>
    <row r="1547" spans="1:25" x14ac:dyDescent="0.2">
      <c r="A1547" s="114"/>
      <c r="B1547" s="23"/>
      <c r="C1547" s="23"/>
      <c r="D1547" s="23"/>
      <c r="E1547" s="23"/>
      <c r="Y1547" s="8" t="str">
        <f>IF(A1547="","",IFERROR(IF(VLOOKUP(A1547,Entry!$D:$D,1,FALSE)=A1547,"",ROW()),ROW()))</f>
        <v/>
      </c>
    </row>
    <row r="1548" spans="1:25" x14ac:dyDescent="0.2">
      <c r="A1548" s="114"/>
      <c r="B1548" s="23"/>
      <c r="C1548" s="23"/>
      <c r="D1548" s="23"/>
      <c r="E1548" s="23"/>
      <c r="Y1548" s="8" t="str">
        <f>IF(A1548="","",IFERROR(IF(VLOOKUP(A1548,Entry!$D:$D,1,FALSE)=A1548,"",ROW()),ROW()))</f>
        <v/>
      </c>
    </row>
    <row r="1549" spans="1:25" x14ac:dyDescent="0.2">
      <c r="A1549" s="114"/>
      <c r="B1549" s="23"/>
      <c r="C1549" s="23"/>
      <c r="D1549" s="23"/>
      <c r="E1549" s="23"/>
      <c r="Y1549" s="8" t="str">
        <f>IF(A1549="","",IFERROR(IF(VLOOKUP(A1549,Entry!$D:$D,1,FALSE)=A1549,"",ROW()),ROW()))</f>
        <v/>
      </c>
    </row>
    <row r="1550" spans="1:25" x14ac:dyDescent="0.2">
      <c r="A1550" s="114"/>
      <c r="B1550" s="23"/>
      <c r="C1550" s="23"/>
      <c r="D1550" s="23"/>
      <c r="E1550" s="23"/>
      <c r="Y1550" s="8" t="str">
        <f>IF(A1550="","",IFERROR(IF(VLOOKUP(A1550,Entry!$D:$D,1,FALSE)=A1550,"",ROW()),ROW()))</f>
        <v/>
      </c>
    </row>
    <row r="1551" spans="1:25" x14ac:dyDescent="0.2">
      <c r="A1551" s="114"/>
      <c r="B1551" s="23"/>
      <c r="C1551" s="23"/>
      <c r="D1551" s="23"/>
      <c r="E1551" s="23"/>
      <c r="Y1551" s="8" t="str">
        <f>IF(A1551="","",IFERROR(IF(VLOOKUP(A1551,Entry!$D:$D,1,FALSE)=A1551,"",ROW()),ROW()))</f>
        <v/>
      </c>
    </row>
    <row r="1552" spans="1:25" x14ac:dyDescent="0.2">
      <c r="A1552" s="114"/>
      <c r="B1552" s="23"/>
      <c r="C1552" s="23"/>
      <c r="D1552" s="23"/>
      <c r="E1552" s="23"/>
      <c r="Y1552" s="8" t="str">
        <f>IF(A1552="","",IFERROR(IF(VLOOKUP(A1552,Entry!$D:$D,1,FALSE)=A1552,"",ROW()),ROW()))</f>
        <v/>
      </c>
    </row>
    <row r="1553" spans="1:25" x14ac:dyDescent="0.2">
      <c r="A1553" s="114"/>
      <c r="B1553" s="23"/>
      <c r="C1553" s="23"/>
      <c r="D1553" s="23"/>
      <c r="E1553" s="23"/>
      <c r="Y1553" s="8" t="str">
        <f>IF(A1553="","",IFERROR(IF(VLOOKUP(A1553,Entry!$D:$D,1,FALSE)=A1553,"",ROW()),ROW()))</f>
        <v/>
      </c>
    </row>
    <row r="1554" spans="1:25" x14ac:dyDescent="0.2">
      <c r="A1554" s="114"/>
      <c r="B1554" s="23"/>
      <c r="C1554" s="23"/>
      <c r="D1554" s="23"/>
      <c r="E1554" s="23"/>
      <c r="Y1554" s="8" t="str">
        <f>IF(A1554="","",IFERROR(IF(VLOOKUP(A1554,Entry!$D:$D,1,FALSE)=A1554,"",ROW()),ROW()))</f>
        <v/>
      </c>
    </row>
    <row r="1555" spans="1:25" x14ac:dyDescent="0.2">
      <c r="A1555" s="114"/>
      <c r="B1555" s="23"/>
      <c r="C1555" s="23"/>
      <c r="D1555" s="23"/>
      <c r="E1555" s="23"/>
      <c r="Y1555" s="8" t="str">
        <f>IF(A1555="","",IFERROR(IF(VLOOKUP(A1555,Entry!$D:$D,1,FALSE)=A1555,"",ROW()),ROW()))</f>
        <v/>
      </c>
    </row>
    <row r="1556" spans="1:25" x14ac:dyDescent="0.2">
      <c r="A1556" s="114"/>
      <c r="B1556" s="23"/>
      <c r="C1556" s="23"/>
      <c r="D1556" s="23"/>
      <c r="E1556" s="23"/>
      <c r="Y1556" s="8" t="str">
        <f>IF(A1556="","",IFERROR(IF(VLOOKUP(A1556,Entry!$D:$D,1,FALSE)=A1556,"",ROW()),ROW()))</f>
        <v/>
      </c>
    </row>
    <row r="1557" spans="1:25" x14ac:dyDescent="0.2">
      <c r="A1557" s="114"/>
      <c r="B1557" s="23"/>
      <c r="C1557" s="23"/>
      <c r="D1557" s="23"/>
      <c r="E1557" s="23"/>
      <c r="Y1557" s="8" t="str">
        <f>IF(A1557="","",IFERROR(IF(VLOOKUP(A1557,Entry!$D:$D,1,FALSE)=A1557,"",ROW()),ROW()))</f>
        <v/>
      </c>
    </row>
    <row r="1558" spans="1:25" x14ac:dyDescent="0.2">
      <c r="A1558" s="114"/>
      <c r="B1558" s="23"/>
      <c r="C1558" s="23"/>
      <c r="D1558" s="23"/>
      <c r="E1558" s="23"/>
      <c r="Y1558" s="8" t="str">
        <f>IF(A1558="","",IFERROR(IF(VLOOKUP(A1558,Entry!$D:$D,1,FALSE)=A1558,"",ROW()),ROW()))</f>
        <v/>
      </c>
    </row>
    <row r="1559" spans="1:25" x14ac:dyDescent="0.2">
      <c r="A1559" s="114"/>
      <c r="B1559" s="23"/>
      <c r="C1559" s="23"/>
      <c r="D1559" s="23"/>
      <c r="E1559" s="23"/>
      <c r="Y1559" s="8" t="str">
        <f>IF(A1559="","",IFERROR(IF(VLOOKUP(A1559,Entry!$D:$D,1,FALSE)=A1559,"",ROW()),ROW()))</f>
        <v/>
      </c>
    </row>
    <row r="1560" spans="1:25" x14ac:dyDescent="0.2">
      <c r="A1560" s="114"/>
      <c r="B1560" s="23"/>
      <c r="C1560" s="23"/>
      <c r="D1560" s="23"/>
      <c r="E1560" s="23"/>
      <c r="Y1560" s="8" t="str">
        <f>IF(A1560="","",IFERROR(IF(VLOOKUP(A1560,Entry!$D:$D,1,FALSE)=A1560,"",ROW()),ROW()))</f>
        <v/>
      </c>
    </row>
    <row r="1561" spans="1:25" x14ac:dyDescent="0.2">
      <c r="A1561" s="114"/>
      <c r="B1561" s="23"/>
      <c r="C1561" s="23"/>
      <c r="D1561" s="23"/>
      <c r="E1561" s="23"/>
      <c r="Y1561" s="8" t="str">
        <f>IF(A1561="","",IFERROR(IF(VLOOKUP(A1561,Entry!$D:$D,1,FALSE)=A1561,"",ROW()),ROW()))</f>
        <v/>
      </c>
    </row>
    <row r="1562" spans="1:25" x14ac:dyDescent="0.2">
      <c r="A1562" s="114"/>
      <c r="B1562" s="23"/>
      <c r="C1562" s="23"/>
      <c r="D1562" s="23"/>
      <c r="E1562" s="23"/>
      <c r="Y1562" s="8" t="str">
        <f>IF(A1562="","",IFERROR(IF(VLOOKUP(A1562,Entry!$D:$D,1,FALSE)=A1562,"",ROW()),ROW()))</f>
        <v/>
      </c>
    </row>
    <row r="1563" spans="1:25" x14ac:dyDescent="0.2">
      <c r="A1563" s="114"/>
      <c r="B1563" s="23"/>
      <c r="C1563" s="23"/>
      <c r="D1563" s="23"/>
      <c r="E1563" s="23"/>
      <c r="Y1563" s="8" t="str">
        <f>IF(A1563="","",IFERROR(IF(VLOOKUP(A1563,Entry!$D:$D,1,FALSE)=A1563,"",ROW()),ROW()))</f>
        <v/>
      </c>
    </row>
    <row r="1564" spans="1:25" x14ac:dyDescent="0.2">
      <c r="A1564" s="114"/>
      <c r="B1564" s="23"/>
      <c r="C1564" s="23"/>
      <c r="D1564" s="23"/>
      <c r="E1564" s="23"/>
      <c r="Y1564" s="8" t="str">
        <f>IF(A1564="","",IFERROR(IF(VLOOKUP(A1564,Entry!$D:$D,1,FALSE)=A1564,"",ROW()),ROW()))</f>
        <v/>
      </c>
    </row>
    <row r="1565" spans="1:25" x14ac:dyDescent="0.2">
      <c r="A1565" s="114"/>
      <c r="B1565" s="23"/>
      <c r="C1565" s="23"/>
      <c r="D1565" s="23"/>
      <c r="E1565" s="23"/>
      <c r="Y1565" s="8" t="str">
        <f>IF(A1565="","",IFERROR(IF(VLOOKUP(A1565,Entry!$D:$D,1,FALSE)=A1565,"",ROW()),ROW()))</f>
        <v/>
      </c>
    </row>
    <row r="1566" spans="1:25" x14ac:dyDescent="0.2">
      <c r="A1566" s="114"/>
      <c r="B1566" s="23"/>
      <c r="C1566" s="23"/>
      <c r="D1566" s="23"/>
      <c r="E1566" s="23"/>
      <c r="Y1566" s="8" t="str">
        <f>IF(A1566="","",IFERROR(IF(VLOOKUP(A1566,Entry!$D:$D,1,FALSE)=A1566,"",ROW()),ROW()))</f>
        <v/>
      </c>
    </row>
    <row r="1567" spans="1:25" x14ac:dyDescent="0.2">
      <c r="A1567" s="114"/>
      <c r="B1567" s="23"/>
      <c r="C1567" s="23"/>
      <c r="D1567" s="23"/>
      <c r="E1567" s="23"/>
      <c r="Y1567" s="8" t="str">
        <f>IF(A1567="","",IFERROR(IF(VLOOKUP(A1567,Entry!$D:$D,1,FALSE)=A1567,"",ROW()),ROW()))</f>
        <v/>
      </c>
    </row>
    <row r="1568" spans="1:25" x14ac:dyDescent="0.2">
      <c r="A1568" s="114"/>
      <c r="B1568" s="23"/>
      <c r="C1568" s="23"/>
      <c r="D1568" s="23"/>
      <c r="E1568" s="23"/>
      <c r="Y1568" s="8" t="str">
        <f>IF(A1568="","",IFERROR(IF(VLOOKUP(A1568,Entry!$D:$D,1,FALSE)=A1568,"",ROW()),ROW()))</f>
        <v/>
      </c>
    </row>
    <row r="1569" spans="1:25" x14ac:dyDescent="0.2">
      <c r="A1569" s="114"/>
      <c r="B1569" s="23"/>
      <c r="C1569" s="23"/>
      <c r="D1569" s="23"/>
      <c r="E1569" s="23"/>
      <c r="Y1569" s="8" t="str">
        <f>IF(A1569="","",IFERROR(IF(VLOOKUP(A1569,Entry!$D:$D,1,FALSE)=A1569,"",ROW()),ROW()))</f>
        <v/>
      </c>
    </row>
    <row r="1570" spans="1:25" x14ac:dyDescent="0.2">
      <c r="A1570" s="114"/>
      <c r="B1570" s="23"/>
      <c r="C1570" s="23"/>
      <c r="D1570" s="23"/>
      <c r="E1570" s="23"/>
      <c r="Y1570" s="8" t="str">
        <f>IF(A1570="","",IFERROR(IF(VLOOKUP(A1570,Entry!$D:$D,1,FALSE)=A1570,"",ROW()),ROW()))</f>
        <v/>
      </c>
    </row>
    <row r="1571" spans="1:25" x14ac:dyDescent="0.2">
      <c r="A1571" s="114"/>
      <c r="B1571" s="23"/>
      <c r="C1571" s="23"/>
      <c r="D1571" s="23"/>
      <c r="E1571" s="23"/>
      <c r="Y1571" s="8" t="str">
        <f>IF(A1571="","",IFERROR(IF(VLOOKUP(A1571,Entry!$D:$D,1,FALSE)=A1571,"",ROW()),ROW()))</f>
        <v/>
      </c>
    </row>
    <row r="1572" spans="1:25" x14ac:dyDescent="0.2">
      <c r="A1572" s="114"/>
      <c r="B1572" s="23"/>
      <c r="C1572" s="23"/>
      <c r="D1572" s="23"/>
      <c r="E1572" s="23"/>
      <c r="Y1572" s="8" t="str">
        <f>IF(A1572="","",IFERROR(IF(VLOOKUP(A1572,Entry!$D:$D,1,FALSE)=A1572,"",ROW()),ROW()))</f>
        <v/>
      </c>
    </row>
    <row r="1573" spans="1:25" x14ac:dyDescent="0.2">
      <c r="A1573" s="114"/>
      <c r="B1573" s="23"/>
      <c r="C1573" s="23"/>
      <c r="D1573" s="23"/>
      <c r="E1573" s="23"/>
      <c r="Y1573" s="8" t="str">
        <f>IF(A1573="","",IFERROR(IF(VLOOKUP(A1573,Entry!$D:$D,1,FALSE)=A1573,"",ROW()),ROW()))</f>
        <v/>
      </c>
    </row>
    <row r="1574" spans="1:25" x14ac:dyDescent="0.2">
      <c r="A1574" s="114"/>
      <c r="B1574" s="23"/>
      <c r="C1574" s="23"/>
      <c r="D1574" s="23"/>
      <c r="E1574" s="23"/>
      <c r="Y1574" s="8" t="str">
        <f>IF(A1574="","",IFERROR(IF(VLOOKUP(A1574,Entry!$D:$D,1,FALSE)=A1574,"",ROW()),ROW()))</f>
        <v/>
      </c>
    </row>
    <row r="1575" spans="1:25" x14ac:dyDescent="0.2">
      <c r="A1575" s="114"/>
      <c r="B1575" s="23"/>
      <c r="C1575" s="23"/>
      <c r="D1575" s="23"/>
      <c r="E1575" s="23"/>
      <c r="Y1575" s="8" t="str">
        <f>IF(A1575="","",IFERROR(IF(VLOOKUP(A1575,Entry!$D:$D,1,FALSE)=A1575,"",ROW()),ROW()))</f>
        <v/>
      </c>
    </row>
    <row r="1576" spans="1:25" x14ac:dyDescent="0.2">
      <c r="A1576" s="114"/>
      <c r="B1576" s="23"/>
      <c r="C1576" s="23"/>
      <c r="D1576" s="23"/>
      <c r="E1576" s="23"/>
      <c r="Y1576" s="8" t="str">
        <f>IF(A1576="","",IFERROR(IF(VLOOKUP(A1576,Entry!$D:$D,1,FALSE)=A1576,"",ROW()),ROW()))</f>
        <v/>
      </c>
    </row>
    <row r="1577" spans="1:25" x14ac:dyDescent="0.2">
      <c r="A1577" s="114"/>
      <c r="B1577" s="23"/>
      <c r="C1577" s="23"/>
      <c r="D1577" s="23"/>
      <c r="E1577" s="23"/>
      <c r="Y1577" s="8" t="str">
        <f>IF(A1577="","",IFERROR(IF(VLOOKUP(A1577,Entry!$D:$D,1,FALSE)=A1577,"",ROW()),ROW()))</f>
        <v/>
      </c>
    </row>
    <row r="1578" spans="1:25" x14ac:dyDescent="0.2">
      <c r="A1578" s="114"/>
      <c r="B1578" s="23"/>
      <c r="C1578" s="23"/>
      <c r="D1578" s="23"/>
      <c r="E1578" s="23"/>
      <c r="Y1578" s="8" t="str">
        <f>IF(A1578="","",IFERROR(IF(VLOOKUP(A1578,Entry!$D:$D,1,FALSE)=A1578,"",ROW()),ROW()))</f>
        <v/>
      </c>
    </row>
    <row r="1579" spans="1:25" x14ac:dyDescent="0.2">
      <c r="A1579" s="114"/>
      <c r="B1579" s="23"/>
      <c r="C1579" s="23"/>
      <c r="D1579" s="23"/>
      <c r="E1579" s="23"/>
      <c r="Y1579" s="8" t="str">
        <f>IF(A1579="","",IFERROR(IF(VLOOKUP(A1579,Entry!$D:$D,1,FALSE)=A1579,"",ROW()),ROW()))</f>
        <v/>
      </c>
    </row>
    <row r="1580" spans="1:25" x14ac:dyDescent="0.2">
      <c r="A1580" s="114"/>
      <c r="B1580" s="23"/>
      <c r="C1580" s="23"/>
      <c r="D1580" s="23"/>
      <c r="E1580" s="23"/>
      <c r="Y1580" s="8" t="str">
        <f>IF(A1580="","",IFERROR(IF(VLOOKUP(A1580,Entry!$D:$D,1,FALSE)=A1580,"",ROW()),ROW()))</f>
        <v/>
      </c>
    </row>
    <row r="1581" spans="1:25" x14ac:dyDescent="0.2">
      <c r="A1581" s="114"/>
      <c r="B1581" s="23"/>
      <c r="C1581" s="23"/>
      <c r="D1581" s="23"/>
      <c r="E1581" s="23"/>
      <c r="Y1581" s="8" t="str">
        <f>IF(A1581="","",IFERROR(IF(VLOOKUP(A1581,Entry!$D:$D,1,FALSE)=A1581,"",ROW()),ROW()))</f>
        <v/>
      </c>
    </row>
    <row r="1582" spans="1:25" x14ac:dyDescent="0.2">
      <c r="A1582" s="114"/>
      <c r="B1582" s="23"/>
      <c r="C1582" s="23"/>
      <c r="D1582" s="23"/>
      <c r="E1582" s="23"/>
      <c r="Y1582" s="8" t="str">
        <f>IF(A1582="","",IFERROR(IF(VLOOKUP(A1582,Entry!$D:$D,1,FALSE)=A1582,"",ROW()),ROW()))</f>
        <v/>
      </c>
    </row>
    <row r="1583" spans="1:25" x14ac:dyDescent="0.2">
      <c r="A1583" s="114"/>
      <c r="B1583" s="23"/>
      <c r="C1583" s="23"/>
      <c r="D1583" s="23"/>
      <c r="E1583" s="23"/>
      <c r="Y1583" s="8" t="str">
        <f>IF(A1583="","",IFERROR(IF(VLOOKUP(A1583,Entry!$D:$D,1,FALSE)=A1583,"",ROW()),ROW()))</f>
        <v/>
      </c>
    </row>
    <row r="1584" spans="1:25" x14ac:dyDescent="0.2">
      <c r="A1584" s="114"/>
      <c r="B1584" s="23"/>
      <c r="C1584" s="23"/>
      <c r="D1584" s="23"/>
      <c r="E1584" s="23"/>
      <c r="Y1584" s="8" t="str">
        <f>IF(A1584="","",IFERROR(IF(VLOOKUP(A1584,Entry!$D:$D,1,FALSE)=A1584,"",ROW()),ROW()))</f>
        <v/>
      </c>
    </row>
    <row r="1585" spans="1:25" x14ac:dyDescent="0.2">
      <c r="A1585" s="114"/>
      <c r="B1585" s="23"/>
      <c r="C1585" s="23"/>
      <c r="D1585" s="23"/>
      <c r="E1585" s="23"/>
      <c r="Y1585" s="8" t="str">
        <f>IF(A1585="","",IFERROR(IF(VLOOKUP(A1585,Entry!$D:$D,1,FALSE)=A1585,"",ROW()),ROW()))</f>
        <v/>
      </c>
    </row>
    <row r="1586" spans="1:25" x14ac:dyDescent="0.2">
      <c r="A1586" s="114"/>
      <c r="B1586" s="23"/>
      <c r="C1586" s="23"/>
      <c r="D1586" s="23"/>
      <c r="E1586" s="23"/>
      <c r="Y1586" s="8" t="str">
        <f>IF(A1586="","",IFERROR(IF(VLOOKUP(A1586,Entry!$D:$D,1,FALSE)=A1586,"",ROW()),ROW()))</f>
        <v/>
      </c>
    </row>
    <row r="1587" spans="1:25" x14ac:dyDescent="0.2">
      <c r="A1587" s="114"/>
      <c r="B1587" s="23"/>
      <c r="C1587" s="23"/>
      <c r="D1587" s="23"/>
      <c r="E1587" s="23"/>
      <c r="Y1587" s="8" t="str">
        <f>IF(A1587="","",IFERROR(IF(VLOOKUP(A1587,Entry!$D:$D,1,FALSE)=A1587,"",ROW()),ROW()))</f>
        <v/>
      </c>
    </row>
    <row r="1588" spans="1:25" x14ac:dyDescent="0.2">
      <c r="A1588" s="114"/>
      <c r="B1588" s="23"/>
      <c r="C1588" s="23"/>
      <c r="D1588" s="23"/>
      <c r="E1588" s="23"/>
      <c r="Y1588" s="8" t="str">
        <f>IF(A1588="","",IFERROR(IF(VLOOKUP(A1588,Entry!$D:$D,1,FALSE)=A1588,"",ROW()),ROW()))</f>
        <v/>
      </c>
    </row>
    <row r="1589" spans="1:25" x14ac:dyDescent="0.2">
      <c r="A1589" s="114"/>
      <c r="B1589" s="23"/>
      <c r="C1589" s="23"/>
      <c r="D1589" s="23"/>
      <c r="E1589" s="23"/>
      <c r="Y1589" s="8" t="str">
        <f>IF(A1589="","",IFERROR(IF(VLOOKUP(A1589,Entry!$D:$D,1,FALSE)=A1589,"",ROW()),ROW()))</f>
        <v/>
      </c>
    </row>
    <row r="1590" spans="1:25" x14ac:dyDescent="0.2">
      <c r="A1590" s="114"/>
      <c r="B1590" s="23"/>
      <c r="C1590" s="23"/>
      <c r="D1590" s="23"/>
      <c r="E1590" s="23"/>
      <c r="Y1590" s="8" t="str">
        <f>IF(A1590="","",IFERROR(IF(VLOOKUP(A1590,Entry!$D:$D,1,FALSE)=A1590,"",ROW()),ROW()))</f>
        <v/>
      </c>
    </row>
    <row r="1591" spans="1:25" x14ac:dyDescent="0.2">
      <c r="A1591" s="114"/>
      <c r="B1591" s="23"/>
      <c r="C1591" s="23"/>
      <c r="D1591" s="23"/>
      <c r="E1591" s="23"/>
      <c r="Y1591" s="8" t="str">
        <f>IF(A1591="","",IFERROR(IF(VLOOKUP(A1591,Entry!$D:$D,1,FALSE)=A1591,"",ROW()),ROW()))</f>
        <v/>
      </c>
    </row>
    <row r="1592" spans="1:25" x14ac:dyDescent="0.2">
      <c r="A1592" s="114"/>
      <c r="B1592" s="23"/>
      <c r="C1592" s="23"/>
      <c r="D1592" s="23"/>
      <c r="E1592" s="23"/>
      <c r="Y1592" s="8" t="str">
        <f>IF(A1592="","",IFERROR(IF(VLOOKUP(A1592,Entry!$D:$D,1,FALSE)=A1592,"",ROW()),ROW()))</f>
        <v/>
      </c>
    </row>
    <row r="1593" spans="1:25" x14ac:dyDescent="0.2">
      <c r="A1593" s="114"/>
      <c r="B1593" s="23"/>
      <c r="C1593" s="23"/>
      <c r="D1593" s="23"/>
      <c r="E1593" s="23"/>
      <c r="Y1593" s="8" t="str">
        <f>IF(A1593="","",IFERROR(IF(VLOOKUP(A1593,Entry!$D:$D,1,FALSE)=A1593,"",ROW()),ROW()))</f>
        <v/>
      </c>
    </row>
    <row r="1594" spans="1:25" x14ac:dyDescent="0.2">
      <c r="A1594" s="114"/>
      <c r="B1594" s="23"/>
      <c r="C1594" s="23"/>
      <c r="D1594" s="23"/>
      <c r="E1594" s="23"/>
      <c r="Y1594" s="8" t="str">
        <f>IF(A1594="","",IFERROR(IF(VLOOKUP(A1594,Entry!$D:$D,1,FALSE)=A1594,"",ROW()),ROW()))</f>
        <v/>
      </c>
    </row>
    <row r="1595" spans="1:25" x14ac:dyDescent="0.2">
      <c r="A1595" s="114"/>
      <c r="B1595" s="23"/>
      <c r="C1595" s="23"/>
      <c r="D1595" s="23"/>
      <c r="E1595" s="23"/>
      <c r="Y1595" s="8" t="str">
        <f>IF(A1595="","",IFERROR(IF(VLOOKUP(A1595,Entry!$D:$D,1,FALSE)=A1595,"",ROW()),ROW()))</f>
        <v/>
      </c>
    </row>
    <row r="1596" spans="1:25" x14ac:dyDescent="0.2">
      <c r="A1596" s="114"/>
      <c r="B1596" s="23"/>
      <c r="C1596" s="23"/>
      <c r="D1596" s="23"/>
      <c r="E1596" s="23"/>
      <c r="Y1596" s="8" t="str">
        <f>IF(A1596="","",IFERROR(IF(VLOOKUP(A1596,Entry!$D:$D,1,FALSE)=A1596,"",ROW()),ROW()))</f>
        <v/>
      </c>
    </row>
    <row r="1597" spans="1:25" x14ac:dyDescent="0.2">
      <c r="A1597" s="114"/>
      <c r="B1597" s="23"/>
      <c r="C1597" s="23"/>
      <c r="D1597" s="23"/>
      <c r="E1597" s="23"/>
      <c r="Y1597" s="8" t="str">
        <f>IF(A1597="","",IFERROR(IF(VLOOKUP(A1597,Entry!$D:$D,1,FALSE)=A1597,"",ROW()),ROW()))</f>
        <v/>
      </c>
    </row>
    <row r="1598" spans="1:25" x14ac:dyDescent="0.2">
      <c r="A1598" s="114"/>
      <c r="B1598" s="23"/>
      <c r="C1598" s="23"/>
      <c r="D1598" s="23"/>
      <c r="E1598" s="23"/>
      <c r="Y1598" s="8" t="str">
        <f>IF(A1598="","",IFERROR(IF(VLOOKUP(A1598,Entry!$D:$D,1,FALSE)=A1598,"",ROW()),ROW()))</f>
        <v/>
      </c>
    </row>
    <row r="1599" spans="1:25" x14ac:dyDescent="0.2">
      <c r="A1599" s="114"/>
      <c r="B1599" s="23"/>
      <c r="C1599" s="23"/>
      <c r="D1599" s="23"/>
      <c r="E1599" s="23"/>
      <c r="Y1599" s="8" t="str">
        <f>IF(A1599="","",IFERROR(IF(VLOOKUP(A1599,Entry!$D:$D,1,FALSE)=A1599,"",ROW()),ROW()))</f>
        <v/>
      </c>
    </row>
    <row r="1600" spans="1:25" x14ac:dyDescent="0.2">
      <c r="A1600" s="114"/>
      <c r="B1600" s="23"/>
      <c r="C1600" s="23"/>
      <c r="D1600" s="23"/>
      <c r="E1600" s="23"/>
      <c r="Y1600" s="8" t="str">
        <f>IF(A1600="","",IFERROR(IF(VLOOKUP(A1600,Entry!$D:$D,1,FALSE)=A1600,"",ROW()),ROW()))</f>
        <v/>
      </c>
    </row>
    <row r="1601" spans="1:25" x14ac:dyDescent="0.2">
      <c r="A1601" s="114"/>
      <c r="B1601" s="23"/>
      <c r="C1601" s="23"/>
      <c r="D1601" s="23"/>
      <c r="E1601" s="23"/>
      <c r="Y1601" s="8" t="str">
        <f>IF(A1601="","",IFERROR(IF(VLOOKUP(A1601,Entry!$D:$D,1,FALSE)=A1601,"",ROW()),ROW()))</f>
        <v/>
      </c>
    </row>
    <row r="1602" spans="1:25" x14ac:dyDescent="0.2">
      <c r="A1602" s="114"/>
      <c r="B1602" s="23"/>
      <c r="C1602" s="23"/>
      <c r="D1602" s="23"/>
      <c r="E1602" s="23"/>
      <c r="Y1602" s="8" t="str">
        <f>IF(A1602="","",IFERROR(IF(VLOOKUP(A1602,Entry!$D:$D,1,FALSE)=A1602,"",ROW()),ROW()))</f>
        <v/>
      </c>
    </row>
    <row r="1603" spans="1:25" x14ac:dyDescent="0.2">
      <c r="A1603" s="114"/>
      <c r="B1603" s="23"/>
      <c r="C1603" s="23"/>
      <c r="D1603" s="23"/>
      <c r="E1603" s="23"/>
      <c r="Y1603" s="8" t="str">
        <f>IF(A1603="","",IFERROR(IF(VLOOKUP(A1603,Entry!$D:$D,1,FALSE)=A1603,"",ROW()),ROW()))</f>
        <v/>
      </c>
    </row>
    <row r="1604" spans="1:25" x14ac:dyDescent="0.2">
      <c r="A1604" s="114"/>
      <c r="B1604" s="23"/>
      <c r="C1604" s="23"/>
      <c r="D1604" s="23"/>
      <c r="E1604" s="23"/>
      <c r="Y1604" s="8" t="str">
        <f>IF(A1604="","",IFERROR(IF(VLOOKUP(A1604,Entry!$D:$D,1,FALSE)=A1604,"",ROW()),ROW()))</f>
        <v/>
      </c>
    </row>
    <row r="1605" spans="1:25" x14ac:dyDescent="0.2">
      <c r="A1605" s="114"/>
      <c r="B1605" s="23"/>
      <c r="C1605" s="23"/>
      <c r="D1605" s="23"/>
      <c r="E1605" s="23"/>
      <c r="Y1605" s="8" t="str">
        <f>IF(A1605="","",IFERROR(IF(VLOOKUP(A1605,Entry!$D:$D,1,FALSE)=A1605,"",ROW()),ROW()))</f>
        <v/>
      </c>
    </row>
    <row r="1606" spans="1:25" x14ac:dyDescent="0.2">
      <c r="A1606" s="114"/>
      <c r="B1606" s="23"/>
      <c r="C1606" s="23"/>
      <c r="D1606" s="23"/>
      <c r="E1606" s="23"/>
      <c r="Y1606" s="8" t="str">
        <f>IF(A1606="","",IFERROR(IF(VLOOKUP(A1606,Entry!$D:$D,1,FALSE)=A1606,"",ROW()),ROW()))</f>
        <v/>
      </c>
    </row>
    <row r="1607" spans="1:25" x14ac:dyDescent="0.2">
      <c r="A1607" s="114"/>
      <c r="B1607" s="23"/>
      <c r="C1607" s="23"/>
      <c r="D1607" s="23"/>
      <c r="E1607" s="23"/>
      <c r="Y1607" s="8" t="str">
        <f>IF(A1607="","",IFERROR(IF(VLOOKUP(A1607,Entry!$D:$D,1,FALSE)=A1607,"",ROW()),ROW()))</f>
        <v/>
      </c>
    </row>
    <row r="1608" spans="1:25" x14ac:dyDescent="0.2">
      <c r="A1608" s="114"/>
      <c r="B1608" s="23"/>
      <c r="C1608" s="23"/>
      <c r="D1608" s="23"/>
      <c r="E1608" s="23"/>
      <c r="Y1608" s="8" t="str">
        <f>IF(A1608="","",IFERROR(IF(VLOOKUP(A1608,Entry!$D:$D,1,FALSE)=A1608,"",ROW()),ROW()))</f>
        <v/>
      </c>
    </row>
    <row r="1609" spans="1:25" x14ac:dyDescent="0.2">
      <c r="A1609" s="114"/>
      <c r="B1609" s="23"/>
      <c r="C1609" s="23"/>
      <c r="D1609" s="23"/>
      <c r="E1609" s="23"/>
      <c r="Y1609" s="8" t="str">
        <f>IF(A1609="","",IFERROR(IF(VLOOKUP(A1609,Entry!$D:$D,1,FALSE)=A1609,"",ROW()),ROW()))</f>
        <v/>
      </c>
    </row>
    <row r="1610" spans="1:25" x14ac:dyDescent="0.2">
      <c r="A1610" s="114"/>
      <c r="B1610" s="23"/>
      <c r="C1610" s="23"/>
      <c r="D1610" s="23"/>
      <c r="E1610" s="23"/>
      <c r="Y1610" s="8" t="str">
        <f>IF(A1610="","",IFERROR(IF(VLOOKUP(A1610,Entry!$D:$D,1,FALSE)=A1610,"",ROW()),ROW()))</f>
        <v/>
      </c>
    </row>
    <row r="1611" spans="1:25" x14ac:dyDescent="0.2">
      <c r="A1611" s="114"/>
      <c r="B1611" s="23"/>
      <c r="C1611" s="23"/>
      <c r="D1611" s="23"/>
      <c r="E1611" s="23"/>
      <c r="Y1611" s="8" t="str">
        <f>IF(A1611="","",IFERROR(IF(VLOOKUP(A1611,Entry!$D:$D,1,FALSE)=A1611,"",ROW()),ROW()))</f>
        <v/>
      </c>
    </row>
    <row r="1612" spans="1:25" x14ac:dyDescent="0.2">
      <c r="A1612" s="114"/>
      <c r="B1612" s="23"/>
      <c r="C1612" s="23"/>
      <c r="D1612" s="23"/>
      <c r="E1612" s="23"/>
      <c r="Y1612" s="8" t="str">
        <f>IF(A1612="","",IFERROR(IF(VLOOKUP(A1612,Entry!$D:$D,1,FALSE)=A1612,"",ROW()),ROW()))</f>
        <v/>
      </c>
    </row>
    <row r="1613" spans="1:25" x14ac:dyDescent="0.2">
      <c r="A1613" s="114"/>
      <c r="B1613" s="23"/>
      <c r="C1613" s="23"/>
      <c r="D1613" s="23"/>
      <c r="E1613" s="23"/>
      <c r="Y1613" s="8" t="str">
        <f>IF(A1613="","",IFERROR(IF(VLOOKUP(A1613,Entry!$D:$D,1,FALSE)=A1613,"",ROW()),ROW()))</f>
        <v/>
      </c>
    </row>
    <row r="1614" spans="1:25" x14ac:dyDescent="0.2">
      <c r="A1614" s="114"/>
      <c r="B1614" s="23"/>
      <c r="C1614" s="23"/>
      <c r="D1614" s="23"/>
      <c r="E1614" s="23"/>
      <c r="Y1614" s="8" t="str">
        <f>IF(A1614="","",IFERROR(IF(VLOOKUP(A1614,Entry!$D:$D,1,FALSE)=A1614,"",ROW()),ROW()))</f>
        <v/>
      </c>
    </row>
    <row r="1615" spans="1:25" x14ac:dyDescent="0.2">
      <c r="A1615" s="114"/>
      <c r="B1615" s="23"/>
      <c r="C1615" s="23"/>
      <c r="D1615" s="23"/>
      <c r="E1615" s="23"/>
      <c r="Y1615" s="8" t="str">
        <f>IF(A1615="","",IFERROR(IF(VLOOKUP(A1615,Entry!$D:$D,1,FALSE)=A1615,"",ROW()),ROW()))</f>
        <v/>
      </c>
    </row>
    <row r="1616" spans="1:25" x14ac:dyDescent="0.2">
      <c r="A1616" s="114"/>
      <c r="B1616" s="23"/>
      <c r="C1616" s="23"/>
      <c r="D1616" s="23"/>
      <c r="E1616" s="23"/>
      <c r="Y1616" s="8" t="str">
        <f>IF(A1616="","",IFERROR(IF(VLOOKUP(A1616,Entry!$D:$D,1,FALSE)=A1616,"",ROW()),ROW()))</f>
        <v/>
      </c>
    </row>
    <row r="1617" spans="1:25" x14ac:dyDescent="0.2">
      <c r="A1617" s="114"/>
      <c r="B1617" s="23"/>
      <c r="C1617" s="23"/>
      <c r="D1617" s="23"/>
      <c r="E1617" s="23"/>
      <c r="Y1617" s="8" t="str">
        <f>IF(A1617="","",IFERROR(IF(VLOOKUP(A1617,Entry!$D:$D,1,FALSE)=A1617,"",ROW()),ROW()))</f>
        <v/>
      </c>
    </row>
    <row r="1618" spans="1:25" x14ac:dyDescent="0.2">
      <c r="A1618" s="114"/>
      <c r="B1618" s="23"/>
      <c r="C1618" s="23"/>
      <c r="D1618" s="23"/>
      <c r="E1618" s="23"/>
      <c r="Y1618" s="8" t="str">
        <f>IF(A1618="","",IFERROR(IF(VLOOKUP(A1618,Entry!$D:$D,1,FALSE)=A1618,"",ROW()),ROW()))</f>
        <v/>
      </c>
    </row>
    <row r="1619" spans="1:25" x14ac:dyDescent="0.2">
      <c r="A1619" s="114"/>
      <c r="B1619" s="23"/>
      <c r="C1619" s="23"/>
      <c r="D1619" s="23"/>
      <c r="E1619" s="23"/>
      <c r="Y1619" s="8" t="str">
        <f>IF(A1619="","",IFERROR(IF(VLOOKUP(A1619,Entry!$D:$D,1,FALSE)=A1619,"",ROW()),ROW()))</f>
        <v/>
      </c>
    </row>
    <row r="1620" spans="1:25" x14ac:dyDescent="0.2">
      <c r="A1620" s="114"/>
      <c r="B1620" s="23"/>
      <c r="C1620" s="23"/>
      <c r="D1620" s="23"/>
      <c r="E1620" s="23"/>
      <c r="Y1620" s="8" t="str">
        <f>IF(A1620="","",IFERROR(IF(VLOOKUP(A1620,Entry!$D:$D,1,FALSE)=A1620,"",ROW()),ROW()))</f>
        <v/>
      </c>
    </row>
    <row r="1621" spans="1:25" x14ac:dyDescent="0.2">
      <c r="A1621" s="114"/>
      <c r="B1621" s="23"/>
      <c r="C1621" s="23"/>
      <c r="D1621" s="23"/>
      <c r="E1621" s="23"/>
      <c r="Y1621" s="8" t="str">
        <f>IF(A1621="","",IFERROR(IF(VLOOKUP(A1621,Entry!$D:$D,1,FALSE)=A1621,"",ROW()),ROW()))</f>
        <v/>
      </c>
    </row>
    <row r="1622" spans="1:25" x14ac:dyDescent="0.2">
      <c r="A1622" s="114"/>
      <c r="B1622" s="23"/>
      <c r="C1622" s="23"/>
      <c r="D1622" s="23"/>
      <c r="E1622" s="23"/>
      <c r="Y1622" s="8" t="str">
        <f>IF(A1622="","",IFERROR(IF(VLOOKUP(A1622,Entry!$D:$D,1,FALSE)=A1622,"",ROW()),ROW()))</f>
        <v/>
      </c>
    </row>
    <row r="1623" spans="1:25" x14ac:dyDescent="0.2">
      <c r="A1623" s="114"/>
      <c r="B1623" s="23"/>
      <c r="C1623" s="23"/>
      <c r="D1623" s="23"/>
      <c r="E1623" s="23"/>
      <c r="Y1623" s="8" t="str">
        <f>IF(A1623="","",IFERROR(IF(VLOOKUP(A1623,Entry!$D:$D,1,FALSE)=A1623,"",ROW()),ROW()))</f>
        <v/>
      </c>
    </row>
    <row r="1624" spans="1:25" x14ac:dyDescent="0.2">
      <c r="A1624" s="114"/>
      <c r="B1624" s="23"/>
      <c r="C1624" s="23"/>
      <c r="D1624" s="23"/>
      <c r="E1624" s="23"/>
      <c r="Y1624" s="8" t="str">
        <f>IF(A1624="","",IFERROR(IF(VLOOKUP(A1624,Entry!$D:$D,1,FALSE)=A1624,"",ROW()),ROW()))</f>
        <v/>
      </c>
    </row>
    <row r="1625" spans="1:25" x14ac:dyDescent="0.2">
      <c r="A1625" s="114"/>
      <c r="B1625" s="23"/>
      <c r="C1625" s="23"/>
      <c r="D1625" s="23"/>
      <c r="E1625" s="23"/>
      <c r="Y1625" s="8" t="str">
        <f>IF(A1625="","",IFERROR(IF(VLOOKUP(A1625,Entry!$D:$D,1,FALSE)=A1625,"",ROW()),ROW()))</f>
        <v/>
      </c>
    </row>
    <row r="1626" spans="1:25" x14ac:dyDescent="0.2">
      <c r="A1626" s="114"/>
      <c r="B1626" s="23"/>
      <c r="C1626" s="23"/>
      <c r="D1626" s="23"/>
      <c r="E1626" s="23"/>
      <c r="Y1626" s="8" t="str">
        <f>IF(A1626="","",IFERROR(IF(VLOOKUP(A1626,Entry!$D:$D,1,FALSE)=A1626,"",ROW()),ROW()))</f>
        <v/>
      </c>
    </row>
    <row r="1627" spans="1:25" x14ac:dyDescent="0.2">
      <c r="A1627" s="114"/>
      <c r="B1627" s="23"/>
      <c r="C1627" s="23"/>
      <c r="D1627" s="23"/>
      <c r="E1627" s="23"/>
      <c r="Y1627" s="8" t="str">
        <f>IF(A1627="","",IFERROR(IF(VLOOKUP(A1627,Entry!$D:$D,1,FALSE)=A1627,"",ROW()),ROW()))</f>
        <v/>
      </c>
    </row>
    <row r="1628" spans="1:25" x14ac:dyDescent="0.2">
      <c r="A1628" s="114"/>
      <c r="B1628" s="23"/>
      <c r="C1628" s="23"/>
      <c r="D1628" s="23"/>
      <c r="E1628" s="23"/>
      <c r="Y1628" s="8" t="str">
        <f>IF(A1628="","",IFERROR(IF(VLOOKUP(A1628,Entry!$D:$D,1,FALSE)=A1628,"",ROW()),ROW()))</f>
        <v/>
      </c>
    </row>
    <row r="1629" spans="1:25" x14ac:dyDescent="0.2">
      <c r="A1629" s="114"/>
      <c r="B1629" s="23"/>
      <c r="C1629" s="23"/>
      <c r="D1629" s="23"/>
      <c r="E1629" s="23"/>
      <c r="Y1629" s="8" t="str">
        <f>IF(A1629="","",IFERROR(IF(VLOOKUP(A1629,Entry!$D:$D,1,FALSE)=A1629,"",ROW()),ROW()))</f>
        <v/>
      </c>
    </row>
    <row r="1630" spans="1:25" x14ac:dyDescent="0.2">
      <c r="A1630" s="114"/>
      <c r="B1630" s="23"/>
      <c r="C1630" s="23"/>
      <c r="D1630" s="23"/>
      <c r="E1630" s="23"/>
      <c r="Y1630" s="8" t="str">
        <f>IF(A1630="","",IFERROR(IF(VLOOKUP(A1630,Entry!$D:$D,1,FALSE)=A1630,"",ROW()),ROW()))</f>
        <v/>
      </c>
    </row>
    <row r="1631" spans="1:25" x14ac:dyDescent="0.2">
      <c r="A1631" s="114"/>
      <c r="B1631" s="23"/>
      <c r="C1631" s="23"/>
      <c r="D1631" s="23"/>
      <c r="E1631" s="23"/>
      <c r="Y1631" s="8" t="str">
        <f>IF(A1631="","",IFERROR(IF(VLOOKUP(A1631,Entry!$D:$D,1,FALSE)=A1631,"",ROW()),ROW()))</f>
        <v/>
      </c>
    </row>
    <row r="1632" spans="1:25" x14ac:dyDescent="0.2">
      <c r="A1632" s="114"/>
      <c r="B1632" s="23"/>
      <c r="C1632" s="23"/>
      <c r="D1632" s="23"/>
      <c r="E1632" s="23"/>
      <c r="Y1632" s="8" t="str">
        <f>IF(A1632="","",IFERROR(IF(VLOOKUP(A1632,Entry!$D:$D,1,FALSE)=A1632,"",ROW()),ROW()))</f>
        <v/>
      </c>
    </row>
    <row r="1633" spans="1:25" x14ac:dyDescent="0.2">
      <c r="A1633" s="114"/>
      <c r="B1633" s="23"/>
      <c r="C1633" s="23"/>
      <c r="D1633" s="23"/>
      <c r="E1633" s="23"/>
      <c r="Y1633" s="8" t="str">
        <f>IF(A1633="","",IFERROR(IF(VLOOKUP(A1633,Entry!$D:$D,1,FALSE)=A1633,"",ROW()),ROW()))</f>
        <v/>
      </c>
    </row>
    <row r="1634" spans="1:25" x14ac:dyDescent="0.2">
      <c r="A1634" s="114"/>
      <c r="B1634" s="23"/>
      <c r="C1634" s="23"/>
      <c r="D1634" s="23"/>
      <c r="E1634" s="23"/>
      <c r="Y1634" s="8" t="str">
        <f>IF(A1634="","",IFERROR(IF(VLOOKUP(A1634,Entry!$D:$D,1,FALSE)=A1634,"",ROW()),ROW()))</f>
        <v/>
      </c>
    </row>
    <row r="1635" spans="1:25" x14ac:dyDescent="0.2">
      <c r="A1635" s="114"/>
      <c r="B1635" s="23"/>
      <c r="C1635" s="23"/>
      <c r="D1635" s="23"/>
      <c r="E1635" s="23"/>
      <c r="Y1635" s="8" t="str">
        <f>IF(A1635="","",IFERROR(IF(VLOOKUP(A1635,Entry!$D:$D,1,FALSE)=A1635,"",ROW()),ROW()))</f>
        <v/>
      </c>
    </row>
    <row r="1636" spans="1:25" x14ac:dyDescent="0.2">
      <c r="A1636" s="114"/>
      <c r="B1636" s="23"/>
      <c r="C1636" s="23"/>
      <c r="D1636" s="23"/>
      <c r="E1636" s="23"/>
      <c r="Y1636" s="8" t="str">
        <f>IF(A1636="","",IFERROR(IF(VLOOKUP(A1636,Entry!$D:$D,1,FALSE)=A1636,"",ROW()),ROW()))</f>
        <v/>
      </c>
    </row>
    <row r="1637" spans="1:25" x14ac:dyDescent="0.2">
      <c r="A1637" s="114"/>
      <c r="B1637" s="23"/>
      <c r="C1637" s="23"/>
      <c r="D1637" s="23"/>
      <c r="E1637" s="23"/>
      <c r="Y1637" s="8" t="str">
        <f>IF(A1637="","",IFERROR(IF(VLOOKUP(A1637,Entry!$D:$D,1,FALSE)=A1637,"",ROW()),ROW()))</f>
        <v/>
      </c>
    </row>
    <row r="1638" spans="1:25" x14ac:dyDescent="0.2">
      <c r="A1638" s="114"/>
      <c r="B1638" s="23"/>
      <c r="C1638" s="23"/>
      <c r="D1638" s="23"/>
      <c r="E1638" s="23"/>
      <c r="Y1638" s="8" t="str">
        <f>IF(A1638="","",IFERROR(IF(VLOOKUP(A1638,Entry!$D:$D,1,FALSE)=A1638,"",ROW()),ROW()))</f>
        <v/>
      </c>
    </row>
    <row r="1639" spans="1:25" x14ac:dyDescent="0.2">
      <c r="A1639" s="114"/>
      <c r="B1639" s="23"/>
      <c r="C1639" s="23"/>
      <c r="D1639" s="23"/>
      <c r="E1639" s="23"/>
      <c r="Y1639" s="8" t="str">
        <f>IF(A1639="","",IFERROR(IF(VLOOKUP(A1639,Entry!$D:$D,1,FALSE)=A1639,"",ROW()),ROW()))</f>
        <v/>
      </c>
    </row>
    <row r="1640" spans="1:25" x14ac:dyDescent="0.2">
      <c r="A1640" s="114"/>
      <c r="B1640" s="23"/>
      <c r="C1640" s="23"/>
      <c r="D1640" s="23"/>
      <c r="E1640" s="23"/>
      <c r="Y1640" s="8" t="str">
        <f>IF(A1640="","",IFERROR(IF(VLOOKUP(A1640,Entry!$D:$D,1,FALSE)=A1640,"",ROW()),ROW()))</f>
        <v/>
      </c>
    </row>
    <row r="1641" spans="1:25" x14ac:dyDescent="0.2">
      <c r="A1641" s="114"/>
      <c r="B1641" s="23"/>
      <c r="C1641" s="23"/>
      <c r="D1641" s="23"/>
      <c r="E1641" s="23"/>
      <c r="Y1641" s="8" t="str">
        <f>IF(A1641="","",IFERROR(IF(VLOOKUP(A1641,Entry!$D:$D,1,FALSE)=A1641,"",ROW()),ROW()))</f>
        <v/>
      </c>
    </row>
    <row r="1642" spans="1:25" x14ac:dyDescent="0.2">
      <c r="Y1642" s="8" t="str">
        <f>IF(A1642="","",IFERROR(IF(VLOOKUP(A1642,Entry!$D:$D,1,FALSE)=A1642,"",ROW()),ROW()))</f>
        <v/>
      </c>
    </row>
    <row r="1643" spans="1:25" x14ac:dyDescent="0.2">
      <c r="Y1643" s="8" t="str">
        <f>IF(A1643="","",IFERROR(IF(VLOOKUP(A1643,Entry!$D:$D,1,FALSE)=A1643,"",ROW()),ROW()))</f>
        <v/>
      </c>
    </row>
    <row r="1644" spans="1:25" x14ac:dyDescent="0.2">
      <c r="Y1644" s="8" t="str">
        <f>IF(A1644="","",IFERROR(IF(VLOOKUP(A1644,Entry!$D:$D,1,FALSE)=A1644,"",ROW()),ROW()))</f>
        <v/>
      </c>
    </row>
    <row r="1645" spans="1:25" x14ac:dyDescent="0.2">
      <c r="Y1645" s="8" t="str">
        <f>IF(A1645="","",IFERROR(IF(VLOOKUP(A1645,Entry!$D:$D,1,FALSE)=A1645,"",ROW()),ROW()))</f>
        <v/>
      </c>
    </row>
    <row r="1646" spans="1:25" x14ac:dyDescent="0.2">
      <c r="Y1646" s="8" t="str">
        <f>IF(A1646="","",IFERROR(IF(VLOOKUP(A1646,Entry!$D:$D,1,FALSE)=A1646,"",ROW()),ROW()))</f>
        <v/>
      </c>
    </row>
    <row r="1647" spans="1:25" x14ac:dyDescent="0.2">
      <c r="Y1647" s="8" t="str">
        <f>IF(A1647="","",IFERROR(IF(VLOOKUP(A1647,Entry!$D:$D,1,FALSE)=A1647,"",ROW()),ROW()))</f>
        <v/>
      </c>
    </row>
    <row r="1648" spans="1:25" x14ac:dyDescent="0.2">
      <c r="Y1648" s="8" t="str">
        <f>IF(A1648="","",IFERROR(IF(VLOOKUP(A1648,Entry!$D:$D,1,FALSE)=A1648,"",ROW()),ROW()))</f>
        <v/>
      </c>
    </row>
    <row r="1649" spans="25:25" x14ac:dyDescent="0.2">
      <c r="Y1649" s="8" t="str">
        <f>IF(A1649="","",IFERROR(IF(VLOOKUP(A1649,Entry!$D:$D,1,FALSE)=A1649,"",ROW()),ROW()))</f>
        <v/>
      </c>
    </row>
    <row r="1650" spans="25:25" x14ac:dyDescent="0.2">
      <c r="Y1650" s="8" t="str">
        <f>IF(A1650="","",IFERROR(IF(VLOOKUP(A1650,Entry!$D:$D,1,FALSE)=A1650,"",ROW()),ROW()))</f>
        <v/>
      </c>
    </row>
    <row r="1651" spans="25:25" x14ac:dyDescent="0.2">
      <c r="Y1651" s="8" t="str">
        <f>IF(A1651="","",IFERROR(IF(VLOOKUP(A1651,Entry!$D:$D,1,FALSE)=A1651,"",ROW()),ROW()))</f>
        <v/>
      </c>
    </row>
    <row r="1652" spans="25:25" x14ac:dyDescent="0.2">
      <c r="Y1652" s="8" t="str">
        <f>IF(A1652="","",IFERROR(IF(VLOOKUP(A1652,Entry!$D:$D,1,FALSE)=A1652,"",ROW()),ROW()))</f>
        <v/>
      </c>
    </row>
    <row r="1653" spans="25:25" x14ac:dyDescent="0.2">
      <c r="Y1653" s="8" t="str">
        <f>IF(A1653="","",IFERROR(IF(VLOOKUP(A1653,Entry!$D:$D,1,FALSE)=A1653,"",ROW()),ROW()))</f>
        <v/>
      </c>
    </row>
    <row r="1654" spans="25:25" x14ac:dyDescent="0.2">
      <c r="Y1654" s="8" t="str">
        <f>IF(A1654="","",IFERROR(IF(VLOOKUP(A1654,Entry!$D:$D,1,FALSE)=A1654,"",ROW()),ROW()))</f>
        <v/>
      </c>
    </row>
    <row r="1655" spans="25:25" x14ac:dyDescent="0.2">
      <c r="Y1655" s="8" t="str">
        <f>IF(A1655="","",IFERROR(IF(VLOOKUP(A1655,Entry!$D:$D,1,FALSE)=A1655,"",ROW()),ROW()))</f>
        <v/>
      </c>
    </row>
    <row r="1656" spans="25:25" x14ac:dyDescent="0.2">
      <c r="Y1656" s="8" t="str">
        <f>IF(A1656="","",IFERROR(IF(VLOOKUP(A1656,Entry!$D:$D,1,FALSE)=A1656,"",ROW()),ROW()))</f>
        <v/>
      </c>
    </row>
    <row r="1657" spans="25:25" x14ac:dyDescent="0.2">
      <c r="Y1657" s="8" t="str">
        <f>IF(A1657="","",IFERROR(IF(VLOOKUP(A1657,Entry!$D:$D,1,FALSE)=A1657,"",ROW()),ROW()))</f>
        <v/>
      </c>
    </row>
    <row r="1658" spans="25:25" x14ac:dyDescent="0.2">
      <c r="Y1658" s="8" t="str">
        <f>IF(A1658="","",IFERROR(IF(VLOOKUP(A1658,Entry!$D:$D,1,FALSE)=A1658,"",ROW()),ROW()))</f>
        <v/>
      </c>
    </row>
    <row r="1659" spans="25:25" x14ac:dyDescent="0.2">
      <c r="Y1659" s="8" t="str">
        <f>IF(A1659="","",IFERROR(IF(VLOOKUP(A1659,Entry!$D:$D,1,FALSE)=A1659,"",ROW()),ROW()))</f>
        <v/>
      </c>
    </row>
    <row r="1660" spans="25:25" x14ac:dyDescent="0.2">
      <c r="Y1660" s="8" t="str">
        <f>IF(A1660="","",IFERROR(IF(VLOOKUP(A1660,Entry!$D:$D,1,FALSE)=A1660,"",ROW()),ROW()))</f>
        <v/>
      </c>
    </row>
    <row r="1661" spans="25:25" x14ac:dyDescent="0.2">
      <c r="Y1661" s="8" t="str">
        <f>IF(A1661="","",IFERROR(IF(VLOOKUP(A1661,Entry!$D:$D,1,FALSE)=A1661,"",ROW()),ROW()))</f>
        <v/>
      </c>
    </row>
    <row r="1662" spans="25:25" x14ac:dyDescent="0.2">
      <c r="Y1662" s="8" t="str">
        <f>IF(A1662="","",IFERROR(IF(VLOOKUP(A1662,Entry!$D:$D,1,FALSE)=A1662,"",ROW()),ROW()))</f>
        <v/>
      </c>
    </row>
    <row r="1663" spans="25:25" x14ac:dyDescent="0.2">
      <c r="Y1663" s="8" t="str">
        <f>IF(A1663="","",IFERROR(IF(VLOOKUP(A1663,Entry!$D:$D,1,FALSE)=A1663,"",ROW()),ROW()))</f>
        <v/>
      </c>
    </row>
    <row r="1664" spans="25:25" x14ac:dyDescent="0.2">
      <c r="Y1664" s="8" t="str">
        <f>IF(A1664="","",IFERROR(IF(VLOOKUP(A1664,Entry!$D:$D,1,FALSE)=A1664,"",ROW()),ROW()))</f>
        <v/>
      </c>
    </row>
    <row r="1665" spans="25:25" x14ac:dyDescent="0.2">
      <c r="Y1665" s="8" t="str">
        <f>IF(A1665="","",IFERROR(IF(VLOOKUP(A1665,Entry!$D:$D,1,FALSE)=A1665,"",ROW()),ROW()))</f>
        <v/>
      </c>
    </row>
    <row r="1666" spans="25:25" x14ac:dyDescent="0.2">
      <c r="Y1666" s="8" t="str">
        <f>IF(A1666="","",IFERROR(IF(VLOOKUP(A1666,Entry!$D:$D,1,FALSE)=A1666,"",ROW()),ROW()))</f>
        <v/>
      </c>
    </row>
    <row r="1667" spans="25:25" x14ac:dyDescent="0.2">
      <c r="Y1667" s="8" t="str">
        <f>IF(A1667="","",IFERROR(IF(VLOOKUP(A1667,Entry!$D:$D,1,FALSE)=A1667,"",ROW()),ROW()))</f>
        <v/>
      </c>
    </row>
    <row r="1668" spans="25:25" x14ac:dyDescent="0.2">
      <c r="Y1668" s="8" t="str">
        <f>IF(A1668="","",IFERROR(IF(VLOOKUP(A1668,Entry!$D:$D,1,FALSE)=A1668,"",ROW()),ROW()))</f>
        <v/>
      </c>
    </row>
    <row r="1669" spans="25:25" x14ac:dyDescent="0.2">
      <c r="Y1669" s="8" t="str">
        <f>IF(A1669="","",IFERROR(IF(VLOOKUP(A1669,Entry!$D:$D,1,FALSE)=A1669,"",ROW()),ROW()))</f>
        <v/>
      </c>
    </row>
    <row r="1670" spans="25:25" x14ac:dyDescent="0.2">
      <c r="Y1670" s="8" t="str">
        <f>IF(A1670="","",IFERROR(IF(VLOOKUP(A1670,Entry!$D:$D,1,FALSE)=A1670,"",ROW()),ROW()))</f>
        <v/>
      </c>
    </row>
    <row r="1671" spans="25:25" x14ac:dyDescent="0.2">
      <c r="Y1671" s="8" t="str">
        <f>IF(A1671="","",IFERROR(IF(VLOOKUP(A1671,Entry!$D:$D,1,FALSE)=A1671,"",ROW()),ROW()))</f>
        <v/>
      </c>
    </row>
    <row r="1672" spans="25:25" x14ac:dyDescent="0.2">
      <c r="Y1672" s="8" t="str">
        <f>IF(A1672="","",IFERROR(IF(VLOOKUP(A1672,Entry!$D:$D,1,FALSE)=A1672,"",ROW()),ROW()))</f>
        <v/>
      </c>
    </row>
    <row r="1673" spans="25:25" x14ac:dyDescent="0.2">
      <c r="Y1673" s="8" t="str">
        <f>IF(A1673="","",IFERROR(IF(VLOOKUP(A1673,Entry!$D:$D,1,FALSE)=A1673,"",ROW()),ROW()))</f>
        <v/>
      </c>
    </row>
    <row r="1674" spans="25:25" x14ac:dyDescent="0.2">
      <c r="Y1674" s="8" t="str">
        <f>IF(A1674="","",IFERROR(IF(VLOOKUP(A1674,Entry!$D:$D,1,FALSE)=A1674,"",ROW()),ROW()))</f>
        <v/>
      </c>
    </row>
    <row r="1675" spans="25:25" x14ac:dyDescent="0.2">
      <c r="Y1675" s="8" t="str">
        <f>IF(A1675="","",IFERROR(IF(VLOOKUP(A1675,Entry!$D:$D,1,FALSE)=A1675,"",ROW()),ROW()))</f>
        <v/>
      </c>
    </row>
    <row r="1676" spans="25:25" x14ac:dyDescent="0.2">
      <c r="Y1676" s="8" t="str">
        <f>IF(A1676="","",IFERROR(IF(VLOOKUP(A1676,Entry!$D:$D,1,FALSE)=A1676,"",ROW()),ROW()))</f>
        <v/>
      </c>
    </row>
    <row r="1677" spans="25:25" x14ac:dyDescent="0.2">
      <c r="Y1677" s="8" t="str">
        <f>IF(A1677="","",IFERROR(IF(VLOOKUP(A1677,Entry!$D:$D,1,FALSE)=A1677,"",ROW()),ROW()))</f>
        <v/>
      </c>
    </row>
    <row r="1678" spans="25:25" x14ac:dyDescent="0.2">
      <c r="Y1678" s="8" t="str">
        <f>IF(A1678="","",IFERROR(IF(VLOOKUP(A1678,Entry!$D:$D,1,FALSE)=A1678,"",ROW()),ROW()))</f>
        <v/>
      </c>
    </row>
    <row r="1679" spans="25:25" x14ac:dyDescent="0.2">
      <c r="Y1679" s="8" t="str">
        <f>IF(A1679="","",IFERROR(IF(VLOOKUP(A1679,Entry!$D:$D,1,FALSE)=A1679,"",ROW()),ROW()))</f>
        <v/>
      </c>
    </row>
    <row r="1680" spans="25:25" x14ac:dyDescent="0.2">
      <c r="Y1680" s="8" t="str">
        <f>IF(A1680="","",IFERROR(IF(VLOOKUP(A1680,Entry!$D:$D,1,FALSE)=A1680,"",ROW()),ROW()))</f>
        <v/>
      </c>
    </row>
    <row r="1681" spans="25:25" x14ac:dyDescent="0.2">
      <c r="Y1681" s="8" t="str">
        <f>IF(A1681="","",IFERROR(IF(VLOOKUP(A1681,Entry!$D:$D,1,FALSE)=A1681,"",ROW()),ROW()))</f>
        <v/>
      </c>
    </row>
    <row r="1682" spans="25:25" x14ac:dyDescent="0.2">
      <c r="Y1682" s="8" t="str">
        <f>IF(A1682="","",IFERROR(IF(VLOOKUP(A1682,Entry!$D:$D,1,FALSE)=A1682,"",ROW()),ROW()))</f>
        <v/>
      </c>
    </row>
    <row r="1683" spans="25:25" x14ac:dyDescent="0.2">
      <c r="Y1683" s="8" t="str">
        <f>IF(A1683="","",IFERROR(IF(VLOOKUP(A1683,Entry!$D:$D,1,FALSE)=A1683,"",ROW()),ROW()))</f>
        <v/>
      </c>
    </row>
    <row r="1684" spans="25:25" x14ac:dyDescent="0.2">
      <c r="Y1684" s="8" t="str">
        <f>IF(A1684="","",IFERROR(IF(VLOOKUP(A1684,Entry!$D:$D,1,FALSE)=A1684,"",ROW()),ROW()))</f>
        <v/>
      </c>
    </row>
    <row r="1685" spans="25:25" x14ac:dyDescent="0.2">
      <c r="Y1685" s="8" t="str">
        <f>IF(A1685="","",IFERROR(IF(VLOOKUP(A1685,Entry!$D:$D,1,FALSE)=A1685,"",ROW()),ROW()))</f>
        <v/>
      </c>
    </row>
    <row r="1686" spans="25:25" x14ac:dyDescent="0.2">
      <c r="Y1686" s="8" t="str">
        <f>IF(A1686="","",IFERROR(IF(VLOOKUP(A1686,Entry!$D:$D,1,FALSE)=A1686,"",ROW()),ROW()))</f>
        <v/>
      </c>
    </row>
    <row r="1687" spans="25:25" x14ac:dyDescent="0.2">
      <c r="Y1687" s="8" t="str">
        <f>IF(A1687="","",IFERROR(IF(VLOOKUP(A1687,Entry!$D:$D,1,FALSE)=A1687,"",ROW()),ROW()))</f>
        <v/>
      </c>
    </row>
    <row r="1688" spans="25:25" x14ac:dyDescent="0.2">
      <c r="Y1688" s="8" t="str">
        <f>IF(A1688="","",IFERROR(IF(VLOOKUP(A1688,Entry!$D:$D,1,FALSE)=A1688,"",ROW()),ROW()))</f>
        <v/>
      </c>
    </row>
    <row r="1689" spans="25:25" x14ac:dyDescent="0.2">
      <c r="Y1689" s="8" t="str">
        <f>IF(A1689="","",IFERROR(IF(VLOOKUP(A1689,Entry!$D:$D,1,FALSE)=A1689,"",ROW()),ROW()))</f>
        <v/>
      </c>
    </row>
    <row r="1690" spans="25:25" x14ac:dyDescent="0.2">
      <c r="Y1690" s="8" t="str">
        <f>IF(A1690="","",IFERROR(IF(VLOOKUP(A1690,Entry!$D:$D,1,FALSE)=A1690,"",ROW()),ROW()))</f>
        <v/>
      </c>
    </row>
    <row r="1691" spans="25:25" x14ac:dyDescent="0.2">
      <c r="Y1691" s="8" t="str">
        <f>IF(A1691="","",IFERROR(IF(VLOOKUP(A1691,Entry!$D:$D,1,FALSE)=A1691,"",ROW()),ROW()))</f>
        <v/>
      </c>
    </row>
    <row r="1692" spans="25:25" x14ac:dyDescent="0.2">
      <c r="Y1692" s="8" t="str">
        <f>IF(A1692="","",IFERROR(IF(VLOOKUP(A1692,Entry!$D:$D,1,FALSE)=A1692,"",ROW()),ROW()))</f>
        <v/>
      </c>
    </row>
    <row r="1693" spans="25:25" x14ac:dyDescent="0.2">
      <c r="Y1693" s="8" t="str">
        <f>IF(A1693="","",IFERROR(IF(VLOOKUP(A1693,Entry!$D:$D,1,FALSE)=A1693,"",ROW()),ROW()))</f>
        <v/>
      </c>
    </row>
    <row r="1694" spans="25:25" x14ac:dyDescent="0.2">
      <c r="Y1694" s="8" t="str">
        <f>IF(A1694="","",IFERROR(IF(VLOOKUP(A1694,Entry!$D:$D,1,FALSE)=A1694,"",ROW()),ROW()))</f>
        <v/>
      </c>
    </row>
    <row r="1695" spans="25:25" x14ac:dyDescent="0.2">
      <c r="Y1695" s="8" t="str">
        <f>IF(A1695="","",IFERROR(IF(VLOOKUP(A1695,Entry!$D:$D,1,FALSE)=A1695,"",ROW()),ROW()))</f>
        <v/>
      </c>
    </row>
    <row r="1696" spans="25:25" x14ac:dyDescent="0.2">
      <c r="Y1696" s="8" t="str">
        <f>IF(A1696="","",IFERROR(IF(VLOOKUP(A1696,Entry!$D:$D,1,FALSE)=A1696,"",ROW()),ROW()))</f>
        <v/>
      </c>
    </row>
    <row r="1697" spans="25:25" x14ac:dyDescent="0.2">
      <c r="Y1697" s="8" t="str">
        <f>IF(A1697="","",IFERROR(IF(VLOOKUP(A1697,Entry!$D:$D,1,FALSE)=A1697,"",ROW()),ROW()))</f>
        <v/>
      </c>
    </row>
    <row r="1698" spans="25:25" x14ac:dyDescent="0.2">
      <c r="Y1698" s="8" t="str">
        <f>IF(A1698="","",IFERROR(IF(VLOOKUP(A1698,Entry!$D:$D,1,FALSE)=A1698,"",ROW()),ROW()))</f>
        <v/>
      </c>
    </row>
    <row r="1699" spans="25:25" x14ac:dyDescent="0.2">
      <c r="Y1699" s="8" t="str">
        <f>IF(A1699="","",IFERROR(IF(VLOOKUP(A1699,Entry!$D:$D,1,FALSE)=A1699,"",ROW()),ROW()))</f>
        <v/>
      </c>
    </row>
    <row r="1700" spans="25:25" x14ac:dyDescent="0.2">
      <c r="Y1700" s="8" t="str">
        <f>IF(A1700="","",IFERROR(IF(VLOOKUP(A1700,Entry!$D:$D,1,FALSE)=A1700,"",ROW()),ROW()))</f>
        <v/>
      </c>
    </row>
    <row r="1701" spans="25:25" x14ac:dyDescent="0.2">
      <c r="Y1701" s="8" t="str">
        <f>IF(A1701="","",IFERROR(IF(VLOOKUP(A1701,Entry!$D:$D,1,FALSE)=A1701,"",ROW()),ROW()))</f>
        <v/>
      </c>
    </row>
    <row r="1702" spans="25:25" x14ac:dyDescent="0.2">
      <c r="Y1702" s="8" t="str">
        <f>IF(A1702="","",IFERROR(IF(VLOOKUP(A1702,Entry!$D:$D,1,FALSE)=A1702,"",ROW()),ROW()))</f>
        <v/>
      </c>
    </row>
    <row r="1703" spans="25:25" x14ac:dyDescent="0.2">
      <c r="Y1703" s="8" t="str">
        <f>IF(A1703="","",IFERROR(IF(VLOOKUP(A1703,Entry!$D:$D,1,FALSE)=A1703,"",ROW()),ROW()))</f>
        <v/>
      </c>
    </row>
    <row r="1704" spans="25:25" x14ac:dyDescent="0.2">
      <c r="Y1704" s="8" t="str">
        <f>IF(A1704="","",IFERROR(IF(VLOOKUP(A1704,Entry!$D:$D,1,FALSE)=A1704,"",ROW()),ROW()))</f>
        <v/>
      </c>
    </row>
    <row r="1705" spans="25:25" x14ac:dyDescent="0.2">
      <c r="Y1705" s="8" t="str">
        <f>IF(A1705="","",IFERROR(IF(VLOOKUP(A1705,Entry!$D:$D,1,FALSE)=A1705,"",ROW()),ROW()))</f>
        <v/>
      </c>
    </row>
    <row r="1706" spans="25:25" x14ac:dyDescent="0.2">
      <c r="Y1706" s="8" t="str">
        <f>IF(A1706="","",IFERROR(IF(VLOOKUP(A1706,Entry!$D:$D,1,FALSE)=A1706,"",ROW()),ROW()))</f>
        <v/>
      </c>
    </row>
    <row r="1707" spans="25:25" x14ac:dyDescent="0.2">
      <c r="Y1707" s="8" t="str">
        <f>IF(A1707="","",IFERROR(IF(VLOOKUP(A1707,Entry!$D:$D,1,FALSE)=A1707,"",ROW()),ROW()))</f>
        <v/>
      </c>
    </row>
    <row r="1708" spans="25:25" x14ac:dyDescent="0.2">
      <c r="Y1708" s="8" t="str">
        <f>IF(A1708="","",IFERROR(IF(VLOOKUP(A1708,Entry!$D:$D,1,FALSE)=A1708,"",ROW()),ROW()))</f>
        <v/>
      </c>
    </row>
    <row r="1709" spans="25:25" x14ac:dyDescent="0.2">
      <c r="Y1709" s="8" t="str">
        <f>IF(A1709="","",IFERROR(IF(VLOOKUP(A1709,Entry!$D:$D,1,FALSE)=A1709,"",ROW()),ROW()))</f>
        <v/>
      </c>
    </row>
    <row r="1710" spans="25:25" x14ac:dyDescent="0.2">
      <c r="Y1710" s="8" t="str">
        <f>IF(A1710="","",IFERROR(IF(VLOOKUP(A1710,Entry!$D:$D,1,FALSE)=A1710,"",ROW()),ROW()))</f>
        <v/>
      </c>
    </row>
    <row r="1711" spans="25:25" x14ac:dyDescent="0.2">
      <c r="Y1711" s="8" t="str">
        <f>IF(A1711="","",IFERROR(IF(VLOOKUP(A1711,Entry!$D:$D,1,FALSE)=A1711,"",ROW()),ROW()))</f>
        <v/>
      </c>
    </row>
    <row r="1712" spans="25:25" x14ac:dyDescent="0.2">
      <c r="Y1712" s="8" t="str">
        <f>IF(A1712="","",IFERROR(IF(VLOOKUP(A1712,Entry!$D:$D,1,FALSE)=A1712,"",ROW()),ROW()))</f>
        <v/>
      </c>
    </row>
    <row r="1713" spans="25:25" x14ac:dyDescent="0.2">
      <c r="Y1713" s="8" t="str">
        <f>IF(A1713="","",IFERROR(IF(VLOOKUP(A1713,Entry!$D:$D,1,FALSE)=A1713,"",ROW()),ROW()))</f>
        <v/>
      </c>
    </row>
    <row r="1714" spans="25:25" x14ac:dyDescent="0.2">
      <c r="Y1714" s="8" t="str">
        <f>IF(A1714="","",IFERROR(IF(VLOOKUP(A1714,Entry!$D:$D,1,FALSE)=A1714,"",ROW()),ROW()))</f>
        <v/>
      </c>
    </row>
    <row r="1715" spans="25:25" x14ac:dyDescent="0.2">
      <c r="Y1715" s="8" t="str">
        <f>IF(A1715="","",IFERROR(IF(VLOOKUP(A1715,Entry!$D:$D,1,FALSE)=A1715,"",ROW()),ROW()))</f>
        <v/>
      </c>
    </row>
    <row r="1716" spans="25:25" x14ac:dyDescent="0.2">
      <c r="Y1716" s="8" t="str">
        <f>IF(A1716="","",IFERROR(IF(VLOOKUP(A1716,Entry!$D:$D,1,FALSE)=A1716,"",ROW()),ROW()))</f>
        <v/>
      </c>
    </row>
    <row r="1717" spans="25:25" x14ac:dyDescent="0.2">
      <c r="Y1717" s="8" t="str">
        <f>IF(A1717="","",IFERROR(IF(VLOOKUP(A1717,Entry!$D:$D,1,FALSE)=A1717,"",ROW()),ROW()))</f>
        <v/>
      </c>
    </row>
    <row r="1718" spans="25:25" x14ac:dyDescent="0.2">
      <c r="Y1718" s="8" t="str">
        <f>IF(A1718="","",IFERROR(IF(VLOOKUP(A1718,Entry!$D:$D,1,FALSE)=A1718,"",ROW()),ROW()))</f>
        <v/>
      </c>
    </row>
    <row r="1719" spans="25:25" x14ac:dyDescent="0.2">
      <c r="Y1719" s="8" t="str">
        <f>IF(A1719="","",IFERROR(IF(VLOOKUP(A1719,Entry!$D:$D,1,FALSE)=A1719,"",ROW()),ROW()))</f>
        <v/>
      </c>
    </row>
    <row r="1720" spans="25:25" x14ac:dyDescent="0.2">
      <c r="Y1720" s="8" t="str">
        <f>IF(A1720="","",IFERROR(IF(VLOOKUP(A1720,Entry!$D:$D,1,FALSE)=A1720,"",ROW()),ROW()))</f>
        <v/>
      </c>
    </row>
    <row r="1721" spans="25:25" x14ac:dyDescent="0.2">
      <c r="Y1721" s="8" t="str">
        <f>IF(A1721="","",IFERROR(IF(VLOOKUP(A1721,Entry!$D:$D,1,FALSE)=A1721,"",ROW()),ROW()))</f>
        <v/>
      </c>
    </row>
    <row r="1722" spans="25:25" x14ac:dyDescent="0.2">
      <c r="Y1722" s="8" t="str">
        <f>IF(A1722="","",IFERROR(IF(VLOOKUP(A1722,Entry!$D:$D,1,FALSE)=A1722,"",ROW()),ROW()))</f>
        <v/>
      </c>
    </row>
    <row r="1723" spans="25:25" x14ac:dyDescent="0.2">
      <c r="Y1723" s="8" t="str">
        <f>IF(A1723="","",IFERROR(IF(VLOOKUP(A1723,Entry!$D:$D,1,FALSE)=A1723,"",ROW()),ROW()))</f>
        <v/>
      </c>
    </row>
    <row r="1724" spans="25:25" x14ac:dyDescent="0.2">
      <c r="Y1724" s="8" t="str">
        <f>IF(A1724="","",IFERROR(IF(VLOOKUP(A1724,Entry!$D:$D,1,FALSE)=A1724,"",ROW()),ROW()))</f>
        <v/>
      </c>
    </row>
    <row r="1725" spans="25:25" x14ac:dyDescent="0.2">
      <c r="Y1725" s="8" t="str">
        <f>IF(A1725="","",IFERROR(IF(VLOOKUP(A1725,Entry!$D:$D,1,FALSE)=A1725,"",ROW()),ROW()))</f>
        <v/>
      </c>
    </row>
    <row r="1726" spans="25:25" x14ac:dyDescent="0.2">
      <c r="Y1726" s="8" t="str">
        <f>IF(A1726="","",IFERROR(IF(VLOOKUP(A1726,Entry!$D:$D,1,FALSE)=A1726,"",ROW()),ROW()))</f>
        <v/>
      </c>
    </row>
    <row r="1727" spans="25:25" x14ac:dyDescent="0.2">
      <c r="Y1727" s="8" t="str">
        <f>IF(A1727="","",IFERROR(IF(VLOOKUP(A1727,Entry!$D:$D,1,FALSE)=A1727,"",ROW()),ROW()))</f>
        <v/>
      </c>
    </row>
    <row r="1728" spans="25:25" x14ac:dyDescent="0.2">
      <c r="Y1728" s="8" t="str">
        <f>IF(A1728="","",IFERROR(IF(VLOOKUP(A1728,Entry!$D:$D,1,FALSE)=A1728,"",ROW()),ROW()))</f>
        <v/>
      </c>
    </row>
    <row r="1729" spans="25:25" x14ac:dyDescent="0.2">
      <c r="Y1729" s="8" t="str">
        <f>IF(A1729="","",IFERROR(IF(VLOOKUP(A1729,Entry!$D:$D,1,FALSE)=A1729,"",ROW()),ROW()))</f>
        <v/>
      </c>
    </row>
    <row r="1730" spans="25:25" x14ac:dyDescent="0.2">
      <c r="Y1730" s="8" t="str">
        <f>IF(A1730="","",IFERROR(IF(VLOOKUP(A1730,Entry!$D:$D,1,FALSE)=A1730,"",ROW()),ROW()))</f>
        <v/>
      </c>
    </row>
    <row r="1731" spans="25:25" x14ac:dyDescent="0.2">
      <c r="Y1731" s="8" t="str">
        <f>IF(A1731="","",IFERROR(IF(VLOOKUP(A1731,Entry!$D:$D,1,FALSE)=A1731,"",ROW()),ROW()))</f>
        <v/>
      </c>
    </row>
    <row r="1732" spans="25:25" x14ac:dyDescent="0.2">
      <c r="Y1732" s="8" t="str">
        <f>IF(A1732="","",IFERROR(IF(VLOOKUP(A1732,Entry!$D:$D,1,FALSE)=A1732,"",ROW()),ROW()))</f>
        <v/>
      </c>
    </row>
    <row r="1733" spans="25:25" x14ac:dyDescent="0.2">
      <c r="Y1733" s="8" t="str">
        <f>IF(A1733="","",IFERROR(IF(VLOOKUP(A1733,Entry!$D:$D,1,FALSE)=A1733,"",ROW()),ROW()))</f>
        <v/>
      </c>
    </row>
    <row r="1734" spans="25:25" x14ac:dyDescent="0.2">
      <c r="Y1734" s="8" t="str">
        <f>IF(A1734="","",IFERROR(IF(VLOOKUP(A1734,Entry!$D:$D,1,FALSE)=A1734,"",ROW()),ROW()))</f>
        <v/>
      </c>
    </row>
    <row r="1735" spans="25:25" x14ac:dyDescent="0.2">
      <c r="Y1735" s="8" t="str">
        <f>IF(A1735="","",IFERROR(IF(VLOOKUP(A1735,Entry!$D:$D,1,FALSE)=A1735,"",ROW()),ROW()))</f>
        <v/>
      </c>
    </row>
    <row r="1736" spans="25:25" x14ac:dyDescent="0.2">
      <c r="Y1736" s="8" t="str">
        <f>IF(A1736="","",IFERROR(IF(VLOOKUP(A1736,Entry!$D:$D,1,FALSE)=A1736,"",ROW()),ROW()))</f>
        <v/>
      </c>
    </row>
    <row r="1737" spans="25:25" x14ac:dyDescent="0.2">
      <c r="Y1737" s="8" t="str">
        <f>IF(A1737="","",IFERROR(IF(VLOOKUP(A1737,Entry!$D:$D,1,FALSE)=A1737,"",ROW()),ROW()))</f>
        <v/>
      </c>
    </row>
    <row r="1738" spans="25:25" x14ac:dyDescent="0.2">
      <c r="Y1738" s="8" t="str">
        <f>IF(A1738="","",IFERROR(IF(VLOOKUP(A1738,Entry!$D:$D,1,FALSE)=A1738,"",ROW()),ROW()))</f>
        <v/>
      </c>
    </row>
    <row r="1739" spans="25:25" x14ac:dyDescent="0.2">
      <c r="Y1739" s="8" t="str">
        <f>IF(A1739="","",IFERROR(IF(VLOOKUP(A1739,Entry!$D:$D,1,FALSE)=A1739,"",ROW()),ROW()))</f>
        <v/>
      </c>
    </row>
    <row r="1740" spans="25:25" x14ac:dyDescent="0.2">
      <c r="Y1740" s="8" t="str">
        <f>IF(A1740="","",IFERROR(IF(VLOOKUP(A1740,Entry!$D:$D,1,FALSE)=A1740,"",ROW()),ROW()))</f>
        <v/>
      </c>
    </row>
    <row r="1741" spans="25:25" x14ac:dyDescent="0.2">
      <c r="Y1741" s="8" t="str">
        <f>IF(A1741="","",IFERROR(IF(VLOOKUP(A1741,Entry!$D:$D,1,FALSE)=A1741,"",ROW()),ROW()))</f>
        <v/>
      </c>
    </row>
    <row r="1742" spans="25:25" x14ac:dyDescent="0.2">
      <c r="Y1742" s="8" t="str">
        <f>IF(A1742="","",IFERROR(IF(VLOOKUP(A1742,Entry!$D:$D,1,FALSE)=A1742,"",ROW()),ROW()))</f>
        <v/>
      </c>
    </row>
    <row r="1743" spans="25:25" x14ac:dyDescent="0.2">
      <c r="Y1743" s="8" t="str">
        <f>IF(A1743="","",IFERROR(IF(VLOOKUP(A1743,Entry!$D:$D,1,FALSE)=A1743,"",ROW()),ROW()))</f>
        <v/>
      </c>
    </row>
    <row r="1744" spans="25:25" x14ac:dyDescent="0.2">
      <c r="Y1744" s="8" t="str">
        <f>IF(A1744="","",IFERROR(IF(VLOOKUP(A1744,Entry!$D:$D,1,FALSE)=A1744,"",ROW()),ROW()))</f>
        <v/>
      </c>
    </row>
    <row r="1745" spans="25:25" x14ac:dyDescent="0.2">
      <c r="Y1745" s="8" t="str">
        <f>IF(A1745="","",IFERROR(IF(VLOOKUP(A1745,Entry!$D:$D,1,FALSE)=A1745,"",ROW()),ROW()))</f>
        <v/>
      </c>
    </row>
    <row r="1746" spans="25:25" x14ac:dyDescent="0.2">
      <c r="Y1746" s="8" t="str">
        <f>IF(A1746="","",IFERROR(IF(VLOOKUP(A1746,Entry!$D:$D,1,FALSE)=A1746,"",ROW()),ROW()))</f>
        <v/>
      </c>
    </row>
    <row r="1747" spans="25:25" x14ac:dyDescent="0.2">
      <c r="Y1747" s="8" t="str">
        <f>IF(A1747="","",IFERROR(IF(VLOOKUP(A1747,Entry!$D:$D,1,FALSE)=A1747,"",ROW()),ROW()))</f>
        <v/>
      </c>
    </row>
    <row r="1748" spans="25:25" x14ac:dyDescent="0.2">
      <c r="Y1748" s="8" t="str">
        <f>IF(A1748="","",IFERROR(IF(VLOOKUP(A1748,Entry!$D:$D,1,FALSE)=A1748,"",ROW()),ROW()))</f>
        <v/>
      </c>
    </row>
    <row r="1749" spans="25:25" x14ac:dyDescent="0.2">
      <c r="Y1749" s="8" t="str">
        <f>IF(A1749="","",IFERROR(IF(VLOOKUP(A1749,Entry!$D:$D,1,FALSE)=A1749,"",ROW()),ROW()))</f>
        <v/>
      </c>
    </row>
    <row r="1750" spans="25:25" x14ac:dyDescent="0.2">
      <c r="Y1750" s="8" t="str">
        <f>IF(A1750="","",IFERROR(IF(VLOOKUP(A1750,Entry!$D:$D,1,FALSE)=A1750,"",ROW()),ROW()))</f>
        <v/>
      </c>
    </row>
    <row r="1751" spans="25:25" x14ac:dyDescent="0.2">
      <c r="Y1751" s="8" t="str">
        <f>IF(A1751="","",IFERROR(IF(VLOOKUP(A1751,Entry!$D:$D,1,FALSE)=A1751,"",ROW()),ROW()))</f>
        <v/>
      </c>
    </row>
    <row r="1752" spans="25:25" x14ac:dyDescent="0.2">
      <c r="Y1752" s="8" t="str">
        <f>IF(A1752="","",IFERROR(IF(VLOOKUP(A1752,Entry!$D:$D,1,FALSE)=A1752,"",ROW()),ROW()))</f>
        <v/>
      </c>
    </row>
    <row r="1753" spans="25:25" x14ac:dyDescent="0.2">
      <c r="Y1753" s="8" t="str">
        <f>IF(A1753="","",IFERROR(IF(VLOOKUP(A1753,Entry!$D:$D,1,FALSE)=A1753,"",ROW()),ROW()))</f>
        <v/>
      </c>
    </row>
    <row r="1754" spans="25:25" x14ac:dyDescent="0.2">
      <c r="Y1754" s="8" t="str">
        <f>IF(A1754="","",IFERROR(IF(VLOOKUP(A1754,Entry!$D:$D,1,FALSE)=A1754,"",ROW()),ROW()))</f>
        <v/>
      </c>
    </row>
    <row r="1755" spans="25:25" x14ac:dyDescent="0.2">
      <c r="Y1755" s="8" t="str">
        <f>IF(A1755="","",IFERROR(IF(VLOOKUP(A1755,Entry!$D:$D,1,FALSE)=A1755,"",ROW()),ROW()))</f>
        <v/>
      </c>
    </row>
    <row r="1756" spans="25:25" x14ac:dyDescent="0.2">
      <c r="Y1756" s="8" t="str">
        <f>IF(A1756="","",IFERROR(IF(VLOOKUP(A1756,Entry!$D:$D,1,FALSE)=A1756,"",ROW()),ROW()))</f>
        <v/>
      </c>
    </row>
    <row r="1757" spans="25:25" x14ac:dyDescent="0.2">
      <c r="Y1757" s="8" t="str">
        <f>IF(A1757="","",IFERROR(IF(VLOOKUP(A1757,Entry!$D:$D,1,FALSE)=A1757,"",ROW()),ROW()))</f>
        <v/>
      </c>
    </row>
    <row r="1758" spans="25:25" x14ac:dyDescent="0.2">
      <c r="Y1758" s="8" t="str">
        <f>IF(A1758="","",IFERROR(IF(VLOOKUP(A1758,Entry!$D:$D,1,FALSE)=A1758,"",ROW()),ROW()))</f>
        <v/>
      </c>
    </row>
    <row r="1759" spans="25:25" x14ac:dyDescent="0.2">
      <c r="Y1759" s="8" t="str">
        <f>IF(A1759="","",IFERROR(IF(VLOOKUP(A1759,Entry!$D:$D,1,FALSE)=A1759,"",ROW()),ROW()))</f>
        <v/>
      </c>
    </row>
    <row r="1760" spans="25:25" x14ac:dyDescent="0.2">
      <c r="Y1760" s="8" t="str">
        <f>IF(A1760="","",IFERROR(IF(VLOOKUP(A1760,Entry!$D:$D,1,FALSE)=A1760,"",ROW()),ROW()))</f>
        <v/>
      </c>
    </row>
    <row r="1761" spans="25:25" x14ac:dyDescent="0.2">
      <c r="Y1761" s="8" t="str">
        <f>IF(A1761="","",IFERROR(IF(VLOOKUP(A1761,Entry!$D:$D,1,FALSE)=A1761,"",ROW()),ROW()))</f>
        <v/>
      </c>
    </row>
    <row r="1762" spans="25:25" x14ac:dyDescent="0.2">
      <c r="Y1762" s="8" t="str">
        <f>IF(A1762="","",IFERROR(IF(VLOOKUP(A1762,Entry!$D:$D,1,FALSE)=A1762,"",ROW()),ROW()))</f>
        <v/>
      </c>
    </row>
    <row r="1763" spans="25:25" x14ac:dyDescent="0.2">
      <c r="Y1763" s="8" t="str">
        <f>IF(A1763="","",IFERROR(IF(VLOOKUP(A1763,Entry!$D:$D,1,FALSE)=A1763,"",ROW()),ROW()))</f>
        <v/>
      </c>
    </row>
    <row r="1764" spans="25:25" x14ac:dyDescent="0.2">
      <c r="Y1764" s="8" t="str">
        <f>IF(A1764="","",IFERROR(IF(VLOOKUP(A1764,Entry!$D:$D,1,FALSE)=A1764,"",ROW()),ROW()))</f>
        <v/>
      </c>
    </row>
    <row r="1765" spans="25:25" x14ac:dyDescent="0.2">
      <c r="Y1765" s="8" t="str">
        <f>IF(A1765="","",IFERROR(IF(VLOOKUP(A1765,Entry!$D:$D,1,FALSE)=A1765,"",ROW()),ROW()))</f>
        <v/>
      </c>
    </row>
    <row r="1766" spans="25:25" x14ac:dyDescent="0.2">
      <c r="Y1766" s="8" t="str">
        <f>IF(A1766="","",IFERROR(IF(VLOOKUP(A1766,Entry!$D:$D,1,FALSE)=A1766,"",ROW()),ROW()))</f>
        <v/>
      </c>
    </row>
    <row r="1767" spans="25:25" x14ac:dyDescent="0.2">
      <c r="Y1767" s="8" t="str">
        <f>IF(A1767="","",IFERROR(IF(VLOOKUP(A1767,Entry!$D:$D,1,FALSE)=A1767,"",ROW()),ROW()))</f>
        <v/>
      </c>
    </row>
    <row r="1768" spans="25:25" x14ac:dyDescent="0.2">
      <c r="Y1768" s="8" t="str">
        <f>IF(A1768="","",IFERROR(IF(VLOOKUP(A1768,Entry!$D:$D,1,FALSE)=A1768,"",ROW()),ROW()))</f>
        <v/>
      </c>
    </row>
    <row r="1769" spans="25:25" x14ac:dyDescent="0.2">
      <c r="Y1769" s="8" t="str">
        <f>IF(A1769="","",IFERROR(IF(VLOOKUP(A1769,Entry!$D:$D,1,FALSE)=A1769,"",ROW()),ROW()))</f>
        <v/>
      </c>
    </row>
    <row r="1770" spans="25:25" x14ac:dyDescent="0.2">
      <c r="Y1770" s="8" t="str">
        <f>IF(A1770="","",IFERROR(IF(VLOOKUP(A1770,Entry!$D:$D,1,FALSE)=A1770,"",ROW()),ROW()))</f>
        <v/>
      </c>
    </row>
    <row r="1771" spans="25:25" x14ac:dyDescent="0.2">
      <c r="Y1771" s="8" t="str">
        <f>IF(A1771="","",IFERROR(IF(VLOOKUP(A1771,Entry!$D:$D,1,FALSE)=A1771,"",ROW()),ROW()))</f>
        <v/>
      </c>
    </row>
    <row r="1772" spans="25:25" x14ac:dyDescent="0.2">
      <c r="Y1772" s="8" t="str">
        <f>IF(A1772="","",IFERROR(IF(VLOOKUP(A1772,Entry!$D:$D,1,FALSE)=A1772,"",ROW()),ROW()))</f>
        <v/>
      </c>
    </row>
    <row r="1773" spans="25:25" x14ac:dyDescent="0.2">
      <c r="Y1773" s="8" t="str">
        <f>IF(A1773="","",IFERROR(IF(VLOOKUP(A1773,Entry!$D:$D,1,FALSE)=A1773,"",ROW()),ROW()))</f>
        <v/>
      </c>
    </row>
    <row r="1774" spans="25:25" x14ac:dyDescent="0.2">
      <c r="Y1774" s="8" t="str">
        <f>IF(A1774="","",IFERROR(IF(VLOOKUP(A1774,Entry!$D:$D,1,FALSE)=A1774,"",ROW()),ROW()))</f>
        <v/>
      </c>
    </row>
    <row r="1775" spans="25:25" x14ac:dyDescent="0.2">
      <c r="Y1775" s="8" t="str">
        <f>IF(A1775="","",IFERROR(IF(VLOOKUP(A1775,Entry!$D:$D,1,FALSE)=A1775,"",ROW()),ROW()))</f>
        <v/>
      </c>
    </row>
    <row r="1776" spans="25:25" x14ac:dyDescent="0.2">
      <c r="Y1776" s="8" t="str">
        <f>IF(A1776="","",IFERROR(IF(VLOOKUP(A1776,Entry!$D:$D,1,FALSE)=A1776,"",ROW()),ROW()))</f>
        <v/>
      </c>
    </row>
    <row r="1777" spans="25:25" x14ac:dyDescent="0.2">
      <c r="Y1777" s="8" t="str">
        <f>IF(A1777="","",IFERROR(IF(VLOOKUP(A1777,Entry!$D:$D,1,FALSE)=A1777,"",ROW()),ROW()))</f>
        <v/>
      </c>
    </row>
    <row r="1778" spans="25:25" x14ac:dyDescent="0.2">
      <c r="Y1778" s="8" t="str">
        <f>IF(A1778="","",IFERROR(IF(VLOOKUP(A1778,Entry!$D:$D,1,FALSE)=A1778,"",ROW()),ROW()))</f>
        <v/>
      </c>
    </row>
    <row r="1779" spans="25:25" x14ac:dyDescent="0.2">
      <c r="Y1779" s="8" t="str">
        <f>IF(A1779="","",IFERROR(IF(VLOOKUP(A1779,Entry!$D:$D,1,FALSE)=A1779,"",ROW()),ROW()))</f>
        <v/>
      </c>
    </row>
    <row r="1780" spans="25:25" x14ac:dyDescent="0.2">
      <c r="Y1780" s="8" t="str">
        <f>IF(A1780="","",IFERROR(IF(VLOOKUP(A1780,Entry!$D:$D,1,FALSE)=A1780,"",ROW()),ROW()))</f>
        <v/>
      </c>
    </row>
    <row r="1781" spans="25:25" x14ac:dyDescent="0.2">
      <c r="Y1781" s="8" t="str">
        <f>IF(A1781="","",IFERROR(IF(VLOOKUP(A1781,Entry!$D:$D,1,FALSE)=A1781,"",ROW()),ROW()))</f>
        <v/>
      </c>
    </row>
    <row r="1782" spans="25:25" x14ac:dyDescent="0.2">
      <c r="Y1782" s="8" t="str">
        <f>IF(A1782="","",IFERROR(IF(VLOOKUP(A1782,Entry!$D:$D,1,FALSE)=A1782,"",ROW()),ROW()))</f>
        <v/>
      </c>
    </row>
    <row r="1783" spans="25:25" x14ac:dyDescent="0.2">
      <c r="Y1783" s="8" t="str">
        <f>IF(A1783="","",IFERROR(IF(VLOOKUP(A1783,Entry!$D:$D,1,FALSE)=A1783,"",ROW()),ROW()))</f>
        <v/>
      </c>
    </row>
    <row r="1784" spans="25:25" x14ac:dyDescent="0.2">
      <c r="Y1784" s="8" t="str">
        <f>IF(A1784="","",IFERROR(IF(VLOOKUP(A1784,Entry!$D:$D,1,FALSE)=A1784,"",ROW()),ROW()))</f>
        <v/>
      </c>
    </row>
    <row r="1785" spans="25:25" x14ac:dyDescent="0.2">
      <c r="Y1785" s="8" t="str">
        <f>IF(A1785="","",IFERROR(IF(VLOOKUP(A1785,Entry!$D:$D,1,FALSE)=A1785,"",ROW()),ROW()))</f>
        <v/>
      </c>
    </row>
    <row r="1786" spans="25:25" x14ac:dyDescent="0.2">
      <c r="Y1786" s="8" t="str">
        <f>IF(A1786="","",IFERROR(IF(VLOOKUP(A1786,Entry!$D:$D,1,FALSE)=A1786,"",ROW()),ROW()))</f>
        <v/>
      </c>
    </row>
    <row r="1787" spans="25:25" x14ac:dyDescent="0.2">
      <c r="Y1787" s="8" t="str">
        <f>IF(A1787="","",IFERROR(IF(VLOOKUP(A1787,Entry!$D:$D,1,FALSE)=A1787,"",ROW()),ROW()))</f>
        <v/>
      </c>
    </row>
    <row r="1788" spans="25:25" x14ac:dyDescent="0.2">
      <c r="Y1788" s="8" t="str">
        <f>IF(A1788="","",IFERROR(IF(VLOOKUP(A1788,Entry!$D:$D,1,FALSE)=A1788,"",ROW()),ROW()))</f>
        <v/>
      </c>
    </row>
    <row r="1789" spans="25:25" x14ac:dyDescent="0.2">
      <c r="Y1789" s="8" t="str">
        <f>IF(A1789="","",IFERROR(IF(VLOOKUP(A1789,Entry!$D:$D,1,FALSE)=A1789,"",ROW()),ROW()))</f>
        <v/>
      </c>
    </row>
    <row r="1790" spans="25:25" x14ac:dyDescent="0.2">
      <c r="Y1790" s="8" t="str">
        <f>IF(A1790="","",IFERROR(IF(VLOOKUP(A1790,Entry!$D:$D,1,FALSE)=A1790,"",ROW()),ROW()))</f>
        <v/>
      </c>
    </row>
    <row r="1791" spans="25:25" x14ac:dyDescent="0.2">
      <c r="Y1791" s="8" t="str">
        <f>IF(A1791="","",IFERROR(IF(VLOOKUP(A1791,Entry!$D:$D,1,FALSE)=A1791,"",ROW()),ROW()))</f>
        <v/>
      </c>
    </row>
    <row r="1792" spans="25:25" x14ac:dyDescent="0.2">
      <c r="Y1792" s="8" t="str">
        <f>IF(A1792="","",IFERROR(IF(VLOOKUP(A1792,Entry!$D:$D,1,FALSE)=A1792,"",ROW()),ROW()))</f>
        <v/>
      </c>
    </row>
    <row r="1793" spans="25:25" x14ac:dyDescent="0.2">
      <c r="Y1793" s="8" t="str">
        <f>IF(A1793="","",IFERROR(IF(VLOOKUP(A1793,Entry!$D:$D,1,FALSE)=A1793,"",ROW()),ROW()))</f>
        <v/>
      </c>
    </row>
    <row r="1794" spans="25:25" x14ac:dyDescent="0.2">
      <c r="Y1794" s="8" t="str">
        <f>IF(A1794="","",IFERROR(IF(VLOOKUP(A1794,Entry!$D:$D,1,FALSE)=A1794,"",ROW()),ROW()))</f>
        <v/>
      </c>
    </row>
    <row r="1795" spans="25:25" x14ac:dyDescent="0.2">
      <c r="Y1795" s="8" t="str">
        <f>IF(A1795="","",IFERROR(IF(VLOOKUP(A1795,Entry!$D:$D,1,FALSE)=A1795,"",ROW()),ROW()))</f>
        <v/>
      </c>
    </row>
    <row r="1796" spans="25:25" x14ac:dyDescent="0.2">
      <c r="Y1796" s="8" t="str">
        <f>IF(A1796="","",IFERROR(IF(VLOOKUP(A1796,Entry!$D:$D,1,FALSE)=A1796,"",ROW()),ROW()))</f>
        <v/>
      </c>
    </row>
    <row r="1797" spans="25:25" x14ac:dyDescent="0.2">
      <c r="Y1797" s="8" t="str">
        <f>IF(A1797="","",IFERROR(IF(VLOOKUP(A1797,Entry!$D:$D,1,FALSE)=A1797,"",ROW()),ROW()))</f>
        <v/>
      </c>
    </row>
    <row r="1798" spans="25:25" x14ac:dyDescent="0.2">
      <c r="Y1798" s="8" t="str">
        <f>IF(A1798="","",IFERROR(IF(VLOOKUP(A1798,Entry!$D:$D,1,FALSE)=A1798,"",ROW()),ROW()))</f>
        <v/>
      </c>
    </row>
    <row r="1799" spans="25:25" x14ac:dyDescent="0.2">
      <c r="Y1799" s="8" t="str">
        <f>IF(A1799="","",IFERROR(IF(VLOOKUP(A1799,Entry!$D:$D,1,FALSE)=A1799,"",ROW()),ROW()))</f>
        <v/>
      </c>
    </row>
    <row r="1800" spans="25:25" x14ac:dyDescent="0.2">
      <c r="Y1800" s="8" t="str">
        <f>IF(A1800="","",IFERROR(IF(VLOOKUP(A1800,Entry!$D:$D,1,FALSE)=A1800,"",ROW()),ROW()))</f>
        <v/>
      </c>
    </row>
    <row r="1801" spans="25:25" x14ac:dyDescent="0.2">
      <c r="Y1801" s="8" t="str">
        <f>IF(A1801="","",IFERROR(IF(VLOOKUP(A1801,Entry!$D:$D,1,FALSE)=A1801,"",ROW()),ROW()))</f>
        <v/>
      </c>
    </row>
    <row r="1802" spans="25:25" x14ac:dyDescent="0.2">
      <c r="Y1802" s="8" t="str">
        <f>IF(A1802="","",IFERROR(IF(VLOOKUP(A1802,Entry!$D:$D,1,FALSE)=A1802,"",ROW()),ROW()))</f>
        <v/>
      </c>
    </row>
    <row r="1803" spans="25:25" x14ac:dyDescent="0.2">
      <c r="Y1803" s="8" t="str">
        <f>IF(A1803="","",IFERROR(IF(VLOOKUP(A1803,Entry!$D:$D,1,FALSE)=A1803,"",ROW()),ROW()))</f>
        <v/>
      </c>
    </row>
    <row r="1804" spans="25:25" x14ac:dyDescent="0.2">
      <c r="Y1804" s="8" t="str">
        <f>IF(A1804="","",IFERROR(IF(VLOOKUP(A1804,Entry!$D:$D,1,FALSE)=A1804,"",ROW()),ROW()))</f>
        <v/>
      </c>
    </row>
    <row r="1805" spans="25:25" x14ac:dyDescent="0.2">
      <c r="Y1805" s="8" t="str">
        <f>IF(A1805="","",IFERROR(IF(VLOOKUP(A1805,Entry!$D:$D,1,FALSE)=A1805,"",ROW()),ROW()))</f>
        <v/>
      </c>
    </row>
    <row r="1806" spans="25:25" x14ac:dyDescent="0.2">
      <c r="Y1806" s="8" t="str">
        <f>IF(A1806="","",IFERROR(IF(VLOOKUP(A1806,Entry!$D:$D,1,FALSE)=A1806,"",ROW()),ROW()))</f>
        <v/>
      </c>
    </row>
    <row r="1807" spans="25:25" x14ac:dyDescent="0.2">
      <c r="Y1807" s="8" t="str">
        <f>IF(A1807="","",IFERROR(IF(VLOOKUP(A1807,Entry!$D:$D,1,FALSE)=A1807,"",ROW()),ROW()))</f>
        <v/>
      </c>
    </row>
    <row r="1808" spans="25:25" x14ac:dyDescent="0.2">
      <c r="Y1808" s="8" t="str">
        <f>IF(A1808="","",IFERROR(IF(VLOOKUP(A1808,Entry!$D:$D,1,FALSE)=A1808,"",ROW()),ROW()))</f>
        <v/>
      </c>
    </row>
    <row r="1809" spans="25:25" x14ac:dyDescent="0.2">
      <c r="Y1809" s="8" t="str">
        <f>IF(A1809="","",IFERROR(IF(VLOOKUP(A1809,Entry!$D:$D,1,FALSE)=A1809,"",ROW()),ROW()))</f>
        <v/>
      </c>
    </row>
    <row r="1810" spans="25:25" x14ac:dyDescent="0.2">
      <c r="Y1810" s="8" t="str">
        <f>IF(A1810="","",IFERROR(IF(VLOOKUP(A1810,Entry!$D:$D,1,FALSE)=A1810,"",ROW()),ROW()))</f>
        <v/>
      </c>
    </row>
    <row r="1811" spans="25:25" x14ac:dyDescent="0.2">
      <c r="Y1811" s="8" t="str">
        <f>IF(A1811="","",IFERROR(IF(VLOOKUP(A1811,Entry!$D:$D,1,FALSE)=A1811,"",ROW()),ROW()))</f>
        <v/>
      </c>
    </row>
    <row r="1812" spans="25:25" x14ac:dyDescent="0.2">
      <c r="Y1812" s="8" t="str">
        <f>IF(A1812="","",IFERROR(IF(VLOOKUP(A1812,Entry!$D:$D,1,FALSE)=A1812,"",ROW()),ROW()))</f>
        <v/>
      </c>
    </row>
    <row r="1813" spans="25:25" x14ac:dyDescent="0.2">
      <c r="Y1813" s="8" t="str">
        <f>IF(A1813="","",IFERROR(IF(VLOOKUP(A1813,Entry!$D:$D,1,FALSE)=A1813,"",ROW()),ROW()))</f>
        <v/>
      </c>
    </row>
    <row r="1814" spans="25:25" x14ac:dyDescent="0.2">
      <c r="Y1814" s="8" t="str">
        <f>IF(A1814="","",IFERROR(IF(VLOOKUP(A1814,Entry!$D:$D,1,FALSE)=A1814,"",ROW()),ROW()))</f>
        <v/>
      </c>
    </row>
    <row r="1815" spans="25:25" x14ac:dyDescent="0.2">
      <c r="Y1815" s="8" t="str">
        <f>IF(A1815="","",IFERROR(IF(VLOOKUP(A1815,Entry!$D:$D,1,FALSE)=A1815,"",ROW()),ROW()))</f>
        <v/>
      </c>
    </row>
    <row r="1816" spans="25:25" x14ac:dyDescent="0.2">
      <c r="Y1816" s="8" t="str">
        <f>IF(A1816="","",IFERROR(IF(VLOOKUP(A1816,Entry!$D:$D,1,FALSE)=A1816,"",ROW()),ROW()))</f>
        <v/>
      </c>
    </row>
    <row r="1817" spans="25:25" x14ac:dyDescent="0.2">
      <c r="Y1817" s="8" t="str">
        <f>IF(A1817="","",IFERROR(IF(VLOOKUP(A1817,Entry!$D:$D,1,FALSE)=A1817,"",ROW()),ROW()))</f>
        <v/>
      </c>
    </row>
    <row r="1818" spans="25:25" x14ac:dyDescent="0.2">
      <c r="Y1818" s="8" t="str">
        <f>IF(A1818="","",IFERROR(IF(VLOOKUP(A1818,Entry!$D:$D,1,FALSE)=A1818,"",ROW()),ROW()))</f>
        <v/>
      </c>
    </row>
    <row r="1819" spans="25:25" x14ac:dyDescent="0.2">
      <c r="Y1819" s="8" t="str">
        <f>IF(A1819="","",IFERROR(IF(VLOOKUP(A1819,Entry!$D:$D,1,FALSE)=A1819,"",ROW()),ROW()))</f>
        <v/>
      </c>
    </row>
    <row r="1820" spans="25:25" x14ac:dyDescent="0.2">
      <c r="Y1820" s="8" t="str">
        <f>IF(A1820="","",IFERROR(IF(VLOOKUP(A1820,Entry!$D:$D,1,FALSE)=A1820,"",ROW()),ROW()))</f>
        <v/>
      </c>
    </row>
    <row r="1821" spans="25:25" x14ac:dyDescent="0.2">
      <c r="Y1821" s="8" t="str">
        <f>IF(A1821="","",IFERROR(IF(VLOOKUP(A1821,Entry!$D:$D,1,FALSE)=A1821,"",ROW()),ROW()))</f>
        <v/>
      </c>
    </row>
    <row r="1822" spans="25:25" x14ac:dyDescent="0.2">
      <c r="Y1822" s="8" t="str">
        <f>IF(A1822="","",IFERROR(IF(VLOOKUP(A1822,Entry!$D:$D,1,FALSE)=A1822,"",ROW()),ROW()))</f>
        <v/>
      </c>
    </row>
    <row r="1823" spans="25:25" x14ac:dyDescent="0.2">
      <c r="Y1823" s="8" t="str">
        <f>IF(A1823="","",IFERROR(IF(VLOOKUP(A1823,Entry!$D:$D,1,FALSE)=A1823,"",ROW()),ROW()))</f>
        <v/>
      </c>
    </row>
    <row r="1824" spans="25:25" x14ac:dyDescent="0.2">
      <c r="Y1824" s="8" t="str">
        <f>IF(A1824="","",IFERROR(IF(VLOOKUP(A1824,Entry!$D:$D,1,FALSE)=A1824,"",ROW()),ROW()))</f>
        <v/>
      </c>
    </row>
    <row r="1825" spans="25:25" x14ac:dyDescent="0.2">
      <c r="Y1825" s="8" t="str">
        <f>IF(A1825="","",IFERROR(IF(VLOOKUP(A1825,Entry!$D:$D,1,FALSE)=A1825,"",ROW()),ROW()))</f>
        <v/>
      </c>
    </row>
    <row r="1826" spans="25:25" x14ac:dyDescent="0.2">
      <c r="Y1826" s="8" t="str">
        <f>IF(A1826="","",IFERROR(IF(VLOOKUP(A1826,Entry!$D:$D,1,FALSE)=A1826,"",ROW()),ROW()))</f>
        <v/>
      </c>
    </row>
    <row r="1827" spans="25:25" x14ac:dyDescent="0.2">
      <c r="Y1827" s="8" t="str">
        <f>IF(A1827="","",IFERROR(IF(VLOOKUP(A1827,Entry!$D:$D,1,FALSE)=A1827,"",ROW()),ROW()))</f>
        <v/>
      </c>
    </row>
    <row r="1828" spans="25:25" x14ac:dyDescent="0.2">
      <c r="Y1828" s="8" t="str">
        <f>IF(A1828="","",IFERROR(IF(VLOOKUP(A1828,Entry!$D:$D,1,FALSE)=A1828,"",ROW()),ROW()))</f>
        <v/>
      </c>
    </row>
    <row r="1829" spans="25:25" x14ac:dyDescent="0.2">
      <c r="Y1829" s="8" t="str">
        <f>IF(A1829="","",IFERROR(IF(VLOOKUP(A1829,Entry!$D:$D,1,FALSE)=A1829,"",ROW()),ROW()))</f>
        <v/>
      </c>
    </row>
    <row r="1830" spans="25:25" x14ac:dyDescent="0.2">
      <c r="Y1830" s="8" t="str">
        <f>IF(A1830="","",IFERROR(IF(VLOOKUP(A1830,Entry!$D:$D,1,FALSE)=A1830,"",ROW()),ROW()))</f>
        <v/>
      </c>
    </row>
    <row r="1831" spans="25:25" x14ac:dyDescent="0.2">
      <c r="Y1831" s="8" t="str">
        <f>IF(A1831="","",IFERROR(IF(VLOOKUP(A1831,Entry!$D:$D,1,FALSE)=A1831,"",ROW()),ROW()))</f>
        <v/>
      </c>
    </row>
    <row r="1832" spans="25:25" x14ac:dyDescent="0.2">
      <c r="Y1832" s="8" t="str">
        <f>IF(A1832="","",IFERROR(IF(VLOOKUP(A1832,Entry!$D:$D,1,FALSE)=A1832,"",ROW()),ROW()))</f>
        <v/>
      </c>
    </row>
    <row r="1833" spans="25:25" x14ac:dyDescent="0.2">
      <c r="Y1833" s="8" t="str">
        <f>IF(A1833="","",IFERROR(IF(VLOOKUP(A1833,Entry!$D:$D,1,FALSE)=A1833,"",ROW()),ROW()))</f>
        <v/>
      </c>
    </row>
    <row r="1834" spans="25:25" x14ac:dyDescent="0.2">
      <c r="Y1834" s="8" t="str">
        <f>IF(A1834="","",IFERROR(IF(VLOOKUP(A1834,Entry!$D:$D,1,FALSE)=A1834,"",ROW()),ROW()))</f>
        <v/>
      </c>
    </row>
    <row r="1835" spans="25:25" x14ac:dyDescent="0.2">
      <c r="Y1835" s="8" t="str">
        <f>IF(A1835="","",IFERROR(IF(VLOOKUP(A1835,Entry!$D:$D,1,FALSE)=A1835,"",ROW()),ROW()))</f>
        <v/>
      </c>
    </row>
    <row r="1836" spans="25:25" x14ac:dyDescent="0.2">
      <c r="Y1836" s="8" t="str">
        <f>IF(A1836="","",IFERROR(IF(VLOOKUP(A1836,Entry!$D:$D,1,FALSE)=A1836,"",ROW()),ROW()))</f>
        <v/>
      </c>
    </row>
    <row r="1837" spans="25:25" x14ac:dyDescent="0.2">
      <c r="Y1837" s="8" t="str">
        <f>IF(A1837="","",IFERROR(IF(VLOOKUP(A1837,Entry!$D:$D,1,FALSE)=A1837,"",ROW()),ROW()))</f>
        <v/>
      </c>
    </row>
    <row r="1838" spans="25:25" x14ac:dyDescent="0.2">
      <c r="Y1838" s="8" t="str">
        <f>IF(A1838="","",IFERROR(IF(VLOOKUP(A1838,Entry!$D:$D,1,FALSE)=A1838,"",ROW()),ROW()))</f>
        <v/>
      </c>
    </row>
    <row r="1839" spans="25:25" x14ac:dyDescent="0.2">
      <c r="Y1839" s="8" t="str">
        <f>IF(A1839="","",IFERROR(IF(VLOOKUP(A1839,Entry!$D:$D,1,FALSE)=A1839,"",ROW()),ROW()))</f>
        <v/>
      </c>
    </row>
    <row r="1840" spans="25:25" x14ac:dyDescent="0.2">
      <c r="Y1840" s="8" t="str">
        <f>IF(A1840="","",IFERROR(IF(VLOOKUP(A1840,Entry!$D:$D,1,FALSE)=A1840,"",ROW()),ROW()))</f>
        <v/>
      </c>
    </row>
    <row r="1841" spans="25:25" x14ac:dyDescent="0.2">
      <c r="Y1841" s="8" t="str">
        <f>IF(A1841="","",IFERROR(IF(VLOOKUP(A1841,Entry!$D:$D,1,FALSE)=A1841,"",ROW()),ROW()))</f>
        <v/>
      </c>
    </row>
    <row r="1842" spans="25:25" x14ac:dyDescent="0.2">
      <c r="Y1842" s="8" t="str">
        <f>IF(A1842="","",IFERROR(IF(VLOOKUP(A1842,Entry!$D:$D,1,FALSE)=A1842,"",ROW()),ROW()))</f>
        <v/>
      </c>
    </row>
    <row r="1843" spans="25:25" x14ac:dyDescent="0.2">
      <c r="Y1843" s="8" t="str">
        <f>IF(A1843="","",IFERROR(IF(VLOOKUP(A1843,Entry!$D:$D,1,FALSE)=A1843,"",ROW()),ROW()))</f>
        <v/>
      </c>
    </row>
    <row r="1844" spans="25:25" x14ac:dyDescent="0.2">
      <c r="Y1844" s="8" t="str">
        <f>IF(A1844="","",IFERROR(IF(VLOOKUP(A1844,Entry!$D:$D,1,FALSE)=A1844,"",ROW()),ROW()))</f>
        <v/>
      </c>
    </row>
    <row r="1845" spans="25:25" x14ac:dyDescent="0.2">
      <c r="Y1845" s="8" t="str">
        <f>IF(A1845="","",IFERROR(IF(VLOOKUP(A1845,Entry!$D:$D,1,FALSE)=A1845,"",ROW()),ROW()))</f>
        <v/>
      </c>
    </row>
    <row r="1846" spans="25:25" x14ac:dyDescent="0.2">
      <c r="Y1846" s="8" t="str">
        <f>IF(A1846="","",IFERROR(IF(VLOOKUP(A1846,Entry!$D:$D,1,FALSE)=A1846,"",ROW()),ROW()))</f>
        <v/>
      </c>
    </row>
    <row r="1847" spans="25:25" x14ac:dyDescent="0.2">
      <c r="Y1847" s="8" t="str">
        <f>IF(A1847="","",IFERROR(IF(VLOOKUP(A1847,Entry!$D:$D,1,FALSE)=A1847,"",ROW()),ROW()))</f>
        <v/>
      </c>
    </row>
    <row r="1848" spans="25:25" x14ac:dyDescent="0.2">
      <c r="Y1848" s="8" t="str">
        <f>IF(A1848="","",IFERROR(IF(VLOOKUP(A1848,Entry!$D:$D,1,FALSE)=A1848,"",ROW()),ROW()))</f>
        <v/>
      </c>
    </row>
    <row r="1849" spans="25:25" x14ac:dyDescent="0.2">
      <c r="Y1849" s="8" t="str">
        <f>IF(A1849="","",IFERROR(IF(VLOOKUP(A1849,Entry!$D:$D,1,FALSE)=A1849,"",ROW()),ROW()))</f>
        <v/>
      </c>
    </row>
    <row r="1850" spans="25:25" x14ac:dyDescent="0.2">
      <c r="Y1850" s="8" t="str">
        <f>IF(A1850="","",IFERROR(IF(VLOOKUP(A1850,Entry!$D:$D,1,FALSE)=A1850,"",ROW()),ROW()))</f>
        <v/>
      </c>
    </row>
    <row r="1851" spans="25:25" x14ac:dyDescent="0.2">
      <c r="Y1851" s="8" t="str">
        <f>IF(A1851="","",IFERROR(IF(VLOOKUP(A1851,Entry!$D:$D,1,FALSE)=A1851,"",ROW()),ROW()))</f>
        <v/>
      </c>
    </row>
    <row r="1852" spans="25:25" x14ac:dyDescent="0.2">
      <c r="Y1852" s="8" t="str">
        <f>IF(A1852="","",IFERROR(IF(VLOOKUP(A1852,Entry!$D:$D,1,FALSE)=A1852,"",ROW()),ROW()))</f>
        <v/>
      </c>
    </row>
    <row r="1853" spans="25:25" x14ac:dyDescent="0.2">
      <c r="Y1853" s="8" t="str">
        <f>IF(A1853="","",IFERROR(IF(VLOOKUP(A1853,Entry!$D:$D,1,FALSE)=A1853,"",ROW()),ROW()))</f>
        <v/>
      </c>
    </row>
    <row r="1854" spans="25:25" x14ac:dyDescent="0.2">
      <c r="Y1854" s="8" t="str">
        <f>IF(A1854="","",IFERROR(IF(VLOOKUP(A1854,Entry!$D:$D,1,FALSE)=A1854,"",ROW()),ROW()))</f>
        <v/>
      </c>
    </row>
    <row r="1855" spans="25:25" x14ac:dyDescent="0.2">
      <c r="Y1855" s="8" t="str">
        <f>IF(A1855="","",IFERROR(IF(VLOOKUP(A1855,Entry!$D:$D,1,FALSE)=A1855,"",ROW()),ROW()))</f>
        <v/>
      </c>
    </row>
    <row r="1856" spans="25:25" x14ac:dyDescent="0.2">
      <c r="Y1856" s="8" t="str">
        <f>IF(A1856="","",IFERROR(IF(VLOOKUP(A1856,Entry!$D:$D,1,FALSE)=A1856,"",ROW()),ROW()))</f>
        <v/>
      </c>
    </row>
    <row r="1857" spans="25:25" x14ac:dyDescent="0.2">
      <c r="Y1857" s="8" t="str">
        <f>IF(A1857="","",IFERROR(IF(VLOOKUP(A1857,Entry!$D:$D,1,FALSE)=A1857,"",ROW()),ROW()))</f>
        <v/>
      </c>
    </row>
    <row r="1858" spans="25:25" x14ac:dyDescent="0.2">
      <c r="Y1858" s="8" t="str">
        <f>IF(A1858="","",IFERROR(IF(VLOOKUP(A1858,Entry!$D:$D,1,FALSE)=A1858,"",ROW()),ROW()))</f>
        <v/>
      </c>
    </row>
    <row r="1859" spans="25:25" x14ac:dyDescent="0.2">
      <c r="Y1859" s="8" t="str">
        <f>IF(A1859="","",IFERROR(IF(VLOOKUP(A1859,Entry!$D:$D,1,FALSE)=A1859,"",ROW()),ROW()))</f>
        <v/>
      </c>
    </row>
    <row r="1860" spans="25:25" x14ac:dyDescent="0.2">
      <c r="Y1860" s="8" t="str">
        <f>IF(A1860="","",IFERROR(IF(VLOOKUP(A1860,Entry!$D:$D,1,FALSE)=A1860,"",ROW()),ROW()))</f>
        <v/>
      </c>
    </row>
    <row r="1861" spans="25:25" x14ac:dyDescent="0.2">
      <c r="Y1861" s="8" t="str">
        <f>IF(A1861="","",IFERROR(IF(VLOOKUP(A1861,Entry!$D:$D,1,FALSE)=A1861,"",ROW()),ROW()))</f>
        <v/>
      </c>
    </row>
    <row r="1862" spans="25:25" x14ac:dyDescent="0.2">
      <c r="Y1862" s="8" t="str">
        <f>IF(A1862="","",IFERROR(IF(VLOOKUP(A1862,Entry!$D:$D,1,FALSE)=A1862,"",ROW()),ROW()))</f>
        <v/>
      </c>
    </row>
    <row r="1863" spans="25:25" x14ac:dyDescent="0.2">
      <c r="Y1863" s="8" t="str">
        <f>IF(A1863="","",IFERROR(IF(VLOOKUP(A1863,Entry!$D:$D,1,FALSE)=A1863,"",ROW()),ROW()))</f>
        <v/>
      </c>
    </row>
    <row r="1864" spans="25:25" x14ac:dyDescent="0.2">
      <c r="Y1864" s="8" t="str">
        <f>IF(A1864="","",IFERROR(IF(VLOOKUP(A1864,Entry!$D:$D,1,FALSE)=A1864,"",ROW()),ROW()))</f>
        <v/>
      </c>
    </row>
    <row r="1865" spans="25:25" x14ac:dyDescent="0.2">
      <c r="Y1865" s="8" t="str">
        <f>IF(A1865="","",IFERROR(IF(VLOOKUP(A1865,Entry!$D:$D,1,FALSE)=A1865,"",ROW()),ROW()))</f>
        <v/>
      </c>
    </row>
    <row r="1866" spans="25:25" x14ac:dyDescent="0.2">
      <c r="Y1866" s="8" t="str">
        <f>IF(A1866="","",IFERROR(IF(VLOOKUP(A1866,Entry!$D:$D,1,FALSE)=A1866,"",ROW()),ROW()))</f>
        <v/>
      </c>
    </row>
    <row r="1867" spans="25:25" x14ac:dyDescent="0.2">
      <c r="Y1867" s="8" t="str">
        <f>IF(A1867="","",IFERROR(IF(VLOOKUP(A1867,Entry!$D:$D,1,FALSE)=A1867,"",ROW()),ROW()))</f>
        <v/>
      </c>
    </row>
    <row r="1868" spans="25:25" x14ac:dyDescent="0.2">
      <c r="Y1868" s="8" t="str">
        <f>IF(A1868="","",IFERROR(IF(VLOOKUP(A1868,Entry!$D:$D,1,FALSE)=A1868,"",ROW()),ROW()))</f>
        <v/>
      </c>
    </row>
    <row r="1869" spans="25:25" x14ac:dyDescent="0.2">
      <c r="Y1869" s="8" t="str">
        <f>IF(A1869="","",IFERROR(IF(VLOOKUP(A1869,Entry!$D:$D,1,FALSE)=A1869,"",ROW()),ROW()))</f>
        <v/>
      </c>
    </row>
    <row r="1870" spans="25:25" x14ac:dyDescent="0.2">
      <c r="Y1870" s="8" t="str">
        <f>IF(A1870="","",IFERROR(IF(VLOOKUP(A1870,Entry!$D:$D,1,FALSE)=A1870,"",ROW()),ROW()))</f>
        <v/>
      </c>
    </row>
    <row r="1871" spans="25:25" x14ac:dyDescent="0.2">
      <c r="Y1871" s="8" t="str">
        <f>IF(A1871="","",IFERROR(IF(VLOOKUP(A1871,Entry!$D:$D,1,FALSE)=A1871,"",ROW()),ROW()))</f>
        <v/>
      </c>
    </row>
    <row r="1872" spans="25:25" x14ac:dyDescent="0.2">
      <c r="Y1872" s="8" t="str">
        <f>IF(A1872="","",IFERROR(IF(VLOOKUP(A1872,Entry!$D:$D,1,FALSE)=A1872,"",ROW()),ROW()))</f>
        <v/>
      </c>
    </row>
    <row r="1873" spans="25:25" x14ac:dyDescent="0.2">
      <c r="Y1873" s="8" t="str">
        <f>IF(A1873="","",IFERROR(IF(VLOOKUP(A1873,Entry!$D:$D,1,FALSE)=A1873,"",ROW()),ROW()))</f>
        <v/>
      </c>
    </row>
    <row r="1874" spans="25:25" x14ac:dyDescent="0.2">
      <c r="Y1874" s="8" t="str">
        <f>IF(A1874="","",IFERROR(IF(VLOOKUP(A1874,Entry!$D:$D,1,FALSE)=A1874,"",ROW()),ROW()))</f>
        <v/>
      </c>
    </row>
    <row r="1875" spans="25:25" x14ac:dyDescent="0.2">
      <c r="Y1875" s="8" t="str">
        <f>IF(A1875="","",IFERROR(IF(VLOOKUP(A1875,Entry!$D:$D,1,FALSE)=A1875,"",ROW()),ROW()))</f>
        <v/>
      </c>
    </row>
    <row r="1876" spans="25:25" x14ac:dyDescent="0.2">
      <c r="Y1876" s="8" t="str">
        <f>IF(A1876="","",IFERROR(IF(VLOOKUP(A1876,Entry!$D:$D,1,FALSE)=A1876,"",ROW()),ROW()))</f>
        <v/>
      </c>
    </row>
    <row r="1877" spans="25:25" x14ac:dyDescent="0.2">
      <c r="Y1877" s="8" t="str">
        <f>IF(A1877="","",IFERROR(IF(VLOOKUP(A1877,Entry!$D:$D,1,FALSE)=A1877,"",ROW()),ROW()))</f>
        <v/>
      </c>
    </row>
    <row r="1878" spans="25:25" x14ac:dyDescent="0.2">
      <c r="Y1878" s="8" t="str">
        <f>IF(A1878="","",IFERROR(IF(VLOOKUP(A1878,Entry!$D:$D,1,FALSE)=A1878,"",ROW()),ROW()))</f>
        <v/>
      </c>
    </row>
    <row r="1879" spans="25:25" x14ac:dyDescent="0.2">
      <c r="Y1879" s="8" t="str">
        <f>IF(A1879="","",IFERROR(IF(VLOOKUP(A1879,Entry!$D:$D,1,FALSE)=A1879,"",ROW()),ROW()))</f>
        <v/>
      </c>
    </row>
    <row r="1880" spans="25:25" x14ac:dyDescent="0.2">
      <c r="Y1880" s="8" t="str">
        <f>IF(A1880="","",IFERROR(IF(VLOOKUP(A1880,Entry!$D:$D,1,FALSE)=A1880,"",ROW()),ROW()))</f>
        <v/>
      </c>
    </row>
    <row r="1881" spans="25:25" x14ac:dyDescent="0.2">
      <c r="Y1881" s="8" t="str">
        <f>IF(A1881="","",IFERROR(IF(VLOOKUP(A1881,Entry!$D:$D,1,FALSE)=A1881,"",ROW()),ROW()))</f>
        <v/>
      </c>
    </row>
    <row r="1882" spans="25:25" x14ac:dyDescent="0.2">
      <c r="Y1882" s="8" t="str">
        <f>IF(A1882="","",IFERROR(IF(VLOOKUP(A1882,Entry!$D:$D,1,FALSE)=A1882,"",ROW()),ROW()))</f>
        <v/>
      </c>
    </row>
    <row r="1883" spans="25:25" x14ac:dyDescent="0.2">
      <c r="Y1883" s="8" t="str">
        <f>IF(A1883="","",IFERROR(IF(VLOOKUP(A1883,Entry!$D:$D,1,FALSE)=A1883,"",ROW()),ROW()))</f>
        <v/>
      </c>
    </row>
    <row r="1884" spans="25:25" x14ac:dyDescent="0.2">
      <c r="Y1884" s="8" t="str">
        <f>IF(A1884="","",IFERROR(IF(VLOOKUP(A1884,Entry!$D:$D,1,FALSE)=A1884,"",ROW()),ROW()))</f>
        <v/>
      </c>
    </row>
    <row r="1885" spans="25:25" x14ac:dyDescent="0.2">
      <c r="Y1885" s="8" t="str">
        <f>IF(A1885="","",IFERROR(IF(VLOOKUP(A1885,Entry!$D:$D,1,FALSE)=A1885,"",ROW()),ROW()))</f>
        <v/>
      </c>
    </row>
    <row r="1886" spans="25:25" x14ac:dyDescent="0.2">
      <c r="Y1886" s="8" t="str">
        <f>IF(A1886="","",IFERROR(IF(VLOOKUP(A1886,Entry!$D:$D,1,FALSE)=A1886,"",ROW()),ROW()))</f>
        <v/>
      </c>
    </row>
    <row r="1887" spans="25:25" x14ac:dyDescent="0.2">
      <c r="Y1887" s="8" t="str">
        <f>IF(A1887="","",IFERROR(IF(VLOOKUP(A1887,Entry!$D:$D,1,FALSE)=A1887,"",ROW()),ROW()))</f>
        <v/>
      </c>
    </row>
    <row r="1888" spans="25:25" x14ac:dyDescent="0.2">
      <c r="Y1888" s="8" t="str">
        <f>IF(A1888="","",IFERROR(IF(VLOOKUP(A1888,Entry!$D:$D,1,FALSE)=A1888,"",ROW()),ROW()))</f>
        <v/>
      </c>
    </row>
    <row r="1889" spans="25:25" x14ac:dyDescent="0.2">
      <c r="Y1889" s="8" t="str">
        <f>IF(A1889="","",IFERROR(IF(VLOOKUP(A1889,Entry!$D:$D,1,FALSE)=A1889,"",ROW()),ROW()))</f>
        <v/>
      </c>
    </row>
    <row r="1890" spans="25:25" x14ac:dyDescent="0.2">
      <c r="Y1890" s="8" t="str">
        <f>IF(A1890="","",IFERROR(IF(VLOOKUP(A1890,Entry!$D:$D,1,FALSE)=A1890,"",ROW()),ROW()))</f>
        <v/>
      </c>
    </row>
    <row r="1891" spans="25:25" x14ac:dyDescent="0.2">
      <c r="Y1891" s="8" t="str">
        <f>IF(A1891="","",IFERROR(IF(VLOOKUP(A1891,Entry!$D:$D,1,FALSE)=A1891,"",ROW()),ROW()))</f>
        <v/>
      </c>
    </row>
    <row r="1892" spans="25:25" x14ac:dyDescent="0.2">
      <c r="Y1892" s="8" t="str">
        <f>IF(A1892="","",IFERROR(IF(VLOOKUP(A1892,Entry!$D:$D,1,FALSE)=A1892,"",ROW()),ROW()))</f>
        <v/>
      </c>
    </row>
    <row r="1893" spans="25:25" x14ac:dyDescent="0.2">
      <c r="Y1893" s="8" t="str">
        <f>IF(A1893="","",IFERROR(IF(VLOOKUP(A1893,Entry!$D:$D,1,FALSE)=A1893,"",ROW()),ROW()))</f>
        <v/>
      </c>
    </row>
    <row r="1894" spans="25:25" x14ac:dyDescent="0.2">
      <c r="Y1894" s="8" t="str">
        <f>IF(A1894="","",IFERROR(IF(VLOOKUP(A1894,Entry!$D:$D,1,FALSE)=A1894,"",ROW()),ROW()))</f>
        <v/>
      </c>
    </row>
    <row r="1895" spans="25:25" x14ac:dyDescent="0.2">
      <c r="Y1895" s="8" t="str">
        <f>IF(A1895="","",IFERROR(IF(VLOOKUP(A1895,Entry!$D:$D,1,FALSE)=A1895,"",ROW()),ROW()))</f>
        <v/>
      </c>
    </row>
    <row r="1896" spans="25:25" x14ac:dyDescent="0.2">
      <c r="Y1896" s="8" t="str">
        <f>IF(A1896="","",IFERROR(IF(VLOOKUP(A1896,Entry!$D:$D,1,FALSE)=A1896,"",ROW()),ROW()))</f>
        <v/>
      </c>
    </row>
    <row r="1897" spans="25:25" x14ac:dyDescent="0.2">
      <c r="Y1897" s="8" t="str">
        <f>IF(A1897="","",IFERROR(IF(VLOOKUP(A1897,Entry!$D:$D,1,FALSE)=A1897,"",ROW()),ROW()))</f>
        <v/>
      </c>
    </row>
    <row r="1898" spans="25:25" x14ac:dyDescent="0.2">
      <c r="Y1898" s="8" t="str">
        <f>IF(A1898="","",IFERROR(IF(VLOOKUP(A1898,Entry!$D:$D,1,FALSE)=A1898,"",ROW()),ROW()))</f>
        <v/>
      </c>
    </row>
    <row r="1899" spans="25:25" x14ac:dyDescent="0.2">
      <c r="Y1899" s="8" t="str">
        <f>IF(A1899="","",IFERROR(IF(VLOOKUP(A1899,Entry!$D:$D,1,FALSE)=A1899,"",ROW()),ROW()))</f>
        <v/>
      </c>
    </row>
    <row r="1900" spans="25:25" x14ac:dyDescent="0.2">
      <c r="Y1900" s="8" t="str">
        <f>IF(A1900="","",IFERROR(IF(VLOOKUP(A1900,Entry!$D:$D,1,FALSE)=A1900,"",ROW()),ROW()))</f>
        <v/>
      </c>
    </row>
    <row r="1901" spans="25:25" x14ac:dyDescent="0.2">
      <c r="Y1901" s="8" t="str">
        <f>IF(A1901="","",IFERROR(IF(VLOOKUP(A1901,Entry!$D:$D,1,FALSE)=A1901,"",ROW()),ROW()))</f>
        <v/>
      </c>
    </row>
    <row r="1902" spans="25:25" x14ac:dyDescent="0.2">
      <c r="Y1902" s="8" t="str">
        <f>IF(A1902="","",IFERROR(IF(VLOOKUP(A1902,Entry!$D:$D,1,FALSE)=A1902,"",ROW()),ROW()))</f>
        <v/>
      </c>
    </row>
    <row r="1903" spans="25:25" x14ac:dyDescent="0.2">
      <c r="Y1903" s="8" t="str">
        <f>IF(A1903="","",IFERROR(IF(VLOOKUP(A1903,Entry!$D:$D,1,FALSE)=A1903,"",ROW()),ROW()))</f>
        <v/>
      </c>
    </row>
    <row r="1904" spans="25:25" x14ac:dyDescent="0.2">
      <c r="Y1904" s="8" t="str">
        <f>IF(A1904="","",IFERROR(IF(VLOOKUP(A1904,Entry!$D:$D,1,FALSE)=A1904,"",ROW()),ROW()))</f>
        <v/>
      </c>
    </row>
    <row r="1905" spans="25:25" x14ac:dyDescent="0.2">
      <c r="Y1905" s="8" t="str">
        <f>IF(A1905="","",IFERROR(IF(VLOOKUP(A1905,Entry!$D:$D,1,FALSE)=A1905,"",ROW()),ROW()))</f>
        <v/>
      </c>
    </row>
    <row r="1906" spans="25:25" x14ac:dyDescent="0.2">
      <c r="Y1906" s="8" t="str">
        <f>IF(A1906="","",IFERROR(IF(VLOOKUP(A1906,Entry!$D:$D,1,FALSE)=A1906,"",ROW()),ROW()))</f>
        <v/>
      </c>
    </row>
    <row r="1907" spans="25:25" x14ac:dyDescent="0.2">
      <c r="Y1907" s="8" t="str">
        <f>IF(A1907="","",IFERROR(IF(VLOOKUP(A1907,Entry!$D:$D,1,FALSE)=A1907,"",ROW()),ROW()))</f>
        <v/>
      </c>
    </row>
    <row r="1908" spans="25:25" x14ac:dyDescent="0.2">
      <c r="Y1908" s="8" t="str">
        <f>IF(A1908="","",IFERROR(IF(VLOOKUP(A1908,Entry!$D:$D,1,FALSE)=A1908,"",ROW()),ROW()))</f>
        <v/>
      </c>
    </row>
    <row r="1909" spans="25:25" x14ac:dyDescent="0.2">
      <c r="Y1909" s="8" t="str">
        <f>IF(A1909="","",IFERROR(IF(VLOOKUP(A1909,Entry!$D:$D,1,FALSE)=A1909,"",ROW()),ROW()))</f>
        <v/>
      </c>
    </row>
    <row r="1910" spans="25:25" x14ac:dyDescent="0.2">
      <c r="Y1910" s="8" t="str">
        <f>IF(A1910="","",IFERROR(IF(VLOOKUP(A1910,Entry!$D:$D,1,FALSE)=A1910,"",ROW()),ROW()))</f>
        <v/>
      </c>
    </row>
    <row r="1911" spans="25:25" x14ac:dyDescent="0.2">
      <c r="Y1911" s="8" t="str">
        <f>IF(A1911="","",IFERROR(IF(VLOOKUP(A1911,Entry!$D:$D,1,FALSE)=A1911,"",ROW()),ROW()))</f>
        <v/>
      </c>
    </row>
    <row r="1912" spans="25:25" x14ac:dyDescent="0.2">
      <c r="Y1912" s="8" t="str">
        <f>IF(A1912="","",IFERROR(IF(VLOOKUP(A1912,Entry!$D:$D,1,FALSE)=A1912,"",ROW()),ROW()))</f>
        <v/>
      </c>
    </row>
    <row r="1913" spans="25:25" x14ac:dyDescent="0.2">
      <c r="Y1913" s="8" t="str">
        <f>IF(A1913="","",IFERROR(IF(VLOOKUP(A1913,Entry!$D:$D,1,FALSE)=A1913,"",ROW()),ROW()))</f>
        <v/>
      </c>
    </row>
    <row r="1914" spans="25:25" x14ac:dyDescent="0.2">
      <c r="Y1914" s="8" t="str">
        <f>IF(A1914="","",IFERROR(IF(VLOOKUP(A1914,Entry!$D:$D,1,FALSE)=A1914,"",ROW()),ROW()))</f>
        <v/>
      </c>
    </row>
    <row r="1915" spans="25:25" x14ac:dyDescent="0.2">
      <c r="Y1915" s="8" t="str">
        <f>IF(A1915="","",IFERROR(IF(VLOOKUP(A1915,Entry!$D:$D,1,FALSE)=A1915,"",ROW()),ROW()))</f>
        <v/>
      </c>
    </row>
    <row r="1916" spans="25:25" x14ac:dyDescent="0.2">
      <c r="Y1916" s="8" t="str">
        <f>IF(A1916="","",IFERROR(IF(VLOOKUP(A1916,Entry!$D:$D,1,FALSE)=A1916,"",ROW()),ROW()))</f>
        <v/>
      </c>
    </row>
    <row r="1917" spans="25:25" x14ac:dyDescent="0.2">
      <c r="Y1917" s="8" t="str">
        <f>IF(A1917="","",IFERROR(IF(VLOOKUP(A1917,Entry!$D:$D,1,FALSE)=A1917,"",ROW()),ROW()))</f>
        <v/>
      </c>
    </row>
    <row r="1918" spans="25:25" x14ac:dyDescent="0.2">
      <c r="Y1918" s="8" t="str">
        <f>IF(A1918="","",IFERROR(IF(VLOOKUP(A1918,Entry!$D:$D,1,FALSE)=A1918,"",ROW()),ROW()))</f>
        <v/>
      </c>
    </row>
    <row r="1919" spans="25:25" x14ac:dyDescent="0.2">
      <c r="Y1919" s="8" t="str">
        <f>IF(A1919="","",IFERROR(IF(VLOOKUP(A1919,Entry!$D:$D,1,FALSE)=A1919,"",ROW()),ROW()))</f>
        <v/>
      </c>
    </row>
    <row r="1920" spans="25:25" x14ac:dyDescent="0.2">
      <c r="Y1920" s="8" t="str">
        <f>IF(A1920="","",IFERROR(IF(VLOOKUP(A1920,Entry!$D:$D,1,FALSE)=A1920,"",ROW()),ROW()))</f>
        <v/>
      </c>
    </row>
    <row r="1921" spans="25:25" x14ac:dyDescent="0.2">
      <c r="Y1921" s="8" t="str">
        <f>IF(A1921="","",IFERROR(IF(VLOOKUP(A1921,Entry!$D:$D,1,FALSE)=A1921,"",ROW()),ROW()))</f>
        <v/>
      </c>
    </row>
    <row r="1922" spans="25:25" x14ac:dyDescent="0.2">
      <c r="Y1922" s="8" t="str">
        <f>IF(A1922="","",IFERROR(IF(VLOOKUP(A1922,Entry!$D:$D,1,FALSE)=A1922,"",ROW()),ROW()))</f>
        <v/>
      </c>
    </row>
    <row r="1923" spans="25:25" x14ac:dyDescent="0.2">
      <c r="Y1923" s="8" t="str">
        <f>IF(A1923="","",IFERROR(IF(VLOOKUP(A1923,Entry!$D:$D,1,FALSE)=A1923,"",ROW()),ROW()))</f>
        <v/>
      </c>
    </row>
    <row r="1924" spans="25:25" x14ac:dyDescent="0.2">
      <c r="Y1924" s="8" t="str">
        <f>IF(A1924="","",IFERROR(IF(VLOOKUP(A1924,Entry!$D:$D,1,FALSE)=A1924,"",ROW()),ROW()))</f>
        <v/>
      </c>
    </row>
    <row r="1925" spans="25:25" x14ac:dyDescent="0.2">
      <c r="Y1925" s="8" t="str">
        <f>IF(A1925="","",IFERROR(IF(VLOOKUP(A1925,Entry!$D:$D,1,FALSE)=A1925,"",ROW()),ROW()))</f>
        <v/>
      </c>
    </row>
    <row r="1926" spans="25:25" x14ac:dyDescent="0.2">
      <c r="Y1926" s="8" t="str">
        <f>IF(A1926="","",IFERROR(IF(VLOOKUP(A1926,Entry!$D:$D,1,FALSE)=A1926,"",ROW()),ROW()))</f>
        <v/>
      </c>
    </row>
    <row r="1927" spans="25:25" x14ac:dyDescent="0.2">
      <c r="Y1927" s="8" t="str">
        <f>IF(A1927="","",IFERROR(IF(VLOOKUP(A1927,Entry!$D:$D,1,FALSE)=A1927,"",ROW()),ROW()))</f>
        <v/>
      </c>
    </row>
    <row r="1928" spans="25:25" x14ac:dyDescent="0.2">
      <c r="Y1928" s="8" t="str">
        <f>IF(A1928="","",IFERROR(IF(VLOOKUP(A1928,Entry!$D:$D,1,FALSE)=A1928,"",ROW()),ROW()))</f>
        <v/>
      </c>
    </row>
    <row r="1929" spans="25:25" x14ac:dyDescent="0.2">
      <c r="Y1929" s="8" t="str">
        <f>IF(A1929="","",IFERROR(IF(VLOOKUP(A1929,Entry!$D:$D,1,FALSE)=A1929,"",ROW()),ROW()))</f>
        <v/>
      </c>
    </row>
    <row r="1930" spans="25:25" x14ac:dyDescent="0.2">
      <c r="Y1930" s="8" t="str">
        <f>IF(A1930="","",IFERROR(IF(VLOOKUP(A1930,Entry!$D:$D,1,FALSE)=A1930,"",ROW()),ROW()))</f>
        <v/>
      </c>
    </row>
    <row r="1931" spans="25:25" x14ac:dyDescent="0.2">
      <c r="Y1931" s="8" t="str">
        <f>IF(A1931="","",IFERROR(IF(VLOOKUP(A1931,Entry!$D:$D,1,FALSE)=A1931,"",ROW()),ROW()))</f>
        <v/>
      </c>
    </row>
    <row r="1932" spans="25:25" x14ac:dyDescent="0.2">
      <c r="Y1932" s="8" t="str">
        <f>IF(A1932="","",IFERROR(IF(VLOOKUP(A1932,Entry!$D:$D,1,FALSE)=A1932,"",ROW()),ROW()))</f>
        <v/>
      </c>
    </row>
    <row r="1933" spans="25:25" x14ac:dyDescent="0.2">
      <c r="Y1933" s="8" t="str">
        <f>IF(A1933="","",IFERROR(IF(VLOOKUP(A1933,Entry!$D:$D,1,FALSE)=A1933,"",ROW()),ROW()))</f>
        <v/>
      </c>
    </row>
    <row r="1934" spans="25:25" x14ac:dyDescent="0.2">
      <c r="Y1934" s="8" t="str">
        <f>IF(A1934="","",IFERROR(IF(VLOOKUP(A1934,Entry!$D:$D,1,FALSE)=A1934,"",ROW()),ROW()))</f>
        <v/>
      </c>
    </row>
    <row r="1935" spans="25:25" x14ac:dyDescent="0.2">
      <c r="Y1935" s="8" t="str">
        <f>IF(A1935="","",IFERROR(IF(VLOOKUP(A1935,Entry!$D:$D,1,FALSE)=A1935,"",ROW()),ROW()))</f>
        <v/>
      </c>
    </row>
    <row r="1936" spans="25:25" x14ac:dyDescent="0.2">
      <c r="Y1936" s="8" t="str">
        <f>IF(A1936="","",IFERROR(IF(VLOOKUP(A1936,Entry!$D:$D,1,FALSE)=A1936,"",ROW()),ROW()))</f>
        <v/>
      </c>
    </row>
    <row r="1937" spans="25:25" x14ac:dyDescent="0.2">
      <c r="Y1937" s="8" t="str">
        <f>IF(A1937="","",IFERROR(IF(VLOOKUP(A1937,Entry!$D:$D,1,FALSE)=A1937,"",ROW()),ROW()))</f>
        <v/>
      </c>
    </row>
    <row r="1938" spans="25:25" x14ac:dyDescent="0.2">
      <c r="Y1938" s="8" t="str">
        <f>IF(A1938="","",IFERROR(IF(VLOOKUP(A1938,Entry!$D:$D,1,FALSE)=A1938,"",ROW()),ROW()))</f>
        <v/>
      </c>
    </row>
    <row r="1939" spans="25:25" x14ac:dyDescent="0.2">
      <c r="Y1939" s="8" t="str">
        <f>IF(A1939="","",IFERROR(IF(VLOOKUP(A1939,Entry!$D:$D,1,FALSE)=A1939,"",ROW()),ROW()))</f>
        <v/>
      </c>
    </row>
    <row r="1940" spans="25:25" x14ac:dyDescent="0.2">
      <c r="Y1940" s="8" t="str">
        <f>IF(A1940="","",IFERROR(IF(VLOOKUP(A1940,Entry!$D:$D,1,FALSE)=A1940,"",ROW()),ROW()))</f>
        <v/>
      </c>
    </row>
    <row r="1941" spans="25:25" x14ac:dyDescent="0.2">
      <c r="Y1941" s="8" t="str">
        <f>IF(A1941="","",IFERROR(IF(VLOOKUP(A1941,Entry!$D:$D,1,FALSE)=A1941,"",ROW()),ROW()))</f>
        <v/>
      </c>
    </row>
    <row r="1942" spans="25:25" x14ac:dyDescent="0.2">
      <c r="Y1942" s="8" t="str">
        <f>IF(A1942="","",IFERROR(IF(VLOOKUP(A1942,Entry!$D:$D,1,FALSE)=A1942,"",ROW()),ROW()))</f>
        <v/>
      </c>
    </row>
    <row r="1943" spans="25:25" x14ac:dyDescent="0.2">
      <c r="Y1943" s="8" t="str">
        <f>IF(A1943="","",IFERROR(IF(VLOOKUP(A1943,Entry!$D:$D,1,FALSE)=A1943,"",ROW()),ROW()))</f>
        <v/>
      </c>
    </row>
    <row r="1944" spans="25:25" x14ac:dyDescent="0.2">
      <c r="Y1944" s="8" t="str">
        <f>IF(A1944="","",IFERROR(IF(VLOOKUP(A1944,Entry!$D:$D,1,FALSE)=A1944,"",ROW()),ROW()))</f>
        <v/>
      </c>
    </row>
    <row r="1945" spans="25:25" x14ac:dyDescent="0.2">
      <c r="Y1945" s="8" t="str">
        <f>IF(A1945="","",IFERROR(IF(VLOOKUP(A1945,Entry!$D:$D,1,FALSE)=A1945,"",ROW()),ROW()))</f>
        <v/>
      </c>
    </row>
    <row r="1946" spans="25:25" x14ac:dyDescent="0.2">
      <c r="Y1946" s="8" t="str">
        <f>IF(A1946="","",IFERROR(IF(VLOOKUP(A1946,Entry!$D:$D,1,FALSE)=A1946,"",ROW()),ROW()))</f>
        <v/>
      </c>
    </row>
    <row r="1947" spans="25:25" x14ac:dyDescent="0.2">
      <c r="Y1947" s="8" t="str">
        <f>IF(A1947="","",IFERROR(IF(VLOOKUP(A1947,Entry!$D:$D,1,FALSE)=A1947,"",ROW()),ROW()))</f>
        <v/>
      </c>
    </row>
    <row r="1948" spans="25:25" x14ac:dyDescent="0.2">
      <c r="Y1948" s="8" t="str">
        <f>IF(A1948="","",IFERROR(IF(VLOOKUP(A1948,Entry!$D:$D,1,FALSE)=A1948,"",ROW()),ROW()))</f>
        <v/>
      </c>
    </row>
    <row r="1949" spans="25:25" x14ac:dyDescent="0.2">
      <c r="Y1949" s="8" t="str">
        <f>IF(A1949="","",IFERROR(IF(VLOOKUP(A1949,Entry!$D:$D,1,FALSE)=A1949,"",ROW()),ROW()))</f>
        <v/>
      </c>
    </row>
    <row r="1950" spans="25:25" x14ac:dyDescent="0.2">
      <c r="Y1950" s="8" t="str">
        <f>IF(A1950="","",IFERROR(IF(VLOOKUP(A1950,Entry!$D:$D,1,FALSE)=A1950,"",ROW()),ROW()))</f>
        <v/>
      </c>
    </row>
    <row r="1951" spans="25:25" x14ac:dyDescent="0.2">
      <c r="Y1951" s="8" t="str">
        <f>IF(A1951="","",IFERROR(IF(VLOOKUP(A1951,Entry!$D:$D,1,FALSE)=A1951,"",ROW()),ROW()))</f>
        <v/>
      </c>
    </row>
    <row r="1952" spans="25:25" x14ac:dyDescent="0.2">
      <c r="Y1952" s="8" t="str">
        <f>IF(A1952="","",IFERROR(IF(VLOOKUP(A1952,Entry!$D:$D,1,FALSE)=A1952,"",ROW()),ROW()))</f>
        <v/>
      </c>
    </row>
    <row r="1953" spans="25:25" x14ac:dyDescent="0.2">
      <c r="Y1953" s="8" t="str">
        <f>IF(A1953="","",IFERROR(IF(VLOOKUP(A1953,Entry!$D:$D,1,FALSE)=A1953,"",ROW()),ROW()))</f>
        <v/>
      </c>
    </row>
    <row r="1954" spans="25:25" x14ac:dyDescent="0.2">
      <c r="Y1954" s="8" t="str">
        <f>IF(A1954="","",IFERROR(IF(VLOOKUP(A1954,Entry!$D:$D,1,FALSE)=A1954,"",ROW()),ROW()))</f>
        <v/>
      </c>
    </row>
    <row r="1955" spans="25:25" x14ac:dyDescent="0.2">
      <c r="Y1955" s="8" t="str">
        <f>IF(A1955="","",IFERROR(IF(VLOOKUP(A1955,Entry!$D:$D,1,FALSE)=A1955,"",ROW()),ROW()))</f>
        <v/>
      </c>
    </row>
    <row r="1956" spans="25:25" x14ac:dyDescent="0.2">
      <c r="Y1956" s="8" t="str">
        <f>IF(A1956="","",IFERROR(IF(VLOOKUP(A1956,Entry!$D:$D,1,FALSE)=A1956,"",ROW()),ROW()))</f>
        <v/>
      </c>
    </row>
    <row r="1957" spans="25:25" x14ac:dyDescent="0.2">
      <c r="Y1957" s="8" t="str">
        <f>IF(A1957="","",IFERROR(IF(VLOOKUP(A1957,Entry!$D:$D,1,FALSE)=A1957,"",ROW()),ROW()))</f>
        <v/>
      </c>
    </row>
    <row r="1958" spans="25:25" x14ac:dyDescent="0.2">
      <c r="Y1958" s="8" t="str">
        <f>IF(A1958="","",IFERROR(IF(VLOOKUP(A1958,Entry!$D:$D,1,FALSE)=A1958,"",ROW()),ROW()))</f>
        <v/>
      </c>
    </row>
    <row r="1959" spans="25:25" x14ac:dyDescent="0.2">
      <c r="Y1959" s="8" t="str">
        <f>IF(A1959="","",IFERROR(IF(VLOOKUP(A1959,Entry!$D:$D,1,FALSE)=A1959,"",ROW()),ROW()))</f>
        <v/>
      </c>
    </row>
    <row r="1960" spans="25:25" x14ac:dyDescent="0.2">
      <c r="Y1960" s="8" t="str">
        <f>IF(A1960="","",IFERROR(IF(VLOOKUP(A1960,Entry!$D:$D,1,FALSE)=A1960,"",ROW()),ROW()))</f>
        <v/>
      </c>
    </row>
    <row r="1961" spans="25:25" x14ac:dyDescent="0.2">
      <c r="Y1961" s="8" t="str">
        <f>IF(A1961="","",IFERROR(IF(VLOOKUP(A1961,Entry!$D:$D,1,FALSE)=A1961,"",ROW()),ROW()))</f>
        <v/>
      </c>
    </row>
    <row r="1962" spans="25:25" x14ac:dyDescent="0.2">
      <c r="Y1962" s="8" t="str">
        <f>IF(A1962="","",IFERROR(IF(VLOOKUP(A1962,Entry!$D:$D,1,FALSE)=A1962,"",ROW()),ROW()))</f>
        <v/>
      </c>
    </row>
    <row r="1963" spans="25:25" x14ac:dyDescent="0.2">
      <c r="Y1963" s="8" t="str">
        <f>IF(A1963="","",IFERROR(IF(VLOOKUP(A1963,Entry!$D:$D,1,FALSE)=A1963,"",ROW()),ROW()))</f>
        <v/>
      </c>
    </row>
    <row r="1964" spans="25:25" x14ac:dyDescent="0.2">
      <c r="Y1964" s="8" t="str">
        <f>IF(A1964="","",IFERROR(IF(VLOOKUP(A1964,Entry!$D:$D,1,FALSE)=A1964,"",ROW()),ROW()))</f>
        <v/>
      </c>
    </row>
    <row r="1965" spans="25:25" x14ac:dyDescent="0.2">
      <c r="Y1965" s="8" t="str">
        <f>IF(A1965="","",IFERROR(IF(VLOOKUP(A1965,Entry!$D:$D,1,FALSE)=A1965,"",ROW()),ROW()))</f>
        <v/>
      </c>
    </row>
    <row r="1966" spans="25:25" x14ac:dyDescent="0.2">
      <c r="Y1966" s="8" t="str">
        <f>IF(A1966="","",IFERROR(IF(VLOOKUP(A1966,Entry!$D:$D,1,FALSE)=A1966,"",ROW()),ROW()))</f>
        <v/>
      </c>
    </row>
    <row r="1967" spans="25:25" x14ac:dyDescent="0.2">
      <c r="Y1967" s="8" t="str">
        <f>IF(A1967="","",IFERROR(IF(VLOOKUP(A1967,Entry!$D:$D,1,FALSE)=A1967,"",ROW()),ROW()))</f>
        <v/>
      </c>
    </row>
    <row r="1968" spans="25:25" x14ac:dyDescent="0.2">
      <c r="Y1968" s="8" t="str">
        <f>IF(A1968="","",IFERROR(IF(VLOOKUP(A1968,Entry!$D:$D,1,FALSE)=A1968,"",ROW()),ROW()))</f>
        <v/>
      </c>
    </row>
    <row r="1969" spans="25:25" x14ac:dyDescent="0.2">
      <c r="Y1969" s="8" t="str">
        <f>IF(A1969="","",IFERROR(IF(VLOOKUP(A1969,Entry!$D:$D,1,FALSE)=A1969,"",ROW()),ROW()))</f>
        <v/>
      </c>
    </row>
    <row r="1970" spans="25:25" x14ac:dyDescent="0.2">
      <c r="Y1970" s="8" t="str">
        <f>IF(A1970="","",IFERROR(IF(VLOOKUP(A1970,Entry!$D:$D,1,FALSE)=A1970,"",ROW()),ROW()))</f>
        <v/>
      </c>
    </row>
    <row r="1971" spans="25:25" x14ac:dyDescent="0.2">
      <c r="Y1971" s="8" t="str">
        <f>IF(A1971="","",IFERROR(IF(VLOOKUP(A1971,Entry!$D:$D,1,FALSE)=A1971,"",ROW()),ROW()))</f>
        <v/>
      </c>
    </row>
    <row r="1972" spans="25:25" x14ac:dyDescent="0.2">
      <c r="Y1972" s="8" t="str">
        <f>IF(A1972="","",IFERROR(IF(VLOOKUP(A1972,Entry!$D:$D,1,FALSE)=A1972,"",ROW()),ROW()))</f>
        <v/>
      </c>
    </row>
    <row r="1973" spans="25:25" x14ac:dyDescent="0.2">
      <c r="Y1973" s="8" t="str">
        <f>IF(A1973="","",IFERROR(IF(VLOOKUP(A1973,Entry!$D:$D,1,FALSE)=A1973,"",ROW()),ROW()))</f>
        <v/>
      </c>
    </row>
    <row r="1974" spans="25:25" x14ac:dyDescent="0.2">
      <c r="Y1974" s="8" t="str">
        <f>IF(A1974="","",IFERROR(IF(VLOOKUP(A1974,Entry!$D:$D,1,FALSE)=A1974,"",ROW()),ROW()))</f>
        <v/>
      </c>
    </row>
    <row r="1975" spans="25:25" x14ac:dyDescent="0.2">
      <c r="Y1975" s="8" t="str">
        <f>IF(A1975="","",IFERROR(IF(VLOOKUP(A1975,Entry!$D:$D,1,FALSE)=A1975,"",ROW()),ROW()))</f>
        <v/>
      </c>
    </row>
    <row r="1976" spans="25:25" x14ac:dyDescent="0.2">
      <c r="Y1976" s="8" t="str">
        <f>IF(A1976="","",IFERROR(IF(VLOOKUP(A1976,Entry!$D:$D,1,FALSE)=A1976,"",ROW()),ROW()))</f>
        <v/>
      </c>
    </row>
    <row r="1977" spans="25:25" x14ac:dyDescent="0.2">
      <c r="Y1977" s="8" t="str">
        <f>IF(A1977="","",IFERROR(IF(VLOOKUP(A1977,Entry!$D:$D,1,FALSE)=A1977,"",ROW()),ROW()))</f>
        <v/>
      </c>
    </row>
    <row r="1978" spans="25:25" x14ac:dyDescent="0.2">
      <c r="Y1978" s="8" t="str">
        <f>IF(A1978="","",IFERROR(IF(VLOOKUP(A1978,Entry!$D:$D,1,FALSE)=A1978,"",ROW()),ROW()))</f>
        <v/>
      </c>
    </row>
    <row r="1979" spans="25:25" x14ac:dyDescent="0.2">
      <c r="Y1979" s="8" t="str">
        <f>IF(A1979="","",IFERROR(IF(VLOOKUP(A1979,Entry!$D:$D,1,FALSE)=A1979,"",ROW()),ROW()))</f>
        <v/>
      </c>
    </row>
    <row r="1980" spans="25:25" x14ac:dyDescent="0.2">
      <c r="Y1980" s="8" t="str">
        <f>IF(A1980="","",IFERROR(IF(VLOOKUP(A1980,Entry!$D:$D,1,FALSE)=A1980,"",ROW()),ROW()))</f>
        <v/>
      </c>
    </row>
    <row r="1981" spans="25:25" x14ac:dyDescent="0.2">
      <c r="Y1981" s="8" t="str">
        <f>IF(A1981="","",IFERROR(IF(VLOOKUP(A1981,Entry!$D:$D,1,FALSE)=A1981,"",ROW()),ROW()))</f>
        <v/>
      </c>
    </row>
    <row r="1982" spans="25:25" x14ac:dyDescent="0.2">
      <c r="Y1982" s="8" t="str">
        <f>IF(A1982="","",IFERROR(IF(VLOOKUP(A1982,Entry!$D:$D,1,FALSE)=A1982,"",ROW()),ROW()))</f>
        <v/>
      </c>
    </row>
    <row r="1983" spans="25:25" x14ac:dyDescent="0.2">
      <c r="Y1983" s="8" t="str">
        <f>IF(A1983="","",IFERROR(IF(VLOOKUP(A1983,Entry!$D:$D,1,FALSE)=A1983,"",ROW()),ROW()))</f>
        <v/>
      </c>
    </row>
    <row r="1984" spans="25:25" x14ac:dyDescent="0.2">
      <c r="Y1984" s="8" t="str">
        <f>IF(A1984="","",IFERROR(IF(VLOOKUP(A1984,Entry!$D:$D,1,FALSE)=A1984,"",ROW()),ROW()))</f>
        <v/>
      </c>
    </row>
    <row r="1985" spans="25:25" x14ac:dyDescent="0.2">
      <c r="Y1985" s="8" t="str">
        <f>IF(A1985="","",IFERROR(IF(VLOOKUP(A1985,Entry!$D:$D,1,FALSE)=A1985,"",ROW()),ROW()))</f>
        <v/>
      </c>
    </row>
    <row r="1986" spans="25:25" x14ac:dyDescent="0.2">
      <c r="Y1986" s="8" t="str">
        <f>IF(A1986="","",IFERROR(IF(VLOOKUP(A1986,Entry!$D:$D,1,FALSE)=A1986,"",ROW()),ROW()))</f>
        <v/>
      </c>
    </row>
    <row r="1987" spans="25:25" x14ac:dyDescent="0.2">
      <c r="Y1987" s="8" t="str">
        <f>IF(A1987="","",IFERROR(IF(VLOOKUP(A1987,Entry!$D:$D,1,FALSE)=A1987,"",ROW()),ROW()))</f>
        <v/>
      </c>
    </row>
    <row r="1988" spans="25:25" x14ac:dyDescent="0.2">
      <c r="Y1988" s="8" t="str">
        <f>IF(A1988="","",IFERROR(IF(VLOOKUP(A1988,Entry!$D:$D,1,FALSE)=A1988,"",ROW()),ROW()))</f>
        <v/>
      </c>
    </row>
    <row r="1989" spans="25:25" x14ac:dyDescent="0.2">
      <c r="Y1989" s="8" t="str">
        <f>IF(A1989="","",IFERROR(IF(VLOOKUP(A1989,Entry!$D:$D,1,FALSE)=A1989,"",ROW()),ROW()))</f>
        <v/>
      </c>
    </row>
    <row r="1990" spans="25:25" x14ac:dyDescent="0.2">
      <c r="Y1990" s="8" t="str">
        <f>IF(A1990="","",IFERROR(IF(VLOOKUP(A1990,Entry!$D:$D,1,FALSE)=A1990,"",ROW()),ROW()))</f>
        <v/>
      </c>
    </row>
    <row r="1991" spans="25:25" x14ac:dyDescent="0.2">
      <c r="Y1991" s="8" t="str">
        <f>IF(A1991="","",IFERROR(IF(VLOOKUP(A1991,Entry!$D:$D,1,FALSE)=A1991,"",ROW()),ROW()))</f>
        <v/>
      </c>
    </row>
    <row r="1992" spans="25:25" x14ac:dyDescent="0.2">
      <c r="Y1992" s="8" t="str">
        <f>IF(A1992="","",IFERROR(IF(VLOOKUP(A1992,Entry!$D:$D,1,FALSE)=A1992,"",ROW()),ROW()))</f>
        <v/>
      </c>
    </row>
    <row r="1993" spans="25:25" x14ac:dyDescent="0.2">
      <c r="Y1993" s="8" t="str">
        <f>IF(A1993="","",IFERROR(IF(VLOOKUP(A1993,Entry!$D:$D,1,FALSE)=A1993,"",ROW()),ROW()))</f>
        <v/>
      </c>
    </row>
    <row r="1994" spans="25:25" x14ac:dyDescent="0.2">
      <c r="Y1994" s="8" t="str">
        <f>IF(A1994="","",IFERROR(IF(VLOOKUP(A1994,Entry!$D:$D,1,FALSE)=A1994,"",ROW()),ROW()))</f>
        <v/>
      </c>
    </row>
    <row r="1995" spans="25:25" x14ac:dyDescent="0.2">
      <c r="Y1995" s="8" t="str">
        <f>IF(A1995="","",IFERROR(IF(VLOOKUP(A1995,Entry!$D:$D,1,FALSE)=A1995,"",ROW()),ROW()))</f>
        <v/>
      </c>
    </row>
    <row r="1996" spans="25:25" x14ac:dyDescent="0.2">
      <c r="Y1996" s="8" t="str">
        <f>IF(A1996="","",IFERROR(IF(VLOOKUP(A1996,Entry!$D:$D,1,FALSE)=A1996,"",ROW()),ROW()))</f>
        <v/>
      </c>
    </row>
    <row r="1997" spans="25:25" x14ac:dyDescent="0.2">
      <c r="Y1997" s="8" t="str">
        <f>IF(A1997="","",IFERROR(IF(VLOOKUP(A1997,Entry!$D:$D,1,FALSE)=A1997,"",ROW()),ROW()))</f>
        <v/>
      </c>
    </row>
    <row r="1998" spans="25:25" x14ac:dyDescent="0.2">
      <c r="Y1998" s="8" t="str">
        <f>IF(A1998="","",IFERROR(IF(VLOOKUP(A1998,Entry!$D:$D,1,FALSE)=A1998,"",ROW()),ROW()))</f>
        <v/>
      </c>
    </row>
    <row r="1999" spans="25:25" x14ac:dyDescent="0.2">
      <c r="Y1999" s="8" t="str">
        <f>IF(A1999="","",IFERROR(IF(VLOOKUP(A1999,Entry!$D:$D,1,FALSE)=A1999,"",ROW()),ROW()))</f>
        <v/>
      </c>
    </row>
    <row r="2000" spans="25:25" x14ac:dyDescent="0.2">
      <c r="Y2000" s="8" t="str">
        <f>IF(A2000="","",IFERROR(IF(VLOOKUP(A2000,Entry!$D:$D,1,FALSE)=A2000,"",ROW()),ROW()))</f>
        <v/>
      </c>
    </row>
    <row r="2001" spans="25:25" x14ac:dyDescent="0.2">
      <c r="Y2001" s="8" t="str">
        <f>IF(A2001="","",IFERROR(IF(VLOOKUP(A2001,Entry!$D:$D,1,FALSE)=A2001,"",ROW()),ROW()))</f>
        <v/>
      </c>
    </row>
    <row r="2002" spans="25:25" x14ac:dyDescent="0.2">
      <c r="Y2002" s="8" t="str">
        <f>IF(A2002="","",IFERROR(IF(VLOOKUP(A2002,Entry!$D:$D,1,FALSE)=A2002,"",ROW()),ROW()))</f>
        <v/>
      </c>
    </row>
    <row r="2003" spans="25:25" x14ac:dyDescent="0.2">
      <c r="Y2003" s="8" t="str">
        <f>IF(A2003="","",IFERROR(IF(VLOOKUP(A2003,Entry!$D:$D,1,FALSE)=A2003,"",ROW()),ROW()))</f>
        <v/>
      </c>
    </row>
    <row r="2004" spans="25:25" x14ac:dyDescent="0.2">
      <c r="Y2004" s="8" t="str">
        <f>IF(A2004="","",IFERROR(IF(VLOOKUP(A2004,Entry!$D:$D,1,FALSE)=A2004,"",ROW()),ROW()))</f>
        <v/>
      </c>
    </row>
    <row r="2005" spans="25:25" x14ac:dyDescent="0.2">
      <c r="Y2005" s="8" t="str">
        <f>IF(A2005="","",IFERROR(IF(VLOOKUP(A2005,Entry!$D:$D,1,FALSE)=A2005,"",ROW()),ROW()))</f>
        <v/>
      </c>
    </row>
    <row r="2006" spans="25:25" x14ac:dyDescent="0.2">
      <c r="Y2006" s="8" t="str">
        <f>IF(A2006="","",IFERROR(IF(VLOOKUP(A2006,Entry!$D:$D,1,FALSE)=A2006,"",ROW()),ROW()))</f>
        <v/>
      </c>
    </row>
    <row r="2007" spans="25:25" x14ac:dyDescent="0.2">
      <c r="Y2007" s="8" t="str">
        <f>IF(A2007="","",IFERROR(IF(VLOOKUP(A2007,Entry!$D:$D,1,FALSE)=A2007,"",ROW()),ROW()))</f>
        <v/>
      </c>
    </row>
    <row r="2008" spans="25:25" x14ac:dyDescent="0.2">
      <c r="Y2008" s="8" t="str">
        <f>IF(A2008="","",IFERROR(IF(VLOOKUP(A2008,Entry!$D:$D,1,FALSE)=A2008,"",ROW()),ROW()))</f>
        <v/>
      </c>
    </row>
    <row r="2009" spans="25:25" x14ac:dyDescent="0.2">
      <c r="Y2009" s="8" t="str">
        <f>IF(A2009="","",IFERROR(IF(VLOOKUP(A2009,Entry!$D:$D,1,FALSE)=A2009,"",ROW()),ROW()))</f>
        <v/>
      </c>
    </row>
    <row r="2010" spans="25:25" x14ac:dyDescent="0.2">
      <c r="Y2010" s="8" t="str">
        <f>IF(A2010="","",IFERROR(IF(VLOOKUP(A2010,Entry!$D:$D,1,FALSE)=A2010,"",ROW()),ROW()))</f>
        <v/>
      </c>
    </row>
    <row r="2011" spans="25:25" x14ac:dyDescent="0.2">
      <c r="Y2011" s="8" t="str">
        <f>IF(A2011="","",IFERROR(IF(VLOOKUP(A2011,Entry!$D:$D,1,FALSE)=A2011,"",ROW()),ROW()))</f>
        <v/>
      </c>
    </row>
    <row r="2012" spans="25:25" x14ac:dyDescent="0.2">
      <c r="Y2012" s="8" t="str">
        <f>IF(A2012="","",IFERROR(IF(VLOOKUP(A2012,Entry!$D:$D,1,FALSE)=A2012,"",ROW()),ROW()))</f>
        <v/>
      </c>
    </row>
    <row r="2013" spans="25:25" x14ac:dyDescent="0.2">
      <c r="Y2013" s="8" t="str">
        <f>IF(A2013="","",IFERROR(IF(VLOOKUP(A2013,Entry!$D:$D,1,FALSE)=A2013,"",ROW()),ROW()))</f>
        <v/>
      </c>
    </row>
    <row r="2014" spans="25:25" x14ac:dyDescent="0.2">
      <c r="Y2014" s="8" t="str">
        <f>IF(A2014="","",IFERROR(IF(VLOOKUP(A2014,Entry!$D:$D,1,FALSE)=A2014,"",ROW()),ROW()))</f>
        <v/>
      </c>
    </row>
    <row r="2015" spans="25:25" x14ac:dyDescent="0.2">
      <c r="Y2015" s="8" t="str">
        <f>IF(A2015="","",IFERROR(IF(VLOOKUP(A2015,Entry!$D:$D,1,FALSE)=A2015,"",ROW()),ROW()))</f>
        <v/>
      </c>
    </row>
    <row r="2016" spans="25:25" x14ac:dyDescent="0.2">
      <c r="Y2016" s="8" t="str">
        <f>IF(A2016="","",IFERROR(IF(VLOOKUP(A2016,Entry!$D:$D,1,FALSE)=A2016,"",ROW()),ROW()))</f>
        <v/>
      </c>
    </row>
    <row r="2017" spans="25:25" x14ac:dyDescent="0.2">
      <c r="Y2017" s="8" t="str">
        <f>IF(A2017="","",IFERROR(IF(VLOOKUP(A2017,Entry!$D:$D,1,FALSE)=A2017,"",ROW()),ROW()))</f>
        <v/>
      </c>
    </row>
    <row r="2018" spans="25:25" x14ac:dyDescent="0.2">
      <c r="Y2018" s="8" t="str">
        <f>IF(A2018="","",IFERROR(IF(VLOOKUP(A2018,Entry!$D:$D,1,FALSE)=A2018,"",ROW()),ROW()))</f>
        <v/>
      </c>
    </row>
    <row r="2019" spans="25:25" x14ac:dyDescent="0.2">
      <c r="Y2019" s="8" t="str">
        <f>IF(A2019="","",IFERROR(IF(VLOOKUP(A2019,Entry!$D:$D,1,FALSE)=A2019,"",ROW()),ROW()))</f>
        <v/>
      </c>
    </row>
    <row r="2020" spans="25:25" x14ac:dyDescent="0.2">
      <c r="Y2020" s="8" t="str">
        <f>IF(A2020="","",IFERROR(IF(VLOOKUP(A2020,Entry!$D:$D,1,FALSE)=A2020,"",ROW()),ROW()))</f>
        <v/>
      </c>
    </row>
    <row r="2021" spans="25:25" x14ac:dyDescent="0.2">
      <c r="Y2021" s="8" t="str">
        <f>IF(A2021="","",IFERROR(IF(VLOOKUP(A2021,Entry!$D:$D,1,FALSE)=A2021,"",ROW()),ROW()))</f>
        <v/>
      </c>
    </row>
    <row r="2022" spans="25:25" x14ac:dyDescent="0.2">
      <c r="Y2022" s="8" t="str">
        <f>IF(A2022="","",IFERROR(IF(VLOOKUP(A2022,Entry!$D:$D,1,FALSE)=A2022,"",ROW()),ROW()))</f>
        <v/>
      </c>
    </row>
    <row r="2023" spans="25:25" x14ac:dyDescent="0.2">
      <c r="Y2023" s="8" t="str">
        <f>IF(A2023="","",IFERROR(IF(VLOOKUP(A2023,Entry!$D:$D,1,FALSE)=A2023,"",ROW()),ROW()))</f>
        <v/>
      </c>
    </row>
    <row r="2024" spans="25:25" x14ac:dyDescent="0.2">
      <c r="Y2024" s="8" t="str">
        <f>IF(A2024="","",IFERROR(IF(VLOOKUP(A2024,Entry!$D:$D,1,FALSE)=A2024,"",ROW()),ROW()))</f>
        <v/>
      </c>
    </row>
    <row r="2025" spans="25:25" x14ac:dyDescent="0.2">
      <c r="Y2025" s="8" t="str">
        <f>IF(A2025="","",IFERROR(IF(VLOOKUP(A2025,Entry!$D:$D,1,FALSE)=A2025,"",ROW()),ROW()))</f>
        <v/>
      </c>
    </row>
    <row r="2026" spans="25:25" x14ac:dyDescent="0.2">
      <c r="Y2026" s="8" t="str">
        <f>IF(A2026="","",IFERROR(IF(VLOOKUP(A2026,Entry!$D:$D,1,FALSE)=A2026,"",ROW()),ROW()))</f>
        <v/>
      </c>
    </row>
    <row r="2027" spans="25:25" x14ac:dyDescent="0.2">
      <c r="Y2027" s="8" t="str">
        <f>IF(A2027="","",IFERROR(IF(VLOOKUP(A2027,Entry!$D:$D,1,FALSE)=A2027,"",ROW()),ROW()))</f>
        <v/>
      </c>
    </row>
    <row r="2028" spans="25:25" x14ac:dyDescent="0.2">
      <c r="Y2028" s="8" t="str">
        <f>IF(A2028="","",IFERROR(IF(VLOOKUP(A2028,Entry!$D:$D,1,FALSE)=A2028,"",ROW()),ROW()))</f>
        <v/>
      </c>
    </row>
    <row r="2029" spans="25:25" x14ac:dyDescent="0.2">
      <c r="Y2029" s="8" t="str">
        <f>IF(A2029="","",IFERROR(IF(VLOOKUP(A2029,Entry!$D:$D,1,FALSE)=A2029,"",ROW()),ROW()))</f>
        <v/>
      </c>
    </row>
    <row r="2030" spans="25:25" x14ac:dyDescent="0.2">
      <c r="Y2030" s="8" t="str">
        <f>IF(A2030="","",IFERROR(IF(VLOOKUP(A2030,Entry!$D:$D,1,FALSE)=A2030,"",ROW()),ROW()))</f>
        <v/>
      </c>
    </row>
    <row r="2031" spans="25:25" x14ac:dyDescent="0.2">
      <c r="Y2031" s="8" t="str">
        <f>IF(A2031="","",IFERROR(IF(VLOOKUP(A2031,Entry!$D:$D,1,FALSE)=A2031,"",ROW()),ROW()))</f>
        <v/>
      </c>
    </row>
    <row r="2032" spans="25:25" x14ac:dyDescent="0.2">
      <c r="Y2032" s="8" t="str">
        <f>IF(A2032="","",IFERROR(IF(VLOOKUP(A2032,Entry!$D:$D,1,FALSE)=A2032,"",ROW()),ROW()))</f>
        <v/>
      </c>
    </row>
    <row r="2033" spans="25:25" x14ac:dyDescent="0.2">
      <c r="Y2033" s="8" t="str">
        <f>IF(A2033="","",IFERROR(IF(VLOOKUP(A2033,Entry!$D:$D,1,FALSE)=A2033,"",ROW()),ROW()))</f>
        <v/>
      </c>
    </row>
    <row r="2034" spans="25:25" x14ac:dyDescent="0.2">
      <c r="Y2034" s="8" t="str">
        <f>IF(A2034="","",IFERROR(IF(VLOOKUP(A2034,Entry!$D:$D,1,FALSE)=A2034,"",ROW()),ROW()))</f>
        <v/>
      </c>
    </row>
    <row r="2035" spans="25:25" x14ac:dyDescent="0.2">
      <c r="Y2035" s="8" t="str">
        <f>IF(A2035="","",IFERROR(IF(VLOOKUP(A2035,Entry!$D:$D,1,FALSE)=A2035,"",ROW()),ROW()))</f>
        <v/>
      </c>
    </row>
    <row r="2036" spans="25:25" x14ac:dyDescent="0.2">
      <c r="Y2036" s="8" t="str">
        <f>IF(A2036="","",IFERROR(IF(VLOOKUP(A2036,Entry!$D:$D,1,FALSE)=A2036,"",ROW()),ROW()))</f>
        <v/>
      </c>
    </row>
    <row r="2037" spans="25:25" x14ac:dyDescent="0.2">
      <c r="Y2037" s="8" t="str">
        <f>IF(A2037="","",IFERROR(IF(VLOOKUP(A2037,Entry!$D:$D,1,FALSE)=A2037,"",ROW()),ROW()))</f>
        <v/>
      </c>
    </row>
    <row r="2038" spans="25:25" x14ac:dyDescent="0.2">
      <c r="Y2038" s="8" t="str">
        <f>IF(A2038="","",IFERROR(IF(VLOOKUP(A2038,Entry!$D:$D,1,FALSE)=A2038,"",ROW()),ROW()))</f>
        <v/>
      </c>
    </row>
    <row r="2039" spans="25:25" x14ac:dyDescent="0.2">
      <c r="Y2039" s="8" t="str">
        <f>IF(A2039="","",IFERROR(IF(VLOOKUP(A2039,Entry!$D:$D,1,FALSE)=A2039,"",ROW()),ROW()))</f>
        <v/>
      </c>
    </row>
    <row r="2040" spans="25:25" x14ac:dyDescent="0.2">
      <c r="Y2040" s="8" t="str">
        <f>IF(A2040="","",IFERROR(IF(VLOOKUP(A2040,Entry!$D:$D,1,FALSE)=A2040,"",ROW()),ROW()))</f>
        <v/>
      </c>
    </row>
    <row r="2041" spans="25:25" x14ac:dyDescent="0.2">
      <c r="Y2041" s="8" t="str">
        <f>IF(A2041="","",IFERROR(IF(VLOOKUP(A2041,Entry!$D:$D,1,FALSE)=A2041,"",ROW()),ROW()))</f>
        <v/>
      </c>
    </row>
    <row r="2042" spans="25:25" x14ac:dyDescent="0.2">
      <c r="Y2042" s="8" t="str">
        <f>IF(A2042="","",IFERROR(IF(VLOOKUP(A2042,Entry!$D:$D,1,FALSE)=A2042,"",ROW()),ROW()))</f>
        <v/>
      </c>
    </row>
    <row r="2043" spans="25:25" x14ac:dyDescent="0.2">
      <c r="Y2043" s="8" t="str">
        <f>IF(A2043="","",IFERROR(IF(VLOOKUP(A2043,Entry!$D:$D,1,FALSE)=A2043,"",ROW()),ROW()))</f>
        <v/>
      </c>
    </row>
    <row r="2044" spans="25:25" x14ac:dyDescent="0.2">
      <c r="Y2044" s="8" t="str">
        <f>IF(A2044="","",IFERROR(IF(VLOOKUP(A2044,Entry!$D:$D,1,FALSE)=A2044,"",ROW()),ROW()))</f>
        <v/>
      </c>
    </row>
    <row r="2045" spans="25:25" x14ac:dyDescent="0.2">
      <c r="Y2045" s="8" t="str">
        <f>IF(A2045="","",IFERROR(IF(VLOOKUP(A2045,Entry!$D:$D,1,FALSE)=A2045,"",ROW()),ROW()))</f>
        <v/>
      </c>
    </row>
    <row r="2046" spans="25:25" x14ac:dyDescent="0.2">
      <c r="Y2046" s="8" t="str">
        <f>IF(A2046="","",IFERROR(IF(VLOOKUP(A2046,Entry!$D:$D,1,FALSE)=A2046,"",ROW()),ROW()))</f>
        <v/>
      </c>
    </row>
    <row r="2047" spans="25:25" x14ac:dyDescent="0.2">
      <c r="Y2047" s="8" t="str">
        <f>IF(A2047="","",IFERROR(IF(VLOOKUP(A2047,Entry!$D:$D,1,FALSE)=A2047,"",ROW()),ROW()))</f>
        <v/>
      </c>
    </row>
    <row r="2048" spans="25:25" x14ac:dyDescent="0.2">
      <c r="Y2048" s="8" t="str">
        <f>IF(A2048="","",IFERROR(IF(VLOOKUP(A2048,Entry!$D:$D,1,FALSE)=A2048,"",ROW()),ROW()))</f>
        <v/>
      </c>
    </row>
    <row r="2049" spans="25:25" x14ac:dyDescent="0.2">
      <c r="Y2049" s="8" t="str">
        <f>IF(A2049="","",IFERROR(IF(VLOOKUP(A2049,Entry!$D:$D,1,FALSE)=A2049,"",ROW()),ROW()))</f>
        <v/>
      </c>
    </row>
    <row r="2050" spans="25:25" x14ac:dyDescent="0.2">
      <c r="Y2050" s="8" t="str">
        <f>IF(A2050="","",IFERROR(IF(VLOOKUP(A2050,Entry!$D:$D,1,FALSE)=A2050,"",ROW()),ROW()))</f>
        <v/>
      </c>
    </row>
    <row r="2051" spans="25:25" x14ac:dyDescent="0.2">
      <c r="Y2051" s="8" t="str">
        <f>IF(A2051="","",IFERROR(IF(VLOOKUP(A2051,Entry!$D:$D,1,FALSE)=A2051,"",ROW()),ROW()))</f>
        <v/>
      </c>
    </row>
    <row r="2052" spans="25:25" x14ac:dyDescent="0.2">
      <c r="Y2052" s="8" t="str">
        <f>IF(A2052="","",IFERROR(IF(VLOOKUP(A2052,Entry!$D:$D,1,FALSE)=A2052,"",ROW()),ROW()))</f>
        <v/>
      </c>
    </row>
    <row r="2053" spans="25:25" x14ac:dyDescent="0.2">
      <c r="Y2053" s="8" t="str">
        <f>IF(A2053="","",IFERROR(IF(VLOOKUP(A2053,Entry!$D:$D,1,FALSE)=A2053,"",ROW()),ROW()))</f>
        <v/>
      </c>
    </row>
    <row r="2054" spans="25:25" x14ac:dyDescent="0.2">
      <c r="Y2054" s="8" t="str">
        <f>IF(A2054="","",IFERROR(IF(VLOOKUP(A2054,Entry!$D:$D,1,FALSE)=A2054,"",ROW()),ROW()))</f>
        <v/>
      </c>
    </row>
    <row r="2055" spans="25:25" x14ac:dyDescent="0.2">
      <c r="Y2055" s="8" t="str">
        <f>IF(A2055="","",IFERROR(IF(VLOOKUP(A2055,Entry!$D:$D,1,FALSE)=A2055,"",ROW()),ROW()))</f>
        <v/>
      </c>
    </row>
    <row r="2056" spans="25:25" x14ac:dyDescent="0.2">
      <c r="Y2056" s="8" t="str">
        <f>IF(A2056="","",IFERROR(IF(VLOOKUP(A2056,Entry!$D:$D,1,FALSE)=A2056,"",ROW()),ROW()))</f>
        <v/>
      </c>
    </row>
    <row r="2057" spans="25:25" x14ac:dyDescent="0.2">
      <c r="Y2057" s="8" t="str">
        <f>IF(A2057="","",IFERROR(IF(VLOOKUP(A2057,Entry!$D:$D,1,FALSE)=A2057,"",ROW()),ROW()))</f>
        <v/>
      </c>
    </row>
    <row r="2058" spans="25:25" x14ac:dyDescent="0.2">
      <c r="Y2058" s="8" t="str">
        <f>IF(A2058="","",IFERROR(IF(VLOOKUP(A2058,Entry!$D:$D,1,FALSE)=A2058,"",ROW()),ROW()))</f>
        <v/>
      </c>
    </row>
    <row r="2059" spans="25:25" x14ac:dyDescent="0.2">
      <c r="Y2059" s="8" t="str">
        <f>IF(A2059="","",IFERROR(IF(VLOOKUP(A2059,Entry!$D:$D,1,FALSE)=A2059,"",ROW()),ROW()))</f>
        <v/>
      </c>
    </row>
    <row r="2060" spans="25:25" x14ac:dyDescent="0.2">
      <c r="Y2060" s="8" t="str">
        <f>IF(A2060="","",IFERROR(IF(VLOOKUP(A2060,Entry!$D:$D,1,FALSE)=A2060,"",ROW()),ROW()))</f>
        <v/>
      </c>
    </row>
    <row r="2061" spans="25:25" x14ac:dyDescent="0.2">
      <c r="Y2061" s="8" t="str">
        <f>IF(A2061="","",IFERROR(IF(VLOOKUP(A2061,Entry!$D:$D,1,FALSE)=A2061,"",ROW()),ROW()))</f>
        <v/>
      </c>
    </row>
    <row r="2062" spans="25:25" x14ac:dyDescent="0.2">
      <c r="Y2062" s="8" t="str">
        <f>IF(A2062="","",IFERROR(IF(VLOOKUP(A2062,Entry!$D:$D,1,FALSE)=A2062,"",ROW()),ROW()))</f>
        <v/>
      </c>
    </row>
    <row r="2063" spans="25:25" x14ac:dyDescent="0.2">
      <c r="Y2063" s="8" t="str">
        <f>IF(A2063="","",IFERROR(IF(VLOOKUP(A2063,Entry!$D:$D,1,FALSE)=A2063,"",ROW()),ROW()))</f>
        <v/>
      </c>
    </row>
    <row r="2064" spans="25:25" x14ac:dyDescent="0.2">
      <c r="Y2064" s="8" t="str">
        <f>IF(A2064="","",IFERROR(IF(VLOOKUP(A2064,Entry!$D:$D,1,FALSE)=A2064,"",ROW()),ROW()))</f>
        <v/>
      </c>
    </row>
    <row r="2065" spans="25:25" x14ac:dyDescent="0.2">
      <c r="Y2065" s="8" t="str">
        <f>IF(A2065="","",IFERROR(IF(VLOOKUP(A2065,Entry!$D:$D,1,FALSE)=A2065,"",ROW()),ROW()))</f>
        <v/>
      </c>
    </row>
    <row r="2066" spans="25:25" x14ac:dyDescent="0.2">
      <c r="Y2066" s="8" t="str">
        <f>IF(A2066="","",IFERROR(IF(VLOOKUP(A2066,Entry!$D:$D,1,FALSE)=A2066,"",ROW()),ROW()))</f>
        <v/>
      </c>
    </row>
    <row r="2067" spans="25:25" x14ac:dyDescent="0.2">
      <c r="Y2067" s="8" t="str">
        <f>IF(A2067="","",IFERROR(IF(VLOOKUP(A2067,Entry!$D:$D,1,FALSE)=A2067,"",ROW()),ROW()))</f>
        <v/>
      </c>
    </row>
    <row r="2068" spans="25:25" x14ac:dyDescent="0.2">
      <c r="Y2068" s="8" t="str">
        <f>IF(A2068="","",IFERROR(IF(VLOOKUP(A2068,Entry!$D:$D,1,FALSE)=A2068,"",ROW()),ROW()))</f>
        <v/>
      </c>
    </row>
    <row r="2069" spans="25:25" x14ac:dyDescent="0.2">
      <c r="Y2069" s="8" t="str">
        <f>IF(A2069="","",IFERROR(IF(VLOOKUP(A2069,Entry!$D:$D,1,FALSE)=A2069,"",ROW()),ROW()))</f>
        <v/>
      </c>
    </row>
    <row r="2070" spans="25:25" x14ac:dyDescent="0.2">
      <c r="Y2070" s="8" t="str">
        <f>IF(A2070="","",IFERROR(IF(VLOOKUP(A2070,Entry!$D:$D,1,FALSE)=A2070,"",ROW()),ROW()))</f>
        <v/>
      </c>
    </row>
    <row r="2071" spans="25:25" x14ac:dyDescent="0.2">
      <c r="Y2071" s="8" t="str">
        <f>IF(A2071="","",IFERROR(IF(VLOOKUP(A2071,Entry!$D:$D,1,FALSE)=A2071,"",ROW()),ROW()))</f>
        <v/>
      </c>
    </row>
    <row r="2072" spans="25:25" x14ac:dyDescent="0.2">
      <c r="Y2072" s="8" t="str">
        <f>IF(A2072="","",IFERROR(IF(VLOOKUP(A2072,Entry!$D:$D,1,FALSE)=A2072,"",ROW()),ROW()))</f>
        <v/>
      </c>
    </row>
    <row r="2073" spans="25:25" x14ac:dyDescent="0.2">
      <c r="Y2073" s="8" t="str">
        <f>IF(A2073="","",IFERROR(IF(VLOOKUP(A2073,Entry!$D:$D,1,FALSE)=A2073,"",ROW()),ROW()))</f>
        <v/>
      </c>
    </row>
    <row r="2074" spans="25:25" x14ac:dyDescent="0.2">
      <c r="Y2074" s="8" t="str">
        <f>IF(A2074="","",IFERROR(IF(VLOOKUP(A2074,Entry!$D:$D,1,FALSE)=A2074,"",ROW()),ROW()))</f>
        <v/>
      </c>
    </row>
    <row r="2075" spans="25:25" x14ac:dyDescent="0.2">
      <c r="Y2075" s="8" t="str">
        <f>IF(A2075="","",IFERROR(IF(VLOOKUP(A2075,Entry!$D:$D,1,FALSE)=A2075,"",ROW()),ROW()))</f>
        <v/>
      </c>
    </row>
    <row r="2076" spans="25:25" x14ac:dyDescent="0.2">
      <c r="Y2076" s="8" t="str">
        <f>IF(A2076="","",IFERROR(IF(VLOOKUP(A2076,Entry!$D:$D,1,FALSE)=A2076,"",ROW()),ROW()))</f>
        <v/>
      </c>
    </row>
    <row r="2077" spans="25:25" x14ac:dyDescent="0.2">
      <c r="Y2077" s="8" t="str">
        <f>IF(A2077="","",IFERROR(IF(VLOOKUP(A2077,Entry!$D:$D,1,FALSE)=A2077,"",ROW()),ROW()))</f>
        <v/>
      </c>
    </row>
    <row r="2078" spans="25:25" x14ac:dyDescent="0.2">
      <c r="Y2078" s="8" t="str">
        <f>IF(A2078="","",IFERROR(IF(VLOOKUP(A2078,Entry!$D:$D,1,FALSE)=A2078,"",ROW()),ROW()))</f>
        <v/>
      </c>
    </row>
    <row r="2079" spans="25:25" x14ac:dyDescent="0.2">
      <c r="Y2079" s="8" t="str">
        <f>IF(A2079="","",IFERROR(IF(VLOOKUP(A2079,Entry!$D:$D,1,FALSE)=A2079,"",ROW()),ROW()))</f>
        <v/>
      </c>
    </row>
    <row r="2080" spans="25:25" x14ac:dyDescent="0.2">
      <c r="Y2080" s="8" t="str">
        <f>IF(A2080="","",IFERROR(IF(VLOOKUP(A2080,Entry!$D:$D,1,FALSE)=A2080,"",ROW()),ROW()))</f>
        <v/>
      </c>
    </row>
    <row r="2081" spans="25:25" x14ac:dyDescent="0.2">
      <c r="Y2081" s="8" t="str">
        <f>IF(A2081="","",IFERROR(IF(VLOOKUP(A2081,Entry!$D:$D,1,FALSE)=A2081,"",ROW()),ROW()))</f>
        <v/>
      </c>
    </row>
    <row r="2082" spans="25:25" x14ac:dyDescent="0.2">
      <c r="Y2082" s="8" t="str">
        <f>IF(A2082="","",IFERROR(IF(VLOOKUP(A2082,Entry!$D:$D,1,FALSE)=A2082,"",ROW()),ROW()))</f>
        <v/>
      </c>
    </row>
    <row r="2083" spans="25:25" x14ac:dyDescent="0.2">
      <c r="Y2083" s="8" t="str">
        <f>IF(A2083="","",IFERROR(IF(VLOOKUP(A2083,Entry!$D:$D,1,FALSE)=A2083,"",ROW()),ROW()))</f>
        <v/>
      </c>
    </row>
    <row r="2084" spans="25:25" x14ac:dyDescent="0.2">
      <c r="Y2084" s="8" t="str">
        <f>IF(A2084="","",IFERROR(IF(VLOOKUP(A2084,Entry!$D:$D,1,FALSE)=A2084,"",ROW()),ROW()))</f>
        <v/>
      </c>
    </row>
    <row r="2085" spans="25:25" x14ac:dyDescent="0.2">
      <c r="Y2085" s="8" t="str">
        <f>IF(A2085="","",IFERROR(IF(VLOOKUP(A2085,Entry!$D:$D,1,FALSE)=A2085,"",ROW()),ROW()))</f>
        <v/>
      </c>
    </row>
    <row r="2086" spans="25:25" x14ac:dyDescent="0.2">
      <c r="Y2086" s="8" t="str">
        <f>IF(A2086="","",IFERROR(IF(VLOOKUP(A2086,Entry!$D:$D,1,FALSE)=A2086,"",ROW()),ROW()))</f>
        <v/>
      </c>
    </row>
    <row r="2087" spans="25:25" x14ac:dyDescent="0.2">
      <c r="Y2087" s="8" t="str">
        <f>IF(A2087="","",IFERROR(IF(VLOOKUP(A2087,Entry!$D:$D,1,FALSE)=A2087,"",ROW()),ROW()))</f>
        <v/>
      </c>
    </row>
    <row r="2088" spans="25:25" x14ac:dyDescent="0.2">
      <c r="Y2088" s="8" t="str">
        <f>IF(A2088="","",IFERROR(IF(VLOOKUP(A2088,Entry!$D:$D,1,FALSE)=A2088,"",ROW()),ROW()))</f>
        <v/>
      </c>
    </row>
    <row r="2089" spans="25:25" x14ac:dyDescent="0.2">
      <c r="Y2089" s="8" t="str">
        <f>IF(A2089="","",IFERROR(IF(VLOOKUP(A2089,Entry!$D:$D,1,FALSE)=A2089,"",ROW()),ROW()))</f>
        <v/>
      </c>
    </row>
    <row r="2090" spans="25:25" x14ac:dyDescent="0.2">
      <c r="Y2090" s="8" t="str">
        <f>IF(A2090="","",IFERROR(IF(VLOOKUP(A2090,Entry!$D:$D,1,FALSE)=A2090,"",ROW()),ROW()))</f>
        <v/>
      </c>
    </row>
    <row r="2091" spans="25:25" x14ac:dyDescent="0.2">
      <c r="Y2091" s="8" t="str">
        <f>IF(A2091="","",IFERROR(IF(VLOOKUP(A2091,Entry!$D:$D,1,FALSE)=A2091,"",ROW()),ROW()))</f>
        <v/>
      </c>
    </row>
    <row r="2092" spans="25:25" x14ac:dyDescent="0.2">
      <c r="Y2092" s="8" t="str">
        <f>IF(A2092="","",IFERROR(IF(VLOOKUP(A2092,Entry!$D:$D,1,FALSE)=A2092,"",ROW()),ROW()))</f>
        <v/>
      </c>
    </row>
    <row r="2093" spans="25:25" x14ac:dyDescent="0.2">
      <c r="Y2093" s="8" t="str">
        <f>IF(A2093="","",IFERROR(IF(VLOOKUP(A2093,Entry!$D:$D,1,FALSE)=A2093,"",ROW()),ROW()))</f>
        <v/>
      </c>
    </row>
    <row r="2094" spans="25:25" x14ac:dyDescent="0.2">
      <c r="Y2094" s="8" t="str">
        <f>IF(A2094="","",IFERROR(IF(VLOOKUP(A2094,Entry!$D:$D,1,FALSE)=A2094,"",ROW()),ROW()))</f>
        <v/>
      </c>
    </row>
    <row r="2095" spans="25:25" x14ac:dyDescent="0.2">
      <c r="Y2095" s="8" t="str">
        <f>IF(A2095="","",IFERROR(IF(VLOOKUP(A2095,Entry!$D:$D,1,FALSE)=A2095,"",ROW()),ROW()))</f>
        <v/>
      </c>
    </row>
    <row r="2096" spans="25:25" x14ac:dyDescent="0.2">
      <c r="Y2096" s="8" t="str">
        <f>IF(A2096="","",IFERROR(IF(VLOOKUP(A2096,Entry!$D:$D,1,FALSE)=A2096,"",ROW()),ROW()))</f>
        <v/>
      </c>
    </row>
    <row r="2097" spans="25:25" x14ac:dyDescent="0.2">
      <c r="Y2097" s="8" t="str">
        <f>IF(A2097="","",IFERROR(IF(VLOOKUP(A2097,Entry!$D:$D,1,FALSE)=A2097,"",ROW()),ROW()))</f>
        <v/>
      </c>
    </row>
    <row r="2098" spans="25:25" x14ac:dyDescent="0.2">
      <c r="Y2098" s="8" t="str">
        <f>IF(A2098="","",IFERROR(IF(VLOOKUP(A2098,Entry!$D:$D,1,FALSE)=A2098,"",ROW()),ROW()))</f>
        <v/>
      </c>
    </row>
    <row r="2099" spans="25:25" x14ac:dyDescent="0.2">
      <c r="Y2099" s="8" t="str">
        <f>IF(A2099="","",IFERROR(IF(VLOOKUP(A2099,Entry!$D:$D,1,FALSE)=A2099,"",ROW()),ROW()))</f>
        <v/>
      </c>
    </row>
    <row r="2100" spans="25:25" x14ac:dyDescent="0.2">
      <c r="Y2100" s="8" t="str">
        <f>IF(A2100="","",IFERROR(IF(VLOOKUP(A2100,Entry!$D:$D,1,FALSE)=A2100,"",ROW()),ROW()))</f>
        <v/>
      </c>
    </row>
    <row r="2101" spans="25:25" x14ac:dyDescent="0.2">
      <c r="Y2101" s="8" t="str">
        <f>IF(A2101="","",IFERROR(IF(VLOOKUP(A2101,Entry!$D:$D,1,FALSE)=A2101,"",ROW()),ROW()))</f>
        <v/>
      </c>
    </row>
    <row r="2102" spans="25:25" x14ac:dyDescent="0.2">
      <c r="Y2102" s="8" t="str">
        <f>IF(A2102="","",IFERROR(IF(VLOOKUP(A2102,Entry!$D:$D,1,FALSE)=A2102,"",ROW()),ROW()))</f>
        <v/>
      </c>
    </row>
    <row r="2103" spans="25:25" x14ac:dyDescent="0.2">
      <c r="Y2103" s="8" t="str">
        <f>IF(A2103="","",IFERROR(IF(VLOOKUP(A2103,Entry!$D:$D,1,FALSE)=A2103,"",ROW()),ROW()))</f>
        <v/>
      </c>
    </row>
    <row r="2104" spans="25:25" x14ac:dyDescent="0.2">
      <c r="Y2104" s="8" t="str">
        <f>IF(A2104="","",IFERROR(IF(VLOOKUP(A2104,Entry!$D:$D,1,FALSE)=A2104,"",ROW()),ROW()))</f>
        <v/>
      </c>
    </row>
    <row r="2105" spans="25:25" x14ac:dyDescent="0.2">
      <c r="Y2105" s="8" t="str">
        <f>IF(A2105="","",IFERROR(IF(VLOOKUP(A2105,Entry!$D:$D,1,FALSE)=A2105,"",ROW()),ROW()))</f>
        <v/>
      </c>
    </row>
    <row r="2106" spans="25:25" x14ac:dyDescent="0.2">
      <c r="Y2106" s="8" t="str">
        <f>IF(A2106="","",IFERROR(IF(VLOOKUP(A2106,Entry!$D:$D,1,FALSE)=A2106,"",ROW()),ROW()))</f>
        <v/>
      </c>
    </row>
    <row r="2107" spans="25:25" x14ac:dyDescent="0.2">
      <c r="Y2107" s="8" t="str">
        <f>IF(A2107="","",IFERROR(IF(VLOOKUP(A2107,Entry!$D:$D,1,FALSE)=A2107,"",ROW()),ROW()))</f>
        <v/>
      </c>
    </row>
    <row r="2108" spans="25:25" x14ac:dyDescent="0.2">
      <c r="Y2108" s="8" t="str">
        <f>IF(A2108="","",IFERROR(IF(VLOOKUP(A2108,Entry!$D:$D,1,FALSE)=A2108,"",ROW()),ROW()))</f>
        <v/>
      </c>
    </row>
    <row r="2109" spans="25:25" x14ac:dyDescent="0.2">
      <c r="Y2109" s="8" t="str">
        <f>IF(A2109="","",IFERROR(IF(VLOOKUP(A2109,Entry!$D:$D,1,FALSE)=A2109,"",ROW()),ROW()))</f>
        <v/>
      </c>
    </row>
    <row r="2110" spans="25:25" x14ac:dyDescent="0.2">
      <c r="Y2110" s="8" t="str">
        <f>IF(A2110="","",IFERROR(IF(VLOOKUP(A2110,Entry!$D:$D,1,FALSE)=A2110,"",ROW()),ROW()))</f>
        <v/>
      </c>
    </row>
    <row r="2111" spans="25:25" x14ac:dyDescent="0.2">
      <c r="Y2111" s="8" t="str">
        <f>IF(A2111="","",IFERROR(IF(VLOOKUP(A2111,Entry!$D:$D,1,FALSE)=A2111,"",ROW()),ROW()))</f>
        <v/>
      </c>
    </row>
    <row r="2112" spans="25:25" x14ac:dyDescent="0.2">
      <c r="Y2112" s="8" t="str">
        <f>IF(A2112="","",IFERROR(IF(VLOOKUP(A2112,Entry!$D:$D,1,FALSE)=A2112,"",ROW()),ROW()))</f>
        <v/>
      </c>
    </row>
    <row r="2113" spans="25:25" x14ac:dyDescent="0.2">
      <c r="Y2113" s="8" t="str">
        <f>IF(A2113="","",IFERROR(IF(VLOOKUP(A2113,Entry!$D:$D,1,FALSE)=A2113,"",ROW()),ROW()))</f>
        <v/>
      </c>
    </row>
    <row r="2114" spans="25:25" x14ac:dyDescent="0.2">
      <c r="Y2114" s="8" t="str">
        <f>IF(A2114="","",IFERROR(IF(VLOOKUP(A2114,Entry!$D:$D,1,FALSE)=A2114,"",ROW()),ROW()))</f>
        <v/>
      </c>
    </row>
    <row r="2115" spans="25:25" x14ac:dyDescent="0.2">
      <c r="Y2115" s="8" t="str">
        <f>IF(A2115="","",IFERROR(IF(VLOOKUP(A2115,Entry!$D:$D,1,FALSE)=A2115,"",ROW()),ROW()))</f>
        <v/>
      </c>
    </row>
    <row r="2116" spans="25:25" x14ac:dyDescent="0.2">
      <c r="Y2116" s="8" t="str">
        <f>IF(A2116="","",IFERROR(IF(VLOOKUP(A2116,Entry!$D:$D,1,FALSE)=A2116,"",ROW()),ROW()))</f>
        <v/>
      </c>
    </row>
    <row r="2117" spans="25:25" x14ac:dyDescent="0.2">
      <c r="Y2117" s="8" t="str">
        <f>IF(A2117="","",IFERROR(IF(VLOOKUP(A2117,Entry!$D:$D,1,FALSE)=A2117,"",ROW()),ROW()))</f>
        <v/>
      </c>
    </row>
    <row r="2118" spans="25:25" x14ac:dyDescent="0.2">
      <c r="Y2118" s="8" t="str">
        <f>IF(A2118="","",IFERROR(IF(VLOOKUP(A2118,Entry!$D:$D,1,FALSE)=A2118,"",ROW()),ROW()))</f>
        <v/>
      </c>
    </row>
    <row r="2119" spans="25:25" x14ac:dyDescent="0.2">
      <c r="Y2119" s="8" t="str">
        <f>IF(A2119="","",IFERROR(IF(VLOOKUP(A2119,Entry!$D:$D,1,FALSE)=A2119,"",ROW()),ROW()))</f>
        <v/>
      </c>
    </row>
    <row r="2120" spans="25:25" x14ac:dyDescent="0.2">
      <c r="Y2120" s="8" t="str">
        <f>IF(A2120="","",IFERROR(IF(VLOOKUP(A2120,Entry!$D:$D,1,FALSE)=A2120,"",ROW()),ROW()))</f>
        <v/>
      </c>
    </row>
    <row r="2121" spans="25:25" x14ac:dyDescent="0.2">
      <c r="Y2121" s="8" t="str">
        <f>IF(A2121="","",IFERROR(IF(VLOOKUP(A2121,Entry!$D:$D,1,FALSE)=A2121,"",ROW()),ROW()))</f>
        <v/>
      </c>
    </row>
    <row r="2122" spans="25:25" x14ac:dyDescent="0.2">
      <c r="Y2122" s="8" t="str">
        <f>IF(A2122="","",IFERROR(IF(VLOOKUP(A2122,Entry!$D:$D,1,FALSE)=A2122,"",ROW()),ROW()))</f>
        <v/>
      </c>
    </row>
    <row r="2123" spans="25:25" x14ac:dyDescent="0.2">
      <c r="Y2123" s="8" t="str">
        <f>IF(A2123="","",IFERROR(IF(VLOOKUP(A2123,Entry!$D:$D,1,FALSE)=A2123,"",ROW()),ROW()))</f>
        <v/>
      </c>
    </row>
    <row r="2124" spans="25:25" x14ac:dyDescent="0.2">
      <c r="Y2124" s="8" t="str">
        <f>IF(A2124="","",IFERROR(IF(VLOOKUP(A2124,Entry!$D:$D,1,FALSE)=A2124,"",ROW()),ROW()))</f>
        <v/>
      </c>
    </row>
    <row r="2125" spans="25:25" x14ac:dyDescent="0.2">
      <c r="Y2125" s="8" t="str">
        <f>IF(A2125="","",IFERROR(IF(VLOOKUP(A2125,Entry!$D:$D,1,FALSE)=A2125,"",ROW()),ROW()))</f>
        <v/>
      </c>
    </row>
    <row r="2126" spans="25:25" x14ac:dyDescent="0.2">
      <c r="Y2126" s="8" t="str">
        <f>IF(A2126="","",IFERROR(IF(VLOOKUP(A2126,Entry!$D:$D,1,FALSE)=A2126,"",ROW()),ROW()))</f>
        <v/>
      </c>
    </row>
    <row r="2127" spans="25:25" x14ac:dyDescent="0.2">
      <c r="Y2127" s="8" t="str">
        <f>IF(A2127="","",IFERROR(IF(VLOOKUP(A2127,Entry!$D:$D,1,FALSE)=A2127,"",ROW()),ROW()))</f>
        <v/>
      </c>
    </row>
    <row r="2128" spans="25:25" x14ac:dyDescent="0.2">
      <c r="Y2128" s="8" t="str">
        <f>IF(A2128="","",IFERROR(IF(VLOOKUP(A2128,Entry!$D:$D,1,FALSE)=A2128,"",ROW()),ROW()))</f>
        <v/>
      </c>
    </row>
    <row r="2129" spans="25:25" x14ac:dyDescent="0.2">
      <c r="Y2129" s="8" t="str">
        <f>IF(A2129="","",IFERROR(IF(VLOOKUP(A2129,Entry!$D:$D,1,FALSE)=A2129,"",ROW()),ROW()))</f>
        <v/>
      </c>
    </row>
    <row r="2130" spans="25:25" x14ac:dyDescent="0.2">
      <c r="Y2130" s="8" t="str">
        <f>IF(A2130="","",IFERROR(IF(VLOOKUP(A2130,Entry!$D:$D,1,FALSE)=A2130,"",ROW()),ROW()))</f>
        <v/>
      </c>
    </row>
    <row r="2131" spans="25:25" x14ac:dyDescent="0.2">
      <c r="Y2131" s="8" t="str">
        <f>IF(A2131="","",IFERROR(IF(VLOOKUP(A2131,Entry!$D:$D,1,FALSE)=A2131,"",ROW()),ROW()))</f>
        <v/>
      </c>
    </row>
    <row r="2132" spans="25:25" x14ac:dyDescent="0.2">
      <c r="Y2132" s="8" t="str">
        <f>IF(A2132="","",IFERROR(IF(VLOOKUP(A2132,Entry!$D:$D,1,FALSE)=A2132,"",ROW()),ROW()))</f>
        <v/>
      </c>
    </row>
    <row r="2133" spans="25:25" x14ac:dyDescent="0.2">
      <c r="Y2133" s="8" t="str">
        <f>IF(A2133="","",IFERROR(IF(VLOOKUP(A2133,Entry!$D:$D,1,FALSE)=A2133,"",ROW()),ROW()))</f>
        <v/>
      </c>
    </row>
    <row r="2134" spans="25:25" x14ac:dyDescent="0.2">
      <c r="Y2134" s="8" t="str">
        <f>IF(A2134="","",IFERROR(IF(VLOOKUP(A2134,Entry!$D:$D,1,FALSE)=A2134,"",ROW()),ROW()))</f>
        <v/>
      </c>
    </row>
    <row r="2135" spans="25:25" x14ac:dyDescent="0.2">
      <c r="Y2135" s="8" t="str">
        <f>IF(A2135="","",IFERROR(IF(VLOOKUP(A2135,Entry!$D:$D,1,FALSE)=A2135,"",ROW()),ROW()))</f>
        <v/>
      </c>
    </row>
    <row r="2136" spans="25:25" x14ac:dyDescent="0.2">
      <c r="Y2136" s="8" t="str">
        <f>IF(A2136="","",IFERROR(IF(VLOOKUP(A2136,Entry!$D:$D,1,FALSE)=A2136,"",ROW()),ROW()))</f>
        <v/>
      </c>
    </row>
    <row r="2137" spans="25:25" x14ac:dyDescent="0.2">
      <c r="Y2137" s="8" t="str">
        <f>IF(A2137="","",IFERROR(IF(VLOOKUP(A2137,Entry!$D:$D,1,FALSE)=A2137,"",ROW()),ROW()))</f>
        <v/>
      </c>
    </row>
    <row r="2138" spans="25:25" x14ac:dyDescent="0.2">
      <c r="Y2138" s="8" t="str">
        <f>IF(A2138="","",IFERROR(IF(VLOOKUP(A2138,Entry!$D:$D,1,FALSE)=A2138,"",ROW()),ROW()))</f>
        <v/>
      </c>
    </row>
    <row r="2139" spans="25:25" x14ac:dyDescent="0.2">
      <c r="Y2139" s="8" t="str">
        <f>IF(A2139="","",IFERROR(IF(VLOOKUP(A2139,Entry!$D:$D,1,FALSE)=A2139,"",ROW()),ROW()))</f>
        <v/>
      </c>
    </row>
    <row r="2140" spans="25:25" x14ac:dyDescent="0.2">
      <c r="Y2140" s="8" t="str">
        <f>IF(A2140="","",IFERROR(IF(VLOOKUP(A2140,Entry!$D:$D,1,FALSE)=A2140,"",ROW()),ROW()))</f>
        <v/>
      </c>
    </row>
    <row r="2141" spans="25:25" x14ac:dyDescent="0.2">
      <c r="Y2141" s="8" t="str">
        <f>IF(A2141="","",IFERROR(IF(VLOOKUP(A2141,Entry!$D:$D,1,FALSE)=A2141,"",ROW()),ROW()))</f>
        <v/>
      </c>
    </row>
    <row r="2142" spans="25:25" x14ac:dyDescent="0.2">
      <c r="Y2142" s="8" t="str">
        <f>IF(A2142="","",IFERROR(IF(VLOOKUP(A2142,Entry!$D:$D,1,FALSE)=A2142,"",ROW()),ROW()))</f>
        <v/>
      </c>
    </row>
    <row r="2143" spans="25:25" x14ac:dyDescent="0.2">
      <c r="Y2143" s="8" t="str">
        <f>IF(A2143="","",IFERROR(IF(VLOOKUP(A2143,Entry!$D:$D,1,FALSE)=A2143,"",ROW()),ROW()))</f>
        <v/>
      </c>
    </row>
    <row r="2144" spans="25:25" x14ac:dyDescent="0.2">
      <c r="Y2144" s="8" t="str">
        <f>IF(A2144="","",IFERROR(IF(VLOOKUP(A2144,Entry!$D:$D,1,FALSE)=A2144,"",ROW()),ROW()))</f>
        <v/>
      </c>
    </row>
    <row r="2145" spans="25:25" x14ac:dyDescent="0.2">
      <c r="Y2145" s="8" t="str">
        <f>IF(A2145="","",IFERROR(IF(VLOOKUP(A2145,Entry!$D:$D,1,FALSE)=A2145,"",ROW()),ROW()))</f>
        <v/>
      </c>
    </row>
    <row r="2146" spans="25:25" x14ac:dyDescent="0.2">
      <c r="Y2146" s="8" t="str">
        <f>IF(A2146="","",IFERROR(IF(VLOOKUP(A2146,Entry!$D:$D,1,FALSE)=A2146,"",ROW()),ROW()))</f>
        <v/>
      </c>
    </row>
    <row r="2147" spans="25:25" x14ac:dyDescent="0.2">
      <c r="Y2147" s="8" t="str">
        <f>IF(A2147="","",IFERROR(IF(VLOOKUP(A2147,Entry!$D:$D,1,FALSE)=A2147,"",ROW()),ROW()))</f>
        <v/>
      </c>
    </row>
    <row r="2148" spans="25:25" x14ac:dyDescent="0.2">
      <c r="Y2148" s="8" t="str">
        <f>IF(A2148="","",IFERROR(IF(VLOOKUP(A2148,Entry!$D:$D,1,FALSE)=A2148,"",ROW()),ROW()))</f>
        <v/>
      </c>
    </row>
    <row r="2149" spans="25:25" x14ac:dyDescent="0.2">
      <c r="Y2149" s="8" t="str">
        <f>IF(A2149="","",IFERROR(IF(VLOOKUP(A2149,Entry!$D:$D,1,FALSE)=A2149,"",ROW()),ROW()))</f>
        <v/>
      </c>
    </row>
    <row r="2150" spans="25:25" x14ac:dyDescent="0.2">
      <c r="Y2150" s="8" t="str">
        <f>IF(A2150="","",IFERROR(IF(VLOOKUP(A2150,Entry!$D:$D,1,FALSE)=A2150,"",ROW()),ROW()))</f>
        <v/>
      </c>
    </row>
    <row r="2151" spans="25:25" x14ac:dyDescent="0.2">
      <c r="Y2151" s="8" t="str">
        <f>IF(A2151="","",IFERROR(IF(VLOOKUP(A2151,Entry!$D:$D,1,FALSE)=A2151,"",ROW()),ROW()))</f>
        <v/>
      </c>
    </row>
    <row r="2152" spans="25:25" x14ac:dyDescent="0.2">
      <c r="Y2152" s="8" t="str">
        <f>IF(A2152="","",IFERROR(IF(VLOOKUP(A2152,Entry!$D:$D,1,FALSE)=A2152,"",ROW()),ROW()))</f>
        <v/>
      </c>
    </row>
    <row r="2153" spans="25:25" x14ac:dyDescent="0.2">
      <c r="Y2153" s="8" t="str">
        <f>IF(A2153="","",IFERROR(IF(VLOOKUP(A2153,Entry!$D:$D,1,FALSE)=A2153,"",ROW()),ROW()))</f>
        <v/>
      </c>
    </row>
    <row r="2154" spans="25:25" x14ac:dyDescent="0.2">
      <c r="Y2154" s="8" t="str">
        <f>IF(A2154="","",IFERROR(IF(VLOOKUP(A2154,Entry!$D:$D,1,FALSE)=A2154,"",ROW()),ROW()))</f>
        <v/>
      </c>
    </row>
    <row r="2155" spans="25:25" x14ac:dyDescent="0.2">
      <c r="Y2155" s="8" t="str">
        <f>IF(A2155="","",IFERROR(IF(VLOOKUP(A2155,Entry!$D:$D,1,FALSE)=A2155,"",ROW()),ROW()))</f>
        <v/>
      </c>
    </row>
    <row r="2156" spans="25:25" x14ac:dyDescent="0.2">
      <c r="Y2156" s="8" t="str">
        <f>IF(A2156="","",IFERROR(IF(VLOOKUP(A2156,Entry!$D:$D,1,FALSE)=A2156,"",ROW()),ROW()))</f>
        <v/>
      </c>
    </row>
    <row r="2157" spans="25:25" x14ac:dyDescent="0.2">
      <c r="Y2157" s="8" t="str">
        <f>IF(A2157="","",IFERROR(IF(VLOOKUP(A2157,Entry!$D:$D,1,FALSE)=A2157,"",ROW()),ROW()))</f>
        <v/>
      </c>
    </row>
    <row r="2158" spans="25:25" x14ac:dyDescent="0.2">
      <c r="Y2158" s="8" t="str">
        <f>IF(A2158="","",IFERROR(IF(VLOOKUP(A2158,Entry!$D:$D,1,FALSE)=A2158,"",ROW()),ROW()))</f>
        <v/>
      </c>
    </row>
    <row r="2159" spans="25:25" x14ac:dyDescent="0.2">
      <c r="Y2159" s="8" t="str">
        <f>IF(A2159="","",IFERROR(IF(VLOOKUP(A2159,Entry!$D:$D,1,FALSE)=A2159,"",ROW()),ROW()))</f>
        <v/>
      </c>
    </row>
    <row r="2160" spans="25:25" x14ac:dyDescent="0.2">
      <c r="Y2160" s="8" t="str">
        <f>IF(A2160="","",IFERROR(IF(VLOOKUP(A2160,Entry!$D:$D,1,FALSE)=A2160,"",ROW()),ROW()))</f>
        <v/>
      </c>
    </row>
    <row r="2161" spans="25:25" x14ac:dyDescent="0.2">
      <c r="Y2161" s="8" t="str">
        <f>IF(A2161="","",IFERROR(IF(VLOOKUP(A2161,Entry!$D:$D,1,FALSE)=A2161,"",ROW()),ROW()))</f>
        <v/>
      </c>
    </row>
    <row r="2162" spans="25:25" x14ac:dyDescent="0.2">
      <c r="Y2162" s="8" t="str">
        <f>IF(A2162="","",IFERROR(IF(VLOOKUP(A2162,Entry!$D:$D,1,FALSE)=A2162,"",ROW()),ROW()))</f>
        <v/>
      </c>
    </row>
    <row r="2163" spans="25:25" x14ac:dyDescent="0.2">
      <c r="Y2163" s="8" t="str">
        <f>IF(A2163="","",IFERROR(IF(VLOOKUP(A2163,Entry!$D:$D,1,FALSE)=A2163,"",ROW()),ROW()))</f>
        <v/>
      </c>
    </row>
    <row r="2164" spans="25:25" x14ac:dyDescent="0.2">
      <c r="Y2164" s="8" t="str">
        <f>IF(A2164="","",IFERROR(IF(VLOOKUP(A2164,Entry!$D:$D,1,FALSE)=A2164,"",ROW()),ROW()))</f>
        <v/>
      </c>
    </row>
    <row r="2165" spans="25:25" x14ac:dyDescent="0.2">
      <c r="Y2165" s="8" t="str">
        <f>IF(A2165="","",IFERROR(IF(VLOOKUP(A2165,Entry!$D:$D,1,FALSE)=A2165,"",ROW()),ROW()))</f>
        <v/>
      </c>
    </row>
    <row r="2166" spans="25:25" x14ac:dyDescent="0.2">
      <c r="Y2166" s="8" t="str">
        <f>IF(A2166="","",IFERROR(IF(VLOOKUP(A2166,Entry!$D:$D,1,FALSE)=A2166,"",ROW()),ROW()))</f>
        <v/>
      </c>
    </row>
    <row r="2167" spans="25:25" x14ac:dyDescent="0.2">
      <c r="Y2167" s="8" t="str">
        <f>IF(A2167="","",IFERROR(IF(VLOOKUP(A2167,Entry!$D:$D,1,FALSE)=A2167,"",ROW()),ROW()))</f>
        <v/>
      </c>
    </row>
    <row r="2168" spans="25:25" x14ac:dyDescent="0.2">
      <c r="Y2168" s="8" t="str">
        <f>IF(A2168="","",IFERROR(IF(VLOOKUP(A2168,Entry!$D:$D,1,FALSE)=A2168,"",ROW()),ROW()))</f>
        <v/>
      </c>
    </row>
    <row r="2169" spans="25:25" x14ac:dyDescent="0.2">
      <c r="Y2169" s="8" t="str">
        <f>IF(A2169="","",IFERROR(IF(VLOOKUP(A2169,Entry!$D:$D,1,FALSE)=A2169,"",ROW()),ROW()))</f>
        <v/>
      </c>
    </row>
    <row r="2170" spans="25:25" x14ac:dyDescent="0.2">
      <c r="Y2170" s="8" t="str">
        <f>IF(A2170="","",IFERROR(IF(VLOOKUP(A2170,Entry!$D:$D,1,FALSE)=A2170,"",ROW()),ROW()))</f>
        <v/>
      </c>
    </row>
    <row r="2171" spans="25:25" x14ac:dyDescent="0.2">
      <c r="Y2171" s="8" t="str">
        <f>IF(A2171="","",IFERROR(IF(VLOOKUP(A2171,Entry!$D:$D,1,FALSE)=A2171,"",ROW()),ROW()))</f>
        <v/>
      </c>
    </row>
    <row r="2172" spans="25:25" x14ac:dyDescent="0.2">
      <c r="Y2172" s="8" t="str">
        <f>IF(A2172="","",IFERROR(IF(VLOOKUP(A2172,Entry!$D:$D,1,FALSE)=A2172,"",ROW()),ROW()))</f>
        <v/>
      </c>
    </row>
    <row r="2173" spans="25:25" x14ac:dyDescent="0.2">
      <c r="Y2173" s="8" t="str">
        <f>IF(A2173="","",IFERROR(IF(VLOOKUP(A2173,Entry!$D:$D,1,FALSE)=A2173,"",ROW()),ROW()))</f>
        <v/>
      </c>
    </row>
    <row r="2174" spans="25:25" x14ac:dyDescent="0.2">
      <c r="Y2174" s="8" t="str">
        <f>IF(A2174="","",IFERROR(IF(VLOOKUP(A2174,Entry!$D:$D,1,FALSE)=A2174,"",ROW()),ROW()))</f>
        <v/>
      </c>
    </row>
    <row r="2175" spans="25:25" x14ac:dyDescent="0.2">
      <c r="Y2175" s="8" t="str">
        <f>IF(A2175="","",IFERROR(IF(VLOOKUP(A2175,Entry!$D:$D,1,FALSE)=A2175,"",ROW()),ROW()))</f>
        <v/>
      </c>
    </row>
    <row r="2176" spans="25:25" x14ac:dyDescent="0.2">
      <c r="Y2176" s="8" t="str">
        <f>IF(A2176="","",IFERROR(IF(VLOOKUP(A2176,Entry!$D:$D,1,FALSE)=A2176,"",ROW()),ROW()))</f>
        <v/>
      </c>
    </row>
    <row r="2177" spans="25:25" x14ac:dyDescent="0.2">
      <c r="Y2177" s="8" t="str">
        <f>IF(A2177="","",IFERROR(IF(VLOOKUP(A2177,Entry!$D:$D,1,FALSE)=A2177,"",ROW()),ROW()))</f>
        <v/>
      </c>
    </row>
    <row r="2178" spans="25:25" x14ac:dyDescent="0.2">
      <c r="Y2178" s="8" t="str">
        <f>IF(A2178="","",IFERROR(IF(VLOOKUP(A2178,Entry!$D:$D,1,FALSE)=A2178,"",ROW()),ROW()))</f>
        <v/>
      </c>
    </row>
    <row r="2179" spans="25:25" x14ac:dyDescent="0.2">
      <c r="Y2179" s="8" t="str">
        <f>IF(A2179="","",IFERROR(IF(VLOOKUP(A2179,Entry!$D:$D,1,FALSE)=A2179,"",ROW()),ROW()))</f>
        <v/>
      </c>
    </row>
    <row r="2180" spans="25:25" x14ac:dyDescent="0.2">
      <c r="Y2180" s="8" t="str">
        <f>IF(A2180="","",IFERROR(IF(VLOOKUP(A2180,Entry!$D:$D,1,FALSE)=A2180,"",ROW()),ROW()))</f>
        <v/>
      </c>
    </row>
    <row r="2181" spans="25:25" x14ac:dyDescent="0.2">
      <c r="Y2181" s="8" t="str">
        <f>IF(A2181="","",IFERROR(IF(VLOOKUP(A2181,Entry!$D:$D,1,FALSE)=A2181,"",ROW()),ROW()))</f>
        <v/>
      </c>
    </row>
    <row r="2182" spans="25:25" x14ac:dyDescent="0.2">
      <c r="Y2182" s="8" t="str">
        <f>IF(A2182="","",IFERROR(IF(VLOOKUP(A2182,Entry!$D:$D,1,FALSE)=A2182,"",ROW()),ROW()))</f>
        <v/>
      </c>
    </row>
    <row r="2183" spans="25:25" x14ac:dyDescent="0.2">
      <c r="Y2183" s="8" t="str">
        <f>IF(A2183="","",IFERROR(IF(VLOOKUP(A2183,Entry!$D:$D,1,FALSE)=A2183,"",ROW()),ROW()))</f>
        <v/>
      </c>
    </row>
    <row r="2184" spans="25:25" x14ac:dyDescent="0.2">
      <c r="Y2184" s="8" t="str">
        <f>IF(A2184="","",IFERROR(IF(VLOOKUP(A2184,Entry!$D:$D,1,FALSE)=A2184,"",ROW()),ROW()))</f>
        <v/>
      </c>
    </row>
    <row r="2185" spans="25:25" x14ac:dyDescent="0.2">
      <c r="Y2185" s="8" t="str">
        <f>IF(A2185="","",IFERROR(IF(VLOOKUP(A2185,Entry!$D:$D,1,FALSE)=A2185,"",ROW()),ROW()))</f>
        <v/>
      </c>
    </row>
    <row r="2186" spans="25:25" x14ac:dyDescent="0.2">
      <c r="Y2186" s="8" t="str">
        <f>IF(A2186="","",IFERROR(IF(VLOOKUP(A2186,Entry!$D:$D,1,FALSE)=A2186,"",ROW()),ROW()))</f>
        <v/>
      </c>
    </row>
    <row r="2187" spans="25:25" x14ac:dyDescent="0.2">
      <c r="Y2187" s="8" t="str">
        <f>IF(A2187="","",IFERROR(IF(VLOOKUP(A2187,Entry!$D:$D,1,FALSE)=A2187,"",ROW()),ROW()))</f>
        <v/>
      </c>
    </row>
    <row r="2188" spans="25:25" x14ac:dyDescent="0.2">
      <c r="Y2188" s="8" t="str">
        <f>IF(A2188="","",IFERROR(IF(VLOOKUP(A2188,Entry!$D:$D,1,FALSE)=A2188,"",ROW()),ROW()))</f>
        <v/>
      </c>
    </row>
    <row r="2189" spans="25:25" x14ac:dyDescent="0.2">
      <c r="Y2189" s="8" t="str">
        <f>IF(A2189="","",IFERROR(IF(VLOOKUP(A2189,Entry!$D:$D,1,FALSE)=A2189,"",ROW()),ROW()))</f>
        <v/>
      </c>
    </row>
    <row r="2190" spans="25:25" x14ac:dyDescent="0.2">
      <c r="Y2190" s="8" t="str">
        <f>IF(A2190="","",IFERROR(IF(VLOOKUP(A2190,Entry!$D:$D,1,FALSE)=A2190,"",ROW()),ROW()))</f>
        <v/>
      </c>
    </row>
    <row r="2191" spans="25:25" x14ac:dyDescent="0.2">
      <c r="Y2191" s="8" t="str">
        <f>IF(A2191="","",IFERROR(IF(VLOOKUP(A2191,Entry!$D:$D,1,FALSE)=A2191,"",ROW()),ROW()))</f>
        <v/>
      </c>
    </row>
    <row r="2192" spans="25:25" x14ac:dyDescent="0.2">
      <c r="Y2192" s="8" t="str">
        <f>IF(A2192="","",IFERROR(IF(VLOOKUP(A2192,Entry!$D:$D,1,FALSE)=A2192,"",ROW()),ROW()))</f>
        <v/>
      </c>
    </row>
    <row r="2193" spans="25:25" x14ac:dyDescent="0.2">
      <c r="Y2193" s="8" t="str">
        <f>IF(A2193="","",IFERROR(IF(VLOOKUP(A2193,Entry!$D:$D,1,FALSE)=A2193,"",ROW()),ROW()))</f>
        <v/>
      </c>
    </row>
    <row r="2194" spans="25:25" x14ac:dyDescent="0.2">
      <c r="Y2194" s="8" t="str">
        <f>IF(A2194="","",IFERROR(IF(VLOOKUP(A2194,Entry!$D:$D,1,FALSE)=A2194,"",ROW()),ROW()))</f>
        <v/>
      </c>
    </row>
    <row r="2195" spans="25:25" x14ac:dyDescent="0.2">
      <c r="Y2195" s="8" t="str">
        <f>IF(A2195="","",IFERROR(IF(VLOOKUP(A2195,Entry!$D:$D,1,FALSE)=A2195,"",ROW()),ROW()))</f>
        <v/>
      </c>
    </row>
    <row r="2196" spans="25:25" x14ac:dyDescent="0.2">
      <c r="Y2196" s="8" t="str">
        <f>IF(A2196="","",IFERROR(IF(VLOOKUP(A2196,Entry!$D:$D,1,FALSE)=A2196,"",ROW()),ROW()))</f>
        <v/>
      </c>
    </row>
    <row r="2197" spans="25:25" x14ac:dyDescent="0.2">
      <c r="Y2197" s="8" t="str">
        <f>IF(A2197="","",IFERROR(IF(VLOOKUP(A2197,Entry!$D:$D,1,FALSE)=A2197,"",ROW()),ROW()))</f>
        <v/>
      </c>
    </row>
    <row r="2198" spans="25:25" x14ac:dyDescent="0.2">
      <c r="Y2198" s="8" t="str">
        <f>IF(A2198="","",IFERROR(IF(VLOOKUP(A2198,Entry!$D:$D,1,FALSE)=A2198,"",ROW()),ROW()))</f>
        <v/>
      </c>
    </row>
    <row r="2199" spans="25:25" x14ac:dyDescent="0.2">
      <c r="Y2199" s="8" t="str">
        <f>IF(A2199="","",IFERROR(IF(VLOOKUP(A2199,Entry!$D:$D,1,FALSE)=A2199,"",ROW()),ROW()))</f>
        <v/>
      </c>
    </row>
    <row r="2200" spans="25:25" x14ac:dyDescent="0.2">
      <c r="Y2200" s="8" t="str">
        <f>IF(A2200="","",IFERROR(IF(VLOOKUP(A2200,Entry!$D:$D,1,FALSE)=A2200,"",ROW()),ROW()))</f>
        <v/>
      </c>
    </row>
    <row r="2201" spans="25:25" x14ac:dyDescent="0.2">
      <c r="Y2201" s="8" t="str">
        <f>IF(A2201="","",IFERROR(IF(VLOOKUP(A2201,Entry!$D:$D,1,FALSE)=A2201,"",ROW()),ROW()))</f>
        <v/>
      </c>
    </row>
    <row r="2202" spans="25:25" x14ac:dyDescent="0.2">
      <c r="Y2202" s="8" t="str">
        <f>IF(A2202="","",IFERROR(IF(VLOOKUP(A2202,Entry!$D:$D,1,FALSE)=A2202,"",ROW()),ROW()))</f>
        <v/>
      </c>
    </row>
    <row r="2203" spans="25:25" x14ac:dyDescent="0.2">
      <c r="Y2203" s="8" t="str">
        <f>IF(A2203="","",IFERROR(IF(VLOOKUP(A2203,Entry!$D:$D,1,FALSE)=A2203,"",ROW()),ROW()))</f>
        <v/>
      </c>
    </row>
    <row r="2204" spans="25:25" x14ac:dyDescent="0.2">
      <c r="Y2204" s="8" t="str">
        <f>IF(A2204="","",IFERROR(IF(VLOOKUP(A2204,Entry!$D:$D,1,FALSE)=A2204,"",ROW()),ROW()))</f>
        <v/>
      </c>
    </row>
    <row r="2205" spans="25:25" x14ac:dyDescent="0.2">
      <c r="Y2205" s="8" t="str">
        <f>IF(A2205="","",IFERROR(IF(VLOOKUP(A2205,Entry!$D:$D,1,FALSE)=A2205,"",ROW()),ROW()))</f>
        <v/>
      </c>
    </row>
    <row r="2206" spans="25:25" x14ac:dyDescent="0.2">
      <c r="Y2206" s="8" t="str">
        <f>IF(A2206="","",IFERROR(IF(VLOOKUP(A2206,Entry!$D:$D,1,FALSE)=A2206,"",ROW()),ROW()))</f>
        <v/>
      </c>
    </row>
    <row r="2207" spans="25:25" x14ac:dyDescent="0.2">
      <c r="Y2207" s="8" t="str">
        <f>IF(A2207="","",IFERROR(IF(VLOOKUP(A2207,Entry!$D:$D,1,FALSE)=A2207,"",ROW()),ROW()))</f>
        <v/>
      </c>
    </row>
    <row r="2208" spans="25:25" x14ac:dyDescent="0.2">
      <c r="Y2208" s="8" t="str">
        <f>IF(A2208="","",IFERROR(IF(VLOOKUP(A2208,Entry!$D:$D,1,FALSE)=A2208,"",ROW()),ROW()))</f>
        <v/>
      </c>
    </row>
    <row r="2209" spans="25:25" x14ac:dyDescent="0.2">
      <c r="Y2209" s="8" t="str">
        <f>IF(A2209="","",IFERROR(IF(VLOOKUP(A2209,Entry!$D:$D,1,FALSE)=A2209,"",ROW()),ROW()))</f>
        <v/>
      </c>
    </row>
    <row r="2210" spans="25:25" x14ac:dyDescent="0.2">
      <c r="Y2210" s="8" t="str">
        <f>IF(A2210="","",IFERROR(IF(VLOOKUP(A2210,Entry!$D:$D,1,FALSE)=A2210,"",ROW()),ROW()))</f>
        <v/>
      </c>
    </row>
    <row r="2211" spans="25:25" x14ac:dyDescent="0.2">
      <c r="Y2211" s="8" t="str">
        <f>IF(A2211="","",IFERROR(IF(VLOOKUP(A2211,Entry!$D:$D,1,FALSE)=A2211,"",ROW()),ROW()))</f>
        <v/>
      </c>
    </row>
    <row r="2212" spans="25:25" x14ac:dyDescent="0.2">
      <c r="Y2212" s="8" t="str">
        <f>IF(A2212="","",IFERROR(IF(VLOOKUP(A2212,Entry!$D:$D,1,FALSE)=A2212,"",ROW()),ROW()))</f>
        <v/>
      </c>
    </row>
    <row r="2213" spans="25:25" x14ac:dyDescent="0.2">
      <c r="Y2213" s="8" t="str">
        <f>IF(A2213="","",IFERROR(IF(VLOOKUP(A2213,Entry!$D:$D,1,FALSE)=A2213,"",ROW()),ROW()))</f>
        <v/>
      </c>
    </row>
    <row r="2214" spans="25:25" x14ac:dyDescent="0.2">
      <c r="Y2214" s="8" t="str">
        <f>IF(A2214="","",IFERROR(IF(VLOOKUP(A2214,Entry!$D:$D,1,FALSE)=A2214,"",ROW()),ROW()))</f>
        <v/>
      </c>
    </row>
    <row r="2215" spans="25:25" x14ac:dyDescent="0.2">
      <c r="Y2215" s="8" t="str">
        <f>IF(A2215="","",IFERROR(IF(VLOOKUP(A2215,Entry!$D:$D,1,FALSE)=A2215,"",ROW()),ROW()))</f>
        <v/>
      </c>
    </row>
    <row r="2216" spans="25:25" x14ac:dyDescent="0.2">
      <c r="Y2216" s="8" t="str">
        <f>IF(A2216="","",IFERROR(IF(VLOOKUP(A2216,Entry!$D:$D,1,FALSE)=A2216,"",ROW()),ROW()))</f>
        <v/>
      </c>
    </row>
    <row r="2217" spans="25:25" x14ac:dyDescent="0.2">
      <c r="Y2217" s="8" t="str">
        <f>IF(A2217="","",IFERROR(IF(VLOOKUP(A2217,Entry!$D:$D,1,FALSE)=A2217,"",ROW()),ROW()))</f>
        <v/>
      </c>
    </row>
    <row r="2218" spans="25:25" x14ac:dyDescent="0.2">
      <c r="Y2218" s="8" t="str">
        <f>IF(A2218="","",IFERROR(IF(VLOOKUP(A2218,Entry!$D:$D,1,FALSE)=A2218,"",ROW()),ROW()))</f>
        <v/>
      </c>
    </row>
    <row r="2219" spans="25:25" x14ac:dyDescent="0.2">
      <c r="Y2219" s="8" t="str">
        <f>IF(A2219="","",IFERROR(IF(VLOOKUP(A2219,Entry!$D:$D,1,FALSE)=A2219,"",ROW()),ROW()))</f>
        <v/>
      </c>
    </row>
    <row r="2220" spans="25:25" x14ac:dyDescent="0.2">
      <c r="Y2220" s="8" t="str">
        <f>IF(A2220="","",IFERROR(IF(VLOOKUP(A2220,Entry!$D:$D,1,FALSE)=A2220,"",ROW()),ROW()))</f>
        <v/>
      </c>
    </row>
    <row r="2221" spans="25:25" x14ac:dyDescent="0.2">
      <c r="Y2221" s="8" t="str">
        <f>IF(A2221="","",IFERROR(IF(VLOOKUP(A2221,Entry!$D:$D,1,FALSE)=A2221,"",ROW()),ROW()))</f>
        <v/>
      </c>
    </row>
    <row r="2222" spans="25:25" x14ac:dyDescent="0.2">
      <c r="Y2222" s="8" t="str">
        <f>IF(A2222="","",IFERROR(IF(VLOOKUP(A2222,Entry!$D:$D,1,FALSE)=A2222,"",ROW()),ROW()))</f>
        <v/>
      </c>
    </row>
    <row r="2223" spans="25:25" x14ac:dyDescent="0.2">
      <c r="Y2223" s="8" t="str">
        <f>IF(A2223="","",IFERROR(IF(VLOOKUP(A2223,Entry!$D:$D,1,FALSE)=A2223,"",ROW()),ROW()))</f>
        <v/>
      </c>
    </row>
    <row r="2224" spans="25:25" x14ac:dyDescent="0.2">
      <c r="Y2224" s="8" t="str">
        <f>IF(A2224="","",IFERROR(IF(VLOOKUP(A2224,Entry!$D:$D,1,FALSE)=A2224,"",ROW()),ROW()))</f>
        <v/>
      </c>
    </row>
    <row r="2225" spans="25:25" x14ac:dyDescent="0.2">
      <c r="Y2225" s="8" t="str">
        <f>IF(A2225="","",IFERROR(IF(VLOOKUP(A2225,Entry!$D:$D,1,FALSE)=A2225,"",ROW()),ROW()))</f>
        <v/>
      </c>
    </row>
    <row r="2226" spans="25:25" x14ac:dyDescent="0.2">
      <c r="Y2226" s="8" t="str">
        <f>IF(A2226="","",IFERROR(IF(VLOOKUP(A2226,Entry!$D:$D,1,FALSE)=A2226,"",ROW()),ROW()))</f>
        <v/>
      </c>
    </row>
    <row r="2227" spans="25:25" x14ac:dyDescent="0.2">
      <c r="Y2227" s="8" t="str">
        <f>IF(A2227="","",IFERROR(IF(VLOOKUP(A2227,Entry!$D:$D,1,FALSE)=A2227,"",ROW()),ROW()))</f>
        <v/>
      </c>
    </row>
    <row r="2228" spans="25:25" x14ac:dyDescent="0.2">
      <c r="Y2228" s="8" t="str">
        <f>IF(A2228="","",IFERROR(IF(VLOOKUP(A2228,Entry!$D:$D,1,FALSE)=A2228,"",ROW()),ROW()))</f>
        <v/>
      </c>
    </row>
    <row r="2229" spans="25:25" x14ac:dyDescent="0.2">
      <c r="Y2229" s="8" t="str">
        <f>IF(A2229="","",IFERROR(IF(VLOOKUP(A2229,Entry!$D:$D,1,FALSE)=A2229,"",ROW()),ROW()))</f>
        <v/>
      </c>
    </row>
    <row r="2230" spans="25:25" x14ac:dyDescent="0.2">
      <c r="Y2230" s="8" t="str">
        <f>IF(A2230="","",IFERROR(IF(VLOOKUP(A2230,Entry!$D:$D,1,FALSE)=A2230,"",ROW()),ROW()))</f>
        <v/>
      </c>
    </row>
    <row r="2231" spans="25:25" x14ac:dyDescent="0.2">
      <c r="Y2231" s="8" t="str">
        <f>IF(A2231="","",IFERROR(IF(VLOOKUP(A2231,Entry!$D:$D,1,FALSE)=A2231,"",ROW()),ROW()))</f>
        <v/>
      </c>
    </row>
    <row r="2232" spans="25:25" x14ac:dyDescent="0.2">
      <c r="Y2232" s="8" t="str">
        <f>IF(A2232="","",IFERROR(IF(VLOOKUP(A2232,Entry!$D:$D,1,FALSE)=A2232,"",ROW()),ROW()))</f>
        <v/>
      </c>
    </row>
    <row r="2233" spans="25:25" x14ac:dyDescent="0.2">
      <c r="Y2233" s="8" t="str">
        <f>IF(A2233="","",IFERROR(IF(VLOOKUP(A2233,Entry!$D:$D,1,FALSE)=A2233,"",ROW()),ROW()))</f>
        <v/>
      </c>
    </row>
    <row r="2234" spans="25:25" x14ac:dyDescent="0.2">
      <c r="Y2234" s="8" t="str">
        <f>IF(A2234="","",IFERROR(IF(VLOOKUP(A2234,Entry!$D:$D,1,FALSE)=A2234,"",ROW()),ROW()))</f>
        <v/>
      </c>
    </row>
    <row r="2235" spans="25:25" x14ac:dyDescent="0.2">
      <c r="Y2235" s="8" t="str">
        <f>IF(A2235="","",IFERROR(IF(VLOOKUP(A2235,Entry!$D:$D,1,FALSE)=A2235,"",ROW()),ROW()))</f>
        <v/>
      </c>
    </row>
    <row r="2236" spans="25:25" x14ac:dyDescent="0.2">
      <c r="Y2236" s="8" t="str">
        <f>IF(A2236="","",IFERROR(IF(VLOOKUP(A2236,Entry!$D:$D,1,FALSE)=A2236,"",ROW()),ROW()))</f>
        <v/>
      </c>
    </row>
    <row r="2237" spans="25:25" x14ac:dyDescent="0.2">
      <c r="Y2237" s="8" t="str">
        <f>IF(A2237="","",IFERROR(IF(VLOOKUP(A2237,Entry!$D:$D,1,FALSE)=A2237,"",ROW()),ROW()))</f>
        <v/>
      </c>
    </row>
    <row r="2238" spans="25:25" x14ac:dyDescent="0.2">
      <c r="Y2238" s="8" t="str">
        <f>IF(A2238="","",IFERROR(IF(VLOOKUP(A2238,Entry!$D:$D,1,FALSE)=A2238,"",ROW()),ROW()))</f>
        <v/>
      </c>
    </row>
    <row r="2239" spans="25:25" x14ac:dyDescent="0.2">
      <c r="Y2239" s="8" t="str">
        <f>IF(A2239="","",IFERROR(IF(VLOOKUP(A2239,Entry!$D:$D,1,FALSE)=A2239,"",ROW()),ROW()))</f>
        <v/>
      </c>
    </row>
    <row r="2240" spans="25:25" x14ac:dyDescent="0.2">
      <c r="Y2240" s="8" t="str">
        <f>IF(A2240="","",IFERROR(IF(VLOOKUP(A2240,Entry!$D:$D,1,FALSE)=A2240,"",ROW()),ROW()))</f>
        <v/>
      </c>
    </row>
    <row r="2241" spans="25:25" x14ac:dyDescent="0.2">
      <c r="Y2241" s="8" t="str">
        <f>IF(A2241="","",IFERROR(IF(VLOOKUP(A2241,Entry!$D:$D,1,FALSE)=A2241,"",ROW()),ROW()))</f>
        <v/>
      </c>
    </row>
    <row r="2242" spans="25:25" x14ac:dyDescent="0.2">
      <c r="Y2242" s="8" t="str">
        <f>IF(A2242="","",IFERROR(IF(VLOOKUP(A2242,Entry!$D:$D,1,FALSE)=A2242,"",ROW()),ROW()))</f>
        <v/>
      </c>
    </row>
    <row r="2243" spans="25:25" x14ac:dyDescent="0.2">
      <c r="Y2243" s="8" t="str">
        <f>IF(A2243="","",IFERROR(IF(VLOOKUP(A2243,Entry!$D:$D,1,FALSE)=A2243,"",ROW()),ROW()))</f>
        <v/>
      </c>
    </row>
    <row r="2244" spans="25:25" x14ac:dyDescent="0.2">
      <c r="Y2244" s="8" t="str">
        <f>IF(A2244="","",IFERROR(IF(VLOOKUP(A2244,Entry!$D:$D,1,FALSE)=A2244,"",ROW()),ROW()))</f>
        <v/>
      </c>
    </row>
    <row r="2245" spans="25:25" x14ac:dyDescent="0.2">
      <c r="Y2245" s="8" t="str">
        <f>IF(A2245="","",IFERROR(IF(VLOOKUP(A2245,Entry!$D:$D,1,FALSE)=A2245,"",ROW()),ROW()))</f>
        <v/>
      </c>
    </row>
    <row r="2246" spans="25:25" x14ac:dyDescent="0.2">
      <c r="Y2246" s="8" t="str">
        <f>IF(A2246="","",IFERROR(IF(VLOOKUP(A2246,Entry!$D:$D,1,FALSE)=A2246,"",ROW()),ROW()))</f>
        <v/>
      </c>
    </row>
    <row r="2247" spans="25:25" x14ac:dyDescent="0.2">
      <c r="Y2247" s="8" t="str">
        <f>IF(A2247="","",IFERROR(IF(VLOOKUP(A2247,Entry!$D:$D,1,FALSE)=A2247,"",ROW()),ROW()))</f>
        <v/>
      </c>
    </row>
    <row r="2248" spans="25:25" x14ac:dyDescent="0.2">
      <c r="Y2248" s="8" t="str">
        <f>IF(A2248="","",IFERROR(IF(VLOOKUP(A2248,Entry!$D:$D,1,FALSE)=A2248,"",ROW()),ROW()))</f>
        <v/>
      </c>
    </row>
    <row r="2249" spans="25:25" x14ac:dyDescent="0.2">
      <c r="Y2249" s="8" t="str">
        <f>IF(A2249="","",IFERROR(IF(VLOOKUP(A2249,Entry!$D:$D,1,FALSE)=A2249,"",ROW()),ROW()))</f>
        <v/>
      </c>
    </row>
    <row r="2250" spans="25:25" x14ac:dyDescent="0.2">
      <c r="Y2250" s="8" t="str">
        <f>IF(A2250="","",IFERROR(IF(VLOOKUP(A2250,Entry!$D:$D,1,FALSE)=A2250,"",ROW()),ROW()))</f>
        <v/>
      </c>
    </row>
    <row r="2251" spans="25:25" x14ac:dyDescent="0.2">
      <c r="Y2251" s="8" t="str">
        <f>IF(A2251="","",IFERROR(IF(VLOOKUP(A2251,Entry!$D:$D,1,FALSE)=A2251,"",ROW()),ROW()))</f>
        <v/>
      </c>
    </row>
    <row r="2252" spans="25:25" x14ac:dyDescent="0.2">
      <c r="Y2252" s="8" t="str">
        <f>IF(A2252="","",IFERROR(IF(VLOOKUP(A2252,Entry!$D:$D,1,FALSE)=A2252,"",ROW()),ROW()))</f>
        <v/>
      </c>
    </row>
    <row r="2253" spans="25:25" x14ac:dyDescent="0.2">
      <c r="Y2253" s="8" t="str">
        <f>IF(A2253="","",IFERROR(IF(VLOOKUP(A2253,Entry!$D:$D,1,FALSE)=A2253,"",ROW()),ROW()))</f>
        <v/>
      </c>
    </row>
    <row r="2254" spans="25:25" x14ac:dyDescent="0.2">
      <c r="Y2254" s="8" t="str">
        <f>IF(A2254="","",IFERROR(IF(VLOOKUP(A2254,Entry!$D:$D,1,FALSE)=A2254,"",ROW()),ROW()))</f>
        <v/>
      </c>
    </row>
    <row r="2255" spans="25:25" x14ac:dyDescent="0.2">
      <c r="Y2255" s="8" t="str">
        <f>IF(A2255="","",IFERROR(IF(VLOOKUP(A2255,Entry!$D:$D,1,FALSE)=A2255,"",ROW()),ROW()))</f>
        <v/>
      </c>
    </row>
    <row r="2256" spans="25:25" x14ac:dyDescent="0.2">
      <c r="Y2256" s="8" t="str">
        <f>IF(A2256="","",IFERROR(IF(VLOOKUP(A2256,Entry!$D:$D,1,FALSE)=A2256,"",ROW()),ROW()))</f>
        <v/>
      </c>
    </row>
    <row r="2257" spans="25:25" x14ac:dyDescent="0.2">
      <c r="Y2257" s="8" t="str">
        <f>IF(A2257="","",IFERROR(IF(VLOOKUP(A2257,Entry!$D:$D,1,FALSE)=A2257,"",ROW()),ROW()))</f>
        <v/>
      </c>
    </row>
    <row r="2258" spans="25:25" x14ac:dyDescent="0.2">
      <c r="Y2258" s="8" t="str">
        <f>IF(A2258="","",IFERROR(IF(VLOOKUP(A2258,Entry!$D:$D,1,FALSE)=A2258,"",ROW()),ROW()))</f>
        <v/>
      </c>
    </row>
    <row r="2259" spans="25:25" x14ac:dyDescent="0.2">
      <c r="Y2259" s="8" t="str">
        <f>IF(A2259="","",IFERROR(IF(VLOOKUP(A2259,Entry!$D:$D,1,FALSE)=A2259,"",ROW()),ROW()))</f>
        <v/>
      </c>
    </row>
    <row r="2260" spans="25:25" x14ac:dyDescent="0.2">
      <c r="Y2260" s="8" t="str">
        <f>IF(A2260="","",IFERROR(IF(VLOOKUP(A2260,Entry!$D:$D,1,FALSE)=A2260,"",ROW()),ROW()))</f>
        <v/>
      </c>
    </row>
    <row r="2261" spans="25:25" x14ac:dyDescent="0.2">
      <c r="Y2261" s="8" t="str">
        <f>IF(A2261="","",IFERROR(IF(VLOOKUP(A2261,Entry!$D:$D,1,FALSE)=A2261,"",ROW()),ROW()))</f>
        <v/>
      </c>
    </row>
    <row r="2262" spans="25:25" x14ac:dyDescent="0.2">
      <c r="Y2262" s="8" t="str">
        <f>IF(A2262="","",IFERROR(IF(VLOOKUP(A2262,Entry!$D:$D,1,FALSE)=A2262,"",ROW()),ROW()))</f>
        <v/>
      </c>
    </row>
    <row r="2263" spans="25:25" x14ac:dyDescent="0.2">
      <c r="Y2263" s="8" t="str">
        <f>IF(A2263="","",IFERROR(IF(VLOOKUP(A2263,Entry!$D:$D,1,FALSE)=A2263,"",ROW()),ROW()))</f>
        <v/>
      </c>
    </row>
    <row r="2264" spans="25:25" x14ac:dyDescent="0.2">
      <c r="Y2264" s="8" t="str">
        <f>IF(A2264="","",IFERROR(IF(VLOOKUP(A2264,Entry!$D:$D,1,FALSE)=A2264,"",ROW()),ROW()))</f>
        <v/>
      </c>
    </row>
    <row r="2265" spans="25:25" x14ac:dyDescent="0.2">
      <c r="Y2265" s="8" t="str">
        <f>IF(A2265="","",IFERROR(IF(VLOOKUP(A2265,Entry!$D:$D,1,FALSE)=A2265,"",ROW()),ROW()))</f>
        <v/>
      </c>
    </row>
    <row r="2266" spans="25:25" x14ac:dyDescent="0.2">
      <c r="Y2266" s="8" t="str">
        <f>IF(A2266="","",IFERROR(IF(VLOOKUP(A2266,Entry!$D:$D,1,FALSE)=A2266,"",ROW()),ROW()))</f>
        <v/>
      </c>
    </row>
    <row r="2267" spans="25:25" x14ac:dyDescent="0.2">
      <c r="Y2267" s="8" t="str">
        <f>IF(A2267="","",IFERROR(IF(VLOOKUP(A2267,Entry!$D:$D,1,FALSE)=A2267,"",ROW()),ROW()))</f>
        <v/>
      </c>
    </row>
    <row r="2268" spans="25:25" x14ac:dyDescent="0.2">
      <c r="Y2268" s="8" t="str">
        <f>IF(A2268="","",IFERROR(IF(VLOOKUP(A2268,Entry!$D:$D,1,FALSE)=A2268,"",ROW()),ROW()))</f>
        <v/>
      </c>
    </row>
    <row r="2269" spans="25:25" x14ac:dyDescent="0.2">
      <c r="Y2269" s="8" t="str">
        <f>IF(A2269="","",IFERROR(IF(VLOOKUP(A2269,Entry!$D:$D,1,FALSE)=A2269,"",ROW()),ROW()))</f>
        <v/>
      </c>
    </row>
    <row r="2270" spans="25:25" x14ac:dyDescent="0.2">
      <c r="Y2270" s="8" t="str">
        <f>IF(A2270="","",IFERROR(IF(VLOOKUP(A2270,Entry!$D:$D,1,FALSE)=A2270,"",ROW()),ROW()))</f>
        <v/>
      </c>
    </row>
    <row r="2271" spans="25:25" x14ac:dyDescent="0.2">
      <c r="Y2271" s="8" t="str">
        <f>IF(A2271="","",IFERROR(IF(VLOOKUP(A2271,Entry!$D:$D,1,FALSE)=A2271,"",ROW()),ROW()))</f>
        <v/>
      </c>
    </row>
    <row r="2272" spans="25:25" x14ac:dyDescent="0.2">
      <c r="Y2272" s="8" t="str">
        <f>IF(A2272="","",IFERROR(IF(VLOOKUP(A2272,Entry!$D:$D,1,FALSE)=A2272,"",ROW()),ROW()))</f>
        <v/>
      </c>
    </row>
    <row r="2273" spans="25:25" x14ac:dyDescent="0.2">
      <c r="Y2273" s="8" t="str">
        <f>IF(A2273="","",IFERROR(IF(VLOOKUP(A2273,Entry!$D:$D,1,FALSE)=A2273,"",ROW()),ROW()))</f>
        <v/>
      </c>
    </row>
    <row r="2274" spans="25:25" x14ac:dyDescent="0.2">
      <c r="Y2274" s="8" t="str">
        <f>IF(A2274="","",IFERROR(IF(VLOOKUP(A2274,Entry!$D:$D,1,FALSE)=A2274,"",ROW()),ROW()))</f>
        <v/>
      </c>
    </row>
    <row r="2275" spans="25:25" x14ac:dyDescent="0.2">
      <c r="Y2275" s="8" t="str">
        <f>IF(A2275="","",IFERROR(IF(VLOOKUP(A2275,Entry!$D:$D,1,FALSE)=A2275,"",ROW()),ROW()))</f>
        <v/>
      </c>
    </row>
    <row r="2276" spans="25:25" x14ac:dyDescent="0.2">
      <c r="Y2276" s="8" t="str">
        <f>IF(A2276="","",IFERROR(IF(VLOOKUP(A2276,Entry!$D:$D,1,FALSE)=A2276,"",ROW()),ROW()))</f>
        <v/>
      </c>
    </row>
    <row r="2277" spans="25:25" x14ac:dyDescent="0.2">
      <c r="Y2277" s="8" t="str">
        <f>IF(A2277="","",IFERROR(IF(VLOOKUP(A2277,Entry!$D:$D,1,FALSE)=A2277,"",ROW()),ROW()))</f>
        <v/>
      </c>
    </row>
    <row r="2278" spans="25:25" x14ac:dyDescent="0.2">
      <c r="Y2278" s="8" t="str">
        <f>IF(A2278="","",IFERROR(IF(VLOOKUP(A2278,Entry!$D:$D,1,FALSE)=A2278,"",ROW()),ROW()))</f>
        <v/>
      </c>
    </row>
    <row r="2279" spans="25:25" x14ac:dyDescent="0.2">
      <c r="Y2279" s="8" t="str">
        <f>IF(A2279="","",IFERROR(IF(VLOOKUP(A2279,Entry!$D:$D,1,FALSE)=A2279,"",ROW()),ROW()))</f>
        <v/>
      </c>
    </row>
    <row r="2280" spans="25:25" x14ac:dyDescent="0.2">
      <c r="Y2280" s="8" t="str">
        <f>IF(A2280="","",IFERROR(IF(VLOOKUP(A2280,Entry!$D:$D,1,FALSE)=A2280,"",ROW()),ROW()))</f>
        <v/>
      </c>
    </row>
    <row r="2281" spans="25:25" x14ac:dyDescent="0.2">
      <c r="Y2281" s="8" t="str">
        <f>IF(A2281="","",IFERROR(IF(VLOOKUP(A2281,Entry!$D:$D,1,FALSE)=A2281,"",ROW()),ROW()))</f>
        <v/>
      </c>
    </row>
    <row r="2282" spans="25:25" x14ac:dyDescent="0.2">
      <c r="Y2282" s="8" t="str">
        <f>IF(A2282="","",IFERROR(IF(VLOOKUP(A2282,Entry!$D:$D,1,FALSE)=A2282,"",ROW()),ROW()))</f>
        <v/>
      </c>
    </row>
    <row r="2283" spans="25:25" x14ac:dyDescent="0.2">
      <c r="Y2283" s="8" t="str">
        <f>IF(A2283="","",IFERROR(IF(VLOOKUP(A2283,Entry!$D:$D,1,FALSE)=A2283,"",ROW()),ROW()))</f>
        <v/>
      </c>
    </row>
    <row r="2284" spans="25:25" x14ac:dyDescent="0.2">
      <c r="Y2284" s="8" t="str">
        <f>IF(A2284="","",IFERROR(IF(VLOOKUP(A2284,Entry!$D:$D,1,FALSE)=A2284,"",ROW()),ROW()))</f>
        <v/>
      </c>
    </row>
    <row r="2285" spans="25:25" x14ac:dyDescent="0.2">
      <c r="Y2285" s="8" t="str">
        <f>IF(A2285="","",IFERROR(IF(VLOOKUP(A2285,Entry!$D:$D,1,FALSE)=A2285,"",ROW()),ROW()))</f>
        <v/>
      </c>
    </row>
    <row r="2286" spans="25:25" x14ac:dyDescent="0.2">
      <c r="Y2286" s="8" t="str">
        <f>IF(A2286="","",IFERROR(IF(VLOOKUP(A2286,Entry!$D:$D,1,FALSE)=A2286,"",ROW()),ROW()))</f>
        <v/>
      </c>
    </row>
    <row r="2287" spans="25:25" x14ac:dyDescent="0.2">
      <c r="Y2287" s="8" t="str">
        <f>IF(A2287="","",IFERROR(IF(VLOOKUP(A2287,Entry!$D:$D,1,FALSE)=A2287,"",ROW()),ROW()))</f>
        <v/>
      </c>
    </row>
    <row r="2288" spans="25:25" x14ac:dyDescent="0.2">
      <c r="Y2288" s="8" t="str">
        <f>IF(A2288="","",IFERROR(IF(VLOOKUP(A2288,Entry!$D:$D,1,FALSE)=A2288,"",ROW()),ROW()))</f>
        <v/>
      </c>
    </row>
    <row r="2289" spans="25:25" x14ac:dyDescent="0.2">
      <c r="Y2289" s="8" t="str">
        <f>IF(A2289="","",IFERROR(IF(VLOOKUP(A2289,Entry!$D:$D,1,FALSE)=A2289,"",ROW()),ROW()))</f>
        <v/>
      </c>
    </row>
    <row r="2290" spans="25:25" x14ac:dyDescent="0.2">
      <c r="Y2290" s="8" t="str">
        <f>IF(A2290="","",IFERROR(IF(VLOOKUP(A2290,Entry!$D:$D,1,FALSE)=A2290,"",ROW()),ROW()))</f>
        <v/>
      </c>
    </row>
    <row r="2291" spans="25:25" x14ac:dyDescent="0.2">
      <c r="Y2291" s="8" t="str">
        <f>IF(A2291="","",IFERROR(IF(VLOOKUP(A2291,Entry!$D:$D,1,FALSE)=A2291,"",ROW()),ROW()))</f>
        <v/>
      </c>
    </row>
    <row r="2292" spans="25:25" x14ac:dyDescent="0.2">
      <c r="Y2292" s="8" t="str">
        <f>IF(A2292="","",IFERROR(IF(VLOOKUP(A2292,Entry!$D:$D,1,FALSE)=A2292,"",ROW()),ROW()))</f>
        <v/>
      </c>
    </row>
    <row r="2293" spans="25:25" x14ac:dyDescent="0.2">
      <c r="Y2293" s="8" t="str">
        <f>IF(A2293="","",IFERROR(IF(VLOOKUP(A2293,Entry!$D:$D,1,FALSE)=A2293,"",ROW()),ROW()))</f>
        <v/>
      </c>
    </row>
    <row r="2294" spans="25:25" x14ac:dyDescent="0.2">
      <c r="Y2294" s="8" t="str">
        <f>IF(A2294="","",IFERROR(IF(VLOOKUP(A2294,Entry!$D:$D,1,FALSE)=A2294,"",ROW()),ROW()))</f>
        <v/>
      </c>
    </row>
    <row r="2295" spans="25:25" x14ac:dyDescent="0.2">
      <c r="Y2295" s="8" t="str">
        <f>IF(A2295="","",IFERROR(IF(VLOOKUP(A2295,Entry!$D:$D,1,FALSE)=A2295,"",ROW()),ROW()))</f>
        <v/>
      </c>
    </row>
    <row r="2296" spans="25:25" x14ac:dyDescent="0.2">
      <c r="Y2296" s="8" t="str">
        <f>IF(A2296="","",IFERROR(IF(VLOOKUP(A2296,Entry!$D:$D,1,FALSE)=A2296,"",ROW()),ROW()))</f>
        <v/>
      </c>
    </row>
    <row r="2297" spans="25:25" x14ac:dyDescent="0.2">
      <c r="Y2297" s="8" t="str">
        <f>IF(A2297="","",IFERROR(IF(VLOOKUP(A2297,Entry!$D:$D,1,FALSE)=A2297,"",ROW()),ROW()))</f>
        <v/>
      </c>
    </row>
    <row r="2298" spans="25:25" x14ac:dyDescent="0.2">
      <c r="Y2298" s="8" t="str">
        <f>IF(A2298="","",IFERROR(IF(VLOOKUP(A2298,Entry!$D:$D,1,FALSE)=A2298,"",ROW()),ROW()))</f>
        <v/>
      </c>
    </row>
    <row r="2299" spans="25:25" x14ac:dyDescent="0.2">
      <c r="Y2299" s="8" t="str">
        <f>IF(A2299="","",IFERROR(IF(VLOOKUP(A2299,Entry!$D:$D,1,FALSE)=A2299,"",ROW()),ROW()))</f>
        <v/>
      </c>
    </row>
    <row r="2300" spans="25:25" x14ac:dyDescent="0.2">
      <c r="Y2300" s="8" t="str">
        <f>IF(A2300="","",IFERROR(IF(VLOOKUP(A2300,Entry!$D:$D,1,FALSE)=A2300,"",ROW()),ROW()))</f>
        <v/>
      </c>
    </row>
    <row r="2301" spans="25:25" x14ac:dyDescent="0.2">
      <c r="Y2301" s="8" t="str">
        <f>IF(A2301="","",IFERROR(IF(VLOOKUP(A2301,Entry!$D:$D,1,FALSE)=A2301,"",ROW()),ROW()))</f>
        <v/>
      </c>
    </row>
    <row r="2302" spans="25:25" x14ac:dyDescent="0.2">
      <c r="Y2302" s="8" t="str">
        <f>IF(A2302="","",IFERROR(IF(VLOOKUP(A2302,Entry!$D:$D,1,FALSE)=A2302,"",ROW()),ROW()))</f>
        <v/>
      </c>
    </row>
    <row r="2303" spans="25:25" x14ac:dyDescent="0.2">
      <c r="Y2303" s="8" t="str">
        <f>IF(A2303="","",IFERROR(IF(VLOOKUP(A2303,Entry!$D:$D,1,FALSE)=A2303,"",ROW()),ROW()))</f>
        <v/>
      </c>
    </row>
    <row r="2304" spans="25:25" x14ac:dyDescent="0.2">
      <c r="Y2304" s="8" t="str">
        <f>IF(A2304="","",IFERROR(IF(VLOOKUP(A2304,Entry!$D:$D,1,FALSE)=A2304,"",ROW()),ROW()))</f>
        <v/>
      </c>
    </row>
    <row r="2305" spans="25:25" x14ac:dyDescent="0.2">
      <c r="Y2305" s="8" t="str">
        <f>IF(A2305="","",IFERROR(IF(VLOOKUP(A2305,Entry!$D:$D,1,FALSE)=A2305,"",ROW()),ROW()))</f>
        <v/>
      </c>
    </row>
    <row r="2306" spans="25:25" x14ac:dyDescent="0.2">
      <c r="Y2306" s="8" t="str">
        <f>IF(A2306="","",IFERROR(IF(VLOOKUP(A2306,Entry!$D:$D,1,FALSE)=A2306,"",ROW()),ROW()))</f>
        <v/>
      </c>
    </row>
    <row r="2307" spans="25:25" x14ac:dyDescent="0.2">
      <c r="Y2307" s="8" t="str">
        <f>IF(A2307="","",IFERROR(IF(VLOOKUP(A2307,Entry!$D:$D,1,FALSE)=A2307,"",ROW()),ROW()))</f>
        <v/>
      </c>
    </row>
    <row r="2308" spans="25:25" x14ac:dyDescent="0.2">
      <c r="Y2308" s="8" t="str">
        <f>IF(A2308="","",IFERROR(IF(VLOOKUP(A2308,Entry!$D:$D,1,FALSE)=A2308,"",ROW()),ROW()))</f>
        <v/>
      </c>
    </row>
    <row r="2309" spans="25:25" x14ac:dyDescent="0.2">
      <c r="Y2309" s="8" t="str">
        <f>IF(A2309="","",IFERROR(IF(VLOOKUP(A2309,Entry!$D:$D,1,FALSE)=A2309,"",ROW()),ROW()))</f>
        <v/>
      </c>
    </row>
    <row r="2310" spans="25:25" x14ac:dyDescent="0.2">
      <c r="Y2310" s="8" t="str">
        <f>IF(A2310="","",IFERROR(IF(VLOOKUP(A2310,Entry!$D:$D,1,FALSE)=A2310,"",ROW()),ROW()))</f>
        <v/>
      </c>
    </row>
    <row r="2311" spans="25:25" x14ac:dyDescent="0.2">
      <c r="Y2311" s="8" t="str">
        <f>IF(A2311="","",IFERROR(IF(VLOOKUP(A2311,Entry!$D:$D,1,FALSE)=A2311,"",ROW()),ROW()))</f>
        <v/>
      </c>
    </row>
    <row r="2312" spans="25:25" x14ac:dyDescent="0.2">
      <c r="Y2312" s="8" t="str">
        <f>IF(A2312="","",IFERROR(IF(VLOOKUP(A2312,Entry!$D:$D,1,FALSE)=A2312,"",ROW()),ROW()))</f>
        <v/>
      </c>
    </row>
    <row r="2313" spans="25:25" x14ac:dyDescent="0.2">
      <c r="Y2313" s="8" t="str">
        <f>IF(A2313="","",IFERROR(IF(VLOOKUP(A2313,Entry!$D:$D,1,FALSE)=A2313,"",ROW()),ROW()))</f>
        <v/>
      </c>
    </row>
    <row r="2314" spans="25:25" x14ac:dyDescent="0.2">
      <c r="Y2314" s="8" t="str">
        <f>IF(A2314="","",IFERROR(IF(VLOOKUP(A2314,Entry!$D:$D,1,FALSE)=A2314,"",ROW()),ROW()))</f>
        <v/>
      </c>
    </row>
    <row r="2315" spans="25:25" x14ac:dyDescent="0.2">
      <c r="Y2315" s="8" t="str">
        <f>IF(A2315="","",IFERROR(IF(VLOOKUP(A2315,Entry!$D:$D,1,FALSE)=A2315,"",ROW()),ROW()))</f>
        <v/>
      </c>
    </row>
    <row r="2316" spans="25:25" x14ac:dyDescent="0.2">
      <c r="Y2316" s="8" t="str">
        <f>IF(A2316="","",IFERROR(IF(VLOOKUP(A2316,Entry!$D:$D,1,FALSE)=A2316,"",ROW()),ROW()))</f>
        <v/>
      </c>
    </row>
    <row r="2317" spans="25:25" x14ac:dyDescent="0.2">
      <c r="Y2317" s="8" t="str">
        <f>IF(A2317="","",IFERROR(IF(VLOOKUP(A2317,Entry!$D:$D,1,FALSE)=A2317,"",ROW()),ROW()))</f>
        <v/>
      </c>
    </row>
    <row r="2318" spans="25:25" x14ac:dyDescent="0.2">
      <c r="Y2318" s="8" t="str">
        <f>IF(A2318="","",IFERROR(IF(VLOOKUP(A2318,Entry!$D:$D,1,FALSE)=A2318,"",ROW()),ROW()))</f>
        <v/>
      </c>
    </row>
    <row r="2319" spans="25:25" x14ac:dyDescent="0.2">
      <c r="Y2319" s="8" t="str">
        <f>IF(A2319="","",IFERROR(IF(VLOOKUP(A2319,Entry!$D:$D,1,FALSE)=A2319,"",ROW()),ROW()))</f>
        <v/>
      </c>
    </row>
    <row r="2320" spans="25:25" x14ac:dyDescent="0.2">
      <c r="Y2320" s="8" t="str">
        <f>IF(A2320="","",IFERROR(IF(VLOOKUP(A2320,Entry!$D:$D,1,FALSE)=A2320,"",ROW()),ROW()))</f>
        <v/>
      </c>
    </row>
    <row r="2321" spans="25:25" x14ac:dyDescent="0.2">
      <c r="Y2321" s="8" t="str">
        <f>IF(A2321="","",IFERROR(IF(VLOOKUP(A2321,Entry!$D:$D,1,FALSE)=A2321,"",ROW()),ROW()))</f>
        <v/>
      </c>
    </row>
    <row r="2322" spans="25:25" x14ac:dyDescent="0.2">
      <c r="Y2322" s="8" t="str">
        <f>IF(A2322="","",IFERROR(IF(VLOOKUP(A2322,Entry!$D:$D,1,FALSE)=A2322,"",ROW()),ROW()))</f>
        <v/>
      </c>
    </row>
    <row r="2323" spans="25:25" x14ac:dyDescent="0.2">
      <c r="Y2323" s="8" t="str">
        <f>IF(A2323="","",IFERROR(IF(VLOOKUP(A2323,Entry!$D:$D,1,FALSE)=A2323,"",ROW()),ROW()))</f>
        <v/>
      </c>
    </row>
    <row r="2324" spans="25:25" x14ac:dyDescent="0.2">
      <c r="Y2324" s="8" t="str">
        <f>IF(A2324="","",IFERROR(IF(VLOOKUP(A2324,Entry!$D:$D,1,FALSE)=A2324,"",ROW()),ROW()))</f>
        <v/>
      </c>
    </row>
    <row r="2325" spans="25:25" x14ac:dyDescent="0.2">
      <c r="Y2325" s="8" t="str">
        <f>IF(A2325="","",IFERROR(IF(VLOOKUP(A2325,Entry!$D:$D,1,FALSE)=A2325,"",ROW()),ROW()))</f>
        <v/>
      </c>
    </row>
    <row r="2326" spans="25:25" x14ac:dyDescent="0.2">
      <c r="Y2326" s="8" t="str">
        <f>IF(A2326="","",IFERROR(IF(VLOOKUP(A2326,Entry!$D:$D,1,FALSE)=A2326,"",ROW()),ROW()))</f>
        <v/>
      </c>
    </row>
    <row r="2327" spans="25:25" x14ac:dyDescent="0.2">
      <c r="Y2327" s="8" t="str">
        <f>IF(A2327="","",IFERROR(IF(VLOOKUP(A2327,Entry!$D:$D,1,FALSE)=A2327,"",ROW()),ROW()))</f>
        <v/>
      </c>
    </row>
    <row r="2328" spans="25:25" x14ac:dyDescent="0.2">
      <c r="Y2328" s="8" t="str">
        <f>IF(A2328="","",IFERROR(IF(VLOOKUP(A2328,Entry!$D:$D,1,FALSE)=A2328,"",ROW()),ROW()))</f>
        <v/>
      </c>
    </row>
    <row r="2329" spans="25:25" x14ac:dyDescent="0.2">
      <c r="Y2329" s="8" t="str">
        <f>IF(A2329="","",IFERROR(IF(VLOOKUP(A2329,Entry!$D:$D,1,FALSE)=A2329,"",ROW()),ROW()))</f>
        <v/>
      </c>
    </row>
    <row r="2330" spans="25:25" x14ac:dyDescent="0.2">
      <c r="Y2330" s="8" t="str">
        <f>IF(A2330="","",IFERROR(IF(VLOOKUP(A2330,Entry!$D:$D,1,FALSE)=A2330,"",ROW()),ROW()))</f>
        <v/>
      </c>
    </row>
    <row r="2331" spans="25:25" x14ac:dyDescent="0.2">
      <c r="Y2331" s="8" t="str">
        <f>IF(A2331="","",IFERROR(IF(VLOOKUP(A2331,Entry!$D:$D,1,FALSE)=A2331,"",ROW()),ROW()))</f>
        <v/>
      </c>
    </row>
    <row r="2332" spans="25:25" x14ac:dyDescent="0.2">
      <c r="Y2332" s="8" t="str">
        <f>IF(A2332="","",IFERROR(IF(VLOOKUP(A2332,Entry!$D:$D,1,FALSE)=A2332,"",ROW()),ROW()))</f>
        <v/>
      </c>
    </row>
    <row r="2333" spans="25:25" x14ac:dyDescent="0.2">
      <c r="Y2333" s="8" t="str">
        <f>IF(A2333="","",IFERROR(IF(VLOOKUP(A2333,Entry!$D:$D,1,FALSE)=A2333,"",ROW()),ROW()))</f>
        <v/>
      </c>
    </row>
    <row r="2334" spans="25:25" x14ac:dyDescent="0.2">
      <c r="Y2334" s="8" t="str">
        <f>IF(A2334="","",IFERROR(IF(VLOOKUP(A2334,Entry!$D:$D,1,FALSE)=A2334,"",ROW()),ROW()))</f>
        <v/>
      </c>
    </row>
    <row r="2335" spans="25:25" x14ac:dyDescent="0.2">
      <c r="Y2335" s="8" t="str">
        <f>IF(A2335="","",IFERROR(IF(VLOOKUP(A2335,Entry!$D:$D,1,FALSE)=A2335,"",ROW()),ROW()))</f>
        <v/>
      </c>
    </row>
    <row r="2336" spans="25:25" x14ac:dyDescent="0.2">
      <c r="Y2336" s="8" t="str">
        <f>IF(A2336="","",IFERROR(IF(VLOOKUP(A2336,Entry!$D:$D,1,FALSE)=A2336,"",ROW()),ROW()))</f>
        <v/>
      </c>
    </row>
    <row r="2337" spans="25:25" x14ac:dyDescent="0.2">
      <c r="Y2337" s="8" t="str">
        <f>IF(A2337="","",IFERROR(IF(VLOOKUP(A2337,Entry!$D:$D,1,FALSE)=A2337,"",ROW()),ROW()))</f>
        <v/>
      </c>
    </row>
    <row r="2338" spans="25:25" x14ac:dyDescent="0.2">
      <c r="Y2338" s="8" t="str">
        <f>IF(A2338="","",IFERROR(IF(VLOOKUP(A2338,Entry!$D:$D,1,FALSE)=A2338,"",ROW()),ROW()))</f>
        <v/>
      </c>
    </row>
    <row r="2339" spans="25:25" x14ac:dyDescent="0.2">
      <c r="Y2339" s="8" t="str">
        <f>IF(A2339="","",IFERROR(IF(VLOOKUP(A2339,Entry!$D:$D,1,FALSE)=A2339,"",ROW()),ROW()))</f>
        <v/>
      </c>
    </row>
    <row r="2340" spans="25:25" x14ac:dyDescent="0.2">
      <c r="Y2340" s="8" t="str">
        <f>IF(A2340="","",IFERROR(IF(VLOOKUP(A2340,Entry!$D:$D,1,FALSE)=A2340,"",ROW()),ROW()))</f>
        <v/>
      </c>
    </row>
    <row r="2341" spans="25:25" x14ac:dyDescent="0.2">
      <c r="Y2341" s="8" t="str">
        <f>IF(A2341="","",IFERROR(IF(VLOOKUP(A2341,Entry!$D:$D,1,FALSE)=A2341,"",ROW()),ROW()))</f>
        <v/>
      </c>
    </row>
    <row r="2342" spans="25:25" x14ac:dyDescent="0.2">
      <c r="Y2342" s="8" t="str">
        <f>IF(A2342="","",IFERROR(IF(VLOOKUP(A2342,Entry!$D:$D,1,FALSE)=A2342,"",ROW()),ROW()))</f>
        <v/>
      </c>
    </row>
    <row r="2343" spans="25:25" x14ac:dyDescent="0.2">
      <c r="Y2343" s="8" t="str">
        <f>IF(A2343="","",IFERROR(IF(VLOOKUP(A2343,Entry!$D:$D,1,FALSE)=A2343,"",ROW()),ROW()))</f>
        <v/>
      </c>
    </row>
    <row r="2344" spans="25:25" x14ac:dyDescent="0.2">
      <c r="Y2344" s="8" t="str">
        <f>IF(A2344="","",IFERROR(IF(VLOOKUP(A2344,Entry!$D:$D,1,FALSE)=A2344,"",ROW()),ROW()))</f>
        <v/>
      </c>
    </row>
    <row r="2345" spans="25:25" x14ac:dyDescent="0.2">
      <c r="Y2345" s="8" t="str">
        <f>IF(A2345="","",IFERROR(IF(VLOOKUP(A2345,Entry!$D:$D,1,FALSE)=A2345,"",ROW()),ROW()))</f>
        <v/>
      </c>
    </row>
    <row r="2346" spans="25:25" x14ac:dyDescent="0.2">
      <c r="Y2346" s="8" t="str">
        <f>IF(A2346="","",IFERROR(IF(VLOOKUP(A2346,Entry!$D:$D,1,FALSE)=A2346,"",ROW()),ROW()))</f>
        <v/>
      </c>
    </row>
    <row r="2347" spans="25:25" x14ac:dyDescent="0.2">
      <c r="Y2347" s="8" t="str">
        <f>IF(A2347="","",IFERROR(IF(VLOOKUP(A2347,Entry!$D:$D,1,FALSE)=A2347,"",ROW()),ROW()))</f>
        <v/>
      </c>
    </row>
    <row r="2348" spans="25:25" x14ac:dyDescent="0.2">
      <c r="Y2348" s="8" t="str">
        <f>IF(A2348="","",IFERROR(IF(VLOOKUP(A2348,Entry!$D:$D,1,FALSE)=A2348,"",ROW()),ROW()))</f>
        <v/>
      </c>
    </row>
    <row r="2349" spans="25:25" x14ac:dyDescent="0.2">
      <c r="Y2349" s="8" t="str">
        <f>IF(A2349="","",IFERROR(IF(VLOOKUP(A2349,Entry!$D:$D,1,FALSE)=A2349,"",ROW()),ROW()))</f>
        <v/>
      </c>
    </row>
    <row r="2350" spans="25:25" x14ac:dyDescent="0.2">
      <c r="Y2350" s="8" t="str">
        <f>IF(A2350="","",IFERROR(IF(VLOOKUP(A2350,Entry!$D:$D,1,FALSE)=A2350,"",ROW()),ROW()))</f>
        <v/>
      </c>
    </row>
    <row r="2351" spans="25:25" x14ac:dyDescent="0.2">
      <c r="Y2351" s="8" t="str">
        <f>IF(A2351="","",IFERROR(IF(VLOOKUP(A2351,Entry!$D:$D,1,FALSE)=A2351,"",ROW()),ROW()))</f>
        <v/>
      </c>
    </row>
    <row r="2352" spans="25:25" x14ac:dyDescent="0.2">
      <c r="Y2352" s="8" t="str">
        <f>IF(A2352="","",IFERROR(IF(VLOOKUP(A2352,Entry!$D:$D,1,FALSE)=A2352,"",ROW()),ROW()))</f>
        <v/>
      </c>
    </row>
    <row r="2353" spans="25:25" x14ac:dyDescent="0.2">
      <c r="Y2353" s="8" t="str">
        <f>IF(A2353="","",IFERROR(IF(VLOOKUP(A2353,Entry!$D:$D,1,FALSE)=A2353,"",ROW()),ROW()))</f>
        <v/>
      </c>
    </row>
    <row r="2354" spans="25:25" x14ac:dyDescent="0.2">
      <c r="Y2354" s="8" t="str">
        <f>IF(A2354="","",IFERROR(IF(VLOOKUP(A2354,Entry!$D:$D,1,FALSE)=A2354,"",ROW()),ROW()))</f>
        <v/>
      </c>
    </row>
    <row r="2355" spans="25:25" x14ac:dyDescent="0.2">
      <c r="Y2355" s="8" t="str">
        <f>IF(A2355="","",IFERROR(IF(VLOOKUP(A2355,Entry!$D:$D,1,FALSE)=A2355,"",ROW()),ROW()))</f>
        <v/>
      </c>
    </row>
    <row r="2356" spans="25:25" x14ac:dyDescent="0.2">
      <c r="Y2356" s="8" t="str">
        <f>IF(A2356="","",IFERROR(IF(VLOOKUP(A2356,Entry!$D:$D,1,FALSE)=A2356,"",ROW()),ROW()))</f>
        <v/>
      </c>
    </row>
    <row r="2357" spans="25:25" x14ac:dyDescent="0.2">
      <c r="Y2357" s="8" t="str">
        <f>IF(A2357="","",IFERROR(IF(VLOOKUP(A2357,Entry!$D:$D,1,FALSE)=A2357,"",ROW()),ROW()))</f>
        <v/>
      </c>
    </row>
    <row r="2358" spans="25:25" x14ac:dyDescent="0.2">
      <c r="Y2358" s="8" t="str">
        <f>IF(A2358="","",IFERROR(IF(VLOOKUP(A2358,Entry!$D:$D,1,FALSE)=A2358,"",ROW()),ROW()))</f>
        <v/>
      </c>
    </row>
    <row r="2359" spans="25:25" x14ac:dyDescent="0.2">
      <c r="Y2359" s="8" t="str">
        <f>IF(A2359="","",IFERROR(IF(VLOOKUP(A2359,Entry!$D:$D,1,FALSE)=A2359,"",ROW()),ROW()))</f>
        <v/>
      </c>
    </row>
    <row r="2360" spans="25:25" x14ac:dyDescent="0.2">
      <c r="Y2360" s="8" t="str">
        <f>IF(A2360="","",IFERROR(IF(VLOOKUP(A2360,Entry!$D:$D,1,FALSE)=A2360,"",ROW()),ROW()))</f>
        <v/>
      </c>
    </row>
    <row r="2361" spans="25:25" x14ac:dyDescent="0.2">
      <c r="Y2361" s="8" t="str">
        <f>IF(A2361="","",IFERROR(IF(VLOOKUP(A2361,Entry!$D:$D,1,FALSE)=A2361,"",ROW()),ROW()))</f>
        <v/>
      </c>
    </row>
    <row r="2362" spans="25:25" x14ac:dyDescent="0.2">
      <c r="Y2362" s="8" t="str">
        <f>IF(A2362="","",IFERROR(IF(VLOOKUP(A2362,Entry!$D:$D,1,FALSE)=A2362,"",ROW()),ROW()))</f>
        <v/>
      </c>
    </row>
  </sheetData>
  <sheetProtection algorithmName="SHA-512" hashValue="aemf/9k5f1lp7c34Qnlwoq+RkbO9EIzYIFKloVfrJjFS5Tb1oQM8acf8KEgVgVMrvfbw//a1bvnpHA8/69ycfg==" saltValue="Z2UnagtSKngb/Tzt4tifsw==" spinCount="100000" sheet="1" objects="1" scenarios="1"/>
  <conditionalFormatting sqref="A2:K601">
    <cfRule type="expression" dxfId="66" priority="5" stopIfTrue="1">
      <formula>CELL("Protect",$A2)=0</formula>
    </cfRule>
    <cfRule type="expression" dxfId="65" priority="6">
      <formula>CELL("Protect",A2)=1</formula>
    </cfRule>
  </conditionalFormatting>
  <conditionalFormatting sqref="L2:N601">
    <cfRule type="expression" dxfId="64" priority="3" stopIfTrue="1">
      <formula>CELL("Protect",$A2)=0</formula>
    </cfRule>
    <cfRule type="expression" dxfId="63" priority="4">
      <formula>CELL("Protect",L2)=1</formula>
    </cfRule>
  </conditionalFormatting>
  <conditionalFormatting sqref="A2:O601">
    <cfRule type="expression" dxfId="62" priority="1">
      <formula>$AG2=FALSE</formula>
    </cfRule>
    <cfRule type="expression" dxfId="61" priority="2">
      <formula>$AG2=TRUE</formula>
    </cfRule>
  </conditionalFormatting>
  <dataValidations count="5">
    <dataValidation type="list" allowBlank="1" showInputMessage="1" showErrorMessage="1" sqref="D3:D7 D9:D13 D15:D19 D21:D25 D27:D31 D33:D37 D39:D43 D45:D49 D51:D55 D57:D61 D63:D67 D69:D73 D75:D79 D81:D85 D87:D91 D93:D97 D99:D103 D105:D109 D111:D115 D117:D121 D123:D127 D129:D133 D135:D139 D141:D145 D147:D151 D153:D157 D159:D163 D165:D169 D171:D175 D177:D181 D183:D187 D189:D193 D195:D199 D201:D205 D207:D211 D213:D217 D219:D223 D225:D229 D231:D235 D237:D241 D243:D247 D249:D253 D255:D259 D261:D265 D267:D271 D273:D277 D279:D283 D285:D289 D291:D295 D297:D301 D303:D307 D309:D313 D315:D319 D321:D325 D327:D331 D333:D337 D339:D343 D345:D349 D351:D355 D357:D361 D363:D367 D369:D373 D375:D379 D381:D385 D387:D391 D393:D397 D399:D403 D405:D409 D411:D415 D417:D421 D423:D427 D429:D433 D435:D439 D441:D445 D447:D451 D453:D457 D459:D463 D465:D469 D471:D475 D477:D481 D483:D487 D489:D493 D495:D499 D501:D505 D507:D511 D513:D517 D519:D523 D525:D529 D531:D535 D537:D541 D543:D547 D549:D553 D555:D559 D561:D565 D567:D571 D573:D577 D579:D583 D585:D589 D591:D595 D597:D601">
      <formula1>INDIRECT("tblDepartment")</formula1>
    </dataValidation>
    <dataValidation type="list" allowBlank="1" showInputMessage="1" showErrorMessage="1" sqref="E3:E7 E9:E13 E15:E19 E21:E25 E27:E31 E33:E37 E39:E43 E45:E49 E51:E55 E57:E61 E63:E67 E69:E73 E75:E79 E81:E85 E87:E91 E93:E97 E99:E103 E105:E109 E111:E115 E117:E121 E123:E127 E129:E133 E135:E139 E141:E145 E147:E151 E153:E157 E159:E163 E165:E169 E171:E175 E177:E181 E183:E187 E189:E193 E195:E199 E201:E205 E207:E211 E213:E217 E219:E223 E225:E229 E231:E235 E237:E241 E243:E247 E249:E253 E255:E259 E261:E265 E267:E271 E273:E277 E279:E283 E285:E289 E291:E295 E297:E301 E303:E307 E309:E313 E315:E319 E321:E325 E327:E331 E333:E337 E339:E343 E345:E349 E351:E355 E357:E361 E363:E367 E369:E373 E375:E379 E381:E385 E387:E391 E393:E397 E399:E403 E405:E409 E411:E415 E417:E421 E423:E427 E429:E433 E435:E439 E441:E445 E447:E451 E453:E457 E459:E463 E465:E469 E471:E475 E477:E481 E483:E487 E489:E493 E495:E499 E501:E505 E507:E511 E513:E517 E519:E523 E525:E529 E531:E535 E537:E541 E543:E547 E549:E553 E555:E559 E561:E565 E567:E571 E573:E577 E579:E583 E585:E589 E591:E595 E597:E601">
      <formula1>INDIRECT("tblDirect")</formula1>
    </dataValidation>
    <dataValidation type="list" allowBlank="1" showInputMessage="1" showErrorMessage="1" sqref="G3:G7 G9:G13 G15:G19 G21:G25 G27:G31 G33:G37 G39:G43 G45:G49 G51:G55 G57:G61 G63:G67 G69:G73 G75:G79 G81:G85 G87:G91 G93:G97 G99:G103 G105:G109 G111:G115 G117:G121 G123:G127 G129:G133 G135:G139 G141:G145 G147:G151 G153:G157 G159:G163 G165:G169 G171:G175 G177:G181 G183:G187 G189:G193 G195:G199 G201:G205 G207:G211 G213:G217 G219:G223 G225:G229 G231:G235 G237:G241 G243:G247 G249:G253 G255:G259 G261:G265 G267:G271 G273:G277 G279:G283 G285:G289 G291:G295 G297:G301 G303:G307 G309:G313 G315:G319 G321:G325 G327:G331 G333:G337 G339:G343 G345:G349 G351:G355 G357:G361 G363:G367 G369:G373 G375:G379 G381:G385 G387:G391 G393:G397 G399:G403 G405:G409 G411:G415 G417:G421 G423:G427 G429:G433 G435:G439 G441:G445 G447:G451 G453:G457 G459:G463 G465:G469 G471:G475 G477:G481 G483:G487 G489:G493 G495:G499 G501:G505 G507:G511 G513:G517 G519:G523 G525:G529 G531:G535 G537:G541 G543:G547 G549:G553 G555:G559 G561:G565 G567:G571 G573:G577 G579:G583 G585:G589 G591:G595 G597:G601">
      <formula1>INDIRECT("tblFinancialCat[Financial Category]")</formula1>
    </dataValidation>
    <dataValidation type="list" allowBlank="1" showInputMessage="1" showErrorMessage="1" sqref="N3:N7 N9:N13 N15:N19 N21:N25 N27:N31 N33:N37 N39:N43 N45:N49 N51:N55 N57:N61 N63:N67 N69:N73 N75:N79 N81:N85 N87:N91 N93:N97 N99:N103 N105:N109 N111:N115 N117:N121 N123:N127 N129:N133 N135:N139 N141:N145 N147:N151 N153:N157 N159:N163 N165:N169 N171:N175 N177:N181 N183:N187 N189:N193 N195:N199 N201:N205 N207:N211 N213:N217 N219:N223 N225:N229 N231:N235 N237:N241 N243:N247 N249:N253 N255:N259 N261:N265 N267:N271 N273:N277 N279:N283 N285:N289 N291:N295 N297:N301 N303:N307 N309:N313 N315:N319 N321:N325 N327:N331 N333:N337 N339:N343 N345:N349 N351:N355 N357:N361 N363:N367 N369:N373 N375:N379 N381:N385 N387:N391 N393:N397 N399:N403 N405:N409 N411:N415 N417:N421 N423:N427 N429:N433 N435:N439 N441:N445 N447:N451 N453:N457 N459:N463 N465:N469 N471:N475 N477:N481 N483:N487 N489:N493 N495:N499 N501:N505 N507:N511 N513:N517 N519:N523 N525:N529 N531:N535 N537:N541 N543:N547 N549:N553 N555:N559 N561:N565 N567:N571 N573:N577 N579:N583 N585:N589 N591:N595 N597:N601">
      <formula1>INDIRECT("tblMonths")</formula1>
    </dataValidation>
    <dataValidation type="list" allowBlank="1" showInputMessage="1" showErrorMessage="1" sqref="M3:M7 M9:M13 M15:M19 M21:M25 M27:M31 M33:M37 M39:M43 M45:M49 M51:M55 M57:M61 M63:M67 M69:M73 M75:M79 M81:M85 M87:M91 M93:M97 M99:M103 M105:M109 M111:M115 M117:M121 M123:M127 M129:M133 M135:M139 M141:M145 M147:M151 M153:M157 M159:M163 M165:M169 M171:M175 M177:M181 M183:M187 M189:M193 M195:M199 M201:M205 M207:M211 M213:M217 M219:M223 M225:M229 M231:M235 M237:M241 M243:M247 M249:M253 M255:M259 M261:M265 M267:M271 M273:M277 M279:M283 M285:M289 M291:M295 M297:M301 M303:M307 M309:M313 M315:M319 M321:M325 M327:M331 M333:M337 M339:M343 M345:M349 M351:M355 M357:M361 M363:M367 M369:M373 M375:M379 M381:M385 M387:M391 M393:M397 M399:M403 M405:M409 M411:M415 M417:M421 M423:M427 M429:M433 M435:M439 M441:M445 M447:M451 M453:M457 M459:M463 M465:M469 M471:M475 M477:M481 M483:M487 M489:M493 M495:M499 M501:M505 M507:M511 M513:M517 M519:M523 M525:M529 M531:M535 M537:M541 M543:M547 M549:M553 M555:M559 M561:M565 M567:M571 M573:M577 M579:M583 M585:M589 M591:M595 M597:M601">
      <formula1>INDIRECT("tblYears")</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sources">
    <tabColor theme="7" tint="-0.249977111117893"/>
    <pageSetUpPr autoPageBreaks="0"/>
  </sheetPr>
  <dimension ref="A1:I34"/>
  <sheetViews>
    <sheetView showGridLines="0" showRowColHeaders="0" workbookViewId="0">
      <selection activeCell="D40" sqref="D40"/>
    </sheetView>
  </sheetViews>
  <sheetFormatPr defaultColWidth="8.7109375" defaultRowHeight="15" x14ac:dyDescent="0.25"/>
  <cols>
    <col min="2" max="2" width="42.85546875" customWidth="1"/>
    <col min="3" max="3" width="16.42578125" style="36" customWidth="1"/>
    <col min="4" max="4" width="11" customWidth="1"/>
    <col min="5" max="5" width="12.5703125" customWidth="1"/>
    <col min="6" max="6" width="39.42578125" customWidth="1"/>
    <col min="7" max="7" width="16.140625" style="36" customWidth="1"/>
  </cols>
  <sheetData>
    <row r="1" spans="1:7" ht="15.75" thickBot="1" x14ac:dyDescent="0.3">
      <c r="A1" s="52"/>
      <c r="B1" s="52"/>
      <c r="C1" s="63"/>
      <c r="D1" s="35"/>
      <c r="E1" s="64"/>
      <c r="F1" s="52"/>
      <c r="G1" s="63"/>
    </row>
    <row r="2" spans="1:7" ht="19.5" customHeight="1" thickTop="1" thickBot="1" x14ac:dyDescent="0.3">
      <c r="A2" s="128" t="s">
        <v>436</v>
      </c>
      <c r="B2" s="128" t="s">
        <v>45</v>
      </c>
      <c r="C2" s="128" t="s">
        <v>13</v>
      </c>
      <c r="E2" s="127" t="s">
        <v>436</v>
      </c>
      <c r="F2" s="127" t="s">
        <v>46</v>
      </c>
      <c r="G2" s="127" t="s">
        <v>13</v>
      </c>
    </row>
    <row r="3" spans="1:7" ht="16.5" thickTop="1" thickBot="1" x14ac:dyDescent="0.3">
      <c r="A3" s="125" t="s">
        <v>224</v>
      </c>
      <c r="B3" s="125" t="s">
        <v>14</v>
      </c>
      <c r="C3" s="126">
        <v>125000</v>
      </c>
      <c r="E3" s="125" t="s">
        <v>154</v>
      </c>
      <c r="F3" s="125" t="s">
        <v>146</v>
      </c>
      <c r="G3" s="126">
        <v>150</v>
      </c>
    </row>
    <row r="4" spans="1:7" ht="15.75" thickBot="1" x14ac:dyDescent="0.3">
      <c r="A4" s="50" t="s">
        <v>223</v>
      </c>
      <c r="B4" s="50" t="s">
        <v>44</v>
      </c>
      <c r="C4" s="124">
        <v>100000</v>
      </c>
      <c r="E4" s="50" t="s">
        <v>155</v>
      </c>
      <c r="F4" s="50" t="s">
        <v>149</v>
      </c>
      <c r="G4" s="124">
        <v>250</v>
      </c>
    </row>
    <row r="5" spans="1:7" ht="15.75" thickBot="1" x14ac:dyDescent="0.3">
      <c r="A5" s="49" t="s">
        <v>134</v>
      </c>
      <c r="B5" s="49" t="s">
        <v>118</v>
      </c>
      <c r="C5" s="123">
        <v>75000</v>
      </c>
      <c r="E5" s="49" t="s">
        <v>156</v>
      </c>
      <c r="F5" s="49" t="s">
        <v>148</v>
      </c>
      <c r="G5" s="123">
        <v>175</v>
      </c>
    </row>
    <row r="6" spans="1:7" ht="15.75" thickBot="1" x14ac:dyDescent="0.3">
      <c r="A6" s="50" t="s">
        <v>135</v>
      </c>
      <c r="B6" s="50" t="s">
        <v>119</v>
      </c>
      <c r="C6" s="124">
        <v>90000</v>
      </c>
      <c r="E6" s="50" t="s">
        <v>157</v>
      </c>
      <c r="F6" s="50" t="s">
        <v>147</v>
      </c>
      <c r="G6" s="124">
        <v>275</v>
      </c>
    </row>
    <row r="7" spans="1:7" ht="15.75" thickBot="1" x14ac:dyDescent="0.3">
      <c r="A7" s="49" t="s">
        <v>68</v>
      </c>
      <c r="B7" s="49" t="s">
        <v>121</v>
      </c>
      <c r="C7" s="123">
        <v>105000</v>
      </c>
      <c r="E7" s="49" t="s">
        <v>158</v>
      </c>
      <c r="F7" s="49" t="s">
        <v>125</v>
      </c>
      <c r="G7" s="123">
        <v>125</v>
      </c>
    </row>
    <row r="8" spans="1:7" ht="15.75" thickBot="1" x14ac:dyDescent="0.3">
      <c r="A8" s="50" t="s">
        <v>136</v>
      </c>
      <c r="B8" s="50" t="s">
        <v>123</v>
      </c>
      <c r="C8" s="124">
        <v>85000</v>
      </c>
      <c r="E8" s="50" t="s">
        <v>159</v>
      </c>
      <c r="F8" s="50" t="s">
        <v>150</v>
      </c>
      <c r="G8" s="124">
        <v>75</v>
      </c>
    </row>
    <row r="9" spans="1:7" ht="15.75" thickBot="1" x14ac:dyDescent="0.3">
      <c r="A9" s="49" t="s">
        <v>137</v>
      </c>
      <c r="B9" s="49" t="s">
        <v>124</v>
      </c>
      <c r="C9" s="123">
        <v>65000</v>
      </c>
      <c r="E9" s="49" t="s">
        <v>160</v>
      </c>
      <c r="F9" s="49" t="s">
        <v>145</v>
      </c>
      <c r="G9" s="123">
        <v>65</v>
      </c>
    </row>
    <row r="10" spans="1:7" ht="15.75" thickBot="1" x14ac:dyDescent="0.3">
      <c r="A10" s="50" t="s">
        <v>138</v>
      </c>
      <c r="B10" s="50" t="s">
        <v>125</v>
      </c>
      <c r="C10" s="124">
        <v>125000</v>
      </c>
      <c r="E10" s="50" t="s">
        <v>161</v>
      </c>
      <c r="F10" s="50" t="s">
        <v>162</v>
      </c>
      <c r="G10" s="124">
        <v>185</v>
      </c>
    </row>
    <row r="11" spans="1:7" ht="15.75" thickBot="1" x14ac:dyDescent="0.3">
      <c r="A11" s="49" t="s">
        <v>139</v>
      </c>
      <c r="B11" s="49" t="s">
        <v>126</v>
      </c>
      <c r="C11" s="123">
        <v>85000</v>
      </c>
      <c r="E11" s="49" t="s">
        <v>66</v>
      </c>
      <c r="F11" s="49" t="s">
        <v>15</v>
      </c>
      <c r="G11" s="123">
        <v>225</v>
      </c>
    </row>
    <row r="12" spans="1:7" ht="15.75" thickBot="1" x14ac:dyDescent="0.3">
      <c r="A12" s="50" t="s">
        <v>140</v>
      </c>
      <c r="B12" s="50" t="s">
        <v>127</v>
      </c>
      <c r="C12" s="124">
        <v>125000</v>
      </c>
      <c r="E12" s="50" t="s">
        <v>163</v>
      </c>
      <c r="F12" s="50" t="s">
        <v>122</v>
      </c>
      <c r="G12" s="124">
        <v>275</v>
      </c>
    </row>
    <row r="13" spans="1:7" ht="15.75" thickBot="1" x14ac:dyDescent="0.3">
      <c r="A13" s="49" t="s">
        <v>142</v>
      </c>
      <c r="B13" s="49" t="s">
        <v>128</v>
      </c>
      <c r="C13" s="123">
        <v>150000</v>
      </c>
      <c r="E13" s="49" t="s">
        <v>164</v>
      </c>
      <c r="F13" s="49" t="s">
        <v>151</v>
      </c>
      <c r="G13" s="123">
        <v>205</v>
      </c>
    </row>
    <row r="14" spans="1:7" ht="15.75" thickBot="1" x14ac:dyDescent="0.3">
      <c r="A14" s="50" t="s">
        <v>141</v>
      </c>
      <c r="B14" s="50" t="s">
        <v>129</v>
      </c>
      <c r="C14" s="124">
        <v>125000</v>
      </c>
      <c r="E14" s="50" t="s">
        <v>165</v>
      </c>
      <c r="F14" s="50" t="s">
        <v>152</v>
      </c>
      <c r="G14" s="124">
        <v>375</v>
      </c>
    </row>
    <row r="15" spans="1:7" ht="15.75" thickBot="1" x14ac:dyDescent="0.3">
      <c r="A15" s="49" t="s">
        <v>143</v>
      </c>
      <c r="B15" s="49" t="s">
        <v>133</v>
      </c>
      <c r="C15" s="123">
        <v>125000</v>
      </c>
      <c r="E15" s="49" t="s">
        <v>166</v>
      </c>
      <c r="F15" s="49" t="s">
        <v>153</v>
      </c>
      <c r="G15" s="123">
        <v>350</v>
      </c>
    </row>
    <row r="16" spans="1:7" ht="15.75" thickBot="1" x14ac:dyDescent="0.3">
      <c r="A16" s="50" t="s">
        <v>144</v>
      </c>
      <c r="B16" s="50" t="s">
        <v>130</v>
      </c>
      <c r="C16" s="124">
        <v>155000</v>
      </c>
      <c r="E16" s="50"/>
      <c r="F16" s="50"/>
      <c r="G16" s="124"/>
    </row>
    <row r="17" spans="1:9" ht="15.75" thickBot="1" x14ac:dyDescent="0.3">
      <c r="A17" s="49" t="s">
        <v>132</v>
      </c>
      <c r="B17" s="49" t="s">
        <v>131</v>
      </c>
      <c r="C17" s="123">
        <v>225000</v>
      </c>
      <c r="E17" s="49"/>
      <c r="F17" s="49"/>
      <c r="G17" s="123"/>
    </row>
    <row r="18" spans="1:9" ht="16.5" thickBot="1" x14ac:dyDescent="0.3">
      <c r="A18" s="50"/>
      <c r="B18" s="50"/>
      <c r="C18" s="124"/>
      <c r="E18" s="50"/>
      <c r="F18" s="50"/>
      <c r="G18" s="124"/>
      <c r="I18" s="129"/>
    </row>
    <row r="19" spans="1:9" ht="15.75" thickBot="1" x14ac:dyDescent="0.3">
      <c r="A19" s="49"/>
      <c r="B19" s="49"/>
      <c r="C19" s="123"/>
      <c r="E19" s="49"/>
      <c r="F19" s="49"/>
      <c r="G19" s="123"/>
    </row>
    <row r="20" spans="1:9" ht="15.75" thickBot="1" x14ac:dyDescent="0.3">
      <c r="A20" s="50"/>
      <c r="B20" s="50"/>
      <c r="C20" s="124"/>
      <c r="E20" s="50"/>
      <c r="F20" s="50"/>
      <c r="G20" s="124"/>
    </row>
    <row r="21" spans="1:9" ht="15.75" thickBot="1" x14ac:dyDescent="0.3">
      <c r="A21" s="49"/>
      <c r="B21" s="49"/>
      <c r="C21" s="123"/>
      <c r="E21" s="49"/>
      <c r="F21" s="49"/>
      <c r="G21" s="123"/>
    </row>
    <row r="22" spans="1:9" ht="15.75" thickBot="1" x14ac:dyDescent="0.3">
      <c r="A22" s="50"/>
      <c r="B22" s="50"/>
      <c r="C22" s="124"/>
      <c r="E22" s="50"/>
      <c r="F22" s="50"/>
      <c r="G22" s="124"/>
    </row>
    <row r="23" spans="1:9" ht="15.75" thickBot="1" x14ac:dyDescent="0.3">
      <c r="A23" s="49"/>
      <c r="B23" s="49"/>
      <c r="C23" s="123"/>
      <c r="E23" s="49"/>
      <c r="F23" s="49"/>
      <c r="G23" s="123"/>
    </row>
    <row r="24" spans="1:9" ht="15.75" thickBot="1" x14ac:dyDescent="0.3">
      <c r="A24" s="50"/>
      <c r="B24" s="50"/>
      <c r="C24" s="124"/>
      <c r="E24" s="50"/>
      <c r="F24" s="50"/>
      <c r="G24" s="124"/>
    </row>
    <row r="25" spans="1:9" ht="15.75" thickBot="1" x14ac:dyDescent="0.3">
      <c r="A25" s="49"/>
      <c r="B25" s="49"/>
      <c r="C25" s="123"/>
      <c r="E25" s="49"/>
      <c r="F25" s="49"/>
      <c r="G25" s="123"/>
    </row>
    <row r="26" spans="1:9" ht="15.75" thickBot="1" x14ac:dyDescent="0.3">
      <c r="A26" s="50"/>
      <c r="B26" s="50"/>
      <c r="C26" s="124"/>
      <c r="E26" s="50"/>
      <c r="F26" s="50"/>
      <c r="G26" s="124"/>
    </row>
    <row r="27" spans="1:9" ht="15.75" thickBot="1" x14ac:dyDescent="0.3">
      <c r="A27" s="49"/>
      <c r="B27" s="49"/>
      <c r="C27" s="123"/>
      <c r="E27" s="49"/>
      <c r="F27" s="49"/>
      <c r="G27" s="123"/>
    </row>
    <row r="28" spans="1:9" ht="15.75" thickBot="1" x14ac:dyDescent="0.3">
      <c r="A28" s="50"/>
      <c r="B28" s="50"/>
      <c r="C28" s="124"/>
      <c r="E28" s="50"/>
      <c r="F28" s="50"/>
      <c r="G28" s="124"/>
    </row>
    <row r="29" spans="1:9" ht="15.75" thickBot="1" x14ac:dyDescent="0.3">
      <c r="A29" s="49"/>
      <c r="B29" s="49"/>
      <c r="C29" s="123"/>
      <c r="E29" s="49"/>
      <c r="F29" s="49"/>
      <c r="G29" s="123"/>
    </row>
    <row r="30" spans="1:9" ht="15.75" thickBot="1" x14ac:dyDescent="0.3">
      <c r="A30" s="50"/>
      <c r="B30" s="50"/>
      <c r="C30" s="124"/>
      <c r="E30" s="50"/>
      <c r="F30" s="50"/>
      <c r="G30" s="124"/>
    </row>
    <row r="31" spans="1:9" ht="15.75" thickBot="1" x14ac:dyDescent="0.3">
      <c r="A31" s="49"/>
      <c r="B31" s="49"/>
      <c r="C31" s="123"/>
      <c r="E31" s="49"/>
      <c r="F31" s="49"/>
      <c r="G31" s="123"/>
    </row>
    <row r="32" spans="1:9" ht="15.75" thickBot="1" x14ac:dyDescent="0.3">
      <c r="A32" s="50"/>
      <c r="B32" s="50"/>
      <c r="C32" s="124"/>
      <c r="E32" s="50"/>
      <c r="F32" s="50"/>
      <c r="G32" s="124"/>
    </row>
    <row r="33" spans="1:7" ht="15.75" thickBot="1" x14ac:dyDescent="0.3">
      <c r="A33" s="49"/>
      <c r="B33" s="49"/>
      <c r="C33" s="123"/>
      <c r="E33" s="49"/>
      <c r="F33" s="49"/>
      <c r="G33" s="123"/>
    </row>
    <row r="34" spans="1:7" ht="15.75" thickBot="1" x14ac:dyDescent="0.3">
      <c r="A34" s="50"/>
      <c r="B34" s="50"/>
      <c r="C34" s="124"/>
      <c r="E34" s="50"/>
      <c r="F34" s="50"/>
      <c r="G34" s="12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Dropdown">
    <tabColor theme="5"/>
  </sheetPr>
  <dimension ref="A1:V30"/>
  <sheetViews>
    <sheetView showGridLines="0" showRowColHeaders="0" workbookViewId="0">
      <selection activeCell="D40" sqref="D40"/>
    </sheetView>
  </sheetViews>
  <sheetFormatPr defaultColWidth="8.7109375" defaultRowHeight="12.75" x14ac:dyDescent="0.2"/>
  <cols>
    <col min="1" max="1" width="42.140625" style="8" customWidth="1"/>
    <col min="2" max="2" width="2.28515625" style="8" customWidth="1"/>
    <col min="3" max="3" width="34.42578125" style="8" customWidth="1"/>
    <col min="4" max="4" width="3.140625" style="8" customWidth="1"/>
    <col min="5" max="5" width="14.85546875" style="8" customWidth="1"/>
    <col min="6" max="6" width="5.42578125" style="8" customWidth="1"/>
    <col min="7" max="7" width="28.42578125" style="8" customWidth="1"/>
    <col min="8" max="8" width="25.7109375" style="8" customWidth="1"/>
    <col min="9" max="9" width="3.140625" style="8" customWidth="1"/>
    <col min="10" max="10" width="16.42578125" style="8" customWidth="1"/>
    <col min="11" max="11" width="3" style="8" customWidth="1"/>
    <col min="12" max="12" width="24.5703125" style="8" customWidth="1"/>
    <col min="13" max="13" width="2.140625" style="8" customWidth="1"/>
    <col min="14" max="14" width="32.28515625" style="8" customWidth="1"/>
    <col min="15" max="15" width="2.7109375" style="8" customWidth="1"/>
    <col min="16" max="16" width="27" style="8" customWidth="1"/>
    <col min="17" max="17" width="8" style="8" customWidth="1"/>
    <col min="18" max="18" width="12.85546875" style="8" customWidth="1"/>
    <col min="19" max="19" width="4.42578125" style="8" customWidth="1"/>
    <col min="20" max="20" width="15.28515625" style="8" customWidth="1"/>
    <col min="21" max="16384" width="8.7109375" style="8"/>
  </cols>
  <sheetData>
    <row r="1" spans="1:22" s="119" customFormat="1" ht="15.75" customHeight="1" x14ac:dyDescent="0.25">
      <c r="A1" s="117" t="s">
        <v>25</v>
      </c>
      <c r="B1" s="122"/>
      <c r="C1" s="117" t="s">
        <v>2</v>
      </c>
      <c r="D1" s="122"/>
      <c r="E1" s="117" t="s">
        <v>22</v>
      </c>
      <c r="F1" s="122"/>
      <c r="G1" s="117" t="s">
        <v>23</v>
      </c>
      <c r="H1" s="118" t="s">
        <v>24</v>
      </c>
      <c r="I1" s="122"/>
      <c r="J1" s="117" t="s">
        <v>3</v>
      </c>
      <c r="K1" s="122"/>
      <c r="L1" s="117" t="s">
        <v>12</v>
      </c>
      <c r="N1" s="117" t="s">
        <v>47</v>
      </c>
      <c r="P1" s="120" t="s">
        <v>48</v>
      </c>
      <c r="Q1" s="120" t="s">
        <v>49</v>
      </c>
      <c r="R1" s="120" t="s">
        <v>50</v>
      </c>
      <c r="T1" s="121" t="s">
        <v>418</v>
      </c>
      <c r="V1" s="201" t="s">
        <v>455</v>
      </c>
    </row>
    <row r="2" spans="1:22" x14ac:dyDescent="0.2">
      <c r="A2" s="8" t="s">
        <v>1</v>
      </c>
      <c r="C2" s="9" t="s">
        <v>181</v>
      </c>
      <c r="D2" s="9"/>
      <c r="E2" s="9" t="s">
        <v>62</v>
      </c>
      <c r="F2" s="9"/>
      <c r="G2" s="37" t="s">
        <v>9</v>
      </c>
      <c r="H2" s="37" t="s">
        <v>38</v>
      </c>
      <c r="J2" s="8" t="s">
        <v>3</v>
      </c>
      <c r="L2" s="9" t="s">
        <v>222</v>
      </c>
      <c r="N2" s="8" t="s">
        <v>173</v>
      </c>
      <c r="P2" s="12">
        <v>40</v>
      </c>
      <c r="Q2" s="12">
        <v>52</v>
      </c>
      <c r="R2" s="13">
        <f>P2*Q2</f>
        <v>2080</v>
      </c>
      <c r="T2" s="130" t="s">
        <v>419</v>
      </c>
      <c r="V2" s="202">
        <v>2015</v>
      </c>
    </row>
    <row r="3" spans="1:22" x14ac:dyDescent="0.2">
      <c r="A3" s="8" t="s">
        <v>16</v>
      </c>
      <c r="C3" s="9" t="s">
        <v>185</v>
      </c>
      <c r="D3" s="9"/>
      <c r="E3" s="9" t="s">
        <v>63</v>
      </c>
      <c r="F3" s="9"/>
      <c r="G3" s="37" t="s">
        <v>10</v>
      </c>
      <c r="H3" s="37" t="s">
        <v>38</v>
      </c>
      <c r="J3" s="8" t="s">
        <v>4</v>
      </c>
      <c r="L3" s="8" t="s">
        <v>44</v>
      </c>
      <c r="N3" s="8" t="s">
        <v>193</v>
      </c>
      <c r="T3" s="130" t="s">
        <v>420</v>
      </c>
      <c r="V3" s="203">
        <v>2016</v>
      </c>
    </row>
    <row r="4" spans="1:22" x14ac:dyDescent="0.2">
      <c r="A4" s="8" t="s">
        <v>20</v>
      </c>
      <c r="C4" s="9" t="s">
        <v>120</v>
      </c>
      <c r="D4" s="9"/>
      <c r="E4" s="9" t="s">
        <v>64</v>
      </c>
      <c r="F4" s="9"/>
      <c r="G4" s="37" t="s">
        <v>11</v>
      </c>
      <c r="H4" s="37" t="s">
        <v>39</v>
      </c>
      <c r="J4" s="8" t="s">
        <v>5</v>
      </c>
      <c r="L4" s="8" t="s">
        <v>41</v>
      </c>
      <c r="N4" s="8" t="s">
        <v>174</v>
      </c>
      <c r="T4" s="130" t="s">
        <v>421</v>
      </c>
      <c r="V4" s="202">
        <v>2017</v>
      </c>
    </row>
    <row r="5" spans="1:22" x14ac:dyDescent="0.2">
      <c r="A5" s="8" t="s">
        <v>28</v>
      </c>
      <c r="C5" s="9" t="s">
        <v>19</v>
      </c>
      <c r="D5" s="9"/>
      <c r="E5" s="9" t="s">
        <v>65</v>
      </c>
      <c r="F5" s="9"/>
      <c r="G5" s="37" t="s">
        <v>171</v>
      </c>
      <c r="H5" s="37" t="s">
        <v>39</v>
      </c>
      <c r="L5" s="8" t="s">
        <v>40</v>
      </c>
      <c r="N5" s="8" t="s">
        <v>151</v>
      </c>
      <c r="T5" s="130" t="s">
        <v>422</v>
      </c>
    </row>
    <row r="6" spans="1:22" x14ac:dyDescent="0.2">
      <c r="A6" s="8" t="s">
        <v>30</v>
      </c>
      <c r="C6" s="9" t="s">
        <v>188</v>
      </c>
      <c r="D6" s="9"/>
      <c r="E6" s="9"/>
      <c r="F6" s="9"/>
      <c r="G6" s="37" t="s">
        <v>172</v>
      </c>
      <c r="H6" s="37" t="s">
        <v>39</v>
      </c>
      <c r="L6" s="8" t="s">
        <v>169</v>
      </c>
      <c r="N6" s="8" t="s">
        <v>192</v>
      </c>
      <c r="T6" s="130" t="s">
        <v>423</v>
      </c>
    </row>
    <row r="7" spans="1:22" x14ac:dyDescent="0.2">
      <c r="A7" s="8" t="s">
        <v>27</v>
      </c>
      <c r="C7" s="9" t="s">
        <v>182</v>
      </c>
      <c r="D7" s="9"/>
      <c r="E7" s="9"/>
      <c r="F7" s="9"/>
      <c r="G7" s="37" t="s">
        <v>26</v>
      </c>
      <c r="H7" s="37" t="s">
        <v>39</v>
      </c>
      <c r="L7" s="9" t="s">
        <v>42</v>
      </c>
      <c r="N7" s="8" t="s">
        <v>209</v>
      </c>
      <c r="T7" s="130" t="s">
        <v>424</v>
      </c>
    </row>
    <row r="8" spans="1:22" x14ac:dyDescent="0.2">
      <c r="A8" s="8" t="s">
        <v>0</v>
      </c>
      <c r="C8" s="9" t="s">
        <v>175</v>
      </c>
      <c r="D8" s="9"/>
      <c r="E8" s="9"/>
      <c r="F8" s="9"/>
      <c r="G8" s="37" t="s">
        <v>31</v>
      </c>
      <c r="H8" s="37" t="s">
        <v>39</v>
      </c>
      <c r="L8" s="8" t="s">
        <v>43</v>
      </c>
      <c r="N8" s="8" t="s">
        <v>202</v>
      </c>
      <c r="T8" s="130" t="s">
        <v>425</v>
      </c>
    </row>
    <row r="9" spans="1:22" x14ac:dyDescent="0.2">
      <c r="A9" s="8" t="s">
        <v>29</v>
      </c>
      <c r="C9" s="9" t="s">
        <v>189</v>
      </c>
      <c r="D9" s="9"/>
      <c r="E9" s="9"/>
      <c r="F9" s="9"/>
      <c r="G9" s="37" t="s">
        <v>34</v>
      </c>
      <c r="H9" s="37" t="s">
        <v>39</v>
      </c>
      <c r="L9" s="8" t="s">
        <v>170</v>
      </c>
      <c r="N9" s="8" t="s">
        <v>205</v>
      </c>
      <c r="T9" s="130" t="s">
        <v>426</v>
      </c>
    </row>
    <row r="10" spans="1:22" x14ac:dyDescent="0.2">
      <c r="A10" s="8" t="s">
        <v>168</v>
      </c>
      <c r="C10" s="9" t="s">
        <v>176</v>
      </c>
      <c r="D10" s="9"/>
      <c r="E10" s="9"/>
      <c r="F10" s="9"/>
      <c r="G10" s="67" t="s">
        <v>252</v>
      </c>
      <c r="H10" s="67" t="s">
        <v>38</v>
      </c>
      <c r="L10" s="8" t="s">
        <v>179</v>
      </c>
      <c r="N10" s="8" t="s">
        <v>32</v>
      </c>
      <c r="T10" s="130" t="s">
        <v>427</v>
      </c>
    </row>
    <row r="11" spans="1:22" x14ac:dyDescent="0.2">
      <c r="A11" s="8" t="s">
        <v>167</v>
      </c>
      <c r="C11" s="9" t="s">
        <v>186</v>
      </c>
      <c r="D11" s="9"/>
      <c r="E11" s="9"/>
      <c r="F11" s="9"/>
      <c r="N11" s="8" t="s">
        <v>197</v>
      </c>
      <c r="T11" s="130" t="s">
        <v>428</v>
      </c>
    </row>
    <row r="12" spans="1:22" x14ac:dyDescent="0.2">
      <c r="A12" s="8" t="s">
        <v>17</v>
      </c>
      <c r="C12" s="9" t="s">
        <v>194</v>
      </c>
      <c r="D12" s="9"/>
      <c r="E12" s="9"/>
      <c r="F12" s="9"/>
      <c r="N12" s="8" t="s">
        <v>177</v>
      </c>
      <c r="T12" s="130" t="s">
        <v>429</v>
      </c>
    </row>
    <row r="13" spans="1:22" x14ac:dyDescent="0.2">
      <c r="C13" s="9" t="s">
        <v>18</v>
      </c>
      <c r="D13" s="9"/>
      <c r="E13" s="9"/>
      <c r="F13" s="9"/>
      <c r="N13" s="8" t="s">
        <v>178</v>
      </c>
      <c r="T13" s="130" t="s">
        <v>430</v>
      </c>
    </row>
    <row r="14" spans="1:22" x14ac:dyDescent="0.2">
      <c r="C14" s="9" t="s">
        <v>190</v>
      </c>
      <c r="D14" s="9"/>
      <c r="E14" s="9"/>
      <c r="F14" s="9"/>
      <c r="N14" s="8" t="s">
        <v>179</v>
      </c>
    </row>
    <row r="15" spans="1:22" x14ac:dyDescent="0.2">
      <c r="C15" s="8" t="s">
        <v>180</v>
      </c>
      <c r="N15" s="8" t="s">
        <v>195</v>
      </c>
    </row>
    <row r="16" spans="1:22" x14ac:dyDescent="0.2">
      <c r="C16" s="9" t="s">
        <v>184</v>
      </c>
      <c r="D16" s="9"/>
      <c r="E16" s="9"/>
      <c r="F16" s="9"/>
      <c r="N16" s="8" t="s">
        <v>208</v>
      </c>
    </row>
    <row r="17" spans="3:14" x14ac:dyDescent="0.2">
      <c r="C17" s="8" t="s">
        <v>203</v>
      </c>
      <c r="N17" s="8" t="s">
        <v>206</v>
      </c>
    </row>
    <row r="18" spans="3:14" x14ac:dyDescent="0.2">
      <c r="N18" s="8" t="s">
        <v>201</v>
      </c>
    </row>
    <row r="19" spans="3:14" x14ac:dyDescent="0.2">
      <c r="N19" s="8" t="s">
        <v>207</v>
      </c>
    </row>
    <row r="20" spans="3:14" x14ac:dyDescent="0.2">
      <c r="N20" s="8" t="s">
        <v>33</v>
      </c>
    </row>
    <row r="21" spans="3:14" x14ac:dyDescent="0.2">
      <c r="N21" s="8" t="s">
        <v>191</v>
      </c>
    </row>
    <row r="22" spans="3:14" x14ac:dyDescent="0.2">
      <c r="N22" s="8" t="s">
        <v>204</v>
      </c>
    </row>
    <row r="23" spans="3:14" x14ac:dyDescent="0.2">
      <c r="N23" s="8" t="s">
        <v>211</v>
      </c>
    </row>
    <row r="24" spans="3:14" x14ac:dyDescent="0.2">
      <c r="N24" s="8" t="s">
        <v>199</v>
      </c>
    </row>
    <row r="25" spans="3:14" x14ac:dyDescent="0.2">
      <c r="N25" s="8" t="s">
        <v>196</v>
      </c>
    </row>
    <row r="26" spans="3:14" x14ac:dyDescent="0.2">
      <c r="N26" s="8" t="s">
        <v>187</v>
      </c>
    </row>
    <row r="27" spans="3:14" x14ac:dyDescent="0.2">
      <c r="N27" s="8" t="s">
        <v>198</v>
      </c>
    </row>
    <row r="28" spans="3:14" x14ac:dyDescent="0.2">
      <c r="N28" s="8" t="s">
        <v>210</v>
      </c>
    </row>
    <row r="29" spans="3:14" x14ac:dyDescent="0.2">
      <c r="N29" s="8" t="s">
        <v>200</v>
      </c>
    </row>
    <row r="30" spans="3:14" x14ac:dyDescent="0.2">
      <c r="N30" s="8" t="s">
        <v>183</v>
      </c>
    </row>
  </sheetData>
  <pageMargins left="0.7" right="0.7" top="0.75" bottom="0.75" header="0.3" footer="0.3"/>
  <pageSetup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ofile">
    <tabColor theme="5"/>
  </sheetPr>
  <dimension ref="B1:E62"/>
  <sheetViews>
    <sheetView showGridLines="0" showRowColHeaders="0" zoomScale="110" zoomScaleNormal="110" workbookViewId="0">
      <selection activeCell="E14" sqref="E14"/>
    </sheetView>
  </sheetViews>
  <sheetFormatPr defaultColWidth="8.7109375" defaultRowHeight="15" x14ac:dyDescent="0.25"/>
  <cols>
    <col min="2" max="2" width="32.85546875" customWidth="1"/>
    <col min="3" max="3" width="17.7109375" customWidth="1"/>
    <col min="5" max="5" width="134.85546875" customWidth="1"/>
  </cols>
  <sheetData>
    <row r="1" spans="2:5" ht="15.75" thickBot="1" x14ac:dyDescent="0.3">
      <c r="B1" s="168" t="s">
        <v>98</v>
      </c>
      <c r="C1" s="168" t="s">
        <v>99</v>
      </c>
      <c r="E1" s="116" t="s">
        <v>102</v>
      </c>
    </row>
    <row r="2" spans="2:5" ht="15.75" thickBot="1" x14ac:dyDescent="0.3">
      <c r="B2" s="232" t="s">
        <v>473</v>
      </c>
      <c r="C2" s="233">
        <v>6000</v>
      </c>
      <c r="E2" s="51" t="s">
        <v>400</v>
      </c>
    </row>
    <row r="3" spans="2:5" ht="15.75" thickBot="1" x14ac:dyDescent="0.3">
      <c r="B3" s="234" t="s">
        <v>474</v>
      </c>
      <c r="C3" s="235">
        <v>275</v>
      </c>
      <c r="E3" s="51" t="s">
        <v>100</v>
      </c>
    </row>
    <row r="4" spans="2:5" ht="15.75" thickBot="1" x14ac:dyDescent="0.3">
      <c r="B4" s="236" t="s">
        <v>475</v>
      </c>
      <c r="C4" s="237">
        <v>75</v>
      </c>
      <c r="E4" s="51" t="s">
        <v>101</v>
      </c>
    </row>
    <row r="5" spans="2:5" ht="15.75" thickBot="1" x14ac:dyDescent="0.3">
      <c r="B5" s="238" t="s">
        <v>476</v>
      </c>
      <c r="C5" s="239">
        <v>7500</v>
      </c>
      <c r="E5" s="51"/>
    </row>
    <row r="6" spans="2:5" ht="15.75" thickBot="1" x14ac:dyDescent="0.3">
      <c r="B6" s="243"/>
      <c r="C6" s="244"/>
      <c r="E6" s="51"/>
    </row>
    <row r="7" spans="2:5" ht="15.75" thickBot="1" x14ac:dyDescent="0.3">
      <c r="B7" s="240"/>
      <c r="C7" s="235"/>
    </row>
    <row r="8" spans="2:5" ht="15.75" thickBot="1" x14ac:dyDescent="0.3">
      <c r="B8" s="241"/>
      <c r="C8" s="237"/>
    </row>
    <row r="9" spans="2:5" ht="15.75" thickBot="1" x14ac:dyDescent="0.3">
      <c r="B9" s="240"/>
      <c r="C9" s="235"/>
    </row>
    <row r="10" spans="2:5" ht="15.75" thickBot="1" x14ac:dyDescent="0.3">
      <c r="B10" s="241"/>
      <c r="C10" s="237"/>
    </row>
    <row r="11" spans="2:5" ht="15.75" thickBot="1" x14ac:dyDescent="0.3">
      <c r="B11" s="240"/>
      <c r="C11" s="235"/>
    </row>
    <row r="12" spans="2:5" ht="15.75" thickBot="1" x14ac:dyDescent="0.3">
      <c r="B12" s="241"/>
      <c r="C12" s="237"/>
    </row>
    <row r="13" spans="2:5" ht="15.75" thickBot="1" x14ac:dyDescent="0.3">
      <c r="B13" s="240"/>
      <c r="C13" s="235"/>
    </row>
    <row r="14" spans="2:5" ht="15.75" thickBot="1" x14ac:dyDescent="0.3">
      <c r="B14" s="241"/>
      <c r="C14" s="237"/>
    </row>
    <row r="15" spans="2:5" ht="15.75" thickBot="1" x14ac:dyDescent="0.3">
      <c r="B15" s="240"/>
      <c r="C15" s="235"/>
    </row>
    <row r="16" spans="2:5" ht="15.75" thickBot="1" x14ac:dyDescent="0.3">
      <c r="B16" s="241"/>
      <c r="C16" s="237"/>
    </row>
    <row r="17" spans="2:3" ht="15.75" thickBot="1" x14ac:dyDescent="0.3">
      <c r="B17" s="240"/>
      <c r="C17" s="235"/>
    </row>
    <row r="18" spans="2:3" ht="15.75" thickBot="1" x14ac:dyDescent="0.3">
      <c r="B18" s="241"/>
      <c r="C18" s="237"/>
    </row>
    <row r="19" spans="2:3" x14ac:dyDescent="0.25">
      <c r="B19" s="2"/>
      <c r="C19" s="242"/>
    </row>
    <row r="20" spans="2:3" x14ac:dyDescent="0.25">
      <c r="B20" s="2"/>
      <c r="C20" s="242"/>
    </row>
    <row r="21" spans="2:3" x14ac:dyDescent="0.25">
      <c r="B21" s="2"/>
      <c r="C21" s="242"/>
    </row>
    <row r="22" spans="2:3" x14ac:dyDescent="0.25">
      <c r="B22" s="2"/>
      <c r="C22" s="242"/>
    </row>
    <row r="23" spans="2:3" x14ac:dyDescent="0.25">
      <c r="B23" s="2"/>
      <c r="C23" s="242"/>
    </row>
    <row r="24" spans="2:3" x14ac:dyDescent="0.25">
      <c r="B24" s="2"/>
      <c r="C24" s="242"/>
    </row>
    <row r="25" spans="2:3" x14ac:dyDescent="0.25">
      <c r="B25" s="2"/>
      <c r="C25" s="242"/>
    </row>
    <row r="26" spans="2:3" x14ac:dyDescent="0.25">
      <c r="B26" s="2"/>
      <c r="C26" s="242"/>
    </row>
    <row r="27" spans="2:3" x14ac:dyDescent="0.25">
      <c r="B27" s="2"/>
      <c r="C27" s="242"/>
    </row>
    <row r="28" spans="2:3" x14ac:dyDescent="0.25">
      <c r="B28" s="2"/>
      <c r="C28" s="242"/>
    </row>
    <row r="29" spans="2:3" x14ac:dyDescent="0.25">
      <c r="B29" s="2"/>
      <c r="C29" s="2"/>
    </row>
    <row r="30" spans="2:3" x14ac:dyDescent="0.25">
      <c r="B30" s="2"/>
      <c r="C30" s="2"/>
    </row>
    <row r="31" spans="2:3" x14ac:dyDescent="0.25">
      <c r="B31" s="2"/>
      <c r="C31" s="2"/>
    </row>
    <row r="32" spans="2:3" x14ac:dyDescent="0.25">
      <c r="B32" s="2"/>
      <c r="C32" s="2"/>
    </row>
    <row r="33" spans="2:3" x14ac:dyDescent="0.25">
      <c r="B33" s="2"/>
      <c r="C33" s="2"/>
    </row>
    <row r="34" spans="2:3" x14ac:dyDescent="0.25">
      <c r="B34" s="2"/>
      <c r="C34" s="2"/>
    </row>
    <row r="35" spans="2:3" x14ac:dyDescent="0.25">
      <c r="B35" s="2"/>
      <c r="C35" s="2"/>
    </row>
    <row r="36" spans="2:3" x14ac:dyDescent="0.25">
      <c r="B36" s="2"/>
      <c r="C36" s="2"/>
    </row>
    <row r="37" spans="2:3" x14ac:dyDescent="0.25">
      <c r="B37" s="2"/>
      <c r="C37" s="2"/>
    </row>
    <row r="38" spans="2:3" x14ac:dyDescent="0.25">
      <c r="B38" s="2"/>
      <c r="C38" s="2"/>
    </row>
    <row r="39" spans="2:3" x14ac:dyDescent="0.25">
      <c r="B39" s="2"/>
      <c r="C39" s="2"/>
    </row>
    <row r="40" spans="2:3" x14ac:dyDescent="0.25">
      <c r="B40" s="2"/>
      <c r="C40" s="2"/>
    </row>
    <row r="41" spans="2:3" x14ac:dyDescent="0.25">
      <c r="B41" s="2"/>
      <c r="C41" s="2"/>
    </row>
    <row r="42" spans="2:3" x14ac:dyDescent="0.25">
      <c r="B42" s="2"/>
      <c r="C42" s="2"/>
    </row>
    <row r="43" spans="2:3" x14ac:dyDescent="0.25">
      <c r="B43" s="2"/>
      <c r="C43" s="2"/>
    </row>
    <row r="44" spans="2:3" x14ac:dyDescent="0.25">
      <c r="B44" s="2"/>
      <c r="C44" s="2"/>
    </row>
    <row r="45" spans="2:3" x14ac:dyDescent="0.25">
      <c r="B45" s="2"/>
      <c r="C45" s="2"/>
    </row>
    <row r="46" spans="2:3" x14ac:dyDescent="0.25">
      <c r="B46" s="2"/>
      <c r="C46" s="2"/>
    </row>
    <row r="47" spans="2:3" x14ac:dyDescent="0.25">
      <c r="B47" s="2"/>
      <c r="C47" s="2"/>
    </row>
    <row r="48" spans="2:3" x14ac:dyDescent="0.25">
      <c r="B48" s="2"/>
      <c r="C48" s="2"/>
    </row>
    <row r="49" spans="2:3" x14ac:dyDescent="0.25">
      <c r="B49" s="2"/>
      <c r="C49" s="2"/>
    </row>
    <row r="50" spans="2:3" x14ac:dyDescent="0.25">
      <c r="B50" s="2"/>
      <c r="C50" s="2"/>
    </row>
    <row r="51" spans="2:3" x14ac:dyDescent="0.25">
      <c r="B51" s="2"/>
      <c r="C51" s="2"/>
    </row>
    <row r="52" spans="2:3" x14ac:dyDescent="0.25">
      <c r="B52" s="2"/>
      <c r="C52" s="2"/>
    </row>
    <row r="53" spans="2:3" x14ac:dyDescent="0.25">
      <c r="B53" s="2"/>
      <c r="C53" s="2"/>
    </row>
    <row r="54" spans="2:3" x14ac:dyDescent="0.25">
      <c r="B54" s="2"/>
      <c r="C54" s="2"/>
    </row>
    <row r="55" spans="2:3" x14ac:dyDescent="0.25">
      <c r="B55" s="2"/>
      <c r="C55" s="2"/>
    </row>
    <row r="56" spans="2:3" x14ac:dyDescent="0.25">
      <c r="B56" s="2"/>
      <c r="C56" s="2"/>
    </row>
    <row r="57" spans="2:3" x14ac:dyDescent="0.25">
      <c r="B57" s="2"/>
      <c r="C57" s="2"/>
    </row>
    <row r="58" spans="2:3" x14ac:dyDescent="0.25">
      <c r="B58" s="2"/>
      <c r="C58" s="2"/>
    </row>
    <row r="59" spans="2:3" x14ac:dyDescent="0.25">
      <c r="B59" s="2"/>
      <c r="C59" s="2"/>
    </row>
    <row r="60" spans="2:3" x14ac:dyDescent="0.25">
      <c r="B60" s="2"/>
      <c r="C60" s="2"/>
    </row>
    <row r="61" spans="2:3" x14ac:dyDescent="0.25">
      <c r="B61" s="2"/>
      <c r="C61" s="2"/>
    </row>
    <row r="62" spans="2:3" x14ac:dyDescent="0.25">
      <c r="B62" s="2"/>
      <c r="C62" s="2"/>
    </row>
  </sheetData>
  <sheetProtection password="9E6F" sheet="1" objects="1" scenarios="1" insertRows="0" deleteRows="0"/>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249977111117893"/>
  </sheetPr>
  <dimension ref="A1:E19"/>
  <sheetViews>
    <sheetView showGridLines="0" showRowColHeaders="0" workbookViewId="0">
      <pane xSplit="3" ySplit="1" topLeftCell="D2" activePane="bottomRight" state="frozen"/>
      <selection activeCell="D40" sqref="D40"/>
      <selection pane="topRight" activeCell="D40" sqref="D40"/>
      <selection pane="bottomLeft" activeCell="D40" sqref="D40"/>
      <selection pane="bottomRight" activeCell="B16" sqref="B16"/>
    </sheetView>
  </sheetViews>
  <sheetFormatPr defaultRowHeight="15" x14ac:dyDescent="0.25"/>
  <cols>
    <col min="1" max="1" width="11.28515625" customWidth="1"/>
    <col min="2" max="2" width="27.140625" customWidth="1"/>
    <col min="4" max="4" width="53" customWidth="1"/>
    <col min="5" max="5" width="91.28515625" customWidth="1"/>
  </cols>
  <sheetData>
    <row r="1" spans="1:5" ht="18.75" customHeight="1" thickTop="1" thickBot="1" x14ac:dyDescent="0.3">
      <c r="A1" s="53" t="s">
        <v>103</v>
      </c>
      <c r="B1" s="53" t="s">
        <v>104</v>
      </c>
      <c r="C1" s="53" t="s">
        <v>67</v>
      </c>
      <c r="D1" s="53" t="s">
        <v>88</v>
      </c>
      <c r="E1" s="53" t="s">
        <v>105</v>
      </c>
    </row>
    <row r="2" spans="1:5" ht="16.5" thickTop="1" thickBot="1" x14ac:dyDescent="0.3">
      <c r="A2" s="54" t="s">
        <v>318</v>
      </c>
      <c r="B2" s="54" t="s">
        <v>106</v>
      </c>
      <c r="C2" s="54"/>
      <c r="D2" s="57" t="s">
        <v>107</v>
      </c>
      <c r="E2" s="57"/>
    </row>
    <row r="3" spans="1:5" ht="15.75" thickBot="1" x14ac:dyDescent="0.3">
      <c r="A3" s="55" t="s">
        <v>319</v>
      </c>
      <c r="B3" s="55" t="s">
        <v>106</v>
      </c>
      <c r="C3" s="55"/>
      <c r="D3" s="58" t="s">
        <v>108</v>
      </c>
      <c r="E3" s="58"/>
    </row>
    <row r="4" spans="1:5" ht="15.75" thickBot="1" x14ac:dyDescent="0.3">
      <c r="A4" s="56" t="s">
        <v>320</v>
      </c>
      <c r="B4" s="56" t="s">
        <v>106</v>
      </c>
      <c r="C4" s="56"/>
      <c r="D4" s="59" t="s">
        <v>109</v>
      </c>
      <c r="E4" s="59"/>
    </row>
    <row r="5" spans="1:5" ht="15.75" thickBot="1" x14ac:dyDescent="0.3">
      <c r="A5" s="55" t="s">
        <v>326</v>
      </c>
      <c r="B5" s="55" t="s">
        <v>106</v>
      </c>
      <c r="C5" s="55"/>
      <c r="D5" s="58" t="s">
        <v>110</v>
      </c>
      <c r="E5" s="58"/>
    </row>
    <row r="6" spans="1:5" ht="150.75" thickBot="1" x14ac:dyDescent="0.3">
      <c r="A6" s="56" t="s">
        <v>321</v>
      </c>
      <c r="B6" s="56" t="s">
        <v>479</v>
      </c>
      <c r="C6" s="60">
        <v>42246</v>
      </c>
      <c r="D6" s="59" t="s">
        <v>112</v>
      </c>
      <c r="E6" s="59" t="s">
        <v>116</v>
      </c>
    </row>
    <row r="7" spans="1:5" ht="90.75" thickBot="1" x14ac:dyDescent="0.3">
      <c r="A7" s="55" t="s">
        <v>322</v>
      </c>
      <c r="B7" s="55" t="s">
        <v>478</v>
      </c>
      <c r="C7" s="61">
        <v>42233</v>
      </c>
      <c r="D7" s="58" t="s">
        <v>113</v>
      </c>
      <c r="E7" s="62" t="s">
        <v>115</v>
      </c>
    </row>
    <row r="8" spans="1:5" ht="15.75" thickBot="1" x14ac:dyDescent="0.3">
      <c r="A8" s="56" t="s">
        <v>323</v>
      </c>
      <c r="B8" s="56" t="s">
        <v>479</v>
      </c>
      <c r="C8" s="60">
        <v>42219</v>
      </c>
      <c r="D8" s="59" t="s">
        <v>114</v>
      </c>
      <c r="E8" s="59" t="s">
        <v>480</v>
      </c>
    </row>
    <row r="9" spans="1:5" ht="15.75" thickBot="1" x14ac:dyDescent="0.3">
      <c r="A9" s="55" t="s">
        <v>324</v>
      </c>
      <c r="B9" s="55" t="s">
        <v>111</v>
      </c>
      <c r="C9" s="61">
        <v>42277</v>
      </c>
      <c r="D9" s="58" t="s">
        <v>117</v>
      </c>
      <c r="E9" s="58" t="s">
        <v>481</v>
      </c>
    </row>
    <row r="10" spans="1:5" ht="15.75" thickBot="1" x14ac:dyDescent="0.3">
      <c r="A10" s="56" t="s">
        <v>325</v>
      </c>
      <c r="B10" s="56" t="s">
        <v>111</v>
      </c>
      <c r="C10" s="60">
        <v>42307</v>
      </c>
      <c r="D10" s="59" t="s">
        <v>117</v>
      </c>
      <c r="E10" s="59"/>
    </row>
    <row r="11" spans="1:5" ht="15.75" thickBot="1" x14ac:dyDescent="0.3">
      <c r="A11" s="55"/>
      <c r="B11" s="55"/>
      <c r="C11" s="55"/>
      <c r="D11" s="58"/>
      <c r="E11" s="58"/>
    </row>
    <row r="12" spans="1:5" ht="15.75" thickBot="1" x14ac:dyDescent="0.3">
      <c r="A12" s="56"/>
      <c r="B12" s="56"/>
      <c r="C12" s="56"/>
      <c r="D12" s="59"/>
      <c r="E12" s="59"/>
    </row>
    <row r="13" spans="1:5" ht="15.75" thickBot="1" x14ac:dyDescent="0.3">
      <c r="A13" s="55"/>
      <c r="B13" s="55"/>
      <c r="C13" s="55"/>
      <c r="D13" s="58"/>
      <c r="E13" s="58"/>
    </row>
    <row r="14" spans="1:5" ht="15.75" thickBot="1" x14ac:dyDescent="0.3">
      <c r="A14" s="56"/>
      <c r="B14" s="56"/>
      <c r="C14" s="56"/>
      <c r="D14" s="59"/>
      <c r="E14" s="59"/>
    </row>
    <row r="15" spans="1:5" ht="15.75" thickBot="1" x14ac:dyDescent="0.3">
      <c r="A15" s="55"/>
      <c r="B15" s="55"/>
      <c r="C15" s="55"/>
      <c r="D15" s="58"/>
      <c r="E15" s="58"/>
    </row>
    <row r="16" spans="1:5" ht="15.75" thickBot="1" x14ac:dyDescent="0.3">
      <c r="A16" s="56"/>
      <c r="B16" s="56"/>
      <c r="C16" s="56"/>
      <c r="D16" s="59"/>
      <c r="E16" s="59"/>
    </row>
    <row r="17" spans="1:5" ht="15.75" thickBot="1" x14ac:dyDescent="0.3">
      <c r="A17" s="55"/>
      <c r="B17" s="55"/>
      <c r="C17" s="55"/>
      <c r="D17" s="58"/>
      <c r="E17" s="58"/>
    </row>
    <row r="18" spans="1:5" ht="15.75" thickBot="1" x14ac:dyDescent="0.3">
      <c r="A18" s="56"/>
      <c r="B18" s="56"/>
      <c r="C18" s="56"/>
      <c r="D18" s="59"/>
      <c r="E18" s="59"/>
    </row>
    <row r="19" spans="1:5" ht="15.75" thickBot="1" x14ac:dyDescent="0.3">
      <c r="A19" s="55"/>
      <c r="B19" s="55"/>
      <c r="C19" s="55"/>
      <c r="D19" s="58"/>
      <c r="E19" s="5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al"/>
  <dimension ref="A1:DE285"/>
  <sheetViews>
    <sheetView topLeftCell="CH1" workbookViewId="0">
      <selection activeCell="CO7" sqref="CO5:CO8"/>
    </sheetView>
  </sheetViews>
  <sheetFormatPr defaultRowHeight="15" x14ac:dyDescent="0.25"/>
  <cols>
    <col min="1" max="1" width="7" bestFit="1" customWidth="1"/>
    <col min="2" max="2" width="24" bestFit="1" customWidth="1"/>
    <col min="3" max="3" width="14" bestFit="1" customWidth="1"/>
    <col min="4" max="4" width="31.28515625" bestFit="1" customWidth="1"/>
    <col min="5" max="5" width="28.85546875" customWidth="1"/>
    <col min="6" max="6" width="11.42578125" bestFit="1" customWidth="1"/>
    <col min="7" max="7" width="21.42578125" bestFit="1" customWidth="1"/>
    <col min="8" max="8" width="10.28515625" bestFit="1" customWidth="1"/>
    <col min="9" max="9" width="12" bestFit="1" customWidth="1"/>
    <col min="10" max="10" width="19.7109375" bestFit="1" customWidth="1"/>
    <col min="11" max="11" width="12.42578125" bestFit="1" customWidth="1"/>
    <col min="12" max="12" width="12.42578125" customWidth="1"/>
    <col min="13" max="13" width="12" bestFit="1" customWidth="1"/>
    <col min="14" max="14" width="12" customWidth="1"/>
    <col min="15" max="15" width="12.140625" bestFit="1" customWidth="1"/>
    <col min="16" max="16" width="13.7109375" bestFit="1" customWidth="1"/>
    <col min="17" max="17" width="12.140625" bestFit="1" customWidth="1"/>
    <col min="18" max="18" width="15.85546875" bestFit="1" customWidth="1"/>
    <col min="19" max="20" width="15.85546875" customWidth="1"/>
    <col min="21" max="22" width="17.5703125" bestFit="1" customWidth="1"/>
    <col min="25" max="25" width="13.140625" customWidth="1"/>
    <col min="26" max="26" width="27.140625" customWidth="1"/>
    <col min="27" max="28" width="10.140625" customWidth="1"/>
    <col min="29" max="30" width="14.5703125" customWidth="1"/>
    <col min="31" max="31" width="28.85546875" customWidth="1"/>
    <col min="32" max="33" width="10.140625" customWidth="1"/>
    <col min="36" max="36" width="13.140625" customWidth="1"/>
    <col min="37" max="38" width="10.140625" customWidth="1"/>
    <col min="40" max="40" width="18.42578125" bestFit="1" customWidth="1"/>
    <col min="41" max="41" width="19.42578125" customWidth="1"/>
    <col min="42" max="43" width="10.140625" customWidth="1"/>
    <col min="46" max="46" width="13.140625" bestFit="1" customWidth="1"/>
    <col min="47" max="48" width="10.140625" customWidth="1"/>
    <col min="51" max="51" width="27.7109375" customWidth="1"/>
    <col min="52" max="52" width="18.85546875" customWidth="1"/>
    <col min="53" max="53" width="26.5703125" customWidth="1"/>
    <col min="54" max="54" width="23.5703125" customWidth="1"/>
    <col min="55" max="55" width="13.85546875" bestFit="1" customWidth="1"/>
    <col min="56" max="56" width="32.7109375" customWidth="1"/>
    <col min="57" max="59" width="10.140625" customWidth="1"/>
    <col min="60" max="60" width="7.5703125" customWidth="1"/>
    <col min="61" max="61" width="6.140625" customWidth="1"/>
    <col min="62" max="62" width="6.5703125" customWidth="1"/>
    <col min="63" max="63" width="13.140625" customWidth="1"/>
    <col min="64" max="64" width="12.7109375" customWidth="1"/>
    <col min="65" max="65" width="10.140625" customWidth="1"/>
    <col min="68" max="68" width="13.140625" customWidth="1"/>
    <col min="69" max="69" width="16.42578125" customWidth="1"/>
    <col min="73" max="73" width="15.7109375" customWidth="1"/>
    <col min="74" max="74" width="23.42578125" customWidth="1"/>
    <col min="75" max="75" width="24.85546875" customWidth="1"/>
    <col min="76" max="76" width="17.28515625" bestFit="1" customWidth="1"/>
    <col min="77" max="77" width="23.85546875" customWidth="1"/>
    <col min="78" max="78" width="10.140625" customWidth="1"/>
    <col min="79" max="79" width="17.28515625" customWidth="1"/>
    <col min="80" max="80" width="17.28515625" bestFit="1" customWidth="1"/>
    <col min="82" max="82" width="13.140625" customWidth="1"/>
    <col min="83" max="83" width="10.42578125" customWidth="1"/>
    <col min="84" max="84" width="10.140625" customWidth="1"/>
    <col min="87" max="87" width="16.140625" bestFit="1" customWidth="1"/>
    <col min="88" max="88" width="9.85546875" bestFit="1" customWidth="1"/>
    <col min="89" max="89" width="17.140625" customWidth="1"/>
    <col min="90" max="90" width="19.42578125" customWidth="1"/>
    <col min="91" max="91" width="17.85546875" customWidth="1"/>
    <col min="93" max="93" width="19.140625" customWidth="1"/>
    <col min="94" max="94" width="18" customWidth="1"/>
    <col min="95" max="96" width="16.28515625" customWidth="1"/>
    <col min="98" max="100" width="10.140625" customWidth="1"/>
    <col min="101" max="101" width="14.42578125" customWidth="1"/>
    <col min="102" max="102" width="14.42578125" bestFit="1" customWidth="1"/>
    <col min="107" max="107" width="13.140625" customWidth="1"/>
    <col min="108" max="109" width="10.140625" customWidth="1"/>
  </cols>
  <sheetData>
    <row r="1" spans="1:109" x14ac:dyDescent="0.25">
      <c r="A1" s="33" t="s">
        <v>54</v>
      </c>
      <c r="B1" s="30" t="s">
        <v>6</v>
      </c>
      <c r="C1" s="30" t="s">
        <v>52</v>
      </c>
      <c r="D1" s="30" t="s">
        <v>7</v>
      </c>
      <c r="E1" s="30" t="s">
        <v>8</v>
      </c>
      <c r="F1" s="30" t="s">
        <v>22</v>
      </c>
      <c r="G1" s="30" t="s">
        <v>21</v>
      </c>
      <c r="H1" s="30" t="s">
        <v>3</v>
      </c>
      <c r="I1" s="30" t="s">
        <v>4</v>
      </c>
      <c r="J1" s="30" t="s">
        <v>23</v>
      </c>
      <c r="K1" s="30" t="s">
        <v>51</v>
      </c>
      <c r="L1" s="30" t="s">
        <v>75</v>
      </c>
      <c r="M1" s="32" t="s">
        <v>92</v>
      </c>
      <c r="N1" s="32" t="s">
        <v>93</v>
      </c>
      <c r="O1" s="31" t="s">
        <v>71</v>
      </c>
      <c r="P1" s="33" t="s">
        <v>53</v>
      </c>
      <c r="Q1" s="33" t="s">
        <v>69</v>
      </c>
      <c r="R1" s="33" t="s">
        <v>73</v>
      </c>
      <c r="S1" s="33" t="s">
        <v>96</v>
      </c>
      <c r="T1" s="33" t="s">
        <v>97</v>
      </c>
      <c r="U1" s="33" t="s">
        <v>431</v>
      </c>
      <c r="V1" s="33" t="s">
        <v>456</v>
      </c>
      <c r="Z1" t="s">
        <v>61</v>
      </c>
      <c r="AA1" s="34" t="s">
        <v>58</v>
      </c>
      <c r="AD1" t="s">
        <v>7</v>
      </c>
      <c r="AE1" s="34" t="s">
        <v>55</v>
      </c>
      <c r="AF1" t="s">
        <v>438</v>
      </c>
      <c r="AG1" t="s">
        <v>72</v>
      </c>
      <c r="AI1" t="s">
        <v>23</v>
      </c>
      <c r="AJ1" s="34" t="s">
        <v>55</v>
      </c>
      <c r="AK1" t="s">
        <v>438</v>
      </c>
      <c r="AL1" t="s">
        <v>72</v>
      </c>
      <c r="AN1" t="s">
        <v>12</v>
      </c>
      <c r="AO1" s="34" t="s">
        <v>55</v>
      </c>
      <c r="AP1" t="s">
        <v>446</v>
      </c>
      <c r="AQ1" t="s">
        <v>72</v>
      </c>
      <c r="AS1" t="s">
        <v>22</v>
      </c>
      <c r="AT1" s="34" t="s">
        <v>55</v>
      </c>
      <c r="AU1" t="s">
        <v>446</v>
      </c>
      <c r="AV1" t="s">
        <v>72</v>
      </c>
      <c r="AX1" t="s">
        <v>51</v>
      </c>
      <c r="AY1" s="34" t="s">
        <v>55</v>
      </c>
      <c r="AZ1" t="s">
        <v>447</v>
      </c>
      <c r="BA1" t="s">
        <v>448</v>
      </c>
      <c r="BC1" t="s">
        <v>6</v>
      </c>
      <c r="BD1" s="34" t="s">
        <v>55</v>
      </c>
      <c r="BE1" t="s">
        <v>70</v>
      </c>
      <c r="BF1" t="s">
        <v>446</v>
      </c>
      <c r="BG1" t="s">
        <v>72</v>
      </c>
      <c r="BJ1" t="s">
        <v>73</v>
      </c>
      <c r="BK1" s="34" t="s">
        <v>55</v>
      </c>
      <c r="BL1" t="s">
        <v>446</v>
      </c>
      <c r="BM1" t="s">
        <v>72</v>
      </c>
      <c r="BP1" s="34" t="s">
        <v>55</v>
      </c>
      <c r="BQ1" t="s">
        <v>94</v>
      </c>
      <c r="BT1" t="s">
        <v>92</v>
      </c>
      <c r="BU1" t="s">
        <v>449</v>
      </c>
      <c r="BV1" t="s">
        <v>450</v>
      </c>
      <c r="BY1" s="34" t="s">
        <v>58</v>
      </c>
      <c r="CC1" t="s">
        <v>431</v>
      </c>
      <c r="CD1" s="34" t="s">
        <v>55</v>
      </c>
      <c r="CE1" t="s">
        <v>453</v>
      </c>
      <c r="CF1" t="s">
        <v>72</v>
      </c>
      <c r="CI1" t="s">
        <v>69</v>
      </c>
      <c r="CJ1" t="s">
        <v>95</v>
      </c>
      <c r="CK1" t="s">
        <v>71</v>
      </c>
      <c r="CT1" t="s">
        <v>70</v>
      </c>
      <c r="CU1" t="s">
        <v>446</v>
      </c>
      <c r="CV1" t="s">
        <v>72</v>
      </c>
      <c r="DC1" s="34" t="s">
        <v>55</v>
      </c>
      <c r="DD1" t="s">
        <v>446</v>
      </c>
      <c r="DE1" t="s">
        <v>72</v>
      </c>
    </row>
    <row r="2" spans="1:109" x14ac:dyDescent="0.25">
      <c r="A2">
        <v>1</v>
      </c>
      <c r="B2" t="s">
        <v>16</v>
      </c>
      <c r="C2">
        <v>0.47</v>
      </c>
      <c r="D2" t="s">
        <v>176</v>
      </c>
      <c r="E2" t="s">
        <v>209</v>
      </c>
      <c r="F2" t="s">
        <v>64</v>
      </c>
      <c r="G2" t="s">
        <v>222</v>
      </c>
      <c r="H2" s="36">
        <v>544.8717948717948</v>
      </c>
      <c r="I2" s="36">
        <v>0</v>
      </c>
      <c r="J2" t="s">
        <v>31</v>
      </c>
      <c r="K2" t="s">
        <v>126</v>
      </c>
      <c r="L2">
        <v>544.8717948717948</v>
      </c>
      <c r="M2" s="36">
        <v>0</v>
      </c>
      <c r="N2" s="36">
        <f>DataTable[[#This Row],[Resource Cost]]+DataTable[[#This Row],[Other Cost]]</f>
        <v>544.8717948717948</v>
      </c>
      <c r="O2" s="36">
        <v>544.8717948717948</v>
      </c>
      <c r="P2" s="36">
        <v>0</v>
      </c>
      <c r="Q2" s="36">
        <f>DataTable[[#This Row],[Pct Budget]]*totalBudget</f>
        <v>3055000</v>
      </c>
      <c r="R2" s="36" t="str">
        <f>IFERROR(VLOOKUP(DataTable[[#This Row],[Financial Category]],tblFinancialCat[],2,FALSE),"")</f>
        <v>OpEx</v>
      </c>
      <c r="S2" s="36">
        <f>IFERROR(DataTable[[#This Row],[Utilized]]/DataTable[[#This Row],[Total Cost]]*DataTable[[#This Row],[Resource Cost]],0)</f>
        <v>544.8717948717948</v>
      </c>
      <c r="T2" s="36">
        <f>IFERROR(DataTable[[#This Row],[Utilized]]/DataTable[[#This Row],[Total Cost]]*DataTable[[#This Row],[Other Cost]],0)</f>
        <v>0</v>
      </c>
      <c r="U2" s="217">
        <v>42278</v>
      </c>
      <c r="V2" s="36" t="str">
        <f>TEXT(DataTable[[#This Row],[Month]],"MMM-YY")</f>
        <v>Oct-15</v>
      </c>
      <c r="AA2" s="35" t="s">
        <v>60</v>
      </c>
      <c r="AB2" s="36">
        <v>3288321.0576923057</v>
      </c>
      <c r="AE2" s="35" t="s">
        <v>186</v>
      </c>
      <c r="AF2" s="36">
        <v>117884.61538461539</v>
      </c>
      <c r="AG2" s="36">
        <v>85293.269230769234</v>
      </c>
      <c r="AJ2" s="35" t="s">
        <v>11</v>
      </c>
      <c r="AK2" s="36">
        <v>114911.53846153844</v>
      </c>
      <c r="AL2" s="36">
        <v>114911.53846153847</v>
      </c>
      <c r="AO2" s="35" t="s">
        <v>41</v>
      </c>
      <c r="AP2" s="36">
        <v>880392.30769230786</v>
      </c>
      <c r="AQ2" s="36">
        <v>315578.60576923081</v>
      </c>
      <c r="AT2" s="35" t="s">
        <v>63</v>
      </c>
      <c r="AU2" s="36">
        <v>1284052.4038461538</v>
      </c>
      <c r="AV2" s="36">
        <v>584900.76923076902</v>
      </c>
      <c r="AY2" s="35" t="s">
        <v>57</v>
      </c>
      <c r="AZ2" s="36">
        <v>0</v>
      </c>
      <c r="BA2" s="36">
        <v>0</v>
      </c>
      <c r="BD2" s="35" t="s">
        <v>16</v>
      </c>
      <c r="BE2" s="36">
        <v>3055000</v>
      </c>
      <c r="BF2" s="36">
        <v>2355367.3076923057</v>
      </c>
      <c r="BG2" s="36">
        <v>853886.77884615352</v>
      </c>
      <c r="BK2" s="38" t="s">
        <v>39</v>
      </c>
      <c r="BL2" s="48">
        <v>2072317.7884615385</v>
      </c>
      <c r="BM2" s="36">
        <v>1452413.7500000012</v>
      </c>
      <c r="BP2" s="35" t="s">
        <v>39</v>
      </c>
      <c r="BQ2" s="43">
        <v>2072317.7884615385</v>
      </c>
      <c r="BU2" s="36">
        <v>2602500.0000000009</v>
      </c>
      <c r="BV2" s="36">
        <v>1049375.0000000005</v>
      </c>
      <c r="BY2" s="35" t="s">
        <v>451</v>
      </c>
      <c r="BZ2" s="36">
        <v>1620022.1153846148</v>
      </c>
      <c r="CD2" s="35" t="s">
        <v>457</v>
      </c>
      <c r="CE2" s="36"/>
      <c r="CF2" s="36"/>
      <c r="CI2" s="198">
        <f>totalBudget</f>
        <v>6500000</v>
      </c>
      <c r="CJ2" s="198">
        <f>SUM(Entry!N:N)</f>
        <v>4825083.1730769221</v>
      </c>
      <c r="CK2" s="198">
        <f>SUMPRODUCT(Entry!N:N,Entry!O:O)</f>
        <v>2582070</v>
      </c>
      <c r="CT2" s="36">
        <v>6500000.0000000196</v>
      </c>
      <c r="CU2" s="36">
        <v>4463956.7307692328</v>
      </c>
      <c r="CV2" s="36">
        <v>2295835.3846153854</v>
      </c>
      <c r="DC2" s="35" t="s">
        <v>457</v>
      </c>
      <c r="DD2" s="36"/>
      <c r="DE2" s="36"/>
    </row>
    <row r="3" spans="1:109" x14ac:dyDescent="0.25">
      <c r="A3">
        <v>2</v>
      </c>
      <c r="B3" t="s">
        <v>16</v>
      </c>
      <c r="C3">
        <v>0.47</v>
      </c>
      <c r="D3" t="s">
        <v>176</v>
      </c>
      <c r="E3" t="s">
        <v>197</v>
      </c>
      <c r="F3" t="s">
        <v>64</v>
      </c>
      <c r="G3" t="s">
        <v>222</v>
      </c>
      <c r="H3" s="36">
        <v>544.8717948717948</v>
      </c>
      <c r="I3" s="36">
        <v>0</v>
      </c>
      <c r="J3" t="s">
        <v>31</v>
      </c>
      <c r="K3" t="s">
        <v>126</v>
      </c>
      <c r="L3">
        <v>544.8717948717948</v>
      </c>
      <c r="M3" s="36">
        <v>0</v>
      </c>
      <c r="N3" s="36">
        <f>DataTable[[#This Row],[Resource Cost]]+DataTable[[#This Row],[Other Cost]]</f>
        <v>544.8717948717948</v>
      </c>
      <c r="O3" s="36">
        <v>544.8717948717948</v>
      </c>
      <c r="P3" s="36">
        <v>0</v>
      </c>
      <c r="Q3" s="36">
        <f>DataTable[[#This Row],[Pct Budget]]*totalBudget</f>
        <v>3055000</v>
      </c>
      <c r="R3" s="36" t="str">
        <f>IFERROR(VLOOKUP(DataTable[[#This Row],[Financial Category]],tblFinancialCat[],2,FALSE),"")</f>
        <v>OpEx</v>
      </c>
      <c r="S3" s="36">
        <f>IFERROR(DataTable[[#This Row],[Utilized]]/DataTable[[#This Row],[Total Cost]]*DataTable[[#This Row],[Resource Cost]],0)</f>
        <v>544.8717948717948</v>
      </c>
      <c r="T3" s="36">
        <f>IFERROR(DataTable[[#This Row],[Utilized]]/DataTable[[#This Row],[Total Cost]]*DataTable[[#This Row],[Other Cost]],0)</f>
        <v>0</v>
      </c>
      <c r="U3" s="217">
        <v>42278</v>
      </c>
      <c r="V3" s="36" t="str">
        <f>TEXT(DataTable[[#This Row],[Month]],"MMM-YY")</f>
        <v>Oct-15</v>
      </c>
      <c r="AA3" s="35" t="s">
        <v>59</v>
      </c>
      <c r="AB3" s="36">
        <v>934201.05769230763</v>
      </c>
      <c r="AE3" s="35" t="s">
        <v>18</v>
      </c>
      <c r="AF3" s="36">
        <v>490433.17307692318</v>
      </c>
      <c r="AG3" s="36">
        <v>402251.24999999988</v>
      </c>
      <c r="AJ3" s="35" t="s">
        <v>10</v>
      </c>
      <c r="AK3" s="36">
        <v>1050000</v>
      </c>
      <c r="AL3" s="36">
        <v>465000.00000000006</v>
      </c>
      <c r="AO3" s="35" t="s">
        <v>44</v>
      </c>
      <c r="AP3" s="36">
        <v>940695.19230769214</v>
      </c>
      <c r="AQ3" s="36">
        <v>100657.01923076925</v>
      </c>
      <c r="AT3" s="35" t="s">
        <v>65</v>
      </c>
      <c r="AU3" s="36">
        <v>374286.05769230769</v>
      </c>
      <c r="AV3" s="36">
        <v>317312.49999999994</v>
      </c>
      <c r="AY3" s="35" t="s">
        <v>14</v>
      </c>
      <c r="AZ3" s="36">
        <v>95552.884615384595</v>
      </c>
      <c r="BA3" s="36">
        <v>67037.25961538461</v>
      </c>
      <c r="BD3" s="35" t="s">
        <v>1</v>
      </c>
      <c r="BE3" s="36">
        <v>975000</v>
      </c>
      <c r="BF3" s="36">
        <v>736057.69230769225</v>
      </c>
      <c r="BG3" s="36">
        <v>603052.88461538462</v>
      </c>
      <c r="BK3" s="38" t="s">
        <v>38</v>
      </c>
      <c r="BL3" s="48">
        <v>2150204.326923077</v>
      </c>
      <c r="BM3" s="36">
        <v>762704.32692307688</v>
      </c>
      <c r="BP3" s="35" t="s">
        <v>38</v>
      </c>
      <c r="BQ3" s="43">
        <v>2150204.326923077</v>
      </c>
      <c r="BY3" s="35" t="s">
        <v>452</v>
      </c>
      <c r="BZ3" s="36">
        <v>2602500.0000000009</v>
      </c>
      <c r="CD3" s="219" t="s">
        <v>462</v>
      </c>
      <c r="CE3" s="36">
        <v>577259.61538461538</v>
      </c>
      <c r="CF3" s="36">
        <v>351937.5</v>
      </c>
      <c r="DC3" s="218" t="s">
        <v>462</v>
      </c>
      <c r="DD3" s="36">
        <v>577259.61538461538</v>
      </c>
      <c r="DE3" s="36">
        <v>351937.5</v>
      </c>
    </row>
    <row r="4" spans="1:109" x14ac:dyDescent="0.25">
      <c r="A4">
        <v>3</v>
      </c>
      <c r="B4" t="s">
        <v>16</v>
      </c>
      <c r="C4">
        <v>0.47</v>
      </c>
      <c r="D4" t="s">
        <v>176</v>
      </c>
      <c r="E4" t="s">
        <v>33</v>
      </c>
      <c r="F4" t="s">
        <v>64</v>
      </c>
      <c r="G4" t="s">
        <v>222</v>
      </c>
      <c r="H4" s="36">
        <v>544.8717948717948</v>
      </c>
      <c r="I4" s="36">
        <v>0</v>
      </c>
      <c r="J4" t="s">
        <v>31</v>
      </c>
      <c r="K4" t="s">
        <v>126</v>
      </c>
      <c r="L4">
        <v>544.8717948717948</v>
      </c>
      <c r="M4" s="36">
        <v>0</v>
      </c>
      <c r="N4" s="36">
        <f>DataTable[[#This Row],[Resource Cost]]+DataTable[[#This Row],[Other Cost]]</f>
        <v>544.8717948717948</v>
      </c>
      <c r="O4" s="36">
        <v>544.8717948717948</v>
      </c>
      <c r="P4" s="36">
        <v>0</v>
      </c>
      <c r="Q4" s="36">
        <f>DataTable[[#This Row],[Pct Budget]]*totalBudget</f>
        <v>3055000</v>
      </c>
      <c r="R4" s="36" t="str">
        <f>IFERROR(VLOOKUP(DataTable[[#This Row],[Financial Category]],tblFinancialCat[],2,FALSE),"")</f>
        <v>OpEx</v>
      </c>
      <c r="S4" s="36">
        <f>IFERROR(DataTable[[#This Row],[Utilized]]/DataTable[[#This Row],[Total Cost]]*DataTable[[#This Row],[Resource Cost]],0)</f>
        <v>544.8717948717948</v>
      </c>
      <c r="T4" s="36">
        <f>IFERROR(DataTable[[#This Row],[Utilized]]/DataTable[[#This Row],[Total Cost]]*DataTable[[#This Row],[Other Cost]],0)</f>
        <v>0</v>
      </c>
      <c r="U4" s="217">
        <v>42278</v>
      </c>
      <c r="V4" s="36" t="str">
        <f>TEXT(DataTable[[#This Row],[Month]],"MMM-YY")</f>
        <v>Oct-15</v>
      </c>
      <c r="AE4" s="35" t="s">
        <v>176</v>
      </c>
      <c r="AF4" s="36">
        <v>1506941.8269230754</v>
      </c>
      <c r="AG4" s="36">
        <v>759860.33653846139</v>
      </c>
      <c r="AJ4" s="35" t="s">
        <v>9</v>
      </c>
      <c r="AK4" s="36">
        <v>1100204.3269230768</v>
      </c>
      <c r="AL4" s="36">
        <v>297704.32692307694</v>
      </c>
      <c r="AO4" s="35" t="s">
        <v>42</v>
      </c>
      <c r="AP4" s="36">
        <v>106009.61538461538</v>
      </c>
      <c r="AQ4" s="36">
        <v>106009.61538461538</v>
      </c>
      <c r="AT4" s="35" t="s">
        <v>62</v>
      </c>
      <c r="AU4" s="36">
        <v>120432.69230769231</v>
      </c>
      <c r="AV4" s="36">
        <v>96850.961538461546</v>
      </c>
      <c r="AY4" s="35" t="s">
        <v>121</v>
      </c>
      <c r="AZ4" s="36">
        <v>31298.076923076918</v>
      </c>
      <c r="BA4" s="36">
        <v>16254.807692307693</v>
      </c>
      <c r="BD4" s="35" t="s">
        <v>28</v>
      </c>
      <c r="BE4" s="36">
        <v>650000</v>
      </c>
      <c r="BF4" s="36">
        <v>148714.42307692303</v>
      </c>
      <c r="BG4" s="36">
        <v>82407.500000000029</v>
      </c>
      <c r="BK4" s="38" t="s">
        <v>56</v>
      </c>
      <c r="BL4" s="48">
        <v>4222522.115384616</v>
      </c>
      <c r="BM4" s="36">
        <v>2215118.0769230779</v>
      </c>
      <c r="BP4" s="35" t="s">
        <v>56</v>
      </c>
      <c r="BQ4" s="43">
        <v>4222522.115384616</v>
      </c>
      <c r="CD4" s="219" t="s">
        <v>463</v>
      </c>
      <c r="CE4" s="36">
        <v>679936.05769230798</v>
      </c>
      <c r="CF4" s="36">
        <v>595446.39423076913</v>
      </c>
      <c r="CI4" t="s">
        <v>392</v>
      </c>
      <c r="CJ4" t="s">
        <v>437</v>
      </c>
      <c r="CK4" t="s">
        <v>439</v>
      </c>
      <c r="CL4" t="s">
        <v>440</v>
      </c>
      <c r="CM4" t="s">
        <v>441</v>
      </c>
      <c r="CO4" s="34" t="s">
        <v>55</v>
      </c>
      <c r="CP4" t="s">
        <v>442</v>
      </c>
      <c r="CQ4" t="s">
        <v>443</v>
      </c>
      <c r="DC4" s="218" t="s">
        <v>463</v>
      </c>
      <c r="DD4" s="36">
        <v>679936.05769230798</v>
      </c>
      <c r="DE4" s="36">
        <v>595446.39423076913</v>
      </c>
    </row>
    <row r="5" spans="1:109" x14ac:dyDescent="0.25">
      <c r="A5">
        <v>4</v>
      </c>
      <c r="B5" t="s">
        <v>16</v>
      </c>
      <c r="C5">
        <v>0.47</v>
      </c>
      <c r="D5" t="s">
        <v>176</v>
      </c>
      <c r="E5" t="s">
        <v>198</v>
      </c>
      <c r="F5" t="s">
        <v>64</v>
      </c>
      <c r="G5" t="s">
        <v>222</v>
      </c>
      <c r="H5" s="36">
        <v>544.8717948717948</v>
      </c>
      <c r="I5" s="36">
        <v>0</v>
      </c>
      <c r="J5" t="s">
        <v>31</v>
      </c>
      <c r="K5" t="s">
        <v>126</v>
      </c>
      <c r="L5">
        <v>544.8717948717948</v>
      </c>
      <c r="M5" s="36">
        <v>0</v>
      </c>
      <c r="N5" s="36">
        <f>DataTable[[#This Row],[Resource Cost]]+DataTable[[#This Row],[Other Cost]]</f>
        <v>544.8717948717948</v>
      </c>
      <c r="O5" s="36">
        <v>544.8717948717948</v>
      </c>
      <c r="P5" s="36">
        <v>0</v>
      </c>
      <c r="Q5" s="36">
        <f>DataTable[[#This Row],[Pct Budget]]*totalBudget</f>
        <v>3055000</v>
      </c>
      <c r="R5" s="36" t="str">
        <f>IFERROR(VLOOKUP(DataTable[[#This Row],[Financial Category]],tblFinancialCat[],2,FALSE),"")</f>
        <v>OpEx</v>
      </c>
      <c r="S5" s="36">
        <f>IFERROR(DataTable[[#This Row],[Utilized]]/DataTable[[#This Row],[Total Cost]]*DataTable[[#This Row],[Resource Cost]],0)</f>
        <v>544.8717948717948</v>
      </c>
      <c r="T5" s="36">
        <f>IFERROR(DataTable[[#This Row],[Utilized]]/DataTable[[#This Row],[Total Cost]]*DataTable[[#This Row],[Other Cost]],0)</f>
        <v>0</v>
      </c>
      <c r="U5" s="217">
        <v>42278</v>
      </c>
      <c r="V5" s="36" t="str">
        <f>TEXT(DataTable[[#This Row],[Month]],"MMM-YY")</f>
        <v>Oct-15</v>
      </c>
      <c r="AE5" s="35" t="s">
        <v>194</v>
      </c>
      <c r="AF5" s="36">
        <v>852620.19230769225</v>
      </c>
      <c r="AG5" s="36">
        <v>87620.192307692312</v>
      </c>
      <c r="AJ5" s="35" t="s">
        <v>172</v>
      </c>
      <c r="AK5" s="36">
        <v>508342.78846153856</v>
      </c>
      <c r="AL5" s="36">
        <v>324125.04807692318</v>
      </c>
      <c r="AO5" s="35" t="s">
        <v>222</v>
      </c>
      <c r="AP5" s="36">
        <v>2257569.2307692301</v>
      </c>
      <c r="AQ5" s="36">
        <v>1655017.0673076925</v>
      </c>
      <c r="AT5" s="35" t="s">
        <v>64</v>
      </c>
      <c r="AU5" s="36">
        <v>2443750.9615384606</v>
      </c>
      <c r="AV5" s="36">
        <v>1216053.846153846</v>
      </c>
      <c r="AY5" s="35" t="s">
        <v>122</v>
      </c>
      <c r="AZ5" s="36">
        <v>33000</v>
      </c>
      <c r="BA5" s="36">
        <v>33000</v>
      </c>
      <c r="BD5" s="35" t="s">
        <v>0</v>
      </c>
      <c r="BE5" s="36">
        <v>455000.00000000006</v>
      </c>
      <c r="BF5" s="36">
        <v>77519.230769230751</v>
      </c>
      <c r="BG5" s="36">
        <v>51918.269230769241</v>
      </c>
      <c r="CD5" s="219" t="s">
        <v>464</v>
      </c>
      <c r="CE5" s="36">
        <v>470807.69230769231</v>
      </c>
      <c r="CF5" s="36">
        <v>158573.31730769231</v>
      </c>
      <c r="CI5" t="s">
        <v>473</v>
      </c>
      <c r="CJ5">
        <v>6000</v>
      </c>
      <c r="CK5" s="199">
        <f>tBudget/tblProfileCal[[#This Row],[Value]]</f>
        <v>1083.3333333333367</v>
      </c>
      <c r="CL5" s="199">
        <f>tCost/tblProfileCal[[#This Row],[Value]]</f>
        <v>743.99278846153879</v>
      </c>
      <c r="CM5" s="199">
        <f>tUtilized/tblProfileCal[[#This Row],[Value]]</f>
        <v>382.63923076923089</v>
      </c>
      <c r="CN5" s="199"/>
      <c r="CO5" s="35" t="s">
        <v>473</v>
      </c>
      <c r="CP5" s="199">
        <v>743.99278846153879</v>
      </c>
      <c r="CQ5" s="199">
        <v>382.63923076923089</v>
      </c>
      <c r="DC5" s="218" t="s">
        <v>464</v>
      </c>
      <c r="DD5" s="36">
        <v>470807.69230769231</v>
      </c>
      <c r="DE5" s="36">
        <v>158573.31730769231</v>
      </c>
    </row>
    <row r="6" spans="1:109" x14ac:dyDescent="0.25">
      <c r="A6">
        <v>5</v>
      </c>
      <c r="B6" t="s">
        <v>16</v>
      </c>
      <c r="C6">
        <v>0.47</v>
      </c>
      <c r="D6" t="s">
        <v>176</v>
      </c>
      <c r="E6" t="s">
        <v>199</v>
      </c>
      <c r="F6" t="s">
        <v>64</v>
      </c>
      <c r="G6" t="s">
        <v>222</v>
      </c>
      <c r="H6" s="36">
        <v>544.8717948717948</v>
      </c>
      <c r="I6" s="36">
        <v>0</v>
      </c>
      <c r="J6" t="s">
        <v>31</v>
      </c>
      <c r="K6" t="s">
        <v>126</v>
      </c>
      <c r="L6">
        <v>544.8717948717948</v>
      </c>
      <c r="M6" s="36">
        <v>0</v>
      </c>
      <c r="N6" s="36">
        <f>DataTable[[#This Row],[Resource Cost]]+DataTable[[#This Row],[Other Cost]]</f>
        <v>544.8717948717948</v>
      </c>
      <c r="O6" s="36">
        <v>544.8717948717948</v>
      </c>
      <c r="P6" s="36">
        <v>0</v>
      </c>
      <c r="Q6" s="36">
        <f>DataTable[[#This Row],[Pct Budget]]*totalBudget</f>
        <v>3055000</v>
      </c>
      <c r="R6" s="36" t="str">
        <f>IFERROR(VLOOKUP(DataTable[[#This Row],[Financial Category]],tblFinancialCat[],2,FALSE),"")</f>
        <v>OpEx</v>
      </c>
      <c r="S6" s="36">
        <f>IFERROR(DataTable[[#This Row],[Utilized]]/DataTable[[#This Row],[Total Cost]]*DataTable[[#This Row],[Resource Cost]],0)</f>
        <v>544.8717948717948</v>
      </c>
      <c r="T6" s="36">
        <f>IFERROR(DataTable[[#This Row],[Utilized]]/DataTable[[#This Row],[Total Cost]]*DataTable[[#This Row],[Other Cost]],0)</f>
        <v>0</v>
      </c>
      <c r="U6" s="217">
        <v>42278</v>
      </c>
      <c r="V6" s="36" t="str">
        <f>TEXT(DataTable[[#This Row],[Month]],"MMM-YY")</f>
        <v>Oct-15</v>
      </c>
      <c r="AE6" s="35" t="s">
        <v>19</v>
      </c>
      <c r="AF6" s="36">
        <v>106009.61538461538</v>
      </c>
      <c r="AG6" s="36">
        <v>106009.61538461538</v>
      </c>
      <c r="AJ6" s="35" t="s">
        <v>31</v>
      </c>
      <c r="AK6" s="36">
        <v>977669.23076923098</v>
      </c>
      <c r="AL6" s="36">
        <v>746796.63461538439</v>
      </c>
      <c r="AO6" s="35" t="s">
        <v>179</v>
      </c>
      <c r="AP6" s="36">
        <v>37855.769230769234</v>
      </c>
      <c r="AQ6" s="36">
        <v>37855.769230769234</v>
      </c>
      <c r="AT6" s="35" t="s">
        <v>56</v>
      </c>
      <c r="AU6" s="36">
        <v>4222522.1153846141</v>
      </c>
      <c r="AV6" s="36">
        <v>2215118.0769230765</v>
      </c>
      <c r="AY6" s="35" t="s">
        <v>127</v>
      </c>
      <c r="AZ6" s="36">
        <v>45673.076923076929</v>
      </c>
      <c r="BA6" s="36">
        <v>28786.057692307699</v>
      </c>
      <c r="BD6" s="35" t="s">
        <v>167</v>
      </c>
      <c r="BE6" s="36">
        <v>520000</v>
      </c>
      <c r="BF6" s="36">
        <v>425000</v>
      </c>
      <c r="BG6" s="36">
        <v>232782.45192307691</v>
      </c>
      <c r="CD6" s="219" t="s">
        <v>465</v>
      </c>
      <c r="CE6" s="36">
        <v>80937.500000000029</v>
      </c>
      <c r="CF6" s="36">
        <v>61105.76923076922</v>
      </c>
      <c r="CI6" t="s">
        <v>474</v>
      </c>
      <c r="CJ6">
        <v>275</v>
      </c>
      <c r="CK6" s="199">
        <f>tBudget/tblProfileCal[[#This Row],[Value]]</f>
        <v>23636.363636363709</v>
      </c>
      <c r="CL6" s="199">
        <f>tCost/tblProfileCal[[#This Row],[Value]]</f>
        <v>16232.569930069938</v>
      </c>
      <c r="CM6" s="199">
        <f>tUtilized/tblProfileCal[[#This Row],[Value]]</f>
        <v>8348.4923076923114</v>
      </c>
      <c r="CN6" s="199"/>
      <c r="CO6" s="35" t="s">
        <v>474</v>
      </c>
      <c r="CP6" s="199">
        <v>16232.569930069938</v>
      </c>
      <c r="CQ6" s="199">
        <v>8348.4923076923114</v>
      </c>
      <c r="DC6" s="218" t="s">
        <v>465</v>
      </c>
      <c r="DD6" s="36">
        <v>80937.500000000029</v>
      </c>
      <c r="DE6" s="36">
        <v>61105.76923076922</v>
      </c>
    </row>
    <row r="7" spans="1:109" x14ac:dyDescent="0.25">
      <c r="A7">
        <v>6</v>
      </c>
      <c r="B7" t="s">
        <v>16</v>
      </c>
      <c r="C7">
        <v>0.47</v>
      </c>
      <c r="D7" t="s">
        <v>176</v>
      </c>
      <c r="E7" t="s">
        <v>174</v>
      </c>
      <c r="F7" t="s">
        <v>64</v>
      </c>
      <c r="G7" t="s">
        <v>222</v>
      </c>
      <c r="H7" s="36">
        <v>544.8717948717948</v>
      </c>
      <c r="I7" s="36">
        <v>0</v>
      </c>
      <c r="J7" t="s">
        <v>31</v>
      </c>
      <c r="K7" t="s">
        <v>126</v>
      </c>
      <c r="L7">
        <v>544.8717948717948</v>
      </c>
      <c r="M7" s="36">
        <v>0</v>
      </c>
      <c r="N7" s="36">
        <f>DataTable[[#This Row],[Resource Cost]]+DataTable[[#This Row],[Other Cost]]</f>
        <v>544.8717948717948</v>
      </c>
      <c r="O7" s="36">
        <v>544.8717948717948</v>
      </c>
      <c r="P7" s="36">
        <v>0</v>
      </c>
      <c r="Q7" s="36">
        <f>DataTable[[#This Row],[Pct Budget]]*totalBudget</f>
        <v>3055000</v>
      </c>
      <c r="R7" s="36" t="str">
        <f>IFERROR(VLOOKUP(DataTable[[#This Row],[Financial Category]],tblFinancialCat[],2,FALSE),"")</f>
        <v>OpEx</v>
      </c>
      <c r="S7" s="36">
        <f>IFERROR(DataTable[[#This Row],[Utilized]]/DataTable[[#This Row],[Total Cost]]*DataTable[[#This Row],[Resource Cost]],0)</f>
        <v>544.8717948717948</v>
      </c>
      <c r="T7" s="36">
        <f>IFERROR(DataTable[[#This Row],[Utilized]]/DataTable[[#This Row],[Total Cost]]*DataTable[[#This Row],[Other Cost]],0)</f>
        <v>0</v>
      </c>
      <c r="U7" s="217">
        <v>42278</v>
      </c>
      <c r="V7" s="36" t="str">
        <f>TEXT(DataTable[[#This Row],[Month]],"MMM-YY")</f>
        <v>Oct-15</v>
      </c>
      <c r="AE7" s="35" t="s">
        <v>181</v>
      </c>
      <c r="AF7" s="36">
        <v>807548.07692307665</v>
      </c>
      <c r="AG7" s="36">
        <v>471195.9134615385</v>
      </c>
      <c r="AJ7" s="35" t="s">
        <v>26</v>
      </c>
      <c r="AK7" s="36">
        <v>471394.23076923069</v>
      </c>
      <c r="AL7" s="36">
        <v>266580.52884615381</v>
      </c>
      <c r="AO7" s="35" t="s">
        <v>56</v>
      </c>
      <c r="AP7" s="36">
        <v>4222522.115384615</v>
      </c>
      <c r="AQ7" s="36">
        <v>2215118.076923077</v>
      </c>
      <c r="AY7" s="35" t="s">
        <v>44</v>
      </c>
      <c r="AZ7" s="36">
        <v>769230.76923076925</v>
      </c>
      <c r="BA7" s="36">
        <v>624567.30769230763</v>
      </c>
      <c r="BD7" s="35" t="s">
        <v>30</v>
      </c>
      <c r="BE7" s="36">
        <v>260000</v>
      </c>
      <c r="BF7" s="36">
        <v>117884.61538461539</v>
      </c>
      <c r="BG7" s="36">
        <v>85293.269230769234</v>
      </c>
      <c r="CD7" s="219" t="s">
        <v>466</v>
      </c>
      <c r="CE7" s="36">
        <v>637151.44230769225</v>
      </c>
      <c r="CF7" s="36">
        <v>425629.80769230763</v>
      </c>
      <c r="CI7" t="s">
        <v>475</v>
      </c>
      <c r="CJ7">
        <v>75</v>
      </c>
      <c r="CK7" s="199">
        <f>tBudget/tblProfileCal[[#This Row],[Value]]</f>
        <v>86666.666666666933</v>
      </c>
      <c r="CL7" s="199">
        <f>tCost/tblProfileCal[[#This Row],[Value]]</f>
        <v>59519.423076923107</v>
      </c>
      <c r="CM7" s="199">
        <f>tUtilized/tblProfileCal[[#This Row],[Value]]</f>
        <v>30611.138461538474</v>
      </c>
      <c r="CN7" s="199"/>
      <c r="CO7" s="35" t="s">
        <v>475</v>
      </c>
      <c r="CP7" s="199">
        <v>59519.423076923107</v>
      </c>
      <c r="CQ7" s="199">
        <v>30611.138461538474</v>
      </c>
      <c r="DC7" s="218" t="s">
        <v>466</v>
      </c>
      <c r="DD7" s="36">
        <v>637151.44230769225</v>
      </c>
      <c r="DE7" s="36">
        <v>425629.80769230763</v>
      </c>
    </row>
    <row r="8" spans="1:109" x14ac:dyDescent="0.25">
      <c r="A8">
        <v>7</v>
      </c>
      <c r="B8" t="s">
        <v>16</v>
      </c>
      <c r="C8">
        <v>0.47</v>
      </c>
      <c r="D8" t="s">
        <v>176</v>
      </c>
      <c r="E8" t="s">
        <v>209</v>
      </c>
      <c r="F8" t="s">
        <v>64</v>
      </c>
      <c r="G8" t="s">
        <v>222</v>
      </c>
      <c r="H8" s="36">
        <v>4316.666666666667</v>
      </c>
      <c r="I8" s="36">
        <v>0</v>
      </c>
      <c r="J8" t="s">
        <v>31</v>
      </c>
      <c r="K8" t="s">
        <v>162</v>
      </c>
      <c r="L8">
        <v>4316.666666666667</v>
      </c>
      <c r="M8" s="36">
        <v>0</v>
      </c>
      <c r="N8" s="36">
        <f>DataTable[[#This Row],[Resource Cost]]+DataTable[[#This Row],[Other Cost]]</f>
        <v>4316.666666666667</v>
      </c>
      <c r="O8" s="36">
        <v>4316.666666666667</v>
      </c>
      <c r="P8" s="36">
        <v>0</v>
      </c>
      <c r="Q8" s="36">
        <f>DataTable[[#This Row],[Pct Budget]]*totalBudget</f>
        <v>3055000</v>
      </c>
      <c r="R8" s="36" t="str">
        <f>IFERROR(VLOOKUP(DataTable[[#This Row],[Financial Category]],tblFinancialCat[],2,FALSE),"")</f>
        <v>OpEx</v>
      </c>
      <c r="S8" s="36">
        <f>IFERROR(DataTable[[#This Row],[Utilized]]/DataTable[[#This Row],[Total Cost]]*DataTable[[#This Row],[Resource Cost]],0)</f>
        <v>4316.666666666667</v>
      </c>
      <c r="T8" s="36">
        <f>IFERROR(DataTable[[#This Row],[Utilized]]/DataTable[[#This Row],[Total Cost]]*DataTable[[#This Row],[Other Cost]],0)</f>
        <v>0</v>
      </c>
      <c r="U8" s="217">
        <v>42278</v>
      </c>
      <c r="V8" s="36" t="str">
        <f>TEXT(DataTable[[#This Row],[Month]],"MMM-YY")</f>
        <v>Oct-15</v>
      </c>
      <c r="AE8" s="35" t="s">
        <v>203</v>
      </c>
      <c r="AF8" s="36">
        <v>208173.07692307688</v>
      </c>
      <c r="AG8" s="36">
        <v>208173.07692307688</v>
      </c>
      <c r="AJ8" s="35" t="s">
        <v>56</v>
      </c>
      <c r="AK8" s="36">
        <v>4222522.115384615</v>
      </c>
      <c r="AL8" s="36">
        <v>2215118.076923077</v>
      </c>
      <c r="AY8" s="35" t="s">
        <v>126</v>
      </c>
      <c r="AZ8" s="36">
        <v>16959.13461538461</v>
      </c>
      <c r="BA8" s="36">
        <v>10747.596153846151</v>
      </c>
      <c r="BD8" s="35" t="s">
        <v>27</v>
      </c>
      <c r="BE8" s="36">
        <v>260000</v>
      </c>
      <c r="BF8" s="36">
        <v>128317.30769230764</v>
      </c>
      <c r="BG8" s="36">
        <v>84711.538461538483</v>
      </c>
      <c r="CD8" s="219" t="s">
        <v>458</v>
      </c>
      <c r="CE8" s="36">
        <v>302175.96153846156</v>
      </c>
      <c r="CF8" s="36">
        <v>184068.55769230769</v>
      </c>
      <c r="CI8" t="s">
        <v>476</v>
      </c>
      <c r="CJ8">
        <v>7500</v>
      </c>
      <c r="CK8" s="199">
        <f>tBudget/tblProfileCal[[#This Row],[Value]]</f>
        <v>866.66666666666924</v>
      </c>
      <c r="CL8" s="199">
        <f>tCost/tblProfileCal[[#This Row],[Value]]</f>
        <v>595.19423076923101</v>
      </c>
      <c r="CM8" s="199">
        <f>tUtilized/tblProfileCal[[#This Row],[Value]]</f>
        <v>306.11138461538474</v>
      </c>
      <c r="CN8" s="199"/>
      <c r="CO8" s="35" t="s">
        <v>476</v>
      </c>
      <c r="CP8" s="199">
        <v>595.19423076923101</v>
      </c>
      <c r="CQ8" s="199">
        <v>306.11138461538474</v>
      </c>
      <c r="DC8" s="218" t="s">
        <v>458</v>
      </c>
      <c r="DD8" s="36">
        <v>302175.96153846156</v>
      </c>
      <c r="DE8" s="36">
        <v>184068.55769230769</v>
      </c>
    </row>
    <row r="9" spans="1:109" x14ac:dyDescent="0.25">
      <c r="A9">
        <v>8</v>
      </c>
      <c r="B9" t="s">
        <v>16</v>
      </c>
      <c r="C9">
        <v>0.47</v>
      </c>
      <c r="D9" t="s">
        <v>176</v>
      </c>
      <c r="E9" t="s">
        <v>197</v>
      </c>
      <c r="F9" t="s">
        <v>64</v>
      </c>
      <c r="G9" t="s">
        <v>222</v>
      </c>
      <c r="H9" s="36">
        <v>4316.666666666667</v>
      </c>
      <c r="I9" s="36">
        <v>0</v>
      </c>
      <c r="J9" t="s">
        <v>31</v>
      </c>
      <c r="K9" t="s">
        <v>162</v>
      </c>
      <c r="L9">
        <v>4316.666666666667</v>
      </c>
      <c r="M9" s="36">
        <v>0</v>
      </c>
      <c r="N9" s="36">
        <f>DataTable[[#This Row],[Resource Cost]]+DataTable[[#This Row],[Other Cost]]</f>
        <v>4316.666666666667</v>
      </c>
      <c r="O9" s="36">
        <v>4316.666666666667</v>
      </c>
      <c r="P9" s="36">
        <v>0</v>
      </c>
      <c r="Q9" s="36">
        <f>DataTable[[#This Row],[Pct Budget]]*totalBudget</f>
        <v>3055000</v>
      </c>
      <c r="R9" s="36" t="str">
        <f>IFERROR(VLOOKUP(DataTable[[#This Row],[Financial Category]],tblFinancialCat[],2,FALSE),"")</f>
        <v>OpEx</v>
      </c>
      <c r="S9" s="36">
        <f>IFERROR(DataTable[[#This Row],[Utilized]]/DataTable[[#This Row],[Total Cost]]*DataTable[[#This Row],[Resource Cost]],0)</f>
        <v>4316.666666666667</v>
      </c>
      <c r="T9" s="36">
        <f>IFERROR(DataTable[[#This Row],[Utilized]]/DataTable[[#This Row],[Total Cost]]*DataTable[[#This Row],[Other Cost]],0)</f>
        <v>0</v>
      </c>
      <c r="U9" s="217">
        <v>42278</v>
      </c>
      <c r="V9" s="36" t="str">
        <f>TEXT(DataTable[[#This Row],[Month]],"MMM-YY")</f>
        <v>Oct-15</v>
      </c>
      <c r="Y9" t="s">
        <v>47</v>
      </c>
      <c r="Z9" s="34" t="s">
        <v>55</v>
      </c>
      <c r="AA9" t="s">
        <v>438</v>
      </c>
      <c r="AB9" t="s">
        <v>72</v>
      </c>
      <c r="AE9" s="35" t="s">
        <v>188</v>
      </c>
      <c r="AF9" s="36">
        <v>37855.769230769234</v>
      </c>
      <c r="AG9" s="36">
        <v>37855.769230769234</v>
      </c>
      <c r="AY9" s="35" t="s">
        <v>162</v>
      </c>
      <c r="AZ9" s="36">
        <v>55500</v>
      </c>
      <c r="BA9" s="36">
        <v>31820.000000000004</v>
      </c>
      <c r="BD9" s="35" t="s">
        <v>29</v>
      </c>
      <c r="BE9" s="36">
        <v>130000</v>
      </c>
      <c r="BF9" s="36">
        <v>178269.23076923075</v>
      </c>
      <c r="BG9" s="36">
        <v>178269.23076923075</v>
      </c>
      <c r="CD9" s="219" t="s">
        <v>459</v>
      </c>
      <c r="CE9" s="36">
        <v>37855.769230769234</v>
      </c>
      <c r="CF9" s="36">
        <v>37855.769230769234</v>
      </c>
      <c r="CK9" s="199"/>
      <c r="CL9" s="199"/>
      <c r="CM9" s="199"/>
      <c r="CN9" s="199"/>
      <c r="CO9" s="35" t="s">
        <v>56</v>
      </c>
      <c r="CP9" s="199">
        <v>77091.180026223825</v>
      </c>
      <c r="CQ9" s="199">
        <v>39648.381384615401</v>
      </c>
      <c r="DC9" s="218" t="s">
        <v>459</v>
      </c>
      <c r="DD9" s="36">
        <v>37855.769230769234</v>
      </c>
      <c r="DE9" s="36">
        <v>37855.769230769234</v>
      </c>
    </row>
    <row r="10" spans="1:109" x14ac:dyDescent="0.25">
      <c r="A10">
        <v>9</v>
      </c>
      <c r="B10" t="s">
        <v>16</v>
      </c>
      <c r="C10">
        <v>0.47</v>
      </c>
      <c r="D10" t="s">
        <v>176</v>
      </c>
      <c r="E10" t="s">
        <v>33</v>
      </c>
      <c r="F10" t="s">
        <v>64</v>
      </c>
      <c r="G10" t="s">
        <v>222</v>
      </c>
      <c r="H10" s="36">
        <v>4316.666666666667</v>
      </c>
      <c r="I10" s="36">
        <v>0</v>
      </c>
      <c r="J10" t="s">
        <v>31</v>
      </c>
      <c r="K10" t="s">
        <v>162</v>
      </c>
      <c r="L10">
        <v>4316.666666666667</v>
      </c>
      <c r="M10" s="36">
        <v>0</v>
      </c>
      <c r="N10" s="36">
        <f>DataTable[[#This Row],[Resource Cost]]+DataTable[[#This Row],[Other Cost]]</f>
        <v>4316.666666666667</v>
      </c>
      <c r="O10" s="36">
        <v>4316.666666666667</v>
      </c>
      <c r="P10" s="36">
        <v>0</v>
      </c>
      <c r="Q10" s="36">
        <f>DataTable[[#This Row],[Pct Budget]]*totalBudget</f>
        <v>3055000</v>
      </c>
      <c r="R10" s="36" t="str">
        <f>IFERROR(VLOOKUP(DataTable[[#This Row],[Financial Category]],tblFinancialCat[],2,FALSE),"")</f>
        <v>OpEx</v>
      </c>
      <c r="S10" s="36">
        <f>IFERROR(DataTable[[#This Row],[Utilized]]/DataTable[[#This Row],[Total Cost]]*DataTable[[#This Row],[Resource Cost]],0)</f>
        <v>4316.666666666667</v>
      </c>
      <c r="T10" s="36">
        <f>IFERROR(DataTable[[#This Row],[Utilized]]/DataTable[[#This Row],[Total Cost]]*DataTable[[#This Row],[Other Cost]],0)</f>
        <v>0</v>
      </c>
      <c r="U10" s="217">
        <v>42278</v>
      </c>
      <c r="V10" s="36" t="str">
        <f>TEXT(DataTable[[#This Row],[Month]],"MMM-YY")</f>
        <v>Oct-15</v>
      </c>
      <c r="Z10" s="35" t="s">
        <v>57</v>
      </c>
      <c r="AA10" s="36">
        <v>425000</v>
      </c>
      <c r="AB10" s="36">
        <v>232782.45192307691</v>
      </c>
      <c r="AE10" s="35" t="s">
        <v>189</v>
      </c>
      <c r="AF10" s="36">
        <v>44623.076923076922</v>
      </c>
      <c r="AG10" s="36">
        <v>31642.307692307695</v>
      </c>
      <c r="AY10" s="35" t="s">
        <v>123</v>
      </c>
      <c r="AZ10" s="36">
        <v>170000</v>
      </c>
      <c r="BA10" s="36">
        <v>140250</v>
      </c>
      <c r="BD10" s="35" t="s">
        <v>168</v>
      </c>
      <c r="BE10" s="36">
        <v>65000</v>
      </c>
      <c r="BF10" s="36">
        <v>55392.307692307688</v>
      </c>
      <c r="BG10" s="36">
        <v>42796.153846153858</v>
      </c>
      <c r="CD10" s="219" t="s">
        <v>477</v>
      </c>
      <c r="CE10" s="36">
        <v>517013.46153846144</v>
      </c>
      <c r="CF10" s="36">
        <v>131436.53846153847</v>
      </c>
      <c r="CK10" s="199"/>
      <c r="CL10" s="199"/>
      <c r="CM10" s="199"/>
      <c r="CN10" s="199"/>
      <c r="DC10" s="218" t="s">
        <v>477</v>
      </c>
      <c r="DD10" s="36">
        <v>517013.46153846144</v>
      </c>
      <c r="DE10" s="36">
        <v>131436.53846153847</v>
      </c>
    </row>
    <row r="11" spans="1:109" x14ac:dyDescent="0.25">
      <c r="A11">
        <v>10</v>
      </c>
      <c r="B11" t="s">
        <v>16</v>
      </c>
      <c r="C11">
        <v>0.47</v>
      </c>
      <c r="D11" t="s">
        <v>176</v>
      </c>
      <c r="E11" t="s">
        <v>198</v>
      </c>
      <c r="F11" t="s">
        <v>64</v>
      </c>
      <c r="G11" t="s">
        <v>222</v>
      </c>
      <c r="H11" s="36">
        <v>4316.666666666667</v>
      </c>
      <c r="I11" s="36">
        <v>0</v>
      </c>
      <c r="J11" t="s">
        <v>31</v>
      </c>
      <c r="K11" t="s">
        <v>162</v>
      </c>
      <c r="L11">
        <v>4316.666666666667</v>
      </c>
      <c r="M11" s="36">
        <v>0</v>
      </c>
      <c r="N11" s="36">
        <f>DataTable[[#This Row],[Resource Cost]]+DataTable[[#This Row],[Other Cost]]</f>
        <v>4316.666666666667</v>
      </c>
      <c r="O11" s="36">
        <v>4316.666666666667</v>
      </c>
      <c r="P11" s="36">
        <v>0</v>
      </c>
      <c r="Q11" s="36">
        <f>DataTable[[#This Row],[Pct Budget]]*totalBudget</f>
        <v>3055000</v>
      </c>
      <c r="R11" s="36" t="str">
        <f>IFERROR(VLOOKUP(DataTable[[#This Row],[Financial Category]],tblFinancialCat[],2,FALSE),"")</f>
        <v>OpEx</v>
      </c>
      <c r="S11" s="36">
        <f>IFERROR(DataTable[[#This Row],[Utilized]]/DataTable[[#This Row],[Total Cost]]*DataTable[[#This Row],[Resource Cost]],0)</f>
        <v>4316.666666666667</v>
      </c>
      <c r="T11" s="36">
        <f>IFERROR(DataTable[[#This Row],[Utilized]]/DataTable[[#This Row],[Total Cost]]*DataTable[[#This Row],[Other Cost]],0)</f>
        <v>0</v>
      </c>
      <c r="U11" s="217">
        <v>42278</v>
      </c>
      <c r="V11" s="36" t="str">
        <f>TEXT(DataTable[[#This Row],[Month]],"MMM-YY")</f>
        <v>Oct-15</v>
      </c>
      <c r="Z11" s="35" t="s">
        <v>193</v>
      </c>
      <c r="AA11" s="36">
        <v>29603.365384615387</v>
      </c>
      <c r="AB11" s="36">
        <v>29603.365384615387</v>
      </c>
      <c r="AE11" s="35" t="s">
        <v>120</v>
      </c>
      <c r="AF11" s="36">
        <v>25240.384615384617</v>
      </c>
      <c r="AG11" s="36">
        <v>12620.192307692309</v>
      </c>
      <c r="AY11" s="35" t="s">
        <v>128</v>
      </c>
      <c r="AZ11" s="36">
        <v>32451.923076923067</v>
      </c>
      <c r="BA11" s="36">
        <v>21634.615384615387</v>
      </c>
      <c r="BD11" s="35" t="s">
        <v>56</v>
      </c>
      <c r="BE11" s="36">
        <v>3055000</v>
      </c>
      <c r="BF11" s="36">
        <v>4222522.1153846122</v>
      </c>
      <c r="BG11" s="36">
        <v>2215118.0769230761</v>
      </c>
      <c r="CD11" s="219" t="s">
        <v>460</v>
      </c>
      <c r="CE11" s="36">
        <v>145923.07692307688</v>
      </c>
      <c r="CF11" s="36">
        <v>80602.884615384581</v>
      </c>
      <c r="CK11" s="199"/>
      <c r="CL11" s="199"/>
      <c r="CM11" s="199"/>
      <c r="DC11" s="218" t="s">
        <v>460</v>
      </c>
      <c r="DD11" s="36">
        <v>145923.07692307688</v>
      </c>
      <c r="DE11" s="36">
        <v>80602.884615384581</v>
      </c>
    </row>
    <row r="12" spans="1:109" x14ac:dyDescent="0.25">
      <c r="A12">
        <v>11</v>
      </c>
      <c r="B12" t="s">
        <v>16</v>
      </c>
      <c r="C12">
        <v>0.47</v>
      </c>
      <c r="D12" t="s">
        <v>176</v>
      </c>
      <c r="E12" t="s">
        <v>199</v>
      </c>
      <c r="F12" t="s">
        <v>64</v>
      </c>
      <c r="G12" t="s">
        <v>222</v>
      </c>
      <c r="H12" s="36">
        <v>4316.666666666667</v>
      </c>
      <c r="I12" s="36">
        <v>0</v>
      </c>
      <c r="J12" t="s">
        <v>31</v>
      </c>
      <c r="K12" t="s">
        <v>162</v>
      </c>
      <c r="L12">
        <v>4316.666666666667</v>
      </c>
      <c r="M12" s="36">
        <v>0</v>
      </c>
      <c r="N12" s="36">
        <f>DataTable[[#This Row],[Resource Cost]]+DataTable[[#This Row],[Other Cost]]</f>
        <v>4316.666666666667</v>
      </c>
      <c r="O12" s="36">
        <v>4316.666666666667</v>
      </c>
      <c r="P12" s="36">
        <v>0</v>
      </c>
      <c r="Q12" s="36">
        <f>DataTable[[#This Row],[Pct Budget]]*totalBudget</f>
        <v>3055000</v>
      </c>
      <c r="R12" s="36" t="str">
        <f>IFERROR(VLOOKUP(DataTable[[#This Row],[Financial Category]],tblFinancialCat[],2,FALSE),"")</f>
        <v>OpEx</v>
      </c>
      <c r="S12" s="36">
        <f>IFERROR(DataTable[[#This Row],[Utilized]]/DataTable[[#This Row],[Total Cost]]*DataTable[[#This Row],[Resource Cost]],0)</f>
        <v>4316.666666666667</v>
      </c>
      <c r="T12" s="36">
        <f>IFERROR(DataTable[[#This Row],[Utilized]]/DataTable[[#This Row],[Total Cost]]*DataTable[[#This Row],[Other Cost]],0)</f>
        <v>0</v>
      </c>
      <c r="U12" s="217">
        <v>42278</v>
      </c>
      <c r="V12" s="36" t="str">
        <f>TEXT(DataTable[[#This Row],[Month]],"MMM-YY")</f>
        <v>Oct-15</v>
      </c>
      <c r="Z12" s="35" t="s">
        <v>209</v>
      </c>
      <c r="AA12" s="36">
        <v>399350.96153846156</v>
      </c>
      <c r="AB12" s="36">
        <v>339983.17307692306</v>
      </c>
      <c r="AE12" s="35" t="s">
        <v>184</v>
      </c>
      <c r="AF12" s="36">
        <v>25192.307692307688</v>
      </c>
      <c r="AG12" s="36">
        <v>12596.153846153844</v>
      </c>
      <c r="AY12" s="35" t="s">
        <v>146</v>
      </c>
      <c r="AZ12" s="36">
        <v>12000</v>
      </c>
      <c r="BA12" s="36">
        <v>2700</v>
      </c>
      <c r="CD12" s="219" t="s">
        <v>461</v>
      </c>
      <c r="CE12" s="36">
        <v>773461.5384615385</v>
      </c>
      <c r="CF12" s="36">
        <v>188461.53846153847</v>
      </c>
      <c r="CK12" s="199"/>
      <c r="CL12" s="199"/>
      <c r="CM12" s="199"/>
      <c r="DC12" s="218" t="s">
        <v>461</v>
      </c>
      <c r="DD12" s="36">
        <v>773461.5384615385</v>
      </c>
      <c r="DE12" s="36">
        <v>188461.53846153847</v>
      </c>
    </row>
    <row r="13" spans="1:109" x14ac:dyDescent="0.25">
      <c r="A13">
        <v>12</v>
      </c>
      <c r="B13" t="s">
        <v>16</v>
      </c>
      <c r="C13">
        <v>0.47</v>
      </c>
      <c r="D13" t="s">
        <v>176</v>
      </c>
      <c r="E13" t="s">
        <v>174</v>
      </c>
      <c r="F13" t="s">
        <v>64</v>
      </c>
      <c r="G13" t="s">
        <v>222</v>
      </c>
      <c r="H13" s="36">
        <v>4316.666666666667</v>
      </c>
      <c r="I13" s="36">
        <v>0</v>
      </c>
      <c r="J13" t="s">
        <v>31</v>
      </c>
      <c r="K13" t="s">
        <v>162</v>
      </c>
      <c r="L13">
        <v>4316.666666666667</v>
      </c>
      <c r="M13" s="36">
        <v>0</v>
      </c>
      <c r="N13" s="36">
        <f>DataTable[[#This Row],[Resource Cost]]+DataTable[[#This Row],[Other Cost]]</f>
        <v>4316.666666666667</v>
      </c>
      <c r="O13" s="36">
        <v>4316.666666666667</v>
      </c>
      <c r="P13" s="36">
        <v>0</v>
      </c>
      <c r="Q13" s="36">
        <f>DataTable[[#This Row],[Pct Budget]]*totalBudget</f>
        <v>3055000</v>
      </c>
      <c r="R13" s="36" t="str">
        <f>IFERROR(VLOOKUP(DataTable[[#This Row],[Financial Category]],tblFinancialCat[],2,FALSE),"")</f>
        <v>OpEx</v>
      </c>
      <c r="S13" s="36">
        <f>IFERROR(DataTable[[#This Row],[Utilized]]/DataTable[[#This Row],[Total Cost]]*DataTable[[#This Row],[Resource Cost]],0)</f>
        <v>4316.666666666667</v>
      </c>
      <c r="T13" s="36">
        <f>IFERROR(DataTable[[#This Row],[Utilized]]/DataTable[[#This Row],[Total Cost]]*DataTable[[#This Row],[Other Cost]],0)</f>
        <v>0</v>
      </c>
      <c r="U13" s="217">
        <v>42278</v>
      </c>
      <c r="V13" s="36" t="str">
        <f>TEXT(DataTable[[#This Row],[Month]],"MMM-YY")</f>
        <v>Oct-15</v>
      </c>
      <c r="Z13" s="35" t="s">
        <v>178</v>
      </c>
      <c r="AA13" s="36">
        <v>443864.78365384624</v>
      </c>
      <c r="AB13" s="36">
        <v>277086.65464743588</v>
      </c>
      <c r="AE13" s="35" t="s">
        <v>56</v>
      </c>
      <c r="AF13" s="36">
        <v>4222522.1153846141</v>
      </c>
      <c r="AG13" s="36">
        <v>2215118.0769230765</v>
      </c>
      <c r="AY13" s="35" t="s">
        <v>147</v>
      </c>
      <c r="AZ13" s="36">
        <v>66000</v>
      </c>
      <c r="BA13" s="36">
        <v>14850</v>
      </c>
      <c r="CD13" s="35" t="s">
        <v>56</v>
      </c>
      <c r="CE13" s="36">
        <v>4222522.115384616</v>
      </c>
      <c r="CF13" s="36">
        <v>2215118.076923077</v>
      </c>
      <c r="CK13" s="199"/>
      <c r="CL13" s="199"/>
      <c r="CM13" s="199"/>
      <c r="DC13" s="35" t="s">
        <v>56</v>
      </c>
      <c r="DD13" s="36">
        <v>4222522.115384616</v>
      </c>
      <c r="DE13" s="36">
        <v>2215118.076923077</v>
      </c>
    </row>
    <row r="14" spans="1:109" x14ac:dyDescent="0.25">
      <c r="A14">
        <v>13</v>
      </c>
      <c r="B14" t="s">
        <v>16</v>
      </c>
      <c r="C14">
        <v>0.47</v>
      </c>
      <c r="D14" t="s">
        <v>176</v>
      </c>
      <c r="E14" t="s">
        <v>209</v>
      </c>
      <c r="F14" t="s">
        <v>64</v>
      </c>
      <c r="G14" t="s">
        <v>222</v>
      </c>
      <c r="H14" s="36">
        <v>3004.8076923076919</v>
      </c>
      <c r="I14" s="36">
        <v>0</v>
      </c>
      <c r="J14" t="s">
        <v>31</v>
      </c>
      <c r="K14" t="s">
        <v>128</v>
      </c>
      <c r="L14">
        <v>3004.8076923076919</v>
      </c>
      <c r="M14" s="36">
        <v>0</v>
      </c>
      <c r="N14" s="36">
        <f>DataTable[[#This Row],[Resource Cost]]+DataTable[[#This Row],[Other Cost]]</f>
        <v>3004.8076923076919</v>
      </c>
      <c r="O14" s="36">
        <v>3004.8076923076919</v>
      </c>
      <c r="P14" s="36">
        <v>0</v>
      </c>
      <c r="Q14" s="36">
        <f>DataTable[[#This Row],[Pct Budget]]*totalBudget</f>
        <v>3055000</v>
      </c>
      <c r="R14" s="36" t="str">
        <f>IFERROR(VLOOKUP(DataTable[[#This Row],[Financial Category]],tblFinancialCat[],2,FALSE),"")</f>
        <v>OpEx</v>
      </c>
      <c r="S14" s="36">
        <f>IFERROR(DataTable[[#This Row],[Utilized]]/DataTable[[#This Row],[Total Cost]]*DataTable[[#This Row],[Resource Cost]],0)</f>
        <v>3004.8076923076919</v>
      </c>
      <c r="T14" s="36">
        <f>IFERROR(DataTable[[#This Row],[Utilized]]/DataTable[[#This Row],[Total Cost]]*DataTable[[#This Row],[Other Cost]],0)</f>
        <v>0</v>
      </c>
      <c r="U14" s="217">
        <v>42278</v>
      </c>
      <c r="V14" s="36" t="str">
        <f>TEXT(DataTable[[#This Row],[Month]],"MMM-YY")</f>
        <v>Oct-15</v>
      </c>
      <c r="Z14" s="35" t="s">
        <v>174</v>
      </c>
      <c r="AA14" s="36">
        <v>187564.26282051284</v>
      </c>
      <c r="AB14" s="36">
        <v>134494.55128205128</v>
      </c>
      <c r="AY14" s="35" t="s">
        <v>145</v>
      </c>
      <c r="AZ14" s="36">
        <v>24700</v>
      </c>
      <c r="BA14" s="36">
        <v>10075</v>
      </c>
      <c r="CK14" s="199"/>
      <c r="CL14" s="199"/>
      <c r="CM14" s="199"/>
    </row>
    <row r="15" spans="1:109" x14ac:dyDescent="0.25">
      <c r="A15">
        <v>14</v>
      </c>
      <c r="B15" t="s">
        <v>16</v>
      </c>
      <c r="C15">
        <v>0.47</v>
      </c>
      <c r="D15" t="s">
        <v>176</v>
      </c>
      <c r="E15" t="s">
        <v>197</v>
      </c>
      <c r="F15" t="s">
        <v>64</v>
      </c>
      <c r="G15" t="s">
        <v>222</v>
      </c>
      <c r="H15" s="36">
        <v>3004.8076923076919</v>
      </c>
      <c r="I15" s="36">
        <v>0</v>
      </c>
      <c r="J15" t="s">
        <v>31</v>
      </c>
      <c r="K15" t="s">
        <v>128</v>
      </c>
      <c r="L15">
        <v>3004.8076923076919</v>
      </c>
      <c r="M15" s="36">
        <v>0</v>
      </c>
      <c r="N15" s="36">
        <f>DataTable[[#This Row],[Resource Cost]]+DataTable[[#This Row],[Other Cost]]</f>
        <v>3004.8076923076919</v>
      </c>
      <c r="O15" s="36">
        <v>3004.8076923076919</v>
      </c>
      <c r="P15" s="36">
        <v>0</v>
      </c>
      <c r="Q15" s="36">
        <f>DataTable[[#This Row],[Pct Budget]]*totalBudget</f>
        <v>3055000</v>
      </c>
      <c r="R15" s="36" t="str">
        <f>IFERROR(VLOOKUP(DataTable[[#This Row],[Financial Category]],tblFinancialCat[],2,FALSE),"")</f>
        <v>OpEx</v>
      </c>
      <c r="S15" s="36">
        <f>IFERROR(DataTable[[#This Row],[Utilized]]/DataTable[[#This Row],[Total Cost]]*DataTable[[#This Row],[Resource Cost]],0)</f>
        <v>3004.8076923076919</v>
      </c>
      <c r="T15" s="36">
        <f>IFERROR(DataTable[[#This Row],[Utilized]]/DataTable[[#This Row],[Total Cost]]*DataTable[[#This Row],[Other Cost]],0)</f>
        <v>0</v>
      </c>
      <c r="U15" s="217">
        <v>42278</v>
      </c>
      <c r="V15" s="36" t="str">
        <f>TEXT(DataTable[[#This Row],[Month]],"MMM-YY")</f>
        <v>Oct-15</v>
      </c>
      <c r="Z15" s="35" t="s">
        <v>151</v>
      </c>
      <c r="AA15" s="36">
        <v>27341.346153846152</v>
      </c>
      <c r="AB15" s="36">
        <v>23134.615384615383</v>
      </c>
      <c r="AY15" s="35" t="s">
        <v>130</v>
      </c>
      <c r="AZ15" s="36">
        <v>1862.9807692307693</v>
      </c>
      <c r="BA15" s="36">
        <v>931.49038461538464</v>
      </c>
      <c r="CK15" s="199"/>
      <c r="CL15" s="199"/>
      <c r="CM15" s="199"/>
    </row>
    <row r="16" spans="1:109" x14ac:dyDescent="0.25">
      <c r="A16">
        <v>15</v>
      </c>
      <c r="B16" t="s">
        <v>16</v>
      </c>
      <c r="C16">
        <v>0.47</v>
      </c>
      <c r="D16" t="s">
        <v>176</v>
      </c>
      <c r="E16" t="s">
        <v>33</v>
      </c>
      <c r="F16" t="s">
        <v>64</v>
      </c>
      <c r="G16" t="s">
        <v>222</v>
      </c>
      <c r="H16" s="36">
        <v>3004.8076923076919</v>
      </c>
      <c r="I16" s="36">
        <v>0</v>
      </c>
      <c r="J16" t="s">
        <v>31</v>
      </c>
      <c r="K16" t="s">
        <v>128</v>
      </c>
      <c r="L16">
        <v>3004.8076923076919</v>
      </c>
      <c r="M16" s="36">
        <v>0</v>
      </c>
      <c r="N16" s="36">
        <f>DataTable[[#This Row],[Resource Cost]]+DataTable[[#This Row],[Other Cost]]</f>
        <v>3004.8076923076919</v>
      </c>
      <c r="O16" s="36">
        <v>3004.8076923076919</v>
      </c>
      <c r="P16" s="36">
        <v>0</v>
      </c>
      <c r="Q16" s="36">
        <f>DataTable[[#This Row],[Pct Budget]]*totalBudget</f>
        <v>3055000</v>
      </c>
      <c r="R16" s="36" t="str">
        <f>IFERROR(VLOOKUP(DataTable[[#This Row],[Financial Category]],tblFinancialCat[],2,FALSE),"")</f>
        <v>OpEx</v>
      </c>
      <c r="S16" s="36">
        <f>IFERROR(DataTable[[#This Row],[Utilized]]/DataTable[[#This Row],[Total Cost]]*DataTable[[#This Row],[Resource Cost]],0)</f>
        <v>3004.8076923076919</v>
      </c>
      <c r="T16" s="36">
        <f>IFERROR(DataTable[[#This Row],[Utilized]]/DataTable[[#This Row],[Total Cost]]*DataTable[[#This Row],[Other Cost]],0)</f>
        <v>0</v>
      </c>
      <c r="U16" s="217">
        <v>42278</v>
      </c>
      <c r="V16" s="36" t="str">
        <f>TEXT(DataTable[[#This Row],[Month]],"MMM-YY")</f>
        <v>Oct-15</v>
      </c>
      <c r="Z16" s="35" t="s">
        <v>173</v>
      </c>
      <c r="AA16" s="36">
        <v>39951.923076923071</v>
      </c>
      <c r="AB16" s="36">
        <v>25968.750000000004</v>
      </c>
      <c r="AY16" s="35" t="s">
        <v>118</v>
      </c>
      <c r="AZ16" s="36">
        <v>7211.538461538461</v>
      </c>
      <c r="BA16" s="36">
        <v>1442.3076923076924</v>
      </c>
      <c r="CK16" s="199"/>
      <c r="CL16" s="199"/>
      <c r="CM16" s="199"/>
    </row>
    <row r="17" spans="1:53" x14ac:dyDescent="0.25">
      <c r="A17">
        <v>16</v>
      </c>
      <c r="B17" t="s">
        <v>16</v>
      </c>
      <c r="C17">
        <v>0.47</v>
      </c>
      <c r="D17" t="s">
        <v>176</v>
      </c>
      <c r="E17" t="s">
        <v>198</v>
      </c>
      <c r="F17" t="s">
        <v>64</v>
      </c>
      <c r="G17" t="s">
        <v>222</v>
      </c>
      <c r="H17" s="36">
        <v>3004.8076923076919</v>
      </c>
      <c r="I17" s="36">
        <v>0</v>
      </c>
      <c r="J17" t="s">
        <v>31</v>
      </c>
      <c r="K17" t="s">
        <v>128</v>
      </c>
      <c r="L17">
        <v>3004.8076923076919</v>
      </c>
      <c r="M17" s="36">
        <v>0</v>
      </c>
      <c r="N17" s="36">
        <f>DataTable[[#This Row],[Resource Cost]]+DataTable[[#This Row],[Other Cost]]</f>
        <v>3004.8076923076919</v>
      </c>
      <c r="O17" s="36">
        <v>3004.8076923076919</v>
      </c>
      <c r="P17" s="36">
        <v>0</v>
      </c>
      <c r="Q17" s="36">
        <f>DataTable[[#This Row],[Pct Budget]]*totalBudget</f>
        <v>3055000</v>
      </c>
      <c r="R17" s="36" t="str">
        <f>IFERROR(VLOOKUP(DataTable[[#This Row],[Financial Category]],tblFinancialCat[],2,FALSE),"")</f>
        <v>OpEx</v>
      </c>
      <c r="S17" s="36">
        <f>IFERROR(DataTable[[#This Row],[Utilized]]/DataTable[[#This Row],[Total Cost]]*DataTable[[#This Row],[Resource Cost]],0)</f>
        <v>3004.8076923076919</v>
      </c>
      <c r="T17" s="36">
        <f>IFERROR(DataTable[[#This Row],[Utilized]]/DataTable[[#This Row],[Total Cost]]*DataTable[[#This Row],[Other Cost]],0)</f>
        <v>0</v>
      </c>
      <c r="U17" s="217">
        <v>42278</v>
      </c>
      <c r="V17" s="36" t="str">
        <f>TEXT(DataTable[[#This Row],[Month]],"MMM-YY")</f>
        <v>Oct-15</v>
      </c>
      <c r="Z17" s="35" t="s">
        <v>187</v>
      </c>
      <c r="AA17" s="36">
        <v>49571.474358974352</v>
      </c>
      <c r="AB17" s="36">
        <v>27469.166666666668</v>
      </c>
      <c r="AY17" s="35" t="s">
        <v>129</v>
      </c>
      <c r="AZ17" s="36">
        <v>18028.846153846152</v>
      </c>
      <c r="BA17" s="36">
        <v>3605.7692307692305</v>
      </c>
    </row>
    <row r="18" spans="1:53" x14ac:dyDescent="0.25">
      <c r="A18">
        <v>17</v>
      </c>
      <c r="B18" t="s">
        <v>16</v>
      </c>
      <c r="C18">
        <v>0.47</v>
      </c>
      <c r="D18" t="s">
        <v>176</v>
      </c>
      <c r="E18" t="s">
        <v>199</v>
      </c>
      <c r="F18" t="s">
        <v>64</v>
      </c>
      <c r="G18" t="s">
        <v>222</v>
      </c>
      <c r="H18" s="36">
        <v>3004.8076923076919</v>
      </c>
      <c r="I18" s="36">
        <v>0</v>
      </c>
      <c r="J18" t="s">
        <v>31</v>
      </c>
      <c r="K18" t="s">
        <v>128</v>
      </c>
      <c r="L18">
        <v>3004.8076923076919</v>
      </c>
      <c r="M18" s="36">
        <v>0</v>
      </c>
      <c r="N18" s="36">
        <f>DataTable[[#This Row],[Resource Cost]]+DataTable[[#This Row],[Other Cost]]</f>
        <v>3004.8076923076919</v>
      </c>
      <c r="O18" s="36">
        <v>3004.8076923076919</v>
      </c>
      <c r="P18" s="36">
        <v>0</v>
      </c>
      <c r="Q18" s="36">
        <f>DataTable[[#This Row],[Pct Budget]]*totalBudget</f>
        <v>3055000</v>
      </c>
      <c r="R18" s="36" t="str">
        <f>IFERROR(VLOOKUP(DataTable[[#This Row],[Financial Category]],tblFinancialCat[],2,FALSE),"")</f>
        <v>OpEx</v>
      </c>
      <c r="S18" s="36">
        <f>IFERROR(DataTable[[#This Row],[Utilized]]/DataTable[[#This Row],[Total Cost]]*DataTable[[#This Row],[Resource Cost]],0)</f>
        <v>3004.8076923076919</v>
      </c>
      <c r="T18" s="36">
        <f>IFERROR(DataTable[[#This Row],[Utilized]]/DataTable[[#This Row],[Total Cost]]*DataTable[[#This Row],[Other Cost]],0)</f>
        <v>0</v>
      </c>
      <c r="U18" s="217">
        <v>42278</v>
      </c>
      <c r="V18" s="36" t="str">
        <f>TEXT(DataTable[[#This Row],[Month]],"MMM-YY")</f>
        <v>Oct-15</v>
      </c>
      <c r="Z18" s="35" t="s">
        <v>197</v>
      </c>
      <c r="AA18" s="36">
        <v>306630.76923076925</v>
      </c>
      <c r="AB18" s="36">
        <v>192359.13461538462</v>
      </c>
      <c r="AY18" s="35" t="s">
        <v>149</v>
      </c>
      <c r="AZ18" s="36">
        <v>145000</v>
      </c>
      <c r="BA18" s="36">
        <v>120000</v>
      </c>
    </row>
    <row r="19" spans="1:53" x14ac:dyDescent="0.25">
      <c r="A19">
        <v>18</v>
      </c>
      <c r="B19" t="s">
        <v>16</v>
      </c>
      <c r="C19">
        <v>0.47</v>
      </c>
      <c r="D19" t="s">
        <v>176</v>
      </c>
      <c r="E19" t="s">
        <v>174</v>
      </c>
      <c r="F19" t="s">
        <v>64</v>
      </c>
      <c r="G19" t="s">
        <v>222</v>
      </c>
      <c r="H19" s="36">
        <v>3004.8076923076919</v>
      </c>
      <c r="I19" s="36">
        <v>0</v>
      </c>
      <c r="J19" t="s">
        <v>31</v>
      </c>
      <c r="K19" t="s">
        <v>128</v>
      </c>
      <c r="L19">
        <v>3004.8076923076919</v>
      </c>
      <c r="M19" s="36">
        <v>0</v>
      </c>
      <c r="N19" s="36">
        <f>DataTable[[#This Row],[Resource Cost]]+DataTable[[#This Row],[Other Cost]]</f>
        <v>3004.8076923076919</v>
      </c>
      <c r="O19" s="36">
        <v>3004.8076923076919</v>
      </c>
      <c r="P19" s="36">
        <v>0</v>
      </c>
      <c r="Q19" s="36">
        <f>DataTable[[#This Row],[Pct Budget]]*totalBudget</f>
        <v>3055000</v>
      </c>
      <c r="R19" s="36" t="str">
        <f>IFERROR(VLOOKUP(DataTable[[#This Row],[Financial Category]],tblFinancialCat[],2,FALSE),"")</f>
        <v>OpEx</v>
      </c>
      <c r="S19" s="36">
        <f>IFERROR(DataTable[[#This Row],[Utilized]]/DataTable[[#This Row],[Total Cost]]*DataTable[[#This Row],[Resource Cost]],0)</f>
        <v>3004.8076923076919</v>
      </c>
      <c r="T19" s="36">
        <f>IFERROR(DataTable[[#This Row],[Utilized]]/DataTable[[#This Row],[Total Cost]]*DataTable[[#This Row],[Other Cost]],0)</f>
        <v>0</v>
      </c>
      <c r="U19" s="217">
        <v>42278</v>
      </c>
      <c r="V19" s="36" t="str">
        <f>TEXT(DataTable[[#This Row],[Month]],"MMM-YY")</f>
        <v>Oct-15</v>
      </c>
      <c r="Z19" s="35" t="s">
        <v>33</v>
      </c>
      <c r="AA19" s="36">
        <v>187564.26282051284</v>
      </c>
      <c r="AB19" s="36">
        <v>134494.55128205128</v>
      </c>
      <c r="AY19" s="35" t="s">
        <v>133</v>
      </c>
      <c r="AZ19" s="36">
        <v>20432.692307692309</v>
      </c>
      <c r="BA19" s="36">
        <v>8413.461538461539</v>
      </c>
    </row>
    <row r="20" spans="1:53" x14ac:dyDescent="0.25">
      <c r="A20">
        <v>19</v>
      </c>
      <c r="B20" t="s">
        <v>16</v>
      </c>
      <c r="C20">
        <v>0.47</v>
      </c>
      <c r="D20" t="s">
        <v>176</v>
      </c>
      <c r="E20" t="s">
        <v>209</v>
      </c>
      <c r="F20" t="s">
        <v>64</v>
      </c>
      <c r="G20" t="s">
        <v>222</v>
      </c>
      <c r="H20" s="36">
        <v>41666.666666666664</v>
      </c>
      <c r="I20" s="36">
        <v>0</v>
      </c>
      <c r="J20" t="s">
        <v>9</v>
      </c>
      <c r="L20">
        <v>0</v>
      </c>
      <c r="M20" s="36">
        <v>41666.666666666664</v>
      </c>
      <c r="N20" s="36">
        <f>DataTable[[#This Row],[Resource Cost]]+DataTable[[#This Row],[Other Cost]]</f>
        <v>41666.666666666664</v>
      </c>
      <c r="O20" s="36">
        <v>4166.666666666667</v>
      </c>
      <c r="P20" s="36">
        <v>37500</v>
      </c>
      <c r="Q20" s="36">
        <f>DataTable[[#This Row],[Pct Budget]]*totalBudget</f>
        <v>3055000</v>
      </c>
      <c r="R20" s="36" t="str">
        <f>IFERROR(VLOOKUP(DataTable[[#This Row],[Financial Category]],tblFinancialCat[],2,FALSE),"")</f>
        <v xml:space="preserve">CapEx  </v>
      </c>
      <c r="S20" s="36">
        <f>IFERROR(DataTable[[#This Row],[Utilized]]/DataTable[[#This Row],[Total Cost]]*DataTable[[#This Row],[Resource Cost]],0)</f>
        <v>0</v>
      </c>
      <c r="T20" s="36">
        <f>IFERROR(DataTable[[#This Row],[Utilized]]/DataTable[[#This Row],[Total Cost]]*DataTable[[#This Row],[Other Cost]],0)</f>
        <v>4166.666666666667</v>
      </c>
      <c r="U20" s="217">
        <v>42036</v>
      </c>
      <c r="V20" s="36" t="str">
        <f>TEXT(DataTable[[#This Row],[Month]],"MMM-YY")</f>
        <v>Feb-15</v>
      </c>
      <c r="Z20" s="35" t="s">
        <v>198</v>
      </c>
      <c r="AA20" s="36">
        <v>153625.96153846156</v>
      </c>
      <c r="AB20" s="36">
        <v>100556.25</v>
      </c>
      <c r="AY20" s="35" t="s">
        <v>131</v>
      </c>
      <c r="AZ20" s="36">
        <v>54086.538461538454</v>
      </c>
      <c r="BA20" s="36">
        <v>17307.692307692312</v>
      </c>
    </row>
    <row r="21" spans="1:53" x14ac:dyDescent="0.25">
      <c r="A21">
        <v>20</v>
      </c>
      <c r="B21" t="s">
        <v>16</v>
      </c>
      <c r="C21">
        <v>0.47</v>
      </c>
      <c r="D21" t="s">
        <v>176</v>
      </c>
      <c r="E21" t="s">
        <v>197</v>
      </c>
      <c r="F21" t="s">
        <v>64</v>
      </c>
      <c r="G21" t="s">
        <v>222</v>
      </c>
      <c r="H21" s="36">
        <v>41666.666666666664</v>
      </c>
      <c r="I21" s="36">
        <v>0</v>
      </c>
      <c r="J21" t="s">
        <v>9</v>
      </c>
      <c r="L21">
        <v>0</v>
      </c>
      <c r="M21" s="36">
        <v>41666.666666666664</v>
      </c>
      <c r="N21" s="36">
        <f>DataTable[[#This Row],[Resource Cost]]+DataTable[[#This Row],[Other Cost]]</f>
        <v>41666.666666666664</v>
      </c>
      <c r="O21" s="36">
        <v>4166.666666666667</v>
      </c>
      <c r="P21" s="36">
        <v>37500</v>
      </c>
      <c r="Q21" s="36">
        <f>DataTable[[#This Row],[Pct Budget]]*totalBudget</f>
        <v>3055000</v>
      </c>
      <c r="R21" s="36" t="str">
        <f>IFERROR(VLOOKUP(DataTable[[#This Row],[Financial Category]],tblFinancialCat[],2,FALSE),"")</f>
        <v xml:space="preserve">CapEx  </v>
      </c>
      <c r="S21" s="36">
        <f>IFERROR(DataTable[[#This Row],[Utilized]]/DataTable[[#This Row],[Total Cost]]*DataTable[[#This Row],[Resource Cost]],0)</f>
        <v>0</v>
      </c>
      <c r="T21" s="36">
        <f>IFERROR(DataTable[[#This Row],[Utilized]]/DataTable[[#This Row],[Total Cost]]*DataTable[[#This Row],[Other Cost]],0)</f>
        <v>4166.666666666667</v>
      </c>
      <c r="U21" s="217">
        <v>42036</v>
      </c>
      <c r="V21" s="36" t="str">
        <f>TEXT(DataTable[[#This Row],[Month]],"MMM-YY")</f>
        <v>Feb-15</v>
      </c>
      <c r="Z21" s="35" t="s">
        <v>199</v>
      </c>
      <c r="AA21" s="36">
        <v>153625.96153846156</v>
      </c>
      <c r="AB21" s="36">
        <v>100556.25</v>
      </c>
      <c r="AY21" s="35" t="s">
        <v>125</v>
      </c>
      <c r="AZ21" s="36">
        <v>21033.653846153844</v>
      </c>
      <c r="BA21" s="36">
        <v>12319.711538461539</v>
      </c>
    </row>
    <row r="22" spans="1:53" x14ac:dyDescent="0.25">
      <c r="A22">
        <v>21</v>
      </c>
      <c r="B22" t="s">
        <v>16</v>
      </c>
      <c r="C22">
        <v>0.47</v>
      </c>
      <c r="D22" t="s">
        <v>176</v>
      </c>
      <c r="E22" t="s">
        <v>33</v>
      </c>
      <c r="F22" t="s">
        <v>64</v>
      </c>
      <c r="G22" t="s">
        <v>222</v>
      </c>
      <c r="H22" s="36">
        <v>41666.666666666664</v>
      </c>
      <c r="I22" s="36">
        <v>0</v>
      </c>
      <c r="J22" t="s">
        <v>9</v>
      </c>
      <c r="L22">
        <v>0</v>
      </c>
      <c r="M22" s="36">
        <v>41666.666666666664</v>
      </c>
      <c r="N22" s="36">
        <f>DataTable[[#This Row],[Resource Cost]]+DataTable[[#This Row],[Other Cost]]</f>
        <v>41666.666666666664</v>
      </c>
      <c r="O22" s="36">
        <v>4166.666666666667</v>
      </c>
      <c r="P22" s="36">
        <v>37500</v>
      </c>
      <c r="Q22" s="36">
        <f>DataTable[[#This Row],[Pct Budget]]*totalBudget</f>
        <v>3055000</v>
      </c>
      <c r="R22" s="36" t="str">
        <f>IFERROR(VLOOKUP(DataTable[[#This Row],[Financial Category]],tblFinancialCat[],2,FALSE),"")</f>
        <v xml:space="preserve">CapEx  </v>
      </c>
      <c r="S22" s="36">
        <f>IFERROR(DataTable[[#This Row],[Utilized]]/DataTable[[#This Row],[Total Cost]]*DataTable[[#This Row],[Resource Cost]],0)</f>
        <v>0</v>
      </c>
      <c r="T22" s="36">
        <f>IFERROR(DataTable[[#This Row],[Utilized]]/DataTable[[#This Row],[Total Cost]]*DataTable[[#This Row],[Other Cost]],0)</f>
        <v>4166.666666666667</v>
      </c>
      <c r="U22" s="217">
        <v>42036</v>
      </c>
      <c r="V22" s="36" t="str">
        <f>TEXT(DataTable[[#This Row],[Month]],"MMM-YY")</f>
        <v>Feb-15</v>
      </c>
      <c r="Z22" s="35" t="s">
        <v>201</v>
      </c>
      <c r="AA22" s="36">
        <v>162566.546474359</v>
      </c>
      <c r="AB22" s="36">
        <v>43515.725160256421</v>
      </c>
      <c r="AY22" s="35" t="s">
        <v>56</v>
      </c>
      <c r="AZ22" s="36">
        <v>1620022.1153846155</v>
      </c>
      <c r="BA22" s="36">
        <v>1165743.0769230768</v>
      </c>
    </row>
    <row r="23" spans="1:53" x14ac:dyDescent="0.25">
      <c r="A23">
        <v>22</v>
      </c>
      <c r="B23" t="s">
        <v>16</v>
      </c>
      <c r="C23">
        <v>0.47</v>
      </c>
      <c r="D23" t="s">
        <v>176</v>
      </c>
      <c r="E23" t="s">
        <v>198</v>
      </c>
      <c r="F23" t="s">
        <v>64</v>
      </c>
      <c r="G23" t="s">
        <v>222</v>
      </c>
      <c r="H23" s="36">
        <v>41666.666666666664</v>
      </c>
      <c r="I23" s="36">
        <v>0</v>
      </c>
      <c r="J23" t="s">
        <v>9</v>
      </c>
      <c r="L23">
        <v>0</v>
      </c>
      <c r="M23" s="36">
        <v>41666.666666666664</v>
      </c>
      <c r="N23" s="36">
        <f>DataTable[[#This Row],[Resource Cost]]+DataTable[[#This Row],[Other Cost]]</f>
        <v>41666.666666666664</v>
      </c>
      <c r="O23" s="36">
        <v>4166.666666666667</v>
      </c>
      <c r="P23" s="36">
        <v>37500</v>
      </c>
      <c r="Q23" s="36">
        <f>DataTable[[#This Row],[Pct Budget]]*totalBudget</f>
        <v>3055000</v>
      </c>
      <c r="R23" s="36" t="str">
        <f>IFERROR(VLOOKUP(DataTable[[#This Row],[Financial Category]],tblFinancialCat[],2,FALSE),"")</f>
        <v xml:space="preserve">CapEx  </v>
      </c>
      <c r="S23" s="36">
        <f>IFERROR(DataTable[[#This Row],[Utilized]]/DataTable[[#This Row],[Total Cost]]*DataTable[[#This Row],[Resource Cost]],0)</f>
        <v>0</v>
      </c>
      <c r="T23" s="36">
        <f>IFERROR(DataTable[[#This Row],[Utilized]]/DataTable[[#This Row],[Total Cost]]*DataTable[[#This Row],[Other Cost]],0)</f>
        <v>4166.666666666667</v>
      </c>
      <c r="U23" s="217">
        <v>42036</v>
      </c>
      <c r="V23" s="36" t="str">
        <f>TEXT(DataTable[[#This Row],[Month]],"MMM-YY")</f>
        <v>Feb-15</v>
      </c>
      <c r="Z23" s="35" t="s">
        <v>177</v>
      </c>
      <c r="AA23" s="36">
        <v>172798.91826923075</v>
      </c>
      <c r="AB23" s="36">
        <v>68283.353365384624</v>
      </c>
    </row>
    <row r="24" spans="1:53" x14ac:dyDescent="0.25">
      <c r="A24">
        <v>23</v>
      </c>
      <c r="B24" t="s">
        <v>16</v>
      </c>
      <c r="C24">
        <v>0.47</v>
      </c>
      <c r="D24" t="s">
        <v>176</v>
      </c>
      <c r="E24" t="s">
        <v>199</v>
      </c>
      <c r="F24" t="s">
        <v>64</v>
      </c>
      <c r="G24" t="s">
        <v>222</v>
      </c>
      <c r="H24" s="36">
        <v>41666.666666666664</v>
      </c>
      <c r="I24" s="36">
        <v>0</v>
      </c>
      <c r="J24" t="s">
        <v>9</v>
      </c>
      <c r="L24">
        <v>0</v>
      </c>
      <c r="M24" s="36">
        <v>41666.666666666664</v>
      </c>
      <c r="N24" s="36">
        <f>DataTable[[#This Row],[Resource Cost]]+DataTable[[#This Row],[Other Cost]]</f>
        <v>41666.666666666664</v>
      </c>
      <c r="O24" s="36">
        <v>4166.666666666667</v>
      </c>
      <c r="P24" s="36">
        <v>37500</v>
      </c>
      <c r="Q24" s="36">
        <f>DataTable[[#This Row],[Pct Budget]]*totalBudget</f>
        <v>3055000</v>
      </c>
      <c r="R24" s="36" t="str">
        <f>IFERROR(VLOOKUP(DataTable[[#This Row],[Financial Category]],tblFinancialCat[],2,FALSE),"")</f>
        <v xml:space="preserve">CapEx  </v>
      </c>
      <c r="S24" s="36">
        <f>IFERROR(DataTable[[#This Row],[Utilized]]/DataTable[[#This Row],[Total Cost]]*DataTable[[#This Row],[Resource Cost]],0)</f>
        <v>0</v>
      </c>
      <c r="T24" s="36">
        <f>IFERROR(DataTable[[#This Row],[Utilized]]/DataTable[[#This Row],[Total Cost]]*DataTable[[#This Row],[Other Cost]],0)</f>
        <v>4166.666666666667</v>
      </c>
      <c r="U24" s="217">
        <v>42036</v>
      </c>
      <c r="V24" s="36" t="str">
        <f>TEXT(DataTable[[#This Row],[Month]],"MMM-YY")</f>
        <v>Feb-15</v>
      </c>
      <c r="Z24" s="35" t="s">
        <v>208</v>
      </c>
      <c r="AA24" s="36">
        <v>128207.5721153846</v>
      </c>
      <c r="AB24" s="36">
        <v>19485.276442307695</v>
      </c>
    </row>
    <row r="25" spans="1:53" x14ac:dyDescent="0.25">
      <c r="A25">
        <v>24</v>
      </c>
      <c r="B25" t="s">
        <v>16</v>
      </c>
      <c r="C25">
        <v>0.47</v>
      </c>
      <c r="D25" t="s">
        <v>176</v>
      </c>
      <c r="E25" t="s">
        <v>174</v>
      </c>
      <c r="F25" t="s">
        <v>64</v>
      </c>
      <c r="G25" t="s">
        <v>222</v>
      </c>
      <c r="H25" s="36">
        <v>41666.666666666664</v>
      </c>
      <c r="I25" s="36">
        <v>0</v>
      </c>
      <c r="J25" t="s">
        <v>9</v>
      </c>
      <c r="L25">
        <v>0</v>
      </c>
      <c r="M25" s="36">
        <v>41666.666666666664</v>
      </c>
      <c r="N25" s="36">
        <f>DataTable[[#This Row],[Resource Cost]]+DataTable[[#This Row],[Other Cost]]</f>
        <v>41666.666666666664</v>
      </c>
      <c r="O25" s="36">
        <v>4166.666666666667</v>
      </c>
      <c r="P25" s="36">
        <v>37500</v>
      </c>
      <c r="Q25" s="36">
        <f>DataTable[[#This Row],[Pct Budget]]*totalBudget</f>
        <v>3055000</v>
      </c>
      <c r="R25" s="36" t="str">
        <f>IFERROR(VLOOKUP(DataTable[[#This Row],[Financial Category]],tblFinancialCat[],2,FALSE),"")</f>
        <v xml:space="preserve">CapEx  </v>
      </c>
      <c r="S25" s="36">
        <f>IFERROR(DataTable[[#This Row],[Utilized]]/DataTable[[#This Row],[Total Cost]]*DataTable[[#This Row],[Resource Cost]],0)</f>
        <v>0</v>
      </c>
      <c r="T25" s="36">
        <f>IFERROR(DataTable[[#This Row],[Utilized]]/DataTable[[#This Row],[Total Cost]]*DataTable[[#This Row],[Other Cost]],0)</f>
        <v>4166.666666666667</v>
      </c>
      <c r="U25" s="217">
        <v>42036</v>
      </c>
      <c r="V25" s="36" t="str">
        <f>TEXT(DataTable[[#This Row],[Month]],"MMM-YY")</f>
        <v>Feb-15</v>
      </c>
      <c r="Z25" s="35" t="s">
        <v>195</v>
      </c>
      <c r="AA25" s="36">
        <v>426310.09615384613</v>
      </c>
      <c r="AB25" s="36">
        <v>43810.096153846156</v>
      </c>
    </row>
    <row r="26" spans="1:53" x14ac:dyDescent="0.25">
      <c r="A26">
        <v>25</v>
      </c>
      <c r="B26" t="s">
        <v>16</v>
      </c>
      <c r="C26">
        <v>0.47</v>
      </c>
      <c r="D26" t="s">
        <v>176</v>
      </c>
      <c r="E26" t="s">
        <v>209</v>
      </c>
      <c r="F26" t="s">
        <v>64</v>
      </c>
      <c r="G26" t="s">
        <v>222</v>
      </c>
      <c r="H26" s="36">
        <v>25000</v>
      </c>
      <c r="I26" s="36">
        <v>0</v>
      </c>
      <c r="J26" t="s">
        <v>9</v>
      </c>
      <c r="L26">
        <v>0</v>
      </c>
      <c r="M26" s="36">
        <v>25000</v>
      </c>
      <c r="N26" s="36">
        <f>DataTable[[#This Row],[Resource Cost]]+DataTable[[#This Row],[Other Cost]]</f>
        <v>25000</v>
      </c>
      <c r="O26" s="36">
        <v>18750</v>
      </c>
      <c r="P26" s="36">
        <v>6250</v>
      </c>
      <c r="Q26" s="36">
        <f>DataTable[[#This Row],[Pct Budget]]*totalBudget</f>
        <v>3055000</v>
      </c>
      <c r="R26" s="36" t="str">
        <f>IFERROR(VLOOKUP(DataTable[[#This Row],[Financial Category]],tblFinancialCat[],2,FALSE),"")</f>
        <v xml:space="preserve">CapEx  </v>
      </c>
      <c r="S26" s="36">
        <f>IFERROR(DataTable[[#This Row],[Utilized]]/DataTable[[#This Row],[Total Cost]]*DataTable[[#This Row],[Resource Cost]],0)</f>
        <v>0</v>
      </c>
      <c r="T26" s="36">
        <f>IFERROR(DataTable[[#This Row],[Utilized]]/DataTable[[#This Row],[Total Cost]]*DataTable[[#This Row],[Other Cost]],0)</f>
        <v>18750</v>
      </c>
      <c r="U26" s="217">
        <v>42064</v>
      </c>
      <c r="V26" s="36" t="str">
        <f>TEXT(DataTable[[#This Row],[Month]],"MMM-YY")</f>
        <v>Mar-15</v>
      </c>
      <c r="Z26" s="35" t="s">
        <v>32</v>
      </c>
      <c r="AA26" s="36">
        <v>479314.90384615381</v>
      </c>
      <c r="AB26" s="36">
        <v>96814.903846153844</v>
      </c>
    </row>
    <row r="27" spans="1:53" x14ac:dyDescent="0.25">
      <c r="A27">
        <v>26</v>
      </c>
      <c r="B27" t="s">
        <v>16</v>
      </c>
      <c r="C27">
        <v>0.47</v>
      </c>
      <c r="D27" t="s">
        <v>176</v>
      </c>
      <c r="E27" t="s">
        <v>197</v>
      </c>
      <c r="F27" t="s">
        <v>64</v>
      </c>
      <c r="G27" t="s">
        <v>222</v>
      </c>
      <c r="H27" s="36">
        <v>25000</v>
      </c>
      <c r="I27" s="36">
        <v>0</v>
      </c>
      <c r="J27" t="s">
        <v>9</v>
      </c>
      <c r="L27">
        <v>0</v>
      </c>
      <c r="M27" s="36">
        <v>25000</v>
      </c>
      <c r="N27" s="36">
        <f>DataTable[[#This Row],[Resource Cost]]+DataTable[[#This Row],[Other Cost]]</f>
        <v>25000</v>
      </c>
      <c r="O27" s="36">
        <v>18750</v>
      </c>
      <c r="P27" s="36">
        <v>6250</v>
      </c>
      <c r="Q27" s="36">
        <f>DataTable[[#This Row],[Pct Budget]]*totalBudget</f>
        <v>3055000</v>
      </c>
      <c r="R27" s="36" t="str">
        <f>IFERROR(VLOOKUP(DataTable[[#This Row],[Financial Category]],tblFinancialCat[],2,FALSE),"")</f>
        <v xml:space="preserve">CapEx  </v>
      </c>
      <c r="S27" s="36">
        <f>IFERROR(DataTable[[#This Row],[Utilized]]/DataTable[[#This Row],[Total Cost]]*DataTable[[#This Row],[Resource Cost]],0)</f>
        <v>0</v>
      </c>
      <c r="T27" s="36">
        <f>IFERROR(DataTable[[#This Row],[Utilized]]/DataTable[[#This Row],[Total Cost]]*DataTable[[#This Row],[Other Cost]],0)</f>
        <v>18750</v>
      </c>
      <c r="U27" s="217">
        <v>42064</v>
      </c>
      <c r="V27" s="36" t="str">
        <f>TEXT(DataTable[[#This Row],[Month]],"MMM-YY")</f>
        <v>Mar-15</v>
      </c>
      <c r="Z27" s="35" t="s">
        <v>200</v>
      </c>
      <c r="AA27" s="36">
        <v>161406.25</v>
      </c>
      <c r="AB27" s="36">
        <v>100204.32692307692</v>
      </c>
    </row>
    <row r="28" spans="1:53" x14ac:dyDescent="0.25">
      <c r="A28">
        <v>27</v>
      </c>
      <c r="B28" t="s">
        <v>16</v>
      </c>
      <c r="C28">
        <v>0.47</v>
      </c>
      <c r="D28" t="s">
        <v>176</v>
      </c>
      <c r="E28" t="s">
        <v>33</v>
      </c>
      <c r="F28" t="s">
        <v>64</v>
      </c>
      <c r="G28" t="s">
        <v>222</v>
      </c>
      <c r="H28" s="36">
        <v>25000</v>
      </c>
      <c r="I28" s="36">
        <v>0</v>
      </c>
      <c r="J28" t="s">
        <v>9</v>
      </c>
      <c r="L28">
        <v>0</v>
      </c>
      <c r="M28" s="36">
        <v>25000</v>
      </c>
      <c r="N28" s="36">
        <f>DataTable[[#This Row],[Resource Cost]]+DataTable[[#This Row],[Other Cost]]</f>
        <v>25000</v>
      </c>
      <c r="O28" s="36">
        <v>18750</v>
      </c>
      <c r="P28" s="36">
        <v>6250</v>
      </c>
      <c r="Q28" s="36">
        <f>DataTable[[#This Row],[Pct Budget]]*totalBudget</f>
        <v>3055000</v>
      </c>
      <c r="R28" s="36" t="str">
        <f>IFERROR(VLOOKUP(DataTable[[#This Row],[Financial Category]],tblFinancialCat[],2,FALSE),"")</f>
        <v xml:space="preserve">CapEx  </v>
      </c>
      <c r="S28" s="36">
        <f>IFERROR(DataTable[[#This Row],[Utilized]]/DataTable[[#This Row],[Total Cost]]*DataTable[[#This Row],[Resource Cost]],0)</f>
        <v>0</v>
      </c>
      <c r="T28" s="36">
        <f>IFERROR(DataTable[[#This Row],[Utilized]]/DataTable[[#This Row],[Total Cost]]*DataTable[[#This Row],[Other Cost]],0)</f>
        <v>18750</v>
      </c>
      <c r="U28" s="217">
        <v>42064</v>
      </c>
      <c r="V28" s="36" t="str">
        <f>TEXT(DataTable[[#This Row],[Month]],"MMM-YY")</f>
        <v>Mar-15</v>
      </c>
      <c r="Z28" s="35" t="s">
        <v>191</v>
      </c>
      <c r="AA28" s="36">
        <v>9619.5512820512813</v>
      </c>
      <c r="AB28" s="36">
        <v>1500.4166666666665</v>
      </c>
    </row>
    <row r="29" spans="1:53" x14ac:dyDescent="0.25">
      <c r="A29">
        <v>28</v>
      </c>
      <c r="B29" t="s">
        <v>16</v>
      </c>
      <c r="C29">
        <v>0.47</v>
      </c>
      <c r="D29" t="s">
        <v>176</v>
      </c>
      <c r="E29" t="s">
        <v>198</v>
      </c>
      <c r="F29" t="s">
        <v>64</v>
      </c>
      <c r="G29" t="s">
        <v>222</v>
      </c>
      <c r="H29" s="36">
        <v>25000</v>
      </c>
      <c r="I29" s="36">
        <v>0</v>
      </c>
      <c r="J29" t="s">
        <v>9</v>
      </c>
      <c r="L29">
        <v>0</v>
      </c>
      <c r="M29" s="36">
        <v>25000</v>
      </c>
      <c r="N29" s="36">
        <f>DataTable[[#This Row],[Resource Cost]]+DataTable[[#This Row],[Other Cost]]</f>
        <v>25000</v>
      </c>
      <c r="O29" s="36">
        <v>18750</v>
      </c>
      <c r="P29" s="36">
        <v>6250</v>
      </c>
      <c r="Q29" s="36">
        <f>DataTable[[#This Row],[Pct Budget]]*totalBudget</f>
        <v>3055000</v>
      </c>
      <c r="R29" s="36" t="str">
        <f>IFERROR(VLOOKUP(DataTable[[#This Row],[Financial Category]],tblFinancialCat[],2,FALSE),"")</f>
        <v xml:space="preserve">CapEx  </v>
      </c>
      <c r="S29" s="36">
        <f>IFERROR(DataTable[[#This Row],[Utilized]]/DataTable[[#This Row],[Total Cost]]*DataTable[[#This Row],[Resource Cost]],0)</f>
        <v>0</v>
      </c>
      <c r="T29" s="36">
        <f>IFERROR(DataTable[[#This Row],[Utilized]]/DataTable[[#This Row],[Total Cost]]*DataTable[[#This Row],[Other Cost]],0)</f>
        <v>18750</v>
      </c>
      <c r="U29" s="217">
        <v>42064</v>
      </c>
      <c r="V29" s="36" t="str">
        <f>TEXT(DataTable[[#This Row],[Month]],"MMM-YY")</f>
        <v>Mar-15</v>
      </c>
      <c r="Z29" s="35" t="s">
        <v>207</v>
      </c>
      <c r="AA29" s="36">
        <v>95048.076923076937</v>
      </c>
      <c r="AB29" s="36">
        <v>70990.384615384624</v>
      </c>
    </row>
    <row r="30" spans="1:53" x14ac:dyDescent="0.25">
      <c r="A30">
        <v>29</v>
      </c>
      <c r="B30" t="s">
        <v>16</v>
      </c>
      <c r="C30">
        <v>0.47</v>
      </c>
      <c r="D30" t="s">
        <v>176</v>
      </c>
      <c r="E30" t="s">
        <v>199</v>
      </c>
      <c r="F30" t="s">
        <v>64</v>
      </c>
      <c r="G30" t="s">
        <v>222</v>
      </c>
      <c r="H30" s="36">
        <v>25000</v>
      </c>
      <c r="I30" s="36">
        <v>0</v>
      </c>
      <c r="J30" t="s">
        <v>9</v>
      </c>
      <c r="L30">
        <v>0</v>
      </c>
      <c r="M30" s="36">
        <v>25000</v>
      </c>
      <c r="N30" s="36">
        <f>DataTable[[#This Row],[Resource Cost]]+DataTable[[#This Row],[Other Cost]]</f>
        <v>25000</v>
      </c>
      <c r="O30" s="36">
        <v>18750</v>
      </c>
      <c r="P30" s="36">
        <v>6250</v>
      </c>
      <c r="Q30" s="36">
        <f>DataTable[[#This Row],[Pct Budget]]*totalBudget</f>
        <v>3055000</v>
      </c>
      <c r="R30" s="36" t="str">
        <f>IFERROR(VLOOKUP(DataTable[[#This Row],[Financial Category]],tblFinancialCat[],2,FALSE),"")</f>
        <v xml:space="preserve">CapEx  </v>
      </c>
      <c r="S30" s="36">
        <f>IFERROR(DataTable[[#This Row],[Utilized]]/DataTable[[#This Row],[Total Cost]]*DataTable[[#This Row],[Resource Cost]],0)</f>
        <v>0</v>
      </c>
      <c r="T30" s="36">
        <f>IFERROR(DataTable[[#This Row],[Utilized]]/DataTable[[#This Row],[Total Cost]]*DataTable[[#This Row],[Other Cost]],0)</f>
        <v>18750</v>
      </c>
      <c r="U30" s="217">
        <v>42064</v>
      </c>
      <c r="V30" s="36" t="str">
        <f>TEXT(DataTable[[#This Row],[Month]],"MMM-YY")</f>
        <v>Mar-15</v>
      </c>
      <c r="Z30" s="35" t="s">
        <v>179</v>
      </c>
      <c r="AA30" s="36">
        <v>61700.320512820523</v>
      </c>
      <c r="AB30" s="36">
        <v>47165.064102564102</v>
      </c>
    </row>
    <row r="31" spans="1:53" x14ac:dyDescent="0.25">
      <c r="A31">
        <v>30</v>
      </c>
      <c r="B31" t="s">
        <v>16</v>
      </c>
      <c r="C31">
        <v>0.47</v>
      </c>
      <c r="D31" t="s">
        <v>176</v>
      </c>
      <c r="E31" t="s">
        <v>174</v>
      </c>
      <c r="F31" t="s">
        <v>64</v>
      </c>
      <c r="G31" t="s">
        <v>222</v>
      </c>
      <c r="H31" s="36">
        <v>25000</v>
      </c>
      <c r="I31" s="36">
        <v>0</v>
      </c>
      <c r="J31" t="s">
        <v>9</v>
      </c>
      <c r="L31">
        <v>0</v>
      </c>
      <c r="M31" s="36">
        <v>25000</v>
      </c>
      <c r="N31" s="36">
        <f>DataTable[[#This Row],[Resource Cost]]+DataTable[[#This Row],[Other Cost]]</f>
        <v>25000</v>
      </c>
      <c r="O31" s="36">
        <v>18750</v>
      </c>
      <c r="P31" s="36">
        <v>6250</v>
      </c>
      <c r="Q31" s="36">
        <f>DataTable[[#This Row],[Pct Budget]]*totalBudget</f>
        <v>3055000</v>
      </c>
      <c r="R31" s="36" t="str">
        <f>IFERROR(VLOOKUP(DataTable[[#This Row],[Financial Category]],tblFinancialCat[],2,FALSE),"")</f>
        <v xml:space="preserve">CapEx  </v>
      </c>
      <c r="S31" s="36">
        <f>IFERROR(DataTable[[#This Row],[Utilized]]/DataTable[[#This Row],[Total Cost]]*DataTable[[#This Row],[Resource Cost]],0)</f>
        <v>0</v>
      </c>
      <c r="T31" s="36">
        <f>IFERROR(DataTable[[#This Row],[Utilized]]/DataTable[[#This Row],[Total Cost]]*DataTable[[#This Row],[Other Cost]],0)</f>
        <v>18750</v>
      </c>
      <c r="U31" s="217">
        <v>42064</v>
      </c>
      <c r="V31" s="36" t="str">
        <f>TEXT(DataTable[[#This Row],[Month]],"MMM-YY")</f>
        <v>Mar-15</v>
      </c>
      <c r="Z31" s="35" t="s">
        <v>206</v>
      </c>
      <c r="AA31" s="36">
        <v>15625</v>
      </c>
      <c r="AB31" s="36">
        <v>4927.8846153846152</v>
      </c>
    </row>
    <row r="32" spans="1:53" x14ac:dyDescent="0.25">
      <c r="A32">
        <v>31</v>
      </c>
      <c r="B32" t="s">
        <v>16</v>
      </c>
      <c r="C32">
        <v>0.47</v>
      </c>
      <c r="D32" t="s">
        <v>176</v>
      </c>
      <c r="E32" t="s">
        <v>209</v>
      </c>
      <c r="F32" t="s">
        <v>64</v>
      </c>
      <c r="G32" t="s">
        <v>222</v>
      </c>
      <c r="H32" s="36">
        <v>66666.666666666672</v>
      </c>
      <c r="I32" s="36">
        <v>0</v>
      </c>
      <c r="J32" t="s">
        <v>10</v>
      </c>
      <c r="L32">
        <v>0</v>
      </c>
      <c r="M32" s="36">
        <v>66666.666666666672</v>
      </c>
      <c r="N32" s="36">
        <f>DataTable[[#This Row],[Resource Cost]]+DataTable[[#This Row],[Other Cost]]</f>
        <v>66666.666666666672</v>
      </c>
      <c r="O32" s="36">
        <v>66666.666666666672</v>
      </c>
      <c r="P32" s="36">
        <v>0</v>
      </c>
      <c r="Q32" s="36">
        <f>DataTable[[#This Row],[Pct Budget]]*totalBudget</f>
        <v>3055000</v>
      </c>
      <c r="R32" s="36" t="str">
        <f>IFERROR(VLOOKUP(DataTable[[#This Row],[Financial Category]],tblFinancialCat[],2,FALSE),"")</f>
        <v xml:space="preserve">CapEx  </v>
      </c>
      <c r="S32" s="36">
        <f>IFERROR(DataTable[[#This Row],[Utilized]]/DataTable[[#This Row],[Total Cost]]*DataTable[[#This Row],[Resource Cost]],0)</f>
        <v>0</v>
      </c>
      <c r="T32" s="36">
        <f>IFERROR(DataTable[[#This Row],[Utilized]]/DataTable[[#This Row],[Total Cost]]*DataTable[[#This Row],[Other Cost]],0)</f>
        <v>66666.666666666672</v>
      </c>
      <c r="U32" s="217">
        <v>42064</v>
      </c>
      <c r="V32" s="36" t="str">
        <f>TEXT(DataTable[[#This Row],[Month]],"MMM-YY")</f>
        <v>Mar-15</v>
      </c>
      <c r="Z32" s="35" t="s">
        <v>204</v>
      </c>
      <c r="AA32" s="36">
        <v>70132.211538461532</v>
      </c>
      <c r="AB32" s="36">
        <v>70132.211538461532</v>
      </c>
    </row>
    <row r="33" spans="1:28" x14ac:dyDescent="0.25">
      <c r="A33">
        <v>32</v>
      </c>
      <c r="B33" t="s">
        <v>16</v>
      </c>
      <c r="C33">
        <v>0.47</v>
      </c>
      <c r="D33" t="s">
        <v>176</v>
      </c>
      <c r="E33" t="s">
        <v>197</v>
      </c>
      <c r="F33" t="s">
        <v>64</v>
      </c>
      <c r="G33" t="s">
        <v>222</v>
      </c>
      <c r="H33" s="36">
        <v>66666.666666666672</v>
      </c>
      <c r="I33" s="36">
        <v>0</v>
      </c>
      <c r="J33" t="s">
        <v>10</v>
      </c>
      <c r="L33">
        <v>0</v>
      </c>
      <c r="M33" s="36">
        <v>66666.666666666672</v>
      </c>
      <c r="N33" s="36">
        <f>DataTable[[#This Row],[Resource Cost]]+DataTable[[#This Row],[Other Cost]]</f>
        <v>66666.666666666672</v>
      </c>
      <c r="O33" s="36">
        <v>66666.666666666672</v>
      </c>
      <c r="P33" s="36">
        <v>0</v>
      </c>
      <c r="Q33" s="36">
        <f>DataTable[[#This Row],[Pct Budget]]*totalBudget</f>
        <v>3055000</v>
      </c>
      <c r="R33" s="36" t="str">
        <f>IFERROR(VLOOKUP(DataTable[[#This Row],[Financial Category]],tblFinancialCat[],2,FALSE),"")</f>
        <v xml:space="preserve">CapEx  </v>
      </c>
      <c r="S33" s="36">
        <f>IFERROR(DataTable[[#This Row],[Utilized]]/DataTable[[#This Row],[Total Cost]]*DataTable[[#This Row],[Resource Cost]],0)</f>
        <v>0</v>
      </c>
      <c r="T33" s="36">
        <f>IFERROR(DataTable[[#This Row],[Utilized]]/DataTable[[#This Row],[Total Cost]]*DataTable[[#This Row],[Other Cost]],0)</f>
        <v>66666.666666666672</v>
      </c>
      <c r="U33" s="217">
        <v>42064</v>
      </c>
      <c r="V33" s="36" t="str">
        <f>TEXT(DataTable[[#This Row],[Month]],"MMM-YY")</f>
        <v>Mar-15</v>
      </c>
      <c r="Z33" s="35" t="s">
        <v>192</v>
      </c>
      <c r="AA33" s="36">
        <v>8401.4423076923067</v>
      </c>
      <c r="AB33" s="36">
        <v>8401.4423076923067</v>
      </c>
    </row>
    <row r="34" spans="1:28" x14ac:dyDescent="0.25">
      <c r="A34">
        <v>33</v>
      </c>
      <c r="B34" t="s">
        <v>16</v>
      </c>
      <c r="C34">
        <v>0.47</v>
      </c>
      <c r="D34" t="s">
        <v>176</v>
      </c>
      <c r="E34" t="s">
        <v>33</v>
      </c>
      <c r="F34" t="s">
        <v>64</v>
      </c>
      <c r="G34" t="s">
        <v>222</v>
      </c>
      <c r="H34" s="36">
        <v>66666.666666666672</v>
      </c>
      <c r="I34" s="36">
        <v>0</v>
      </c>
      <c r="J34" t="s">
        <v>10</v>
      </c>
      <c r="L34">
        <v>0</v>
      </c>
      <c r="M34" s="36">
        <v>66666.666666666672</v>
      </c>
      <c r="N34" s="36">
        <f>DataTable[[#This Row],[Resource Cost]]+DataTable[[#This Row],[Other Cost]]</f>
        <v>66666.666666666672</v>
      </c>
      <c r="O34" s="36">
        <v>66666.666666666672</v>
      </c>
      <c r="P34" s="36">
        <v>0</v>
      </c>
      <c r="Q34" s="36">
        <f>DataTable[[#This Row],[Pct Budget]]*totalBudget</f>
        <v>3055000</v>
      </c>
      <c r="R34" s="36" t="str">
        <f>IFERROR(VLOOKUP(DataTable[[#This Row],[Financial Category]],tblFinancialCat[],2,FALSE),"")</f>
        <v xml:space="preserve">CapEx  </v>
      </c>
      <c r="S34" s="36">
        <f>IFERROR(DataTable[[#This Row],[Utilized]]/DataTable[[#This Row],[Total Cost]]*DataTable[[#This Row],[Resource Cost]],0)</f>
        <v>0</v>
      </c>
      <c r="T34" s="36">
        <f>IFERROR(DataTable[[#This Row],[Utilized]]/DataTable[[#This Row],[Total Cost]]*DataTable[[#This Row],[Other Cost]],0)</f>
        <v>66666.666666666672</v>
      </c>
      <c r="U34" s="217">
        <v>42064</v>
      </c>
      <c r="V34" s="36" t="str">
        <f>TEXT(DataTable[[#This Row],[Month]],"MMM-YY")</f>
        <v>Mar-15</v>
      </c>
      <c r="Z34" s="35" t="s">
        <v>210</v>
      </c>
      <c r="AA34" s="36">
        <v>27696.153846153844</v>
      </c>
      <c r="AB34" s="36">
        <v>21398.076923076922</v>
      </c>
    </row>
    <row r="35" spans="1:28" x14ac:dyDescent="0.25">
      <c r="A35">
        <v>34</v>
      </c>
      <c r="B35" t="s">
        <v>16</v>
      </c>
      <c r="C35">
        <v>0.47</v>
      </c>
      <c r="D35" t="s">
        <v>176</v>
      </c>
      <c r="E35" t="s">
        <v>198</v>
      </c>
      <c r="F35" t="s">
        <v>64</v>
      </c>
      <c r="G35" t="s">
        <v>222</v>
      </c>
      <c r="H35" s="36">
        <v>66666.666666666672</v>
      </c>
      <c r="I35" s="36">
        <v>0</v>
      </c>
      <c r="J35" t="s">
        <v>10</v>
      </c>
      <c r="L35">
        <v>0</v>
      </c>
      <c r="M35" s="36">
        <v>66666.666666666672</v>
      </c>
      <c r="N35" s="36">
        <f>DataTable[[#This Row],[Resource Cost]]+DataTable[[#This Row],[Other Cost]]</f>
        <v>66666.666666666672</v>
      </c>
      <c r="O35" s="36">
        <v>66666.666666666672</v>
      </c>
      <c r="P35" s="36">
        <v>0</v>
      </c>
      <c r="Q35" s="36">
        <f>DataTable[[#This Row],[Pct Budget]]*totalBudget</f>
        <v>3055000</v>
      </c>
      <c r="R35" s="36" t="str">
        <f>IFERROR(VLOOKUP(DataTable[[#This Row],[Financial Category]],tblFinancialCat[],2,FALSE),"")</f>
        <v xml:space="preserve">CapEx  </v>
      </c>
      <c r="S35" s="36">
        <f>IFERROR(DataTable[[#This Row],[Utilized]]/DataTable[[#This Row],[Total Cost]]*DataTable[[#This Row],[Resource Cost]],0)</f>
        <v>0</v>
      </c>
      <c r="T35" s="36">
        <f>IFERROR(DataTable[[#This Row],[Utilized]]/DataTable[[#This Row],[Total Cost]]*DataTable[[#This Row],[Other Cost]],0)</f>
        <v>66666.666666666672</v>
      </c>
      <c r="U35" s="217">
        <v>42064</v>
      </c>
      <c r="V35" s="36" t="str">
        <f>TEXT(DataTable[[#This Row],[Month]],"MMM-YY")</f>
        <v>Mar-15</v>
      </c>
      <c r="Z35" s="35" t="s">
        <v>56</v>
      </c>
      <c r="AA35" s="36">
        <v>4222522.115384615</v>
      </c>
      <c r="AB35" s="36">
        <v>2215118.0769230775</v>
      </c>
    </row>
    <row r="36" spans="1:28" x14ac:dyDescent="0.25">
      <c r="A36">
        <v>35</v>
      </c>
      <c r="B36" t="s">
        <v>16</v>
      </c>
      <c r="C36">
        <v>0.47</v>
      </c>
      <c r="D36" t="s">
        <v>176</v>
      </c>
      <c r="E36" t="s">
        <v>199</v>
      </c>
      <c r="F36" t="s">
        <v>64</v>
      </c>
      <c r="G36" t="s">
        <v>222</v>
      </c>
      <c r="H36" s="36">
        <v>66666.666666666672</v>
      </c>
      <c r="I36" s="36">
        <v>0</v>
      </c>
      <c r="J36" t="s">
        <v>10</v>
      </c>
      <c r="L36">
        <v>0</v>
      </c>
      <c r="M36" s="36">
        <v>66666.666666666672</v>
      </c>
      <c r="N36" s="36">
        <f>DataTable[[#This Row],[Resource Cost]]+DataTable[[#This Row],[Other Cost]]</f>
        <v>66666.666666666672</v>
      </c>
      <c r="O36" s="36">
        <v>66666.666666666672</v>
      </c>
      <c r="P36" s="36">
        <v>0</v>
      </c>
      <c r="Q36" s="36">
        <f>DataTable[[#This Row],[Pct Budget]]*totalBudget</f>
        <v>3055000</v>
      </c>
      <c r="R36" s="36" t="str">
        <f>IFERROR(VLOOKUP(DataTable[[#This Row],[Financial Category]],tblFinancialCat[],2,FALSE),"")</f>
        <v xml:space="preserve">CapEx  </v>
      </c>
      <c r="S36" s="36">
        <f>IFERROR(DataTable[[#This Row],[Utilized]]/DataTable[[#This Row],[Total Cost]]*DataTable[[#This Row],[Resource Cost]],0)</f>
        <v>0</v>
      </c>
      <c r="T36" s="36">
        <f>IFERROR(DataTable[[#This Row],[Utilized]]/DataTable[[#This Row],[Total Cost]]*DataTable[[#This Row],[Other Cost]],0)</f>
        <v>66666.666666666672</v>
      </c>
      <c r="U36" s="217">
        <v>42064</v>
      </c>
      <c r="V36" s="36" t="str">
        <f>TEXT(DataTable[[#This Row],[Month]],"MMM-YY")</f>
        <v>Mar-15</v>
      </c>
    </row>
    <row r="37" spans="1:28" x14ac:dyDescent="0.25">
      <c r="A37">
        <v>36</v>
      </c>
      <c r="B37" t="s">
        <v>16</v>
      </c>
      <c r="C37">
        <v>0.47</v>
      </c>
      <c r="D37" t="s">
        <v>176</v>
      </c>
      <c r="E37" t="s">
        <v>174</v>
      </c>
      <c r="F37" t="s">
        <v>64</v>
      </c>
      <c r="G37" t="s">
        <v>222</v>
      </c>
      <c r="H37" s="36">
        <v>66666.666666666672</v>
      </c>
      <c r="I37" s="36">
        <v>0</v>
      </c>
      <c r="J37" t="s">
        <v>10</v>
      </c>
      <c r="L37">
        <v>0</v>
      </c>
      <c r="M37" s="36">
        <v>66666.666666666672</v>
      </c>
      <c r="N37" s="36">
        <f>DataTable[[#This Row],[Resource Cost]]+DataTable[[#This Row],[Other Cost]]</f>
        <v>66666.666666666672</v>
      </c>
      <c r="O37" s="36">
        <v>66666.666666666672</v>
      </c>
      <c r="P37" s="36">
        <v>0</v>
      </c>
      <c r="Q37" s="36">
        <f>DataTable[[#This Row],[Pct Budget]]*totalBudget</f>
        <v>3055000</v>
      </c>
      <c r="R37" s="36" t="str">
        <f>IFERROR(VLOOKUP(DataTable[[#This Row],[Financial Category]],tblFinancialCat[],2,FALSE),"")</f>
        <v xml:space="preserve">CapEx  </v>
      </c>
      <c r="S37" s="36">
        <f>IFERROR(DataTable[[#This Row],[Utilized]]/DataTable[[#This Row],[Total Cost]]*DataTable[[#This Row],[Resource Cost]],0)</f>
        <v>0</v>
      </c>
      <c r="T37" s="36">
        <f>IFERROR(DataTable[[#This Row],[Utilized]]/DataTable[[#This Row],[Total Cost]]*DataTable[[#This Row],[Other Cost]],0)</f>
        <v>66666.666666666672</v>
      </c>
      <c r="U37" s="217">
        <v>42064</v>
      </c>
      <c r="V37" s="36" t="str">
        <f>TEXT(DataTable[[#This Row],[Month]],"MMM-YY")</f>
        <v>Mar-15</v>
      </c>
    </row>
    <row r="38" spans="1:28" x14ac:dyDescent="0.25">
      <c r="A38">
        <v>37</v>
      </c>
      <c r="B38" t="s">
        <v>16</v>
      </c>
      <c r="C38">
        <v>0.47</v>
      </c>
      <c r="D38" t="s">
        <v>176</v>
      </c>
      <c r="E38" t="s">
        <v>209</v>
      </c>
      <c r="F38" t="s">
        <v>64</v>
      </c>
      <c r="G38" t="s">
        <v>222</v>
      </c>
      <c r="H38" s="36">
        <v>272.4358974358974</v>
      </c>
      <c r="I38" s="36">
        <v>0</v>
      </c>
      <c r="J38" t="s">
        <v>31</v>
      </c>
      <c r="K38" t="s">
        <v>126</v>
      </c>
      <c r="L38">
        <v>272.4358974358974</v>
      </c>
      <c r="M38" s="36">
        <v>0</v>
      </c>
      <c r="N38" s="36">
        <f>DataTable[[#This Row],[Resource Cost]]+DataTable[[#This Row],[Other Cost]]</f>
        <v>272.4358974358974</v>
      </c>
      <c r="O38" s="36">
        <v>68.108974358974351</v>
      </c>
      <c r="P38" s="36">
        <v>204.32692307692304</v>
      </c>
      <c r="Q38" s="36">
        <f>DataTable[[#This Row],[Pct Budget]]*totalBudget</f>
        <v>3055000</v>
      </c>
      <c r="R38" s="36" t="str">
        <f>IFERROR(VLOOKUP(DataTable[[#This Row],[Financial Category]],tblFinancialCat[],2,FALSE),"")</f>
        <v>OpEx</v>
      </c>
      <c r="S38" s="36">
        <f>IFERROR(DataTable[[#This Row],[Utilized]]/DataTable[[#This Row],[Total Cost]]*DataTable[[#This Row],[Resource Cost]],0)</f>
        <v>68.108974358974351</v>
      </c>
      <c r="T38" s="36">
        <f>IFERROR(DataTable[[#This Row],[Utilized]]/DataTable[[#This Row],[Total Cost]]*DataTable[[#This Row],[Other Cost]],0)</f>
        <v>0</v>
      </c>
      <c r="U38" s="217">
        <v>42095</v>
      </c>
      <c r="V38" s="36" t="str">
        <f>TEXT(DataTable[[#This Row],[Month]],"MMM-YY")</f>
        <v>Apr-15</v>
      </c>
    </row>
    <row r="39" spans="1:28" x14ac:dyDescent="0.25">
      <c r="A39">
        <v>38</v>
      </c>
      <c r="B39" t="s">
        <v>16</v>
      </c>
      <c r="C39">
        <v>0.47</v>
      </c>
      <c r="D39" t="s">
        <v>176</v>
      </c>
      <c r="E39" t="s">
        <v>197</v>
      </c>
      <c r="F39" t="s">
        <v>64</v>
      </c>
      <c r="G39" t="s">
        <v>222</v>
      </c>
      <c r="H39" s="36">
        <v>272.4358974358974</v>
      </c>
      <c r="I39" s="36">
        <v>0</v>
      </c>
      <c r="J39" t="s">
        <v>31</v>
      </c>
      <c r="K39" t="s">
        <v>126</v>
      </c>
      <c r="L39">
        <v>272.4358974358974</v>
      </c>
      <c r="M39" s="36">
        <v>0</v>
      </c>
      <c r="N39" s="36">
        <f>DataTable[[#This Row],[Resource Cost]]+DataTable[[#This Row],[Other Cost]]</f>
        <v>272.4358974358974</v>
      </c>
      <c r="O39" s="36">
        <v>68.108974358974351</v>
      </c>
      <c r="P39" s="36">
        <v>204.32692307692304</v>
      </c>
      <c r="Q39" s="36">
        <f>DataTable[[#This Row],[Pct Budget]]*totalBudget</f>
        <v>3055000</v>
      </c>
      <c r="R39" s="36" t="str">
        <f>IFERROR(VLOOKUP(DataTable[[#This Row],[Financial Category]],tblFinancialCat[],2,FALSE),"")</f>
        <v>OpEx</v>
      </c>
      <c r="S39" s="36">
        <f>IFERROR(DataTable[[#This Row],[Utilized]]/DataTable[[#This Row],[Total Cost]]*DataTable[[#This Row],[Resource Cost]],0)</f>
        <v>68.108974358974351</v>
      </c>
      <c r="T39" s="36">
        <f>IFERROR(DataTable[[#This Row],[Utilized]]/DataTable[[#This Row],[Total Cost]]*DataTable[[#This Row],[Other Cost]],0)</f>
        <v>0</v>
      </c>
      <c r="U39" s="217">
        <v>42095</v>
      </c>
      <c r="V39" s="36" t="str">
        <f>TEXT(DataTable[[#This Row],[Month]],"MMM-YY")</f>
        <v>Apr-15</v>
      </c>
    </row>
    <row r="40" spans="1:28" x14ac:dyDescent="0.25">
      <c r="A40">
        <v>39</v>
      </c>
      <c r="B40" t="s">
        <v>16</v>
      </c>
      <c r="C40">
        <v>0.47</v>
      </c>
      <c r="D40" t="s">
        <v>176</v>
      </c>
      <c r="E40" t="s">
        <v>33</v>
      </c>
      <c r="F40" t="s">
        <v>64</v>
      </c>
      <c r="G40" t="s">
        <v>222</v>
      </c>
      <c r="H40" s="36">
        <v>272.4358974358974</v>
      </c>
      <c r="I40" s="36">
        <v>0</v>
      </c>
      <c r="J40" t="s">
        <v>31</v>
      </c>
      <c r="K40" t="s">
        <v>126</v>
      </c>
      <c r="L40">
        <v>272.4358974358974</v>
      </c>
      <c r="M40" s="36">
        <v>0</v>
      </c>
      <c r="N40" s="36">
        <f>DataTable[[#This Row],[Resource Cost]]+DataTable[[#This Row],[Other Cost]]</f>
        <v>272.4358974358974</v>
      </c>
      <c r="O40" s="36">
        <v>68.108974358974351</v>
      </c>
      <c r="P40" s="36">
        <v>204.32692307692304</v>
      </c>
      <c r="Q40" s="36">
        <f>DataTable[[#This Row],[Pct Budget]]*totalBudget</f>
        <v>3055000</v>
      </c>
      <c r="R40" s="36" t="str">
        <f>IFERROR(VLOOKUP(DataTable[[#This Row],[Financial Category]],tblFinancialCat[],2,FALSE),"")</f>
        <v>OpEx</v>
      </c>
      <c r="S40" s="36">
        <f>IFERROR(DataTable[[#This Row],[Utilized]]/DataTable[[#This Row],[Total Cost]]*DataTable[[#This Row],[Resource Cost]],0)</f>
        <v>68.108974358974351</v>
      </c>
      <c r="T40" s="36">
        <f>IFERROR(DataTable[[#This Row],[Utilized]]/DataTable[[#This Row],[Total Cost]]*DataTable[[#This Row],[Other Cost]],0)</f>
        <v>0</v>
      </c>
      <c r="U40" s="217">
        <v>42095</v>
      </c>
      <c r="V40" s="36" t="str">
        <f>TEXT(DataTable[[#This Row],[Month]],"MMM-YY")</f>
        <v>Apr-15</v>
      </c>
    </row>
    <row r="41" spans="1:28" x14ac:dyDescent="0.25">
      <c r="A41">
        <v>40</v>
      </c>
      <c r="B41" t="s">
        <v>16</v>
      </c>
      <c r="C41">
        <v>0.47</v>
      </c>
      <c r="D41" t="s">
        <v>176</v>
      </c>
      <c r="E41" t="s">
        <v>198</v>
      </c>
      <c r="F41" t="s">
        <v>64</v>
      </c>
      <c r="G41" t="s">
        <v>222</v>
      </c>
      <c r="H41" s="36">
        <v>272.4358974358974</v>
      </c>
      <c r="I41" s="36">
        <v>0</v>
      </c>
      <c r="J41" t="s">
        <v>31</v>
      </c>
      <c r="K41" t="s">
        <v>126</v>
      </c>
      <c r="L41">
        <v>272.4358974358974</v>
      </c>
      <c r="M41" s="36">
        <v>0</v>
      </c>
      <c r="N41" s="36">
        <f>DataTable[[#This Row],[Resource Cost]]+DataTable[[#This Row],[Other Cost]]</f>
        <v>272.4358974358974</v>
      </c>
      <c r="O41" s="36">
        <v>68.108974358974351</v>
      </c>
      <c r="P41" s="36">
        <v>204.32692307692304</v>
      </c>
      <c r="Q41" s="36">
        <f>DataTable[[#This Row],[Pct Budget]]*totalBudget</f>
        <v>3055000</v>
      </c>
      <c r="R41" s="36" t="str">
        <f>IFERROR(VLOOKUP(DataTable[[#This Row],[Financial Category]],tblFinancialCat[],2,FALSE),"")</f>
        <v>OpEx</v>
      </c>
      <c r="S41" s="36">
        <f>IFERROR(DataTable[[#This Row],[Utilized]]/DataTable[[#This Row],[Total Cost]]*DataTable[[#This Row],[Resource Cost]],0)</f>
        <v>68.108974358974351</v>
      </c>
      <c r="T41" s="36">
        <f>IFERROR(DataTable[[#This Row],[Utilized]]/DataTable[[#This Row],[Total Cost]]*DataTable[[#This Row],[Other Cost]],0)</f>
        <v>0</v>
      </c>
      <c r="U41" s="217">
        <v>42095</v>
      </c>
      <c r="V41" s="36" t="str">
        <f>TEXT(DataTable[[#This Row],[Month]],"MMM-YY")</f>
        <v>Apr-15</v>
      </c>
    </row>
    <row r="42" spans="1:28" x14ac:dyDescent="0.25">
      <c r="A42">
        <v>41</v>
      </c>
      <c r="B42" t="s">
        <v>16</v>
      </c>
      <c r="C42">
        <v>0.47</v>
      </c>
      <c r="D42" t="s">
        <v>176</v>
      </c>
      <c r="E42" t="s">
        <v>199</v>
      </c>
      <c r="F42" t="s">
        <v>64</v>
      </c>
      <c r="G42" t="s">
        <v>222</v>
      </c>
      <c r="H42" s="36">
        <v>272.4358974358974</v>
      </c>
      <c r="I42" s="36">
        <v>0</v>
      </c>
      <c r="J42" t="s">
        <v>31</v>
      </c>
      <c r="K42" t="s">
        <v>126</v>
      </c>
      <c r="L42">
        <v>272.4358974358974</v>
      </c>
      <c r="M42" s="36">
        <v>0</v>
      </c>
      <c r="N42" s="36">
        <f>DataTable[[#This Row],[Resource Cost]]+DataTable[[#This Row],[Other Cost]]</f>
        <v>272.4358974358974</v>
      </c>
      <c r="O42" s="36">
        <v>68.108974358974351</v>
      </c>
      <c r="P42" s="36">
        <v>204.32692307692304</v>
      </c>
      <c r="Q42" s="36">
        <f>DataTable[[#This Row],[Pct Budget]]*totalBudget</f>
        <v>3055000</v>
      </c>
      <c r="R42" s="36" t="str">
        <f>IFERROR(VLOOKUP(DataTable[[#This Row],[Financial Category]],tblFinancialCat[],2,FALSE),"")</f>
        <v>OpEx</v>
      </c>
      <c r="S42" s="36">
        <f>IFERROR(DataTable[[#This Row],[Utilized]]/DataTable[[#This Row],[Total Cost]]*DataTable[[#This Row],[Resource Cost]],0)</f>
        <v>68.108974358974351</v>
      </c>
      <c r="T42" s="36">
        <f>IFERROR(DataTable[[#This Row],[Utilized]]/DataTable[[#This Row],[Total Cost]]*DataTable[[#This Row],[Other Cost]],0)</f>
        <v>0</v>
      </c>
      <c r="U42" s="217">
        <v>42095</v>
      </c>
      <c r="V42" s="36" t="str">
        <f>TEXT(DataTable[[#This Row],[Month]],"MMM-YY")</f>
        <v>Apr-15</v>
      </c>
    </row>
    <row r="43" spans="1:28" x14ac:dyDescent="0.25">
      <c r="A43">
        <v>42</v>
      </c>
      <c r="B43" t="s">
        <v>16</v>
      </c>
      <c r="C43">
        <v>0.47</v>
      </c>
      <c r="D43" t="s">
        <v>176</v>
      </c>
      <c r="E43" t="s">
        <v>174</v>
      </c>
      <c r="F43" t="s">
        <v>64</v>
      </c>
      <c r="G43" t="s">
        <v>222</v>
      </c>
      <c r="H43" s="36">
        <v>272.4358974358974</v>
      </c>
      <c r="I43" s="36">
        <v>0</v>
      </c>
      <c r="J43" t="s">
        <v>31</v>
      </c>
      <c r="K43" t="s">
        <v>126</v>
      </c>
      <c r="L43">
        <v>272.4358974358974</v>
      </c>
      <c r="M43" s="36">
        <v>0</v>
      </c>
      <c r="N43" s="36">
        <f>DataTable[[#This Row],[Resource Cost]]+DataTable[[#This Row],[Other Cost]]</f>
        <v>272.4358974358974</v>
      </c>
      <c r="O43" s="36">
        <v>68.108974358974351</v>
      </c>
      <c r="P43" s="36">
        <v>204.32692307692304</v>
      </c>
      <c r="Q43" s="36">
        <f>DataTable[[#This Row],[Pct Budget]]*totalBudget</f>
        <v>3055000</v>
      </c>
      <c r="R43" s="36" t="str">
        <f>IFERROR(VLOOKUP(DataTable[[#This Row],[Financial Category]],tblFinancialCat[],2,FALSE),"")</f>
        <v>OpEx</v>
      </c>
      <c r="S43" s="36">
        <f>IFERROR(DataTable[[#This Row],[Utilized]]/DataTable[[#This Row],[Total Cost]]*DataTable[[#This Row],[Resource Cost]],0)</f>
        <v>68.108974358974351</v>
      </c>
      <c r="T43" s="36">
        <f>IFERROR(DataTable[[#This Row],[Utilized]]/DataTable[[#This Row],[Total Cost]]*DataTable[[#This Row],[Other Cost]],0)</f>
        <v>0</v>
      </c>
      <c r="U43" s="217">
        <v>42095</v>
      </c>
      <c r="V43" s="36" t="str">
        <f>TEXT(DataTable[[#This Row],[Month]],"MMM-YY")</f>
        <v>Apr-15</v>
      </c>
    </row>
    <row r="44" spans="1:28" x14ac:dyDescent="0.25">
      <c r="A44">
        <v>43</v>
      </c>
      <c r="B44" t="s">
        <v>16</v>
      </c>
      <c r="C44">
        <v>0.47</v>
      </c>
      <c r="D44" t="s">
        <v>176</v>
      </c>
      <c r="E44" t="s">
        <v>209</v>
      </c>
      <c r="F44" t="s">
        <v>64</v>
      </c>
      <c r="G44" t="s">
        <v>222</v>
      </c>
      <c r="H44" s="36">
        <v>1000</v>
      </c>
      <c r="I44" s="36">
        <v>0</v>
      </c>
      <c r="J44" t="s">
        <v>31</v>
      </c>
      <c r="K44" t="s">
        <v>146</v>
      </c>
      <c r="L44">
        <v>1000</v>
      </c>
      <c r="M44" s="36">
        <v>0</v>
      </c>
      <c r="N44" s="36">
        <f>DataTable[[#This Row],[Resource Cost]]+DataTable[[#This Row],[Other Cost]]</f>
        <v>1000</v>
      </c>
      <c r="O44" s="36">
        <v>250</v>
      </c>
      <c r="P44" s="36">
        <v>750</v>
      </c>
      <c r="Q44" s="36">
        <f>DataTable[[#This Row],[Pct Budget]]*totalBudget</f>
        <v>3055000</v>
      </c>
      <c r="R44" s="36" t="str">
        <f>IFERROR(VLOOKUP(DataTable[[#This Row],[Financial Category]],tblFinancialCat[],2,FALSE),"")</f>
        <v>OpEx</v>
      </c>
      <c r="S44" s="36">
        <f>IFERROR(DataTable[[#This Row],[Utilized]]/DataTable[[#This Row],[Total Cost]]*DataTable[[#This Row],[Resource Cost]],0)</f>
        <v>250</v>
      </c>
      <c r="T44" s="36">
        <f>IFERROR(DataTable[[#This Row],[Utilized]]/DataTable[[#This Row],[Total Cost]]*DataTable[[#This Row],[Other Cost]],0)</f>
        <v>0</v>
      </c>
      <c r="U44" s="217">
        <v>42095</v>
      </c>
      <c r="V44" s="36" t="str">
        <f>TEXT(DataTable[[#This Row],[Month]],"MMM-YY")</f>
        <v>Apr-15</v>
      </c>
    </row>
    <row r="45" spans="1:28" x14ac:dyDescent="0.25">
      <c r="A45">
        <v>44</v>
      </c>
      <c r="B45" t="s">
        <v>16</v>
      </c>
      <c r="C45">
        <v>0.47</v>
      </c>
      <c r="D45" t="s">
        <v>176</v>
      </c>
      <c r="E45" t="s">
        <v>197</v>
      </c>
      <c r="F45" t="s">
        <v>64</v>
      </c>
      <c r="G45" t="s">
        <v>222</v>
      </c>
      <c r="H45" s="36">
        <v>1000</v>
      </c>
      <c r="I45" s="36">
        <v>0</v>
      </c>
      <c r="J45" t="s">
        <v>31</v>
      </c>
      <c r="K45" t="s">
        <v>146</v>
      </c>
      <c r="L45">
        <v>1000</v>
      </c>
      <c r="M45" s="36">
        <v>0</v>
      </c>
      <c r="N45" s="36">
        <f>DataTable[[#This Row],[Resource Cost]]+DataTable[[#This Row],[Other Cost]]</f>
        <v>1000</v>
      </c>
      <c r="O45" s="36">
        <v>250</v>
      </c>
      <c r="P45" s="36">
        <v>750</v>
      </c>
      <c r="Q45" s="36">
        <f>DataTable[[#This Row],[Pct Budget]]*totalBudget</f>
        <v>3055000</v>
      </c>
      <c r="R45" s="36" t="str">
        <f>IFERROR(VLOOKUP(DataTable[[#This Row],[Financial Category]],tblFinancialCat[],2,FALSE),"")</f>
        <v>OpEx</v>
      </c>
      <c r="S45" s="36">
        <f>IFERROR(DataTable[[#This Row],[Utilized]]/DataTable[[#This Row],[Total Cost]]*DataTable[[#This Row],[Resource Cost]],0)</f>
        <v>250</v>
      </c>
      <c r="T45" s="36">
        <f>IFERROR(DataTable[[#This Row],[Utilized]]/DataTable[[#This Row],[Total Cost]]*DataTable[[#This Row],[Other Cost]],0)</f>
        <v>0</v>
      </c>
      <c r="U45" s="217">
        <v>42095</v>
      </c>
      <c r="V45" s="36" t="str">
        <f>TEXT(DataTable[[#This Row],[Month]],"MMM-YY")</f>
        <v>Apr-15</v>
      </c>
    </row>
    <row r="46" spans="1:28" x14ac:dyDescent="0.25">
      <c r="A46">
        <v>45</v>
      </c>
      <c r="B46" t="s">
        <v>16</v>
      </c>
      <c r="C46">
        <v>0.47</v>
      </c>
      <c r="D46" t="s">
        <v>176</v>
      </c>
      <c r="E46" t="s">
        <v>33</v>
      </c>
      <c r="F46" t="s">
        <v>64</v>
      </c>
      <c r="G46" t="s">
        <v>222</v>
      </c>
      <c r="H46" s="36">
        <v>1000</v>
      </c>
      <c r="I46" s="36">
        <v>0</v>
      </c>
      <c r="J46" t="s">
        <v>31</v>
      </c>
      <c r="K46" t="s">
        <v>146</v>
      </c>
      <c r="L46">
        <v>1000</v>
      </c>
      <c r="M46" s="36">
        <v>0</v>
      </c>
      <c r="N46" s="36">
        <f>DataTable[[#This Row],[Resource Cost]]+DataTable[[#This Row],[Other Cost]]</f>
        <v>1000</v>
      </c>
      <c r="O46" s="36">
        <v>250</v>
      </c>
      <c r="P46" s="36">
        <v>750</v>
      </c>
      <c r="Q46" s="36">
        <f>DataTable[[#This Row],[Pct Budget]]*totalBudget</f>
        <v>3055000</v>
      </c>
      <c r="R46" s="36" t="str">
        <f>IFERROR(VLOOKUP(DataTable[[#This Row],[Financial Category]],tblFinancialCat[],2,FALSE),"")</f>
        <v>OpEx</v>
      </c>
      <c r="S46" s="36">
        <f>IFERROR(DataTable[[#This Row],[Utilized]]/DataTable[[#This Row],[Total Cost]]*DataTable[[#This Row],[Resource Cost]],0)</f>
        <v>250</v>
      </c>
      <c r="T46" s="36">
        <f>IFERROR(DataTable[[#This Row],[Utilized]]/DataTable[[#This Row],[Total Cost]]*DataTable[[#This Row],[Other Cost]],0)</f>
        <v>0</v>
      </c>
      <c r="U46" s="217">
        <v>42095</v>
      </c>
      <c r="V46" s="36" t="str">
        <f>TEXT(DataTable[[#This Row],[Month]],"MMM-YY")</f>
        <v>Apr-15</v>
      </c>
    </row>
    <row r="47" spans="1:28" x14ac:dyDescent="0.25">
      <c r="A47">
        <v>46</v>
      </c>
      <c r="B47" t="s">
        <v>16</v>
      </c>
      <c r="C47">
        <v>0.47</v>
      </c>
      <c r="D47" t="s">
        <v>176</v>
      </c>
      <c r="E47" t="s">
        <v>198</v>
      </c>
      <c r="F47" t="s">
        <v>64</v>
      </c>
      <c r="G47" t="s">
        <v>222</v>
      </c>
      <c r="H47" s="36">
        <v>1000</v>
      </c>
      <c r="I47" s="36">
        <v>0</v>
      </c>
      <c r="J47" t="s">
        <v>31</v>
      </c>
      <c r="K47" t="s">
        <v>146</v>
      </c>
      <c r="L47">
        <v>1000</v>
      </c>
      <c r="M47" s="36">
        <v>0</v>
      </c>
      <c r="N47" s="36">
        <f>DataTable[[#This Row],[Resource Cost]]+DataTable[[#This Row],[Other Cost]]</f>
        <v>1000</v>
      </c>
      <c r="O47" s="36">
        <v>250</v>
      </c>
      <c r="P47" s="36">
        <v>750</v>
      </c>
      <c r="Q47" s="36">
        <f>DataTable[[#This Row],[Pct Budget]]*totalBudget</f>
        <v>3055000</v>
      </c>
      <c r="R47" s="36" t="str">
        <f>IFERROR(VLOOKUP(DataTable[[#This Row],[Financial Category]],tblFinancialCat[],2,FALSE),"")</f>
        <v>OpEx</v>
      </c>
      <c r="S47" s="36">
        <f>IFERROR(DataTable[[#This Row],[Utilized]]/DataTable[[#This Row],[Total Cost]]*DataTable[[#This Row],[Resource Cost]],0)</f>
        <v>250</v>
      </c>
      <c r="T47" s="36">
        <f>IFERROR(DataTable[[#This Row],[Utilized]]/DataTable[[#This Row],[Total Cost]]*DataTable[[#This Row],[Other Cost]],0)</f>
        <v>0</v>
      </c>
      <c r="U47" s="217">
        <v>42095</v>
      </c>
      <c r="V47" s="36" t="str">
        <f>TEXT(DataTable[[#This Row],[Month]],"MMM-YY")</f>
        <v>Apr-15</v>
      </c>
    </row>
    <row r="48" spans="1:28" x14ac:dyDescent="0.25">
      <c r="A48">
        <v>47</v>
      </c>
      <c r="B48" t="s">
        <v>16</v>
      </c>
      <c r="C48">
        <v>0.47</v>
      </c>
      <c r="D48" t="s">
        <v>176</v>
      </c>
      <c r="E48" t="s">
        <v>199</v>
      </c>
      <c r="F48" t="s">
        <v>64</v>
      </c>
      <c r="G48" t="s">
        <v>222</v>
      </c>
      <c r="H48" s="36">
        <v>1000</v>
      </c>
      <c r="I48" s="36">
        <v>0</v>
      </c>
      <c r="J48" t="s">
        <v>31</v>
      </c>
      <c r="K48" t="s">
        <v>146</v>
      </c>
      <c r="L48">
        <v>1000</v>
      </c>
      <c r="M48" s="36">
        <v>0</v>
      </c>
      <c r="N48" s="36">
        <f>DataTable[[#This Row],[Resource Cost]]+DataTable[[#This Row],[Other Cost]]</f>
        <v>1000</v>
      </c>
      <c r="O48" s="36">
        <v>250</v>
      </c>
      <c r="P48" s="36">
        <v>750</v>
      </c>
      <c r="Q48" s="36">
        <f>DataTable[[#This Row],[Pct Budget]]*totalBudget</f>
        <v>3055000</v>
      </c>
      <c r="R48" s="36" t="str">
        <f>IFERROR(VLOOKUP(DataTable[[#This Row],[Financial Category]],tblFinancialCat[],2,FALSE),"")</f>
        <v>OpEx</v>
      </c>
      <c r="S48" s="36">
        <f>IFERROR(DataTable[[#This Row],[Utilized]]/DataTable[[#This Row],[Total Cost]]*DataTable[[#This Row],[Resource Cost]],0)</f>
        <v>250</v>
      </c>
      <c r="T48" s="36">
        <f>IFERROR(DataTable[[#This Row],[Utilized]]/DataTable[[#This Row],[Total Cost]]*DataTable[[#This Row],[Other Cost]],0)</f>
        <v>0</v>
      </c>
      <c r="U48" s="217">
        <v>42095</v>
      </c>
      <c r="V48" s="36" t="str">
        <f>TEXT(DataTable[[#This Row],[Month]],"MMM-YY")</f>
        <v>Apr-15</v>
      </c>
    </row>
    <row r="49" spans="1:22" x14ac:dyDescent="0.25">
      <c r="A49">
        <v>48</v>
      </c>
      <c r="B49" t="s">
        <v>16</v>
      </c>
      <c r="C49">
        <v>0.47</v>
      </c>
      <c r="D49" t="s">
        <v>176</v>
      </c>
      <c r="E49" t="s">
        <v>174</v>
      </c>
      <c r="F49" t="s">
        <v>64</v>
      </c>
      <c r="G49" t="s">
        <v>222</v>
      </c>
      <c r="H49" s="36">
        <v>1000</v>
      </c>
      <c r="I49" s="36">
        <v>0</v>
      </c>
      <c r="J49" t="s">
        <v>31</v>
      </c>
      <c r="K49" t="s">
        <v>146</v>
      </c>
      <c r="L49">
        <v>1000</v>
      </c>
      <c r="M49" s="36">
        <v>0</v>
      </c>
      <c r="N49" s="36">
        <f>DataTable[[#This Row],[Resource Cost]]+DataTable[[#This Row],[Other Cost]]</f>
        <v>1000</v>
      </c>
      <c r="O49" s="36">
        <v>250</v>
      </c>
      <c r="P49" s="36">
        <v>750</v>
      </c>
      <c r="Q49" s="36">
        <f>DataTable[[#This Row],[Pct Budget]]*totalBudget</f>
        <v>3055000</v>
      </c>
      <c r="R49" s="36" t="str">
        <f>IFERROR(VLOOKUP(DataTable[[#This Row],[Financial Category]],tblFinancialCat[],2,FALSE),"")</f>
        <v>OpEx</v>
      </c>
      <c r="S49" s="36">
        <f>IFERROR(DataTable[[#This Row],[Utilized]]/DataTable[[#This Row],[Total Cost]]*DataTable[[#This Row],[Resource Cost]],0)</f>
        <v>250</v>
      </c>
      <c r="T49" s="36">
        <f>IFERROR(DataTable[[#This Row],[Utilized]]/DataTable[[#This Row],[Total Cost]]*DataTable[[#This Row],[Other Cost]],0)</f>
        <v>0</v>
      </c>
      <c r="U49" s="217">
        <v>42095</v>
      </c>
      <c r="V49" s="36" t="str">
        <f>TEXT(DataTable[[#This Row],[Month]],"MMM-YY")</f>
        <v>Apr-15</v>
      </c>
    </row>
    <row r="50" spans="1:22" x14ac:dyDescent="0.25">
      <c r="A50">
        <v>49</v>
      </c>
      <c r="B50" t="s">
        <v>16</v>
      </c>
      <c r="C50">
        <v>0.47</v>
      </c>
      <c r="D50" t="s">
        <v>176</v>
      </c>
      <c r="E50" t="s">
        <v>209</v>
      </c>
      <c r="F50" t="s">
        <v>64</v>
      </c>
      <c r="G50" t="s">
        <v>222</v>
      </c>
      <c r="H50" s="36">
        <v>2403.8461538461538</v>
      </c>
      <c r="I50" s="36">
        <v>0</v>
      </c>
      <c r="J50" t="s">
        <v>31</v>
      </c>
      <c r="K50" t="s">
        <v>128</v>
      </c>
      <c r="L50">
        <v>2403.8461538461538</v>
      </c>
      <c r="M50" s="36">
        <v>0</v>
      </c>
      <c r="N50" s="36">
        <f>DataTable[[#This Row],[Resource Cost]]+DataTable[[#This Row],[Other Cost]]</f>
        <v>2403.8461538461538</v>
      </c>
      <c r="O50" s="36">
        <v>600.96153846153845</v>
      </c>
      <c r="P50" s="36">
        <v>1802.8846153846152</v>
      </c>
      <c r="Q50" s="36">
        <f>DataTable[[#This Row],[Pct Budget]]*totalBudget</f>
        <v>3055000</v>
      </c>
      <c r="R50" s="36" t="str">
        <f>IFERROR(VLOOKUP(DataTable[[#This Row],[Financial Category]],tblFinancialCat[],2,FALSE),"")</f>
        <v>OpEx</v>
      </c>
      <c r="S50" s="36">
        <f>IFERROR(DataTable[[#This Row],[Utilized]]/DataTable[[#This Row],[Total Cost]]*DataTable[[#This Row],[Resource Cost]],0)</f>
        <v>600.96153846153845</v>
      </c>
      <c r="T50" s="36">
        <f>IFERROR(DataTable[[#This Row],[Utilized]]/DataTable[[#This Row],[Total Cost]]*DataTable[[#This Row],[Other Cost]],0)</f>
        <v>0</v>
      </c>
      <c r="U50" s="217">
        <v>42095</v>
      </c>
      <c r="V50" s="36" t="str">
        <f>TEXT(DataTable[[#This Row],[Month]],"MMM-YY")</f>
        <v>Apr-15</v>
      </c>
    </row>
    <row r="51" spans="1:22" x14ac:dyDescent="0.25">
      <c r="A51">
        <v>50</v>
      </c>
      <c r="B51" t="s">
        <v>16</v>
      </c>
      <c r="C51">
        <v>0.47</v>
      </c>
      <c r="D51" t="s">
        <v>176</v>
      </c>
      <c r="E51" t="s">
        <v>197</v>
      </c>
      <c r="F51" t="s">
        <v>64</v>
      </c>
      <c r="G51" t="s">
        <v>222</v>
      </c>
      <c r="H51" s="36">
        <v>2403.8461538461538</v>
      </c>
      <c r="I51" s="36">
        <v>0</v>
      </c>
      <c r="J51" t="s">
        <v>31</v>
      </c>
      <c r="K51" t="s">
        <v>128</v>
      </c>
      <c r="L51">
        <v>2403.8461538461538</v>
      </c>
      <c r="M51" s="36">
        <v>0</v>
      </c>
      <c r="N51" s="36">
        <f>DataTable[[#This Row],[Resource Cost]]+DataTable[[#This Row],[Other Cost]]</f>
        <v>2403.8461538461538</v>
      </c>
      <c r="O51" s="36">
        <v>600.96153846153845</v>
      </c>
      <c r="P51" s="36">
        <v>1802.8846153846152</v>
      </c>
      <c r="Q51" s="36">
        <f>DataTable[[#This Row],[Pct Budget]]*totalBudget</f>
        <v>3055000</v>
      </c>
      <c r="R51" s="36" t="str">
        <f>IFERROR(VLOOKUP(DataTable[[#This Row],[Financial Category]],tblFinancialCat[],2,FALSE),"")</f>
        <v>OpEx</v>
      </c>
      <c r="S51" s="36">
        <f>IFERROR(DataTable[[#This Row],[Utilized]]/DataTable[[#This Row],[Total Cost]]*DataTable[[#This Row],[Resource Cost]],0)</f>
        <v>600.96153846153845</v>
      </c>
      <c r="T51" s="36">
        <f>IFERROR(DataTable[[#This Row],[Utilized]]/DataTable[[#This Row],[Total Cost]]*DataTable[[#This Row],[Other Cost]],0)</f>
        <v>0</v>
      </c>
      <c r="U51" s="217">
        <v>42095</v>
      </c>
      <c r="V51" s="36" t="str">
        <f>TEXT(DataTable[[#This Row],[Month]],"MMM-YY")</f>
        <v>Apr-15</v>
      </c>
    </row>
    <row r="52" spans="1:22" x14ac:dyDescent="0.25">
      <c r="A52">
        <v>51</v>
      </c>
      <c r="B52" t="s">
        <v>16</v>
      </c>
      <c r="C52">
        <v>0.47</v>
      </c>
      <c r="D52" t="s">
        <v>176</v>
      </c>
      <c r="E52" t="s">
        <v>33</v>
      </c>
      <c r="F52" t="s">
        <v>64</v>
      </c>
      <c r="G52" t="s">
        <v>222</v>
      </c>
      <c r="H52" s="36">
        <v>2403.8461538461538</v>
      </c>
      <c r="I52" s="36">
        <v>0</v>
      </c>
      <c r="J52" t="s">
        <v>31</v>
      </c>
      <c r="K52" t="s">
        <v>128</v>
      </c>
      <c r="L52">
        <v>2403.8461538461538</v>
      </c>
      <c r="M52" s="36">
        <v>0</v>
      </c>
      <c r="N52" s="36">
        <f>DataTable[[#This Row],[Resource Cost]]+DataTable[[#This Row],[Other Cost]]</f>
        <v>2403.8461538461538</v>
      </c>
      <c r="O52" s="36">
        <v>600.96153846153845</v>
      </c>
      <c r="P52" s="36">
        <v>1802.8846153846152</v>
      </c>
      <c r="Q52" s="36">
        <f>DataTable[[#This Row],[Pct Budget]]*totalBudget</f>
        <v>3055000</v>
      </c>
      <c r="R52" s="36" t="str">
        <f>IFERROR(VLOOKUP(DataTable[[#This Row],[Financial Category]],tblFinancialCat[],2,FALSE),"")</f>
        <v>OpEx</v>
      </c>
      <c r="S52" s="36">
        <f>IFERROR(DataTable[[#This Row],[Utilized]]/DataTable[[#This Row],[Total Cost]]*DataTable[[#This Row],[Resource Cost]],0)</f>
        <v>600.96153846153845</v>
      </c>
      <c r="T52" s="36">
        <f>IFERROR(DataTable[[#This Row],[Utilized]]/DataTable[[#This Row],[Total Cost]]*DataTable[[#This Row],[Other Cost]],0)</f>
        <v>0</v>
      </c>
      <c r="U52" s="217">
        <v>42095</v>
      </c>
      <c r="V52" s="36" t="str">
        <f>TEXT(DataTable[[#This Row],[Month]],"MMM-YY")</f>
        <v>Apr-15</v>
      </c>
    </row>
    <row r="53" spans="1:22" x14ac:dyDescent="0.25">
      <c r="A53">
        <v>52</v>
      </c>
      <c r="B53" t="s">
        <v>16</v>
      </c>
      <c r="C53">
        <v>0.47</v>
      </c>
      <c r="D53" t="s">
        <v>176</v>
      </c>
      <c r="E53" t="s">
        <v>198</v>
      </c>
      <c r="F53" t="s">
        <v>64</v>
      </c>
      <c r="G53" t="s">
        <v>222</v>
      </c>
      <c r="H53" s="36">
        <v>2403.8461538461538</v>
      </c>
      <c r="I53" s="36">
        <v>0</v>
      </c>
      <c r="J53" t="s">
        <v>31</v>
      </c>
      <c r="K53" t="s">
        <v>128</v>
      </c>
      <c r="L53">
        <v>2403.8461538461538</v>
      </c>
      <c r="M53" s="36">
        <v>0</v>
      </c>
      <c r="N53" s="36">
        <f>DataTable[[#This Row],[Resource Cost]]+DataTable[[#This Row],[Other Cost]]</f>
        <v>2403.8461538461538</v>
      </c>
      <c r="O53" s="36">
        <v>600.96153846153845</v>
      </c>
      <c r="P53" s="36">
        <v>1802.8846153846152</v>
      </c>
      <c r="Q53" s="36">
        <f>DataTable[[#This Row],[Pct Budget]]*totalBudget</f>
        <v>3055000</v>
      </c>
      <c r="R53" s="36" t="str">
        <f>IFERROR(VLOOKUP(DataTable[[#This Row],[Financial Category]],tblFinancialCat[],2,FALSE),"")</f>
        <v>OpEx</v>
      </c>
      <c r="S53" s="36">
        <f>IFERROR(DataTable[[#This Row],[Utilized]]/DataTable[[#This Row],[Total Cost]]*DataTable[[#This Row],[Resource Cost]],0)</f>
        <v>600.96153846153845</v>
      </c>
      <c r="T53" s="36">
        <f>IFERROR(DataTable[[#This Row],[Utilized]]/DataTable[[#This Row],[Total Cost]]*DataTable[[#This Row],[Other Cost]],0)</f>
        <v>0</v>
      </c>
      <c r="U53" s="217">
        <v>42095</v>
      </c>
      <c r="V53" s="36" t="str">
        <f>TEXT(DataTable[[#This Row],[Month]],"MMM-YY")</f>
        <v>Apr-15</v>
      </c>
    </row>
    <row r="54" spans="1:22" x14ac:dyDescent="0.25">
      <c r="A54">
        <v>53</v>
      </c>
      <c r="B54" t="s">
        <v>16</v>
      </c>
      <c r="C54">
        <v>0.47</v>
      </c>
      <c r="D54" t="s">
        <v>176</v>
      </c>
      <c r="E54" t="s">
        <v>199</v>
      </c>
      <c r="F54" t="s">
        <v>64</v>
      </c>
      <c r="G54" t="s">
        <v>222</v>
      </c>
      <c r="H54" s="36">
        <v>2403.8461538461538</v>
      </c>
      <c r="I54" s="36">
        <v>0</v>
      </c>
      <c r="J54" t="s">
        <v>31</v>
      </c>
      <c r="K54" t="s">
        <v>128</v>
      </c>
      <c r="L54">
        <v>2403.8461538461538</v>
      </c>
      <c r="M54" s="36">
        <v>0</v>
      </c>
      <c r="N54" s="36">
        <f>DataTable[[#This Row],[Resource Cost]]+DataTable[[#This Row],[Other Cost]]</f>
        <v>2403.8461538461538</v>
      </c>
      <c r="O54" s="36">
        <v>600.96153846153845</v>
      </c>
      <c r="P54" s="36">
        <v>1802.8846153846152</v>
      </c>
      <c r="Q54" s="36">
        <f>DataTable[[#This Row],[Pct Budget]]*totalBudget</f>
        <v>3055000</v>
      </c>
      <c r="R54" s="36" t="str">
        <f>IFERROR(VLOOKUP(DataTable[[#This Row],[Financial Category]],tblFinancialCat[],2,FALSE),"")</f>
        <v>OpEx</v>
      </c>
      <c r="S54" s="36">
        <f>IFERROR(DataTable[[#This Row],[Utilized]]/DataTable[[#This Row],[Total Cost]]*DataTable[[#This Row],[Resource Cost]],0)</f>
        <v>600.96153846153845</v>
      </c>
      <c r="T54" s="36">
        <f>IFERROR(DataTable[[#This Row],[Utilized]]/DataTable[[#This Row],[Total Cost]]*DataTable[[#This Row],[Other Cost]],0)</f>
        <v>0</v>
      </c>
      <c r="U54" s="217">
        <v>42095</v>
      </c>
      <c r="V54" s="36" t="str">
        <f>TEXT(DataTable[[#This Row],[Month]],"MMM-YY")</f>
        <v>Apr-15</v>
      </c>
    </row>
    <row r="55" spans="1:22" x14ac:dyDescent="0.25">
      <c r="A55">
        <v>54</v>
      </c>
      <c r="B55" t="s">
        <v>16</v>
      </c>
      <c r="C55">
        <v>0.47</v>
      </c>
      <c r="D55" t="s">
        <v>176</v>
      </c>
      <c r="E55" t="s">
        <v>174</v>
      </c>
      <c r="F55" t="s">
        <v>64</v>
      </c>
      <c r="G55" t="s">
        <v>222</v>
      </c>
      <c r="H55" s="36">
        <v>2403.8461538461538</v>
      </c>
      <c r="I55" s="36">
        <v>0</v>
      </c>
      <c r="J55" t="s">
        <v>31</v>
      </c>
      <c r="K55" t="s">
        <v>128</v>
      </c>
      <c r="L55">
        <v>2403.8461538461538</v>
      </c>
      <c r="M55" s="36">
        <v>0</v>
      </c>
      <c r="N55" s="36">
        <f>DataTable[[#This Row],[Resource Cost]]+DataTable[[#This Row],[Other Cost]]</f>
        <v>2403.8461538461538</v>
      </c>
      <c r="O55" s="36">
        <v>600.96153846153845</v>
      </c>
      <c r="P55" s="36">
        <v>1802.8846153846152</v>
      </c>
      <c r="Q55" s="36">
        <f>DataTable[[#This Row],[Pct Budget]]*totalBudget</f>
        <v>3055000</v>
      </c>
      <c r="R55" s="36" t="str">
        <f>IFERROR(VLOOKUP(DataTable[[#This Row],[Financial Category]],tblFinancialCat[],2,FALSE),"")</f>
        <v>OpEx</v>
      </c>
      <c r="S55" s="36">
        <f>IFERROR(DataTable[[#This Row],[Utilized]]/DataTable[[#This Row],[Total Cost]]*DataTable[[#This Row],[Resource Cost]],0)</f>
        <v>600.96153846153845</v>
      </c>
      <c r="T55" s="36">
        <f>IFERROR(DataTable[[#This Row],[Utilized]]/DataTable[[#This Row],[Total Cost]]*DataTable[[#This Row],[Other Cost]],0)</f>
        <v>0</v>
      </c>
      <c r="U55" s="217">
        <v>42095</v>
      </c>
      <c r="V55" s="36" t="str">
        <f>TEXT(DataTable[[#This Row],[Month]],"MMM-YY")</f>
        <v>Apr-15</v>
      </c>
    </row>
    <row r="56" spans="1:22" x14ac:dyDescent="0.25">
      <c r="A56">
        <v>55</v>
      </c>
      <c r="B56" t="s">
        <v>16</v>
      </c>
      <c r="C56">
        <v>0.47</v>
      </c>
      <c r="D56" t="s">
        <v>176</v>
      </c>
      <c r="E56" t="s">
        <v>209</v>
      </c>
      <c r="F56" t="s">
        <v>64</v>
      </c>
      <c r="G56" t="s">
        <v>222</v>
      </c>
      <c r="H56" s="36">
        <v>5500</v>
      </c>
      <c r="I56" s="36">
        <v>0</v>
      </c>
      <c r="J56" t="s">
        <v>31</v>
      </c>
      <c r="K56" t="s">
        <v>147</v>
      </c>
      <c r="L56">
        <v>5500</v>
      </c>
      <c r="M56" s="36">
        <v>0</v>
      </c>
      <c r="N56" s="36">
        <f>DataTable[[#This Row],[Resource Cost]]+DataTable[[#This Row],[Other Cost]]</f>
        <v>5500</v>
      </c>
      <c r="O56" s="36">
        <v>1375</v>
      </c>
      <c r="P56" s="36">
        <v>4125</v>
      </c>
      <c r="Q56" s="36">
        <f>DataTable[[#This Row],[Pct Budget]]*totalBudget</f>
        <v>3055000</v>
      </c>
      <c r="R56" s="36" t="str">
        <f>IFERROR(VLOOKUP(DataTable[[#This Row],[Financial Category]],tblFinancialCat[],2,FALSE),"")</f>
        <v>OpEx</v>
      </c>
      <c r="S56" s="36">
        <f>IFERROR(DataTable[[#This Row],[Utilized]]/DataTable[[#This Row],[Total Cost]]*DataTable[[#This Row],[Resource Cost]],0)</f>
        <v>1375</v>
      </c>
      <c r="T56" s="36">
        <f>IFERROR(DataTable[[#This Row],[Utilized]]/DataTable[[#This Row],[Total Cost]]*DataTable[[#This Row],[Other Cost]],0)</f>
        <v>0</v>
      </c>
      <c r="U56" s="217">
        <v>42095</v>
      </c>
      <c r="V56" s="36" t="str">
        <f>TEXT(DataTable[[#This Row],[Month]],"MMM-YY")</f>
        <v>Apr-15</v>
      </c>
    </row>
    <row r="57" spans="1:22" x14ac:dyDescent="0.25">
      <c r="A57">
        <v>56</v>
      </c>
      <c r="B57" t="s">
        <v>16</v>
      </c>
      <c r="C57">
        <v>0.47</v>
      </c>
      <c r="D57" t="s">
        <v>176</v>
      </c>
      <c r="E57" t="s">
        <v>197</v>
      </c>
      <c r="F57" t="s">
        <v>64</v>
      </c>
      <c r="G57" t="s">
        <v>222</v>
      </c>
      <c r="H57" s="36">
        <v>5500</v>
      </c>
      <c r="I57" s="36">
        <v>0</v>
      </c>
      <c r="J57" t="s">
        <v>31</v>
      </c>
      <c r="K57" t="s">
        <v>147</v>
      </c>
      <c r="L57">
        <v>5500</v>
      </c>
      <c r="M57" s="36">
        <v>0</v>
      </c>
      <c r="N57" s="36">
        <f>DataTable[[#This Row],[Resource Cost]]+DataTable[[#This Row],[Other Cost]]</f>
        <v>5500</v>
      </c>
      <c r="O57" s="36">
        <v>1375</v>
      </c>
      <c r="P57" s="36">
        <v>4125</v>
      </c>
      <c r="Q57" s="36">
        <f>DataTable[[#This Row],[Pct Budget]]*totalBudget</f>
        <v>3055000</v>
      </c>
      <c r="R57" s="36" t="str">
        <f>IFERROR(VLOOKUP(DataTable[[#This Row],[Financial Category]],tblFinancialCat[],2,FALSE),"")</f>
        <v>OpEx</v>
      </c>
      <c r="S57" s="36">
        <f>IFERROR(DataTable[[#This Row],[Utilized]]/DataTable[[#This Row],[Total Cost]]*DataTable[[#This Row],[Resource Cost]],0)</f>
        <v>1375</v>
      </c>
      <c r="T57" s="36">
        <f>IFERROR(DataTable[[#This Row],[Utilized]]/DataTable[[#This Row],[Total Cost]]*DataTable[[#This Row],[Other Cost]],0)</f>
        <v>0</v>
      </c>
      <c r="U57" s="217">
        <v>42095</v>
      </c>
      <c r="V57" s="36" t="str">
        <f>TEXT(DataTable[[#This Row],[Month]],"MMM-YY")</f>
        <v>Apr-15</v>
      </c>
    </row>
    <row r="58" spans="1:22" x14ac:dyDescent="0.25">
      <c r="A58">
        <v>57</v>
      </c>
      <c r="B58" t="s">
        <v>16</v>
      </c>
      <c r="C58">
        <v>0.47</v>
      </c>
      <c r="D58" t="s">
        <v>176</v>
      </c>
      <c r="E58" t="s">
        <v>33</v>
      </c>
      <c r="F58" t="s">
        <v>64</v>
      </c>
      <c r="G58" t="s">
        <v>222</v>
      </c>
      <c r="H58" s="36">
        <v>5500</v>
      </c>
      <c r="I58" s="36">
        <v>0</v>
      </c>
      <c r="J58" t="s">
        <v>31</v>
      </c>
      <c r="K58" t="s">
        <v>147</v>
      </c>
      <c r="L58">
        <v>5500</v>
      </c>
      <c r="M58" s="36">
        <v>0</v>
      </c>
      <c r="N58" s="36">
        <f>DataTable[[#This Row],[Resource Cost]]+DataTable[[#This Row],[Other Cost]]</f>
        <v>5500</v>
      </c>
      <c r="O58" s="36">
        <v>1375</v>
      </c>
      <c r="P58" s="36">
        <v>4125</v>
      </c>
      <c r="Q58" s="36">
        <f>DataTable[[#This Row],[Pct Budget]]*totalBudget</f>
        <v>3055000</v>
      </c>
      <c r="R58" s="36" t="str">
        <f>IFERROR(VLOOKUP(DataTable[[#This Row],[Financial Category]],tblFinancialCat[],2,FALSE),"")</f>
        <v>OpEx</v>
      </c>
      <c r="S58" s="36">
        <f>IFERROR(DataTable[[#This Row],[Utilized]]/DataTable[[#This Row],[Total Cost]]*DataTable[[#This Row],[Resource Cost]],0)</f>
        <v>1375</v>
      </c>
      <c r="T58" s="36">
        <f>IFERROR(DataTable[[#This Row],[Utilized]]/DataTable[[#This Row],[Total Cost]]*DataTable[[#This Row],[Other Cost]],0)</f>
        <v>0</v>
      </c>
      <c r="U58" s="217">
        <v>42095</v>
      </c>
      <c r="V58" s="36" t="str">
        <f>TEXT(DataTable[[#This Row],[Month]],"MMM-YY")</f>
        <v>Apr-15</v>
      </c>
    </row>
    <row r="59" spans="1:22" x14ac:dyDescent="0.25">
      <c r="A59">
        <v>58</v>
      </c>
      <c r="B59" t="s">
        <v>16</v>
      </c>
      <c r="C59">
        <v>0.47</v>
      </c>
      <c r="D59" t="s">
        <v>176</v>
      </c>
      <c r="E59" t="s">
        <v>198</v>
      </c>
      <c r="F59" t="s">
        <v>64</v>
      </c>
      <c r="G59" t="s">
        <v>222</v>
      </c>
      <c r="H59" s="36">
        <v>5500</v>
      </c>
      <c r="I59" s="36">
        <v>0</v>
      </c>
      <c r="J59" t="s">
        <v>31</v>
      </c>
      <c r="K59" t="s">
        <v>147</v>
      </c>
      <c r="L59">
        <v>5500</v>
      </c>
      <c r="M59" s="36">
        <v>0</v>
      </c>
      <c r="N59" s="36">
        <f>DataTable[[#This Row],[Resource Cost]]+DataTable[[#This Row],[Other Cost]]</f>
        <v>5500</v>
      </c>
      <c r="O59" s="36">
        <v>1375</v>
      </c>
      <c r="P59" s="36">
        <v>4125</v>
      </c>
      <c r="Q59" s="36">
        <f>DataTable[[#This Row],[Pct Budget]]*totalBudget</f>
        <v>3055000</v>
      </c>
      <c r="R59" s="36" t="str">
        <f>IFERROR(VLOOKUP(DataTable[[#This Row],[Financial Category]],tblFinancialCat[],2,FALSE),"")</f>
        <v>OpEx</v>
      </c>
      <c r="S59" s="36">
        <f>IFERROR(DataTable[[#This Row],[Utilized]]/DataTable[[#This Row],[Total Cost]]*DataTable[[#This Row],[Resource Cost]],0)</f>
        <v>1375</v>
      </c>
      <c r="T59" s="36">
        <f>IFERROR(DataTable[[#This Row],[Utilized]]/DataTable[[#This Row],[Total Cost]]*DataTable[[#This Row],[Other Cost]],0)</f>
        <v>0</v>
      </c>
      <c r="U59" s="217">
        <v>42095</v>
      </c>
      <c r="V59" s="36" t="str">
        <f>TEXT(DataTable[[#This Row],[Month]],"MMM-YY")</f>
        <v>Apr-15</v>
      </c>
    </row>
    <row r="60" spans="1:22" x14ac:dyDescent="0.25">
      <c r="A60">
        <v>59</v>
      </c>
      <c r="B60" t="s">
        <v>16</v>
      </c>
      <c r="C60">
        <v>0.47</v>
      </c>
      <c r="D60" t="s">
        <v>176</v>
      </c>
      <c r="E60" t="s">
        <v>199</v>
      </c>
      <c r="F60" t="s">
        <v>64</v>
      </c>
      <c r="G60" t="s">
        <v>222</v>
      </c>
      <c r="H60" s="36">
        <v>5500</v>
      </c>
      <c r="I60" s="36">
        <v>0</v>
      </c>
      <c r="J60" t="s">
        <v>31</v>
      </c>
      <c r="K60" t="s">
        <v>147</v>
      </c>
      <c r="L60">
        <v>5500</v>
      </c>
      <c r="M60" s="36">
        <v>0</v>
      </c>
      <c r="N60" s="36">
        <f>DataTable[[#This Row],[Resource Cost]]+DataTable[[#This Row],[Other Cost]]</f>
        <v>5500</v>
      </c>
      <c r="O60" s="36">
        <v>1375</v>
      </c>
      <c r="P60" s="36">
        <v>4125</v>
      </c>
      <c r="Q60" s="36">
        <f>DataTable[[#This Row],[Pct Budget]]*totalBudget</f>
        <v>3055000</v>
      </c>
      <c r="R60" s="36" t="str">
        <f>IFERROR(VLOOKUP(DataTable[[#This Row],[Financial Category]],tblFinancialCat[],2,FALSE),"")</f>
        <v>OpEx</v>
      </c>
      <c r="S60" s="36">
        <f>IFERROR(DataTable[[#This Row],[Utilized]]/DataTable[[#This Row],[Total Cost]]*DataTable[[#This Row],[Resource Cost]],0)</f>
        <v>1375</v>
      </c>
      <c r="T60" s="36">
        <f>IFERROR(DataTable[[#This Row],[Utilized]]/DataTable[[#This Row],[Total Cost]]*DataTable[[#This Row],[Other Cost]],0)</f>
        <v>0</v>
      </c>
      <c r="U60" s="217">
        <v>42095</v>
      </c>
      <c r="V60" s="36" t="str">
        <f>TEXT(DataTable[[#This Row],[Month]],"MMM-YY")</f>
        <v>Apr-15</v>
      </c>
    </row>
    <row r="61" spans="1:22" x14ac:dyDescent="0.25">
      <c r="A61">
        <v>60</v>
      </c>
      <c r="B61" t="s">
        <v>16</v>
      </c>
      <c r="C61">
        <v>0.47</v>
      </c>
      <c r="D61" t="s">
        <v>176</v>
      </c>
      <c r="E61" t="s">
        <v>174</v>
      </c>
      <c r="F61" t="s">
        <v>64</v>
      </c>
      <c r="G61" t="s">
        <v>222</v>
      </c>
      <c r="H61" s="36">
        <v>5500</v>
      </c>
      <c r="I61" s="36">
        <v>0</v>
      </c>
      <c r="J61" t="s">
        <v>31</v>
      </c>
      <c r="K61" t="s">
        <v>147</v>
      </c>
      <c r="L61">
        <v>5500</v>
      </c>
      <c r="M61" s="36">
        <v>0</v>
      </c>
      <c r="N61" s="36">
        <f>DataTable[[#This Row],[Resource Cost]]+DataTable[[#This Row],[Other Cost]]</f>
        <v>5500</v>
      </c>
      <c r="O61" s="36">
        <v>1375</v>
      </c>
      <c r="P61" s="36">
        <v>4125</v>
      </c>
      <c r="Q61" s="36">
        <f>DataTable[[#This Row],[Pct Budget]]*totalBudget</f>
        <v>3055000</v>
      </c>
      <c r="R61" s="36" t="str">
        <f>IFERROR(VLOOKUP(DataTable[[#This Row],[Financial Category]],tblFinancialCat[],2,FALSE),"")</f>
        <v>OpEx</v>
      </c>
      <c r="S61" s="36">
        <f>IFERROR(DataTable[[#This Row],[Utilized]]/DataTable[[#This Row],[Total Cost]]*DataTable[[#This Row],[Resource Cost]],0)</f>
        <v>1375</v>
      </c>
      <c r="T61" s="36">
        <f>IFERROR(DataTable[[#This Row],[Utilized]]/DataTable[[#This Row],[Total Cost]]*DataTable[[#This Row],[Other Cost]],0)</f>
        <v>0</v>
      </c>
      <c r="U61" s="217">
        <v>42095</v>
      </c>
      <c r="V61" s="36" t="str">
        <f>TEXT(DataTable[[#This Row],[Month]],"MMM-YY")</f>
        <v>Apr-15</v>
      </c>
    </row>
    <row r="62" spans="1:22" x14ac:dyDescent="0.25">
      <c r="A62">
        <v>61</v>
      </c>
      <c r="B62" t="s">
        <v>16</v>
      </c>
      <c r="C62">
        <v>0.47</v>
      </c>
      <c r="D62" t="s">
        <v>176</v>
      </c>
      <c r="E62" t="s">
        <v>209</v>
      </c>
      <c r="F62" t="s">
        <v>64</v>
      </c>
      <c r="G62" t="s">
        <v>222</v>
      </c>
      <c r="H62" s="36">
        <v>3250</v>
      </c>
      <c r="I62" s="36">
        <v>0</v>
      </c>
      <c r="J62" t="s">
        <v>31</v>
      </c>
      <c r="K62" t="s">
        <v>145</v>
      </c>
      <c r="L62">
        <v>3250</v>
      </c>
      <c r="M62" s="36">
        <v>0</v>
      </c>
      <c r="N62" s="36">
        <f>DataTable[[#This Row],[Resource Cost]]+DataTable[[#This Row],[Other Cost]]</f>
        <v>3250</v>
      </c>
      <c r="O62" s="36">
        <v>812.5</v>
      </c>
      <c r="P62" s="36">
        <v>2437.5</v>
      </c>
      <c r="Q62" s="36">
        <f>DataTable[[#This Row],[Pct Budget]]*totalBudget</f>
        <v>3055000</v>
      </c>
      <c r="R62" s="36" t="str">
        <f>IFERROR(VLOOKUP(DataTable[[#This Row],[Financial Category]],tblFinancialCat[],2,FALSE),"")</f>
        <v>OpEx</v>
      </c>
      <c r="S62" s="36">
        <f>IFERROR(DataTable[[#This Row],[Utilized]]/DataTable[[#This Row],[Total Cost]]*DataTable[[#This Row],[Resource Cost]],0)</f>
        <v>812.5</v>
      </c>
      <c r="T62" s="36">
        <f>IFERROR(DataTable[[#This Row],[Utilized]]/DataTable[[#This Row],[Total Cost]]*DataTable[[#This Row],[Other Cost]],0)</f>
        <v>0</v>
      </c>
      <c r="U62" s="217">
        <v>42095</v>
      </c>
      <c r="V62" s="36" t="str">
        <f>TEXT(DataTable[[#This Row],[Month]],"MMM-YY")</f>
        <v>Apr-15</v>
      </c>
    </row>
    <row r="63" spans="1:22" x14ac:dyDescent="0.25">
      <c r="A63">
        <v>62</v>
      </c>
      <c r="B63" t="s">
        <v>16</v>
      </c>
      <c r="C63">
        <v>0.47</v>
      </c>
      <c r="D63" t="s">
        <v>176</v>
      </c>
      <c r="E63" t="s">
        <v>197</v>
      </c>
      <c r="F63" t="s">
        <v>64</v>
      </c>
      <c r="G63" t="s">
        <v>222</v>
      </c>
      <c r="H63" s="36">
        <v>3250</v>
      </c>
      <c r="I63" s="36">
        <v>0</v>
      </c>
      <c r="J63" t="s">
        <v>31</v>
      </c>
      <c r="K63" t="s">
        <v>145</v>
      </c>
      <c r="L63">
        <v>3250</v>
      </c>
      <c r="M63" s="36">
        <v>0</v>
      </c>
      <c r="N63" s="36">
        <f>DataTable[[#This Row],[Resource Cost]]+DataTable[[#This Row],[Other Cost]]</f>
        <v>3250</v>
      </c>
      <c r="O63" s="36">
        <v>812.5</v>
      </c>
      <c r="P63" s="36">
        <v>2437.5</v>
      </c>
      <c r="Q63" s="36">
        <f>DataTable[[#This Row],[Pct Budget]]*totalBudget</f>
        <v>3055000</v>
      </c>
      <c r="R63" s="36" t="str">
        <f>IFERROR(VLOOKUP(DataTable[[#This Row],[Financial Category]],tblFinancialCat[],2,FALSE),"")</f>
        <v>OpEx</v>
      </c>
      <c r="S63" s="36">
        <f>IFERROR(DataTable[[#This Row],[Utilized]]/DataTable[[#This Row],[Total Cost]]*DataTable[[#This Row],[Resource Cost]],0)</f>
        <v>812.5</v>
      </c>
      <c r="T63" s="36">
        <f>IFERROR(DataTable[[#This Row],[Utilized]]/DataTable[[#This Row],[Total Cost]]*DataTable[[#This Row],[Other Cost]],0)</f>
        <v>0</v>
      </c>
      <c r="U63" s="217">
        <v>42095</v>
      </c>
      <c r="V63" s="36" t="str">
        <f>TEXT(DataTable[[#This Row],[Month]],"MMM-YY")</f>
        <v>Apr-15</v>
      </c>
    </row>
    <row r="64" spans="1:22" x14ac:dyDescent="0.25">
      <c r="A64">
        <v>63</v>
      </c>
      <c r="B64" t="s">
        <v>16</v>
      </c>
      <c r="C64">
        <v>0.47</v>
      </c>
      <c r="D64" t="s">
        <v>176</v>
      </c>
      <c r="E64" t="s">
        <v>33</v>
      </c>
      <c r="F64" t="s">
        <v>64</v>
      </c>
      <c r="G64" t="s">
        <v>222</v>
      </c>
      <c r="H64" s="36">
        <v>3250</v>
      </c>
      <c r="I64" s="36">
        <v>0</v>
      </c>
      <c r="J64" t="s">
        <v>31</v>
      </c>
      <c r="K64" t="s">
        <v>145</v>
      </c>
      <c r="L64">
        <v>3250</v>
      </c>
      <c r="M64" s="36">
        <v>0</v>
      </c>
      <c r="N64" s="36">
        <f>DataTable[[#This Row],[Resource Cost]]+DataTable[[#This Row],[Other Cost]]</f>
        <v>3250</v>
      </c>
      <c r="O64" s="36">
        <v>812.5</v>
      </c>
      <c r="P64" s="36">
        <v>2437.5</v>
      </c>
      <c r="Q64" s="36">
        <f>DataTable[[#This Row],[Pct Budget]]*totalBudget</f>
        <v>3055000</v>
      </c>
      <c r="R64" s="36" t="str">
        <f>IFERROR(VLOOKUP(DataTable[[#This Row],[Financial Category]],tblFinancialCat[],2,FALSE),"")</f>
        <v>OpEx</v>
      </c>
      <c r="S64" s="36">
        <f>IFERROR(DataTable[[#This Row],[Utilized]]/DataTable[[#This Row],[Total Cost]]*DataTable[[#This Row],[Resource Cost]],0)</f>
        <v>812.5</v>
      </c>
      <c r="T64" s="36">
        <f>IFERROR(DataTable[[#This Row],[Utilized]]/DataTable[[#This Row],[Total Cost]]*DataTable[[#This Row],[Other Cost]],0)</f>
        <v>0</v>
      </c>
      <c r="U64" s="217">
        <v>42095</v>
      </c>
      <c r="V64" s="36" t="str">
        <f>TEXT(DataTable[[#This Row],[Month]],"MMM-YY")</f>
        <v>Apr-15</v>
      </c>
    </row>
    <row r="65" spans="1:22" x14ac:dyDescent="0.25">
      <c r="A65">
        <v>64</v>
      </c>
      <c r="B65" t="s">
        <v>16</v>
      </c>
      <c r="C65">
        <v>0.47</v>
      </c>
      <c r="D65" t="s">
        <v>176</v>
      </c>
      <c r="E65" t="s">
        <v>198</v>
      </c>
      <c r="F65" t="s">
        <v>64</v>
      </c>
      <c r="G65" t="s">
        <v>222</v>
      </c>
      <c r="H65" s="36">
        <v>3250</v>
      </c>
      <c r="I65" s="36">
        <v>0</v>
      </c>
      <c r="J65" t="s">
        <v>31</v>
      </c>
      <c r="K65" t="s">
        <v>145</v>
      </c>
      <c r="L65">
        <v>3250</v>
      </c>
      <c r="M65" s="36">
        <v>0</v>
      </c>
      <c r="N65" s="36">
        <f>DataTable[[#This Row],[Resource Cost]]+DataTable[[#This Row],[Other Cost]]</f>
        <v>3250</v>
      </c>
      <c r="O65" s="36">
        <v>812.5</v>
      </c>
      <c r="P65" s="36">
        <v>2437.5</v>
      </c>
      <c r="Q65" s="36">
        <f>DataTable[[#This Row],[Pct Budget]]*totalBudget</f>
        <v>3055000</v>
      </c>
      <c r="R65" s="36" t="str">
        <f>IFERROR(VLOOKUP(DataTable[[#This Row],[Financial Category]],tblFinancialCat[],2,FALSE),"")</f>
        <v>OpEx</v>
      </c>
      <c r="S65" s="36">
        <f>IFERROR(DataTable[[#This Row],[Utilized]]/DataTable[[#This Row],[Total Cost]]*DataTable[[#This Row],[Resource Cost]],0)</f>
        <v>812.5</v>
      </c>
      <c r="T65" s="36">
        <f>IFERROR(DataTable[[#This Row],[Utilized]]/DataTable[[#This Row],[Total Cost]]*DataTable[[#This Row],[Other Cost]],0)</f>
        <v>0</v>
      </c>
      <c r="U65" s="217">
        <v>42095</v>
      </c>
      <c r="V65" s="36" t="str">
        <f>TEXT(DataTable[[#This Row],[Month]],"MMM-YY")</f>
        <v>Apr-15</v>
      </c>
    </row>
    <row r="66" spans="1:22" x14ac:dyDescent="0.25">
      <c r="A66">
        <v>65</v>
      </c>
      <c r="B66" t="s">
        <v>16</v>
      </c>
      <c r="C66">
        <v>0.47</v>
      </c>
      <c r="D66" t="s">
        <v>176</v>
      </c>
      <c r="E66" t="s">
        <v>199</v>
      </c>
      <c r="F66" t="s">
        <v>64</v>
      </c>
      <c r="G66" t="s">
        <v>222</v>
      </c>
      <c r="H66" s="36">
        <v>3250</v>
      </c>
      <c r="I66" s="36">
        <v>0</v>
      </c>
      <c r="J66" t="s">
        <v>31</v>
      </c>
      <c r="K66" t="s">
        <v>145</v>
      </c>
      <c r="L66">
        <v>3250</v>
      </c>
      <c r="M66" s="36">
        <v>0</v>
      </c>
      <c r="N66" s="36">
        <f>DataTable[[#This Row],[Resource Cost]]+DataTable[[#This Row],[Other Cost]]</f>
        <v>3250</v>
      </c>
      <c r="O66" s="36">
        <v>812.5</v>
      </c>
      <c r="P66" s="36">
        <v>2437.5</v>
      </c>
      <c r="Q66" s="36">
        <f>DataTable[[#This Row],[Pct Budget]]*totalBudget</f>
        <v>3055000</v>
      </c>
      <c r="R66" s="36" t="str">
        <f>IFERROR(VLOOKUP(DataTable[[#This Row],[Financial Category]],tblFinancialCat[],2,FALSE),"")</f>
        <v>OpEx</v>
      </c>
      <c r="S66" s="36">
        <f>IFERROR(DataTable[[#This Row],[Utilized]]/DataTable[[#This Row],[Total Cost]]*DataTable[[#This Row],[Resource Cost]],0)</f>
        <v>812.5</v>
      </c>
      <c r="T66" s="36">
        <f>IFERROR(DataTable[[#This Row],[Utilized]]/DataTable[[#This Row],[Total Cost]]*DataTable[[#This Row],[Other Cost]],0)</f>
        <v>0</v>
      </c>
      <c r="U66" s="217">
        <v>42095</v>
      </c>
      <c r="V66" s="36" t="str">
        <f>TEXT(DataTable[[#This Row],[Month]],"MMM-YY")</f>
        <v>Apr-15</v>
      </c>
    </row>
    <row r="67" spans="1:22" x14ac:dyDescent="0.25">
      <c r="A67">
        <v>66</v>
      </c>
      <c r="B67" t="s">
        <v>16</v>
      </c>
      <c r="C67">
        <v>0.47</v>
      </c>
      <c r="D67" t="s">
        <v>176</v>
      </c>
      <c r="E67" t="s">
        <v>174</v>
      </c>
      <c r="F67" t="s">
        <v>64</v>
      </c>
      <c r="G67" t="s">
        <v>222</v>
      </c>
      <c r="H67" s="36">
        <v>3250</v>
      </c>
      <c r="I67" s="36">
        <v>0</v>
      </c>
      <c r="J67" t="s">
        <v>31</v>
      </c>
      <c r="K67" t="s">
        <v>145</v>
      </c>
      <c r="L67">
        <v>3250</v>
      </c>
      <c r="M67" s="36">
        <v>0</v>
      </c>
      <c r="N67" s="36">
        <f>DataTable[[#This Row],[Resource Cost]]+DataTable[[#This Row],[Other Cost]]</f>
        <v>3250</v>
      </c>
      <c r="O67" s="36">
        <v>812.5</v>
      </c>
      <c r="P67" s="36">
        <v>2437.5</v>
      </c>
      <c r="Q67" s="36">
        <f>DataTable[[#This Row],[Pct Budget]]*totalBudget</f>
        <v>3055000</v>
      </c>
      <c r="R67" s="36" t="str">
        <f>IFERROR(VLOOKUP(DataTable[[#This Row],[Financial Category]],tblFinancialCat[],2,FALSE),"")</f>
        <v>OpEx</v>
      </c>
      <c r="S67" s="36">
        <f>IFERROR(DataTable[[#This Row],[Utilized]]/DataTable[[#This Row],[Total Cost]]*DataTable[[#This Row],[Resource Cost]],0)</f>
        <v>812.5</v>
      </c>
      <c r="T67" s="36">
        <f>IFERROR(DataTable[[#This Row],[Utilized]]/DataTable[[#This Row],[Total Cost]]*DataTable[[#This Row],[Other Cost]],0)</f>
        <v>0</v>
      </c>
      <c r="U67" s="217">
        <v>42095</v>
      </c>
      <c r="V67" s="36" t="str">
        <f>TEXT(DataTable[[#This Row],[Month]],"MMM-YY")</f>
        <v>Apr-15</v>
      </c>
    </row>
    <row r="68" spans="1:22" x14ac:dyDescent="0.25">
      <c r="A68">
        <v>67</v>
      </c>
      <c r="B68" t="s">
        <v>16</v>
      </c>
      <c r="C68">
        <v>0.47</v>
      </c>
      <c r="D68" t="s">
        <v>176</v>
      </c>
      <c r="E68" t="s">
        <v>178</v>
      </c>
      <c r="F68" t="s">
        <v>63</v>
      </c>
      <c r="G68" t="s">
        <v>222</v>
      </c>
      <c r="H68" s="36">
        <v>204.32692307692307</v>
      </c>
      <c r="I68" s="36">
        <v>0</v>
      </c>
      <c r="J68" t="s">
        <v>172</v>
      </c>
      <c r="K68" t="s">
        <v>126</v>
      </c>
      <c r="L68">
        <v>204.32692307692307</v>
      </c>
      <c r="M68" s="36">
        <v>0</v>
      </c>
      <c r="N68" s="36">
        <f>DataTable[[#This Row],[Resource Cost]]+DataTable[[#This Row],[Other Cost]]</f>
        <v>204.32692307692307</v>
      </c>
      <c r="O68" s="36">
        <v>183.89423076923077</v>
      </c>
      <c r="P68" s="36">
        <v>20.432692307692303</v>
      </c>
      <c r="Q68" s="36">
        <f>DataTable[[#This Row],[Pct Budget]]*totalBudget</f>
        <v>3055000</v>
      </c>
      <c r="R68" s="36" t="str">
        <f>IFERROR(VLOOKUP(DataTable[[#This Row],[Financial Category]],tblFinancialCat[],2,FALSE),"")</f>
        <v>OpEx</v>
      </c>
      <c r="S68" s="36">
        <f>IFERROR(DataTable[[#This Row],[Utilized]]/DataTable[[#This Row],[Total Cost]]*DataTable[[#This Row],[Resource Cost]],0)</f>
        <v>183.89423076923077</v>
      </c>
      <c r="T68" s="36">
        <f>IFERROR(DataTable[[#This Row],[Utilized]]/DataTable[[#This Row],[Total Cost]]*DataTable[[#This Row],[Other Cost]],0)</f>
        <v>0</v>
      </c>
      <c r="U68" s="217">
        <v>42036</v>
      </c>
      <c r="V68" s="36" t="str">
        <f>TEXT(DataTable[[#This Row],[Month]],"MMM-YY")</f>
        <v>Feb-15</v>
      </c>
    </row>
    <row r="69" spans="1:22" x14ac:dyDescent="0.25">
      <c r="A69">
        <v>68</v>
      </c>
      <c r="B69" t="s">
        <v>16</v>
      </c>
      <c r="C69">
        <v>0.47</v>
      </c>
      <c r="D69" t="s">
        <v>176</v>
      </c>
      <c r="E69" t="s">
        <v>201</v>
      </c>
      <c r="F69" t="s">
        <v>63</v>
      </c>
      <c r="G69" t="s">
        <v>222</v>
      </c>
      <c r="H69" s="36">
        <v>204.32692307692307</v>
      </c>
      <c r="I69" s="36">
        <v>0</v>
      </c>
      <c r="J69" t="s">
        <v>172</v>
      </c>
      <c r="K69" t="s">
        <v>126</v>
      </c>
      <c r="L69">
        <v>204.32692307692307</v>
      </c>
      <c r="M69" s="36">
        <v>0</v>
      </c>
      <c r="N69" s="36">
        <f>DataTable[[#This Row],[Resource Cost]]+DataTable[[#This Row],[Other Cost]]</f>
        <v>204.32692307692307</v>
      </c>
      <c r="O69" s="36">
        <v>183.89423076923077</v>
      </c>
      <c r="P69" s="36">
        <v>20.432692307692303</v>
      </c>
      <c r="Q69" s="36">
        <f>DataTable[[#This Row],[Pct Budget]]*totalBudget</f>
        <v>3055000</v>
      </c>
      <c r="R69" s="36" t="str">
        <f>IFERROR(VLOOKUP(DataTable[[#This Row],[Financial Category]],tblFinancialCat[],2,FALSE),"")</f>
        <v>OpEx</v>
      </c>
      <c r="S69" s="36">
        <f>IFERROR(DataTable[[#This Row],[Utilized]]/DataTable[[#This Row],[Total Cost]]*DataTable[[#This Row],[Resource Cost]],0)</f>
        <v>183.89423076923077</v>
      </c>
      <c r="T69" s="36">
        <f>IFERROR(DataTable[[#This Row],[Utilized]]/DataTable[[#This Row],[Total Cost]]*DataTable[[#This Row],[Other Cost]],0)</f>
        <v>0</v>
      </c>
      <c r="U69" s="217">
        <v>42036</v>
      </c>
      <c r="V69" s="36" t="str">
        <f>TEXT(DataTable[[#This Row],[Month]],"MMM-YY")</f>
        <v>Feb-15</v>
      </c>
    </row>
    <row r="70" spans="1:22" x14ac:dyDescent="0.25">
      <c r="A70">
        <v>69</v>
      </c>
      <c r="B70" t="s">
        <v>16</v>
      </c>
      <c r="C70">
        <v>0.47</v>
      </c>
      <c r="D70" t="s">
        <v>176</v>
      </c>
      <c r="E70" t="s">
        <v>177</v>
      </c>
      <c r="F70" t="s">
        <v>63</v>
      </c>
      <c r="G70" t="s">
        <v>222</v>
      </c>
      <c r="H70" s="36">
        <v>204.32692307692307</v>
      </c>
      <c r="I70" s="36">
        <v>0</v>
      </c>
      <c r="J70" t="s">
        <v>172</v>
      </c>
      <c r="K70" t="s">
        <v>126</v>
      </c>
      <c r="L70">
        <v>204.32692307692307</v>
      </c>
      <c r="M70" s="36">
        <v>0</v>
      </c>
      <c r="N70" s="36">
        <f>DataTable[[#This Row],[Resource Cost]]+DataTable[[#This Row],[Other Cost]]</f>
        <v>204.32692307692307</v>
      </c>
      <c r="O70" s="36">
        <v>183.89423076923077</v>
      </c>
      <c r="P70" s="36">
        <v>20.432692307692303</v>
      </c>
      <c r="Q70" s="36">
        <f>DataTable[[#This Row],[Pct Budget]]*totalBudget</f>
        <v>3055000</v>
      </c>
      <c r="R70" s="36" t="str">
        <f>IFERROR(VLOOKUP(DataTable[[#This Row],[Financial Category]],tblFinancialCat[],2,FALSE),"")</f>
        <v>OpEx</v>
      </c>
      <c r="S70" s="36">
        <f>IFERROR(DataTable[[#This Row],[Utilized]]/DataTable[[#This Row],[Total Cost]]*DataTable[[#This Row],[Resource Cost]],0)</f>
        <v>183.89423076923077</v>
      </c>
      <c r="T70" s="36">
        <f>IFERROR(DataTable[[#This Row],[Utilized]]/DataTable[[#This Row],[Total Cost]]*DataTable[[#This Row],[Other Cost]],0)</f>
        <v>0</v>
      </c>
      <c r="U70" s="217">
        <v>42036</v>
      </c>
      <c r="V70" s="36" t="str">
        <f>TEXT(DataTable[[#This Row],[Month]],"MMM-YY")</f>
        <v>Feb-15</v>
      </c>
    </row>
    <row r="71" spans="1:22" x14ac:dyDescent="0.25">
      <c r="A71">
        <v>70</v>
      </c>
      <c r="B71" t="s">
        <v>16</v>
      </c>
      <c r="C71">
        <v>0.47</v>
      </c>
      <c r="D71" t="s">
        <v>176</v>
      </c>
      <c r="E71" t="s">
        <v>208</v>
      </c>
      <c r="F71" t="s">
        <v>63</v>
      </c>
      <c r="G71" t="s">
        <v>222</v>
      </c>
      <c r="H71" s="36">
        <v>204.32692307692307</v>
      </c>
      <c r="I71" s="36">
        <v>0</v>
      </c>
      <c r="J71" t="s">
        <v>172</v>
      </c>
      <c r="K71" t="s">
        <v>126</v>
      </c>
      <c r="L71">
        <v>204.32692307692307</v>
      </c>
      <c r="M71" s="36">
        <v>0</v>
      </c>
      <c r="N71" s="36">
        <f>DataTable[[#This Row],[Resource Cost]]+DataTable[[#This Row],[Other Cost]]</f>
        <v>204.32692307692307</v>
      </c>
      <c r="O71" s="36">
        <v>183.89423076923077</v>
      </c>
      <c r="P71" s="36">
        <v>20.432692307692303</v>
      </c>
      <c r="Q71" s="36">
        <f>DataTable[[#This Row],[Pct Budget]]*totalBudget</f>
        <v>3055000</v>
      </c>
      <c r="R71" s="36" t="str">
        <f>IFERROR(VLOOKUP(DataTable[[#This Row],[Financial Category]],tblFinancialCat[],2,FALSE),"")</f>
        <v>OpEx</v>
      </c>
      <c r="S71" s="36">
        <f>IFERROR(DataTable[[#This Row],[Utilized]]/DataTable[[#This Row],[Total Cost]]*DataTable[[#This Row],[Resource Cost]],0)</f>
        <v>183.89423076923077</v>
      </c>
      <c r="T71" s="36">
        <f>IFERROR(DataTable[[#This Row],[Utilized]]/DataTable[[#This Row],[Total Cost]]*DataTable[[#This Row],[Other Cost]],0)</f>
        <v>0</v>
      </c>
      <c r="U71" s="217">
        <v>42036</v>
      </c>
      <c r="V71" s="36" t="str">
        <f>TEXT(DataTable[[#This Row],[Month]],"MMM-YY")</f>
        <v>Feb-15</v>
      </c>
    </row>
    <row r="72" spans="1:22" x14ac:dyDescent="0.25">
      <c r="A72">
        <v>71</v>
      </c>
      <c r="B72" t="s">
        <v>16</v>
      </c>
      <c r="C72">
        <v>0.47</v>
      </c>
      <c r="D72" t="s">
        <v>176</v>
      </c>
      <c r="E72" t="s">
        <v>178</v>
      </c>
      <c r="F72" t="s">
        <v>63</v>
      </c>
      <c r="G72" t="s">
        <v>222</v>
      </c>
      <c r="H72" s="36">
        <v>600.96153846153845</v>
      </c>
      <c r="I72" s="36">
        <v>0</v>
      </c>
      <c r="J72" t="s">
        <v>172</v>
      </c>
      <c r="K72" t="s">
        <v>127</v>
      </c>
      <c r="L72">
        <v>600.96153846153845</v>
      </c>
      <c r="M72" s="36">
        <v>0</v>
      </c>
      <c r="N72" s="36">
        <f>DataTable[[#This Row],[Resource Cost]]+DataTable[[#This Row],[Other Cost]]</f>
        <v>600.96153846153845</v>
      </c>
      <c r="O72" s="36">
        <v>540.86538461538464</v>
      </c>
      <c r="P72" s="36">
        <v>60.096153846153832</v>
      </c>
      <c r="Q72" s="36">
        <f>DataTable[[#This Row],[Pct Budget]]*totalBudget</f>
        <v>3055000</v>
      </c>
      <c r="R72" s="36" t="str">
        <f>IFERROR(VLOOKUP(DataTable[[#This Row],[Financial Category]],tblFinancialCat[],2,FALSE),"")</f>
        <v>OpEx</v>
      </c>
      <c r="S72" s="36">
        <f>IFERROR(DataTable[[#This Row],[Utilized]]/DataTable[[#This Row],[Total Cost]]*DataTable[[#This Row],[Resource Cost]],0)</f>
        <v>540.86538461538464</v>
      </c>
      <c r="T72" s="36">
        <f>IFERROR(DataTable[[#This Row],[Utilized]]/DataTable[[#This Row],[Total Cost]]*DataTable[[#This Row],[Other Cost]],0)</f>
        <v>0</v>
      </c>
      <c r="U72" s="217">
        <v>42036</v>
      </c>
      <c r="V72" s="36" t="str">
        <f>TEXT(DataTable[[#This Row],[Month]],"MMM-YY")</f>
        <v>Feb-15</v>
      </c>
    </row>
    <row r="73" spans="1:22" x14ac:dyDescent="0.25">
      <c r="A73">
        <v>72</v>
      </c>
      <c r="B73" t="s">
        <v>16</v>
      </c>
      <c r="C73">
        <v>0.47</v>
      </c>
      <c r="D73" t="s">
        <v>176</v>
      </c>
      <c r="E73" t="s">
        <v>201</v>
      </c>
      <c r="F73" t="s">
        <v>63</v>
      </c>
      <c r="G73" t="s">
        <v>222</v>
      </c>
      <c r="H73" s="36">
        <v>600.96153846153845</v>
      </c>
      <c r="I73" s="36">
        <v>0</v>
      </c>
      <c r="J73" t="s">
        <v>172</v>
      </c>
      <c r="K73" t="s">
        <v>127</v>
      </c>
      <c r="L73">
        <v>600.96153846153845</v>
      </c>
      <c r="M73" s="36">
        <v>0</v>
      </c>
      <c r="N73" s="36">
        <f>DataTable[[#This Row],[Resource Cost]]+DataTable[[#This Row],[Other Cost]]</f>
        <v>600.96153846153845</v>
      </c>
      <c r="O73" s="36">
        <v>540.86538461538464</v>
      </c>
      <c r="P73" s="36">
        <v>60.096153846153832</v>
      </c>
      <c r="Q73" s="36">
        <f>DataTable[[#This Row],[Pct Budget]]*totalBudget</f>
        <v>3055000</v>
      </c>
      <c r="R73" s="36" t="str">
        <f>IFERROR(VLOOKUP(DataTable[[#This Row],[Financial Category]],tblFinancialCat[],2,FALSE),"")</f>
        <v>OpEx</v>
      </c>
      <c r="S73" s="36">
        <f>IFERROR(DataTable[[#This Row],[Utilized]]/DataTable[[#This Row],[Total Cost]]*DataTable[[#This Row],[Resource Cost]],0)</f>
        <v>540.86538461538464</v>
      </c>
      <c r="T73" s="36">
        <f>IFERROR(DataTable[[#This Row],[Utilized]]/DataTable[[#This Row],[Total Cost]]*DataTable[[#This Row],[Other Cost]],0)</f>
        <v>0</v>
      </c>
      <c r="U73" s="217">
        <v>42036</v>
      </c>
      <c r="V73" s="36" t="str">
        <f>TEXT(DataTable[[#This Row],[Month]],"MMM-YY")</f>
        <v>Feb-15</v>
      </c>
    </row>
    <row r="74" spans="1:22" x14ac:dyDescent="0.25">
      <c r="A74">
        <v>73</v>
      </c>
      <c r="B74" t="s">
        <v>16</v>
      </c>
      <c r="C74">
        <v>0.47</v>
      </c>
      <c r="D74" t="s">
        <v>176</v>
      </c>
      <c r="E74" t="s">
        <v>177</v>
      </c>
      <c r="F74" t="s">
        <v>63</v>
      </c>
      <c r="G74" t="s">
        <v>222</v>
      </c>
      <c r="H74" s="36">
        <v>600.96153846153845</v>
      </c>
      <c r="I74" s="36">
        <v>0</v>
      </c>
      <c r="J74" t="s">
        <v>172</v>
      </c>
      <c r="K74" t="s">
        <v>127</v>
      </c>
      <c r="L74">
        <v>600.96153846153845</v>
      </c>
      <c r="M74" s="36">
        <v>0</v>
      </c>
      <c r="N74" s="36">
        <f>DataTable[[#This Row],[Resource Cost]]+DataTable[[#This Row],[Other Cost]]</f>
        <v>600.96153846153845</v>
      </c>
      <c r="O74" s="36">
        <v>540.86538461538464</v>
      </c>
      <c r="P74" s="36">
        <v>60.096153846153832</v>
      </c>
      <c r="Q74" s="36">
        <f>DataTable[[#This Row],[Pct Budget]]*totalBudget</f>
        <v>3055000</v>
      </c>
      <c r="R74" s="36" t="str">
        <f>IFERROR(VLOOKUP(DataTable[[#This Row],[Financial Category]],tblFinancialCat[],2,FALSE),"")</f>
        <v>OpEx</v>
      </c>
      <c r="S74" s="36">
        <f>IFERROR(DataTable[[#This Row],[Utilized]]/DataTable[[#This Row],[Total Cost]]*DataTable[[#This Row],[Resource Cost]],0)</f>
        <v>540.86538461538464</v>
      </c>
      <c r="T74" s="36">
        <f>IFERROR(DataTable[[#This Row],[Utilized]]/DataTable[[#This Row],[Total Cost]]*DataTable[[#This Row],[Other Cost]],0)</f>
        <v>0</v>
      </c>
      <c r="U74" s="217">
        <v>42036</v>
      </c>
      <c r="V74" s="36" t="str">
        <f>TEXT(DataTable[[#This Row],[Month]],"MMM-YY")</f>
        <v>Feb-15</v>
      </c>
    </row>
    <row r="75" spans="1:22" x14ac:dyDescent="0.25">
      <c r="A75">
        <v>74</v>
      </c>
      <c r="B75" t="s">
        <v>16</v>
      </c>
      <c r="C75">
        <v>0.47</v>
      </c>
      <c r="D75" t="s">
        <v>176</v>
      </c>
      <c r="E75" t="s">
        <v>208</v>
      </c>
      <c r="F75" t="s">
        <v>63</v>
      </c>
      <c r="G75" t="s">
        <v>222</v>
      </c>
      <c r="H75" s="36">
        <v>600.96153846153845</v>
      </c>
      <c r="I75" s="36">
        <v>0</v>
      </c>
      <c r="J75" t="s">
        <v>172</v>
      </c>
      <c r="K75" t="s">
        <v>127</v>
      </c>
      <c r="L75">
        <v>600.96153846153845</v>
      </c>
      <c r="M75" s="36">
        <v>0</v>
      </c>
      <c r="N75" s="36">
        <f>DataTable[[#This Row],[Resource Cost]]+DataTable[[#This Row],[Other Cost]]</f>
        <v>600.96153846153845</v>
      </c>
      <c r="O75" s="36">
        <v>540.86538461538464</v>
      </c>
      <c r="P75" s="36">
        <v>60.096153846153832</v>
      </c>
      <c r="Q75" s="36">
        <f>DataTable[[#This Row],[Pct Budget]]*totalBudget</f>
        <v>3055000</v>
      </c>
      <c r="R75" s="36" t="str">
        <f>IFERROR(VLOOKUP(DataTable[[#This Row],[Financial Category]],tblFinancialCat[],2,FALSE),"")</f>
        <v>OpEx</v>
      </c>
      <c r="S75" s="36">
        <f>IFERROR(DataTable[[#This Row],[Utilized]]/DataTable[[#This Row],[Total Cost]]*DataTable[[#This Row],[Resource Cost]],0)</f>
        <v>540.86538461538464</v>
      </c>
      <c r="T75" s="36">
        <f>IFERROR(DataTable[[#This Row],[Utilized]]/DataTable[[#This Row],[Total Cost]]*DataTable[[#This Row],[Other Cost]],0)</f>
        <v>0</v>
      </c>
      <c r="U75" s="217">
        <v>42036</v>
      </c>
      <c r="V75" s="36" t="str">
        <f>TEXT(DataTable[[#This Row],[Month]],"MMM-YY")</f>
        <v>Feb-15</v>
      </c>
    </row>
    <row r="76" spans="1:22" x14ac:dyDescent="0.25">
      <c r="A76">
        <v>75</v>
      </c>
      <c r="B76" t="s">
        <v>16</v>
      </c>
      <c r="C76">
        <v>0.47</v>
      </c>
      <c r="D76" t="s">
        <v>176</v>
      </c>
      <c r="E76" t="s">
        <v>178</v>
      </c>
      <c r="F76" t="s">
        <v>63</v>
      </c>
      <c r="G76" t="s">
        <v>222</v>
      </c>
      <c r="H76" s="36">
        <v>204.32692307692307</v>
      </c>
      <c r="I76" s="36">
        <v>0</v>
      </c>
      <c r="J76" t="s">
        <v>172</v>
      </c>
      <c r="K76" t="s">
        <v>126</v>
      </c>
      <c r="L76">
        <v>204.32692307692307</v>
      </c>
      <c r="M76" s="36">
        <v>0</v>
      </c>
      <c r="N76" s="36">
        <f>DataTable[[#This Row],[Resource Cost]]+DataTable[[#This Row],[Other Cost]]</f>
        <v>204.32692307692307</v>
      </c>
      <c r="O76" s="36">
        <v>102.16346153846153</v>
      </c>
      <c r="P76" s="36">
        <v>102.16346153846153</v>
      </c>
      <c r="Q76" s="36">
        <f>DataTable[[#This Row],[Pct Budget]]*totalBudget</f>
        <v>3055000</v>
      </c>
      <c r="R76" s="36" t="str">
        <f>IFERROR(VLOOKUP(DataTable[[#This Row],[Financial Category]],tblFinancialCat[],2,FALSE),"")</f>
        <v>OpEx</v>
      </c>
      <c r="S76" s="36">
        <f>IFERROR(DataTable[[#This Row],[Utilized]]/DataTable[[#This Row],[Total Cost]]*DataTable[[#This Row],[Resource Cost]],0)</f>
        <v>102.16346153846153</v>
      </c>
      <c r="T76" s="36">
        <f>IFERROR(DataTable[[#This Row],[Utilized]]/DataTable[[#This Row],[Total Cost]]*DataTable[[#This Row],[Other Cost]],0)</f>
        <v>0</v>
      </c>
      <c r="U76" s="217">
        <v>42064</v>
      </c>
      <c r="V76" s="36" t="str">
        <f>TEXT(DataTable[[#This Row],[Month]],"MMM-YY")</f>
        <v>Mar-15</v>
      </c>
    </row>
    <row r="77" spans="1:22" x14ac:dyDescent="0.25">
      <c r="A77">
        <v>76</v>
      </c>
      <c r="B77" t="s">
        <v>16</v>
      </c>
      <c r="C77">
        <v>0.47</v>
      </c>
      <c r="D77" t="s">
        <v>176</v>
      </c>
      <c r="E77" t="s">
        <v>201</v>
      </c>
      <c r="F77" t="s">
        <v>63</v>
      </c>
      <c r="G77" t="s">
        <v>222</v>
      </c>
      <c r="H77" s="36">
        <v>204.32692307692307</v>
      </c>
      <c r="I77" s="36">
        <v>0</v>
      </c>
      <c r="J77" t="s">
        <v>172</v>
      </c>
      <c r="K77" t="s">
        <v>126</v>
      </c>
      <c r="L77">
        <v>204.32692307692307</v>
      </c>
      <c r="M77" s="36">
        <v>0</v>
      </c>
      <c r="N77" s="36">
        <f>DataTable[[#This Row],[Resource Cost]]+DataTable[[#This Row],[Other Cost]]</f>
        <v>204.32692307692307</v>
      </c>
      <c r="O77" s="36">
        <v>102.16346153846153</v>
      </c>
      <c r="P77" s="36">
        <v>102.16346153846153</v>
      </c>
      <c r="Q77" s="36">
        <f>DataTable[[#This Row],[Pct Budget]]*totalBudget</f>
        <v>3055000</v>
      </c>
      <c r="R77" s="36" t="str">
        <f>IFERROR(VLOOKUP(DataTable[[#This Row],[Financial Category]],tblFinancialCat[],2,FALSE),"")</f>
        <v>OpEx</v>
      </c>
      <c r="S77" s="36">
        <f>IFERROR(DataTable[[#This Row],[Utilized]]/DataTable[[#This Row],[Total Cost]]*DataTable[[#This Row],[Resource Cost]],0)</f>
        <v>102.16346153846153</v>
      </c>
      <c r="T77" s="36">
        <f>IFERROR(DataTable[[#This Row],[Utilized]]/DataTable[[#This Row],[Total Cost]]*DataTable[[#This Row],[Other Cost]],0)</f>
        <v>0</v>
      </c>
      <c r="U77" s="217">
        <v>42064</v>
      </c>
      <c r="V77" s="36" t="str">
        <f>TEXT(DataTable[[#This Row],[Month]],"MMM-YY")</f>
        <v>Mar-15</v>
      </c>
    </row>
    <row r="78" spans="1:22" x14ac:dyDescent="0.25">
      <c r="A78">
        <v>77</v>
      </c>
      <c r="B78" t="s">
        <v>16</v>
      </c>
      <c r="C78">
        <v>0.47</v>
      </c>
      <c r="D78" t="s">
        <v>176</v>
      </c>
      <c r="E78" t="s">
        <v>177</v>
      </c>
      <c r="F78" t="s">
        <v>63</v>
      </c>
      <c r="G78" t="s">
        <v>222</v>
      </c>
      <c r="H78" s="36">
        <v>204.32692307692307</v>
      </c>
      <c r="I78" s="36">
        <v>0</v>
      </c>
      <c r="J78" t="s">
        <v>172</v>
      </c>
      <c r="K78" t="s">
        <v>126</v>
      </c>
      <c r="L78">
        <v>204.32692307692307</v>
      </c>
      <c r="M78" s="36">
        <v>0</v>
      </c>
      <c r="N78" s="36">
        <f>DataTable[[#This Row],[Resource Cost]]+DataTable[[#This Row],[Other Cost]]</f>
        <v>204.32692307692307</v>
      </c>
      <c r="O78" s="36">
        <v>102.16346153846153</v>
      </c>
      <c r="P78" s="36">
        <v>102.16346153846153</v>
      </c>
      <c r="Q78" s="36">
        <f>DataTable[[#This Row],[Pct Budget]]*totalBudget</f>
        <v>3055000</v>
      </c>
      <c r="R78" s="36" t="str">
        <f>IFERROR(VLOOKUP(DataTable[[#This Row],[Financial Category]],tblFinancialCat[],2,FALSE),"")</f>
        <v>OpEx</v>
      </c>
      <c r="S78" s="36">
        <f>IFERROR(DataTable[[#This Row],[Utilized]]/DataTable[[#This Row],[Total Cost]]*DataTable[[#This Row],[Resource Cost]],0)</f>
        <v>102.16346153846153</v>
      </c>
      <c r="T78" s="36">
        <f>IFERROR(DataTable[[#This Row],[Utilized]]/DataTable[[#This Row],[Total Cost]]*DataTable[[#This Row],[Other Cost]],0)</f>
        <v>0</v>
      </c>
      <c r="U78" s="217">
        <v>42064</v>
      </c>
      <c r="V78" s="36" t="str">
        <f>TEXT(DataTable[[#This Row],[Month]],"MMM-YY")</f>
        <v>Mar-15</v>
      </c>
    </row>
    <row r="79" spans="1:22" x14ac:dyDescent="0.25">
      <c r="A79">
        <v>78</v>
      </c>
      <c r="B79" t="s">
        <v>16</v>
      </c>
      <c r="C79">
        <v>0.47</v>
      </c>
      <c r="D79" t="s">
        <v>176</v>
      </c>
      <c r="E79" t="s">
        <v>208</v>
      </c>
      <c r="F79" t="s">
        <v>63</v>
      </c>
      <c r="G79" t="s">
        <v>222</v>
      </c>
      <c r="H79" s="36">
        <v>204.32692307692307</v>
      </c>
      <c r="I79" s="36">
        <v>0</v>
      </c>
      <c r="J79" t="s">
        <v>172</v>
      </c>
      <c r="K79" t="s">
        <v>126</v>
      </c>
      <c r="L79">
        <v>204.32692307692307</v>
      </c>
      <c r="M79" s="36">
        <v>0</v>
      </c>
      <c r="N79" s="36">
        <f>DataTable[[#This Row],[Resource Cost]]+DataTable[[#This Row],[Other Cost]]</f>
        <v>204.32692307692307</v>
      </c>
      <c r="O79" s="36">
        <v>102.16346153846153</v>
      </c>
      <c r="P79" s="36">
        <v>102.16346153846153</v>
      </c>
      <c r="Q79" s="36">
        <f>DataTable[[#This Row],[Pct Budget]]*totalBudget</f>
        <v>3055000</v>
      </c>
      <c r="R79" s="36" t="str">
        <f>IFERROR(VLOOKUP(DataTable[[#This Row],[Financial Category]],tblFinancialCat[],2,FALSE),"")</f>
        <v>OpEx</v>
      </c>
      <c r="S79" s="36">
        <f>IFERROR(DataTable[[#This Row],[Utilized]]/DataTable[[#This Row],[Total Cost]]*DataTable[[#This Row],[Resource Cost]],0)</f>
        <v>102.16346153846153</v>
      </c>
      <c r="T79" s="36">
        <f>IFERROR(DataTable[[#This Row],[Utilized]]/DataTable[[#This Row],[Total Cost]]*DataTable[[#This Row],[Other Cost]],0)</f>
        <v>0</v>
      </c>
      <c r="U79" s="217">
        <v>42064</v>
      </c>
      <c r="V79" s="36" t="str">
        <f>TEXT(DataTable[[#This Row],[Month]],"MMM-YY")</f>
        <v>Mar-15</v>
      </c>
    </row>
    <row r="80" spans="1:22" x14ac:dyDescent="0.25">
      <c r="A80">
        <v>79</v>
      </c>
      <c r="B80" t="s">
        <v>16</v>
      </c>
      <c r="C80">
        <v>0.47</v>
      </c>
      <c r="D80" t="s">
        <v>176</v>
      </c>
      <c r="E80" t="s">
        <v>178</v>
      </c>
      <c r="F80" t="s">
        <v>63</v>
      </c>
      <c r="G80" t="s">
        <v>222</v>
      </c>
      <c r="H80" s="36">
        <v>1850</v>
      </c>
      <c r="I80" s="36">
        <v>0</v>
      </c>
      <c r="J80" t="s">
        <v>172</v>
      </c>
      <c r="K80" t="s">
        <v>162</v>
      </c>
      <c r="L80">
        <v>1850</v>
      </c>
      <c r="M80" s="36">
        <v>0</v>
      </c>
      <c r="N80" s="36">
        <f>DataTable[[#This Row],[Resource Cost]]+DataTable[[#This Row],[Other Cost]]</f>
        <v>1850</v>
      </c>
      <c r="O80" s="36">
        <v>925</v>
      </c>
      <c r="P80" s="36">
        <v>925</v>
      </c>
      <c r="Q80" s="36">
        <f>DataTable[[#This Row],[Pct Budget]]*totalBudget</f>
        <v>3055000</v>
      </c>
      <c r="R80" s="36" t="str">
        <f>IFERROR(VLOOKUP(DataTable[[#This Row],[Financial Category]],tblFinancialCat[],2,FALSE),"")</f>
        <v>OpEx</v>
      </c>
      <c r="S80" s="36">
        <f>IFERROR(DataTable[[#This Row],[Utilized]]/DataTable[[#This Row],[Total Cost]]*DataTable[[#This Row],[Resource Cost]],0)</f>
        <v>925</v>
      </c>
      <c r="T80" s="36">
        <f>IFERROR(DataTable[[#This Row],[Utilized]]/DataTable[[#This Row],[Total Cost]]*DataTable[[#This Row],[Other Cost]],0)</f>
        <v>0</v>
      </c>
      <c r="U80" s="217">
        <v>42064</v>
      </c>
      <c r="V80" s="36" t="str">
        <f>TEXT(DataTable[[#This Row],[Month]],"MMM-YY")</f>
        <v>Mar-15</v>
      </c>
    </row>
    <row r="81" spans="1:22" x14ac:dyDescent="0.25">
      <c r="A81">
        <v>80</v>
      </c>
      <c r="B81" t="s">
        <v>16</v>
      </c>
      <c r="C81">
        <v>0.47</v>
      </c>
      <c r="D81" t="s">
        <v>176</v>
      </c>
      <c r="E81" t="s">
        <v>201</v>
      </c>
      <c r="F81" t="s">
        <v>63</v>
      </c>
      <c r="G81" t="s">
        <v>222</v>
      </c>
      <c r="H81" s="36">
        <v>1850</v>
      </c>
      <c r="I81" s="36">
        <v>0</v>
      </c>
      <c r="J81" t="s">
        <v>172</v>
      </c>
      <c r="K81" t="s">
        <v>162</v>
      </c>
      <c r="L81">
        <v>1850</v>
      </c>
      <c r="M81" s="36">
        <v>0</v>
      </c>
      <c r="N81" s="36">
        <f>DataTable[[#This Row],[Resource Cost]]+DataTable[[#This Row],[Other Cost]]</f>
        <v>1850</v>
      </c>
      <c r="O81" s="36">
        <v>925</v>
      </c>
      <c r="P81" s="36">
        <v>925</v>
      </c>
      <c r="Q81" s="36">
        <f>DataTable[[#This Row],[Pct Budget]]*totalBudget</f>
        <v>3055000</v>
      </c>
      <c r="R81" s="36" t="str">
        <f>IFERROR(VLOOKUP(DataTable[[#This Row],[Financial Category]],tblFinancialCat[],2,FALSE),"")</f>
        <v>OpEx</v>
      </c>
      <c r="S81" s="36">
        <f>IFERROR(DataTable[[#This Row],[Utilized]]/DataTable[[#This Row],[Total Cost]]*DataTable[[#This Row],[Resource Cost]],0)</f>
        <v>925</v>
      </c>
      <c r="T81" s="36">
        <f>IFERROR(DataTable[[#This Row],[Utilized]]/DataTable[[#This Row],[Total Cost]]*DataTable[[#This Row],[Other Cost]],0)</f>
        <v>0</v>
      </c>
      <c r="U81" s="217">
        <v>42064</v>
      </c>
      <c r="V81" s="36" t="str">
        <f>TEXT(DataTable[[#This Row],[Month]],"MMM-YY")</f>
        <v>Mar-15</v>
      </c>
    </row>
    <row r="82" spans="1:22" x14ac:dyDescent="0.25">
      <c r="A82">
        <v>81</v>
      </c>
      <c r="B82" t="s">
        <v>16</v>
      </c>
      <c r="C82">
        <v>0.47</v>
      </c>
      <c r="D82" t="s">
        <v>176</v>
      </c>
      <c r="E82" t="s">
        <v>177</v>
      </c>
      <c r="F82" t="s">
        <v>63</v>
      </c>
      <c r="G82" t="s">
        <v>222</v>
      </c>
      <c r="H82" s="36">
        <v>1850</v>
      </c>
      <c r="I82" s="36">
        <v>0</v>
      </c>
      <c r="J82" t="s">
        <v>172</v>
      </c>
      <c r="K82" t="s">
        <v>162</v>
      </c>
      <c r="L82">
        <v>1850</v>
      </c>
      <c r="M82" s="36">
        <v>0</v>
      </c>
      <c r="N82" s="36">
        <f>DataTable[[#This Row],[Resource Cost]]+DataTable[[#This Row],[Other Cost]]</f>
        <v>1850</v>
      </c>
      <c r="O82" s="36">
        <v>925</v>
      </c>
      <c r="P82" s="36">
        <v>925</v>
      </c>
      <c r="Q82" s="36">
        <f>DataTable[[#This Row],[Pct Budget]]*totalBudget</f>
        <v>3055000</v>
      </c>
      <c r="R82" s="36" t="str">
        <f>IFERROR(VLOOKUP(DataTable[[#This Row],[Financial Category]],tblFinancialCat[],2,FALSE),"")</f>
        <v>OpEx</v>
      </c>
      <c r="S82" s="36">
        <f>IFERROR(DataTable[[#This Row],[Utilized]]/DataTable[[#This Row],[Total Cost]]*DataTable[[#This Row],[Resource Cost]],0)</f>
        <v>925</v>
      </c>
      <c r="T82" s="36">
        <f>IFERROR(DataTable[[#This Row],[Utilized]]/DataTable[[#This Row],[Total Cost]]*DataTable[[#This Row],[Other Cost]],0)</f>
        <v>0</v>
      </c>
      <c r="U82" s="217">
        <v>42064</v>
      </c>
      <c r="V82" s="36" t="str">
        <f>TEXT(DataTable[[#This Row],[Month]],"MMM-YY")</f>
        <v>Mar-15</v>
      </c>
    </row>
    <row r="83" spans="1:22" x14ac:dyDescent="0.25">
      <c r="A83">
        <v>82</v>
      </c>
      <c r="B83" t="s">
        <v>16</v>
      </c>
      <c r="C83">
        <v>0.47</v>
      </c>
      <c r="D83" t="s">
        <v>176</v>
      </c>
      <c r="E83" t="s">
        <v>208</v>
      </c>
      <c r="F83" t="s">
        <v>63</v>
      </c>
      <c r="G83" t="s">
        <v>222</v>
      </c>
      <c r="H83" s="36">
        <v>1850</v>
      </c>
      <c r="I83" s="36">
        <v>0</v>
      </c>
      <c r="J83" t="s">
        <v>172</v>
      </c>
      <c r="K83" t="s">
        <v>162</v>
      </c>
      <c r="L83">
        <v>1850</v>
      </c>
      <c r="M83" s="36">
        <v>0</v>
      </c>
      <c r="N83" s="36">
        <f>DataTable[[#This Row],[Resource Cost]]+DataTable[[#This Row],[Other Cost]]</f>
        <v>1850</v>
      </c>
      <c r="O83" s="36">
        <v>925</v>
      </c>
      <c r="P83" s="36">
        <v>925</v>
      </c>
      <c r="Q83" s="36">
        <f>DataTable[[#This Row],[Pct Budget]]*totalBudget</f>
        <v>3055000</v>
      </c>
      <c r="R83" s="36" t="str">
        <f>IFERROR(VLOOKUP(DataTable[[#This Row],[Financial Category]],tblFinancialCat[],2,FALSE),"")</f>
        <v>OpEx</v>
      </c>
      <c r="S83" s="36">
        <f>IFERROR(DataTable[[#This Row],[Utilized]]/DataTable[[#This Row],[Total Cost]]*DataTable[[#This Row],[Resource Cost]],0)</f>
        <v>925</v>
      </c>
      <c r="T83" s="36">
        <f>IFERROR(DataTable[[#This Row],[Utilized]]/DataTable[[#This Row],[Total Cost]]*DataTable[[#This Row],[Other Cost]],0)</f>
        <v>0</v>
      </c>
      <c r="U83" s="217">
        <v>42064</v>
      </c>
      <c r="V83" s="36" t="str">
        <f>TEXT(DataTable[[#This Row],[Month]],"MMM-YY")</f>
        <v>Mar-15</v>
      </c>
    </row>
    <row r="84" spans="1:22" x14ac:dyDescent="0.25">
      <c r="A84">
        <v>83</v>
      </c>
      <c r="B84" t="s">
        <v>16</v>
      </c>
      <c r="C84">
        <v>0.47</v>
      </c>
      <c r="D84" t="s">
        <v>176</v>
      </c>
      <c r="E84" t="s">
        <v>178</v>
      </c>
      <c r="F84" t="s">
        <v>63</v>
      </c>
      <c r="G84" t="s">
        <v>222</v>
      </c>
      <c r="H84" s="36">
        <v>465.74519230769232</v>
      </c>
      <c r="I84" s="36">
        <v>0</v>
      </c>
      <c r="J84" t="s">
        <v>172</v>
      </c>
      <c r="K84" t="s">
        <v>130</v>
      </c>
      <c r="L84">
        <v>465.74519230769232</v>
      </c>
      <c r="M84" s="36">
        <v>0</v>
      </c>
      <c r="N84" s="36">
        <f>DataTable[[#This Row],[Resource Cost]]+DataTable[[#This Row],[Other Cost]]</f>
        <v>465.74519230769232</v>
      </c>
      <c r="O84" s="36">
        <v>232.87259615384616</v>
      </c>
      <c r="P84" s="36">
        <v>232.87259615384616</v>
      </c>
      <c r="Q84" s="36">
        <f>DataTable[[#This Row],[Pct Budget]]*totalBudget</f>
        <v>3055000</v>
      </c>
      <c r="R84" s="36" t="str">
        <f>IFERROR(VLOOKUP(DataTable[[#This Row],[Financial Category]],tblFinancialCat[],2,FALSE),"")</f>
        <v>OpEx</v>
      </c>
      <c r="S84" s="36">
        <f>IFERROR(DataTable[[#This Row],[Utilized]]/DataTable[[#This Row],[Total Cost]]*DataTable[[#This Row],[Resource Cost]],0)</f>
        <v>232.87259615384616</v>
      </c>
      <c r="T84" s="36">
        <f>IFERROR(DataTable[[#This Row],[Utilized]]/DataTable[[#This Row],[Total Cost]]*DataTable[[#This Row],[Other Cost]],0)</f>
        <v>0</v>
      </c>
      <c r="U84" s="217">
        <v>42064</v>
      </c>
      <c r="V84" s="36" t="str">
        <f>TEXT(DataTable[[#This Row],[Month]],"MMM-YY")</f>
        <v>Mar-15</v>
      </c>
    </row>
    <row r="85" spans="1:22" x14ac:dyDescent="0.25">
      <c r="A85">
        <v>84</v>
      </c>
      <c r="B85" t="s">
        <v>16</v>
      </c>
      <c r="C85">
        <v>0.47</v>
      </c>
      <c r="D85" t="s">
        <v>176</v>
      </c>
      <c r="E85" t="s">
        <v>201</v>
      </c>
      <c r="F85" t="s">
        <v>63</v>
      </c>
      <c r="G85" t="s">
        <v>222</v>
      </c>
      <c r="H85" s="36">
        <v>465.74519230769232</v>
      </c>
      <c r="I85" s="36">
        <v>0</v>
      </c>
      <c r="J85" t="s">
        <v>172</v>
      </c>
      <c r="K85" t="s">
        <v>130</v>
      </c>
      <c r="L85">
        <v>465.74519230769232</v>
      </c>
      <c r="M85" s="36">
        <v>0</v>
      </c>
      <c r="N85" s="36">
        <f>DataTable[[#This Row],[Resource Cost]]+DataTable[[#This Row],[Other Cost]]</f>
        <v>465.74519230769232</v>
      </c>
      <c r="O85" s="36">
        <v>232.87259615384616</v>
      </c>
      <c r="P85" s="36">
        <v>232.87259615384616</v>
      </c>
      <c r="Q85" s="36">
        <f>DataTable[[#This Row],[Pct Budget]]*totalBudget</f>
        <v>3055000</v>
      </c>
      <c r="R85" s="36" t="str">
        <f>IFERROR(VLOOKUP(DataTable[[#This Row],[Financial Category]],tblFinancialCat[],2,FALSE),"")</f>
        <v>OpEx</v>
      </c>
      <c r="S85" s="36">
        <f>IFERROR(DataTable[[#This Row],[Utilized]]/DataTable[[#This Row],[Total Cost]]*DataTable[[#This Row],[Resource Cost]],0)</f>
        <v>232.87259615384616</v>
      </c>
      <c r="T85" s="36">
        <f>IFERROR(DataTable[[#This Row],[Utilized]]/DataTable[[#This Row],[Total Cost]]*DataTable[[#This Row],[Other Cost]],0)</f>
        <v>0</v>
      </c>
      <c r="U85" s="217">
        <v>42064</v>
      </c>
      <c r="V85" s="36" t="str">
        <f>TEXT(DataTable[[#This Row],[Month]],"MMM-YY")</f>
        <v>Mar-15</v>
      </c>
    </row>
    <row r="86" spans="1:22" x14ac:dyDescent="0.25">
      <c r="A86">
        <v>85</v>
      </c>
      <c r="B86" t="s">
        <v>16</v>
      </c>
      <c r="C86">
        <v>0.47</v>
      </c>
      <c r="D86" t="s">
        <v>176</v>
      </c>
      <c r="E86" t="s">
        <v>177</v>
      </c>
      <c r="F86" t="s">
        <v>63</v>
      </c>
      <c r="G86" t="s">
        <v>222</v>
      </c>
      <c r="H86" s="36">
        <v>465.74519230769232</v>
      </c>
      <c r="I86" s="36">
        <v>0</v>
      </c>
      <c r="J86" t="s">
        <v>172</v>
      </c>
      <c r="K86" t="s">
        <v>130</v>
      </c>
      <c r="L86">
        <v>465.74519230769232</v>
      </c>
      <c r="M86" s="36">
        <v>0</v>
      </c>
      <c r="N86" s="36">
        <f>DataTable[[#This Row],[Resource Cost]]+DataTable[[#This Row],[Other Cost]]</f>
        <v>465.74519230769232</v>
      </c>
      <c r="O86" s="36">
        <v>232.87259615384616</v>
      </c>
      <c r="P86" s="36">
        <v>232.87259615384616</v>
      </c>
      <c r="Q86" s="36">
        <f>DataTable[[#This Row],[Pct Budget]]*totalBudget</f>
        <v>3055000</v>
      </c>
      <c r="R86" s="36" t="str">
        <f>IFERROR(VLOOKUP(DataTable[[#This Row],[Financial Category]],tblFinancialCat[],2,FALSE),"")</f>
        <v>OpEx</v>
      </c>
      <c r="S86" s="36">
        <f>IFERROR(DataTable[[#This Row],[Utilized]]/DataTable[[#This Row],[Total Cost]]*DataTable[[#This Row],[Resource Cost]],0)</f>
        <v>232.87259615384616</v>
      </c>
      <c r="T86" s="36">
        <f>IFERROR(DataTable[[#This Row],[Utilized]]/DataTable[[#This Row],[Total Cost]]*DataTable[[#This Row],[Other Cost]],0)</f>
        <v>0</v>
      </c>
      <c r="U86" s="217">
        <v>42064</v>
      </c>
      <c r="V86" s="36" t="str">
        <f>TEXT(DataTable[[#This Row],[Month]],"MMM-YY")</f>
        <v>Mar-15</v>
      </c>
    </row>
    <row r="87" spans="1:22" x14ac:dyDescent="0.25">
      <c r="A87">
        <v>86</v>
      </c>
      <c r="B87" t="s">
        <v>16</v>
      </c>
      <c r="C87">
        <v>0.47</v>
      </c>
      <c r="D87" t="s">
        <v>176</v>
      </c>
      <c r="E87" t="s">
        <v>208</v>
      </c>
      <c r="F87" t="s">
        <v>63</v>
      </c>
      <c r="G87" t="s">
        <v>222</v>
      </c>
      <c r="H87" s="36">
        <v>465.74519230769232</v>
      </c>
      <c r="I87" s="36">
        <v>0</v>
      </c>
      <c r="J87" t="s">
        <v>172</v>
      </c>
      <c r="K87" t="s">
        <v>130</v>
      </c>
      <c r="L87">
        <v>465.74519230769232</v>
      </c>
      <c r="M87" s="36">
        <v>0</v>
      </c>
      <c r="N87" s="36">
        <f>DataTable[[#This Row],[Resource Cost]]+DataTable[[#This Row],[Other Cost]]</f>
        <v>465.74519230769232</v>
      </c>
      <c r="O87" s="36">
        <v>232.87259615384616</v>
      </c>
      <c r="P87" s="36">
        <v>232.87259615384616</v>
      </c>
      <c r="Q87" s="36">
        <f>DataTable[[#This Row],[Pct Budget]]*totalBudget</f>
        <v>3055000</v>
      </c>
      <c r="R87" s="36" t="str">
        <f>IFERROR(VLOOKUP(DataTable[[#This Row],[Financial Category]],tblFinancialCat[],2,FALSE),"")</f>
        <v>OpEx</v>
      </c>
      <c r="S87" s="36">
        <f>IFERROR(DataTable[[#This Row],[Utilized]]/DataTable[[#This Row],[Total Cost]]*DataTable[[#This Row],[Resource Cost]],0)</f>
        <v>232.87259615384616</v>
      </c>
      <c r="T87" s="36">
        <f>IFERROR(DataTable[[#This Row],[Utilized]]/DataTable[[#This Row],[Total Cost]]*DataTable[[#This Row],[Other Cost]],0)</f>
        <v>0</v>
      </c>
      <c r="U87" s="217">
        <v>42064</v>
      </c>
      <c r="V87" s="36" t="str">
        <f>TEXT(DataTable[[#This Row],[Month]],"MMM-YY")</f>
        <v>Mar-15</v>
      </c>
    </row>
    <row r="88" spans="1:22" x14ac:dyDescent="0.25">
      <c r="A88">
        <v>87</v>
      </c>
      <c r="B88" t="s">
        <v>16</v>
      </c>
      <c r="C88">
        <v>0.47</v>
      </c>
      <c r="D88" t="s">
        <v>176</v>
      </c>
      <c r="E88" t="s">
        <v>178</v>
      </c>
      <c r="F88" t="s">
        <v>63</v>
      </c>
      <c r="G88" t="s">
        <v>44</v>
      </c>
      <c r="H88" s="36">
        <v>0</v>
      </c>
      <c r="I88" s="36">
        <v>25000</v>
      </c>
      <c r="J88" t="s">
        <v>9</v>
      </c>
      <c r="L88">
        <v>0</v>
      </c>
      <c r="M88" s="36">
        <v>25000</v>
      </c>
      <c r="N88" s="36">
        <f>DataTable[[#This Row],[Resource Cost]]+DataTable[[#This Row],[Other Cost]]</f>
        <v>25000</v>
      </c>
      <c r="O88" s="36">
        <v>2500</v>
      </c>
      <c r="P88" s="36">
        <v>22500</v>
      </c>
      <c r="Q88" s="36">
        <f>DataTable[[#This Row],[Pct Budget]]*totalBudget</f>
        <v>3055000</v>
      </c>
      <c r="R88" s="36" t="str">
        <f>IFERROR(VLOOKUP(DataTable[[#This Row],[Financial Category]],tblFinancialCat[],2,FALSE),"")</f>
        <v xml:space="preserve">CapEx  </v>
      </c>
      <c r="S88" s="36">
        <f>IFERROR(DataTable[[#This Row],[Utilized]]/DataTable[[#This Row],[Total Cost]]*DataTable[[#This Row],[Resource Cost]],0)</f>
        <v>0</v>
      </c>
      <c r="T88" s="36">
        <f>IFERROR(DataTable[[#This Row],[Utilized]]/DataTable[[#This Row],[Total Cost]]*DataTable[[#This Row],[Other Cost]],0)</f>
        <v>2500</v>
      </c>
      <c r="U88" s="217">
        <v>42125</v>
      </c>
      <c r="V88" s="36" t="str">
        <f>TEXT(DataTable[[#This Row],[Month]],"MMM-YY")</f>
        <v>May-15</v>
      </c>
    </row>
    <row r="89" spans="1:22" x14ac:dyDescent="0.25">
      <c r="A89">
        <v>88</v>
      </c>
      <c r="B89" t="s">
        <v>16</v>
      </c>
      <c r="C89">
        <v>0.47</v>
      </c>
      <c r="D89" t="s">
        <v>176</v>
      </c>
      <c r="E89" t="s">
        <v>201</v>
      </c>
      <c r="F89" t="s">
        <v>63</v>
      </c>
      <c r="G89" t="s">
        <v>44</v>
      </c>
      <c r="H89" s="36">
        <v>0</v>
      </c>
      <c r="I89" s="36">
        <v>25000</v>
      </c>
      <c r="J89" t="s">
        <v>9</v>
      </c>
      <c r="L89">
        <v>0</v>
      </c>
      <c r="M89" s="36">
        <v>25000</v>
      </c>
      <c r="N89" s="36">
        <f>DataTable[[#This Row],[Resource Cost]]+DataTable[[#This Row],[Other Cost]]</f>
        <v>25000</v>
      </c>
      <c r="O89" s="36">
        <v>2500</v>
      </c>
      <c r="P89" s="36">
        <v>22500</v>
      </c>
      <c r="Q89" s="36">
        <f>DataTable[[#This Row],[Pct Budget]]*totalBudget</f>
        <v>3055000</v>
      </c>
      <c r="R89" s="36" t="str">
        <f>IFERROR(VLOOKUP(DataTable[[#This Row],[Financial Category]],tblFinancialCat[],2,FALSE),"")</f>
        <v xml:space="preserve">CapEx  </v>
      </c>
      <c r="S89" s="36">
        <f>IFERROR(DataTable[[#This Row],[Utilized]]/DataTable[[#This Row],[Total Cost]]*DataTable[[#This Row],[Resource Cost]],0)</f>
        <v>0</v>
      </c>
      <c r="T89" s="36">
        <f>IFERROR(DataTable[[#This Row],[Utilized]]/DataTable[[#This Row],[Total Cost]]*DataTable[[#This Row],[Other Cost]],0)</f>
        <v>2500</v>
      </c>
      <c r="U89" s="217">
        <v>42125</v>
      </c>
      <c r="V89" s="36" t="str">
        <f>TEXT(DataTable[[#This Row],[Month]],"MMM-YY")</f>
        <v>May-15</v>
      </c>
    </row>
    <row r="90" spans="1:22" x14ac:dyDescent="0.25">
      <c r="A90">
        <v>89</v>
      </c>
      <c r="B90" t="s">
        <v>16</v>
      </c>
      <c r="C90">
        <v>0.47</v>
      </c>
      <c r="D90" t="s">
        <v>176</v>
      </c>
      <c r="E90" t="s">
        <v>177</v>
      </c>
      <c r="F90" t="s">
        <v>63</v>
      </c>
      <c r="G90" t="s">
        <v>44</v>
      </c>
      <c r="H90" s="36">
        <v>0</v>
      </c>
      <c r="I90" s="36">
        <v>25000</v>
      </c>
      <c r="J90" t="s">
        <v>9</v>
      </c>
      <c r="L90">
        <v>0</v>
      </c>
      <c r="M90" s="36">
        <v>25000</v>
      </c>
      <c r="N90" s="36">
        <f>DataTable[[#This Row],[Resource Cost]]+DataTable[[#This Row],[Other Cost]]</f>
        <v>25000</v>
      </c>
      <c r="O90" s="36">
        <v>2500</v>
      </c>
      <c r="P90" s="36">
        <v>22500</v>
      </c>
      <c r="Q90" s="36">
        <f>DataTable[[#This Row],[Pct Budget]]*totalBudget</f>
        <v>3055000</v>
      </c>
      <c r="R90" s="36" t="str">
        <f>IFERROR(VLOOKUP(DataTable[[#This Row],[Financial Category]],tblFinancialCat[],2,FALSE),"")</f>
        <v xml:space="preserve">CapEx  </v>
      </c>
      <c r="S90" s="36">
        <f>IFERROR(DataTable[[#This Row],[Utilized]]/DataTable[[#This Row],[Total Cost]]*DataTable[[#This Row],[Resource Cost]],0)</f>
        <v>0</v>
      </c>
      <c r="T90" s="36">
        <f>IFERROR(DataTable[[#This Row],[Utilized]]/DataTable[[#This Row],[Total Cost]]*DataTable[[#This Row],[Other Cost]],0)</f>
        <v>2500</v>
      </c>
      <c r="U90" s="217">
        <v>42125</v>
      </c>
      <c r="V90" s="36" t="str">
        <f>TEXT(DataTable[[#This Row],[Month]],"MMM-YY")</f>
        <v>May-15</v>
      </c>
    </row>
    <row r="91" spans="1:22" x14ac:dyDescent="0.25">
      <c r="A91">
        <v>90</v>
      </c>
      <c r="B91" t="s">
        <v>16</v>
      </c>
      <c r="C91">
        <v>0.47</v>
      </c>
      <c r="D91" t="s">
        <v>176</v>
      </c>
      <c r="E91" t="s">
        <v>208</v>
      </c>
      <c r="F91" t="s">
        <v>63</v>
      </c>
      <c r="G91" t="s">
        <v>44</v>
      </c>
      <c r="H91" s="36">
        <v>0</v>
      </c>
      <c r="I91" s="36">
        <v>25000</v>
      </c>
      <c r="J91" t="s">
        <v>9</v>
      </c>
      <c r="L91">
        <v>0</v>
      </c>
      <c r="M91" s="36">
        <v>25000</v>
      </c>
      <c r="N91" s="36">
        <f>DataTable[[#This Row],[Resource Cost]]+DataTable[[#This Row],[Other Cost]]</f>
        <v>25000</v>
      </c>
      <c r="O91" s="36">
        <v>2500</v>
      </c>
      <c r="P91" s="36">
        <v>22500</v>
      </c>
      <c r="Q91" s="36">
        <f>DataTable[[#This Row],[Pct Budget]]*totalBudget</f>
        <v>3055000</v>
      </c>
      <c r="R91" s="36" t="str">
        <f>IFERROR(VLOOKUP(DataTable[[#This Row],[Financial Category]],tblFinancialCat[],2,FALSE),"")</f>
        <v xml:space="preserve">CapEx  </v>
      </c>
      <c r="S91" s="36">
        <f>IFERROR(DataTable[[#This Row],[Utilized]]/DataTable[[#This Row],[Total Cost]]*DataTable[[#This Row],[Resource Cost]],0)</f>
        <v>0</v>
      </c>
      <c r="T91" s="36">
        <f>IFERROR(DataTable[[#This Row],[Utilized]]/DataTable[[#This Row],[Total Cost]]*DataTable[[#This Row],[Other Cost]],0)</f>
        <v>2500</v>
      </c>
      <c r="U91" s="217">
        <v>42125</v>
      </c>
      <c r="V91" s="36" t="str">
        <f>TEXT(DataTable[[#This Row],[Month]],"MMM-YY")</f>
        <v>May-15</v>
      </c>
    </row>
    <row r="92" spans="1:22" x14ac:dyDescent="0.25">
      <c r="A92">
        <v>91</v>
      </c>
      <c r="B92" t="s">
        <v>16</v>
      </c>
      <c r="C92">
        <v>0.47</v>
      </c>
      <c r="D92" t="s">
        <v>176</v>
      </c>
      <c r="E92" t="s">
        <v>178</v>
      </c>
      <c r="F92" t="s">
        <v>63</v>
      </c>
      <c r="G92" t="s">
        <v>41</v>
      </c>
      <c r="H92" s="36">
        <v>0</v>
      </c>
      <c r="I92" s="36">
        <v>100000</v>
      </c>
      <c r="J92" t="s">
        <v>9</v>
      </c>
      <c r="L92">
        <v>0</v>
      </c>
      <c r="M92" s="36">
        <v>100000</v>
      </c>
      <c r="N92" s="36">
        <f>DataTable[[#This Row],[Resource Cost]]+DataTable[[#This Row],[Other Cost]]</f>
        <v>100000</v>
      </c>
      <c r="O92" s="36">
        <v>10000</v>
      </c>
      <c r="P92" s="36">
        <v>90000</v>
      </c>
      <c r="Q92" s="36">
        <f>DataTable[[#This Row],[Pct Budget]]*totalBudget</f>
        <v>3055000</v>
      </c>
      <c r="R92" s="36" t="str">
        <f>IFERROR(VLOOKUP(DataTable[[#This Row],[Financial Category]],tblFinancialCat[],2,FALSE),"")</f>
        <v xml:space="preserve">CapEx  </v>
      </c>
      <c r="S92" s="36">
        <f>IFERROR(DataTable[[#This Row],[Utilized]]/DataTable[[#This Row],[Total Cost]]*DataTable[[#This Row],[Resource Cost]],0)</f>
        <v>0</v>
      </c>
      <c r="T92" s="36">
        <f>IFERROR(DataTable[[#This Row],[Utilized]]/DataTable[[#This Row],[Total Cost]]*DataTable[[#This Row],[Other Cost]],0)</f>
        <v>10000</v>
      </c>
      <c r="U92" s="217">
        <v>42278</v>
      </c>
      <c r="V92" s="36" t="str">
        <f>TEXT(DataTable[[#This Row],[Month]],"MMM-YY")</f>
        <v>Oct-15</v>
      </c>
    </row>
    <row r="93" spans="1:22" x14ac:dyDescent="0.25">
      <c r="A93">
        <v>92</v>
      </c>
      <c r="B93" t="s">
        <v>16</v>
      </c>
      <c r="C93">
        <v>0.47</v>
      </c>
      <c r="D93" t="s">
        <v>176</v>
      </c>
      <c r="E93" t="s">
        <v>201</v>
      </c>
      <c r="F93" t="s">
        <v>63</v>
      </c>
      <c r="G93" t="s">
        <v>41</v>
      </c>
      <c r="H93" s="36">
        <v>0</v>
      </c>
      <c r="I93" s="36">
        <v>100000</v>
      </c>
      <c r="J93" t="s">
        <v>9</v>
      </c>
      <c r="L93">
        <v>0</v>
      </c>
      <c r="M93" s="36">
        <v>100000</v>
      </c>
      <c r="N93" s="36">
        <f>DataTable[[#This Row],[Resource Cost]]+DataTable[[#This Row],[Other Cost]]</f>
        <v>100000</v>
      </c>
      <c r="O93" s="36">
        <v>10000</v>
      </c>
      <c r="P93" s="36">
        <v>90000</v>
      </c>
      <c r="Q93" s="36">
        <f>DataTable[[#This Row],[Pct Budget]]*totalBudget</f>
        <v>3055000</v>
      </c>
      <c r="R93" s="36" t="str">
        <f>IFERROR(VLOOKUP(DataTable[[#This Row],[Financial Category]],tblFinancialCat[],2,FALSE),"")</f>
        <v xml:space="preserve">CapEx  </v>
      </c>
      <c r="S93" s="36">
        <f>IFERROR(DataTable[[#This Row],[Utilized]]/DataTable[[#This Row],[Total Cost]]*DataTable[[#This Row],[Resource Cost]],0)</f>
        <v>0</v>
      </c>
      <c r="T93" s="36">
        <f>IFERROR(DataTable[[#This Row],[Utilized]]/DataTable[[#This Row],[Total Cost]]*DataTable[[#This Row],[Other Cost]],0)</f>
        <v>10000</v>
      </c>
      <c r="U93" s="217">
        <v>42278</v>
      </c>
      <c r="V93" s="36" t="str">
        <f>TEXT(DataTable[[#This Row],[Month]],"MMM-YY")</f>
        <v>Oct-15</v>
      </c>
    </row>
    <row r="94" spans="1:22" x14ac:dyDescent="0.25">
      <c r="A94">
        <v>93</v>
      </c>
      <c r="B94" t="s">
        <v>16</v>
      </c>
      <c r="C94">
        <v>0.47</v>
      </c>
      <c r="D94" t="s">
        <v>176</v>
      </c>
      <c r="E94" t="s">
        <v>177</v>
      </c>
      <c r="F94" t="s">
        <v>63</v>
      </c>
      <c r="G94" t="s">
        <v>41</v>
      </c>
      <c r="H94" s="36">
        <v>0</v>
      </c>
      <c r="I94" s="36">
        <v>100000</v>
      </c>
      <c r="J94" t="s">
        <v>9</v>
      </c>
      <c r="L94">
        <v>0</v>
      </c>
      <c r="M94" s="36">
        <v>100000</v>
      </c>
      <c r="N94" s="36">
        <f>DataTable[[#This Row],[Resource Cost]]+DataTable[[#This Row],[Other Cost]]</f>
        <v>100000</v>
      </c>
      <c r="O94" s="36">
        <v>10000</v>
      </c>
      <c r="P94" s="36">
        <v>90000</v>
      </c>
      <c r="Q94" s="36">
        <f>DataTable[[#This Row],[Pct Budget]]*totalBudget</f>
        <v>3055000</v>
      </c>
      <c r="R94" s="36" t="str">
        <f>IFERROR(VLOOKUP(DataTable[[#This Row],[Financial Category]],tblFinancialCat[],2,FALSE),"")</f>
        <v xml:space="preserve">CapEx  </v>
      </c>
      <c r="S94" s="36">
        <f>IFERROR(DataTable[[#This Row],[Utilized]]/DataTable[[#This Row],[Total Cost]]*DataTable[[#This Row],[Resource Cost]],0)</f>
        <v>0</v>
      </c>
      <c r="T94" s="36">
        <f>IFERROR(DataTable[[#This Row],[Utilized]]/DataTable[[#This Row],[Total Cost]]*DataTable[[#This Row],[Other Cost]],0)</f>
        <v>10000</v>
      </c>
      <c r="U94" s="217">
        <v>42278</v>
      </c>
      <c r="V94" s="36" t="str">
        <f>TEXT(DataTable[[#This Row],[Month]],"MMM-YY")</f>
        <v>Oct-15</v>
      </c>
    </row>
    <row r="95" spans="1:22" x14ac:dyDescent="0.25">
      <c r="A95">
        <v>94</v>
      </c>
      <c r="B95" t="s">
        <v>16</v>
      </c>
      <c r="C95">
        <v>0.47</v>
      </c>
      <c r="D95" t="s">
        <v>176</v>
      </c>
      <c r="E95" t="s">
        <v>208</v>
      </c>
      <c r="F95" t="s">
        <v>63</v>
      </c>
      <c r="G95" t="s">
        <v>41</v>
      </c>
      <c r="H95" s="36">
        <v>0</v>
      </c>
      <c r="I95" s="36">
        <v>100000</v>
      </c>
      <c r="J95" t="s">
        <v>9</v>
      </c>
      <c r="L95">
        <v>0</v>
      </c>
      <c r="M95" s="36">
        <v>100000</v>
      </c>
      <c r="N95" s="36">
        <f>DataTable[[#This Row],[Resource Cost]]+DataTable[[#This Row],[Other Cost]]</f>
        <v>100000</v>
      </c>
      <c r="O95" s="36">
        <v>10000</v>
      </c>
      <c r="P95" s="36">
        <v>90000</v>
      </c>
      <c r="Q95" s="36">
        <f>DataTable[[#This Row],[Pct Budget]]*totalBudget</f>
        <v>3055000</v>
      </c>
      <c r="R95" s="36" t="str">
        <f>IFERROR(VLOOKUP(DataTable[[#This Row],[Financial Category]],tblFinancialCat[],2,FALSE),"")</f>
        <v xml:space="preserve">CapEx  </v>
      </c>
      <c r="S95" s="36">
        <f>IFERROR(DataTable[[#This Row],[Utilized]]/DataTable[[#This Row],[Total Cost]]*DataTable[[#This Row],[Resource Cost]],0)</f>
        <v>0</v>
      </c>
      <c r="T95" s="36">
        <f>IFERROR(DataTable[[#This Row],[Utilized]]/DataTable[[#This Row],[Total Cost]]*DataTable[[#This Row],[Other Cost]],0)</f>
        <v>10000</v>
      </c>
      <c r="U95" s="217">
        <v>42278</v>
      </c>
      <c r="V95" s="36" t="str">
        <f>TEXT(DataTable[[#This Row],[Month]],"MMM-YY")</f>
        <v>Oct-15</v>
      </c>
    </row>
    <row r="96" spans="1:22" x14ac:dyDescent="0.25">
      <c r="A96">
        <v>95</v>
      </c>
      <c r="B96" t="s">
        <v>16</v>
      </c>
      <c r="C96">
        <v>0.47</v>
      </c>
      <c r="D96" t="s">
        <v>176</v>
      </c>
      <c r="E96" t="s">
        <v>178</v>
      </c>
      <c r="F96" t="s">
        <v>63</v>
      </c>
      <c r="G96" t="s">
        <v>44</v>
      </c>
      <c r="H96" s="36">
        <v>0</v>
      </c>
      <c r="I96" s="36">
        <v>408.65384615384613</v>
      </c>
      <c r="J96" t="s">
        <v>172</v>
      </c>
      <c r="K96" t="s">
        <v>126</v>
      </c>
      <c r="L96">
        <v>408.65384615384613</v>
      </c>
      <c r="M96" s="36">
        <v>0</v>
      </c>
      <c r="N96" s="36">
        <f>DataTable[[#This Row],[Resource Cost]]+DataTable[[#This Row],[Other Cost]]</f>
        <v>408.65384615384613</v>
      </c>
      <c r="O96" s="36">
        <v>81.730769230769226</v>
      </c>
      <c r="P96" s="36">
        <v>326.92307692307691</v>
      </c>
      <c r="Q96" s="36">
        <f>DataTable[[#This Row],[Pct Budget]]*totalBudget</f>
        <v>3055000</v>
      </c>
      <c r="R96" s="36" t="str">
        <f>IFERROR(VLOOKUP(DataTable[[#This Row],[Financial Category]],tblFinancialCat[],2,FALSE),"")</f>
        <v>OpEx</v>
      </c>
      <c r="S96" s="36">
        <f>IFERROR(DataTable[[#This Row],[Utilized]]/DataTable[[#This Row],[Total Cost]]*DataTable[[#This Row],[Resource Cost]],0)</f>
        <v>81.730769230769226</v>
      </c>
      <c r="T96" s="36">
        <f>IFERROR(DataTable[[#This Row],[Utilized]]/DataTable[[#This Row],[Total Cost]]*DataTable[[#This Row],[Other Cost]],0)</f>
        <v>0</v>
      </c>
      <c r="U96" s="217">
        <v>42309</v>
      </c>
      <c r="V96" s="36" t="str">
        <f>TEXT(DataTable[[#This Row],[Month]],"MMM-YY")</f>
        <v>Nov-15</v>
      </c>
    </row>
    <row r="97" spans="1:22" x14ac:dyDescent="0.25">
      <c r="A97">
        <v>96</v>
      </c>
      <c r="B97" t="s">
        <v>16</v>
      </c>
      <c r="C97">
        <v>0.47</v>
      </c>
      <c r="D97" t="s">
        <v>176</v>
      </c>
      <c r="E97" t="s">
        <v>201</v>
      </c>
      <c r="F97" t="s">
        <v>63</v>
      </c>
      <c r="G97" t="s">
        <v>44</v>
      </c>
      <c r="H97" s="36">
        <v>0</v>
      </c>
      <c r="I97" s="36">
        <v>408.65384615384613</v>
      </c>
      <c r="J97" t="s">
        <v>172</v>
      </c>
      <c r="K97" t="s">
        <v>126</v>
      </c>
      <c r="L97">
        <v>408.65384615384613</v>
      </c>
      <c r="M97" s="36">
        <v>0</v>
      </c>
      <c r="N97" s="36">
        <f>DataTable[[#This Row],[Resource Cost]]+DataTable[[#This Row],[Other Cost]]</f>
        <v>408.65384615384613</v>
      </c>
      <c r="O97" s="36">
        <v>81.730769230769226</v>
      </c>
      <c r="P97" s="36">
        <v>326.92307692307691</v>
      </c>
      <c r="Q97" s="36">
        <f>DataTable[[#This Row],[Pct Budget]]*totalBudget</f>
        <v>3055000</v>
      </c>
      <c r="R97" s="36" t="str">
        <f>IFERROR(VLOOKUP(DataTable[[#This Row],[Financial Category]],tblFinancialCat[],2,FALSE),"")</f>
        <v>OpEx</v>
      </c>
      <c r="S97" s="36">
        <f>IFERROR(DataTable[[#This Row],[Utilized]]/DataTable[[#This Row],[Total Cost]]*DataTable[[#This Row],[Resource Cost]],0)</f>
        <v>81.730769230769226</v>
      </c>
      <c r="T97" s="36">
        <f>IFERROR(DataTable[[#This Row],[Utilized]]/DataTable[[#This Row],[Total Cost]]*DataTable[[#This Row],[Other Cost]],0)</f>
        <v>0</v>
      </c>
      <c r="U97" s="217">
        <v>42309</v>
      </c>
      <c r="V97" s="36" t="str">
        <f>TEXT(DataTable[[#This Row],[Month]],"MMM-YY")</f>
        <v>Nov-15</v>
      </c>
    </row>
    <row r="98" spans="1:22" x14ac:dyDescent="0.25">
      <c r="A98">
        <v>97</v>
      </c>
      <c r="B98" t="s">
        <v>16</v>
      </c>
      <c r="C98">
        <v>0.47</v>
      </c>
      <c r="D98" t="s">
        <v>176</v>
      </c>
      <c r="E98" t="s">
        <v>177</v>
      </c>
      <c r="F98" t="s">
        <v>63</v>
      </c>
      <c r="G98" t="s">
        <v>44</v>
      </c>
      <c r="H98" s="36">
        <v>0</v>
      </c>
      <c r="I98" s="36">
        <v>408.65384615384613</v>
      </c>
      <c r="J98" t="s">
        <v>172</v>
      </c>
      <c r="K98" t="s">
        <v>126</v>
      </c>
      <c r="L98">
        <v>408.65384615384613</v>
      </c>
      <c r="M98" s="36">
        <v>0</v>
      </c>
      <c r="N98" s="36">
        <f>DataTable[[#This Row],[Resource Cost]]+DataTable[[#This Row],[Other Cost]]</f>
        <v>408.65384615384613</v>
      </c>
      <c r="O98" s="36">
        <v>81.730769230769226</v>
      </c>
      <c r="P98" s="36">
        <v>326.92307692307691</v>
      </c>
      <c r="Q98" s="36">
        <f>DataTable[[#This Row],[Pct Budget]]*totalBudget</f>
        <v>3055000</v>
      </c>
      <c r="R98" s="36" t="str">
        <f>IFERROR(VLOOKUP(DataTable[[#This Row],[Financial Category]],tblFinancialCat[],2,FALSE),"")</f>
        <v>OpEx</v>
      </c>
      <c r="S98" s="36">
        <f>IFERROR(DataTable[[#This Row],[Utilized]]/DataTable[[#This Row],[Total Cost]]*DataTable[[#This Row],[Resource Cost]],0)</f>
        <v>81.730769230769226</v>
      </c>
      <c r="T98" s="36">
        <f>IFERROR(DataTable[[#This Row],[Utilized]]/DataTable[[#This Row],[Total Cost]]*DataTable[[#This Row],[Other Cost]],0)</f>
        <v>0</v>
      </c>
      <c r="U98" s="217">
        <v>42309</v>
      </c>
      <c r="V98" s="36" t="str">
        <f>TEXT(DataTable[[#This Row],[Month]],"MMM-YY")</f>
        <v>Nov-15</v>
      </c>
    </row>
    <row r="99" spans="1:22" x14ac:dyDescent="0.25">
      <c r="A99">
        <v>98</v>
      </c>
      <c r="B99" t="s">
        <v>16</v>
      </c>
      <c r="C99">
        <v>0.47</v>
      </c>
      <c r="D99" t="s">
        <v>176</v>
      </c>
      <c r="E99" t="s">
        <v>208</v>
      </c>
      <c r="F99" t="s">
        <v>63</v>
      </c>
      <c r="G99" t="s">
        <v>44</v>
      </c>
      <c r="H99" s="36">
        <v>0</v>
      </c>
      <c r="I99" s="36">
        <v>408.65384615384613</v>
      </c>
      <c r="J99" t="s">
        <v>172</v>
      </c>
      <c r="K99" t="s">
        <v>126</v>
      </c>
      <c r="L99">
        <v>408.65384615384613</v>
      </c>
      <c r="M99" s="36">
        <v>0</v>
      </c>
      <c r="N99" s="36">
        <f>DataTable[[#This Row],[Resource Cost]]+DataTable[[#This Row],[Other Cost]]</f>
        <v>408.65384615384613</v>
      </c>
      <c r="O99" s="36">
        <v>81.730769230769226</v>
      </c>
      <c r="P99" s="36">
        <v>326.92307692307691</v>
      </c>
      <c r="Q99" s="36">
        <f>DataTable[[#This Row],[Pct Budget]]*totalBudget</f>
        <v>3055000</v>
      </c>
      <c r="R99" s="36" t="str">
        <f>IFERROR(VLOOKUP(DataTable[[#This Row],[Financial Category]],tblFinancialCat[],2,FALSE),"")</f>
        <v>OpEx</v>
      </c>
      <c r="S99" s="36">
        <f>IFERROR(DataTable[[#This Row],[Utilized]]/DataTable[[#This Row],[Total Cost]]*DataTable[[#This Row],[Resource Cost]],0)</f>
        <v>81.730769230769226</v>
      </c>
      <c r="T99" s="36">
        <f>IFERROR(DataTable[[#This Row],[Utilized]]/DataTable[[#This Row],[Total Cost]]*DataTable[[#This Row],[Other Cost]],0)</f>
        <v>0</v>
      </c>
      <c r="U99" s="217">
        <v>42309</v>
      </c>
      <c r="V99" s="36" t="str">
        <f>TEXT(DataTable[[#This Row],[Month]],"MMM-YY")</f>
        <v>Nov-15</v>
      </c>
    </row>
    <row r="100" spans="1:22" x14ac:dyDescent="0.25">
      <c r="A100">
        <v>99</v>
      </c>
      <c r="B100" t="s">
        <v>16</v>
      </c>
      <c r="C100">
        <v>0.47</v>
      </c>
      <c r="D100" t="s">
        <v>176</v>
      </c>
      <c r="E100" t="s">
        <v>178</v>
      </c>
      <c r="F100" t="s">
        <v>63</v>
      </c>
      <c r="G100" t="s">
        <v>44</v>
      </c>
      <c r="H100" s="36">
        <v>0</v>
      </c>
      <c r="I100" s="36">
        <v>1500</v>
      </c>
      <c r="J100" t="s">
        <v>172</v>
      </c>
      <c r="K100" t="s">
        <v>146</v>
      </c>
      <c r="L100">
        <v>1500</v>
      </c>
      <c r="M100" s="36">
        <v>0</v>
      </c>
      <c r="N100" s="36">
        <f>DataTable[[#This Row],[Resource Cost]]+DataTable[[#This Row],[Other Cost]]</f>
        <v>1500</v>
      </c>
      <c r="O100" s="36">
        <v>300</v>
      </c>
      <c r="P100" s="36">
        <v>1200</v>
      </c>
      <c r="Q100" s="36">
        <f>DataTable[[#This Row],[Pct Budget]]*totalBudget</f>
        <v>3055000</v>
      </c>
      <c r="R100" s="36" t="str">
        <f>IFERROR(VLOOKUP(DataTable[[#This Row],[Financial Category]],tblFinancialCat[],2,FALSE),"")</f>
        <v>OpEx</v>
      </c>
      <c r="S100" s="36">
        <f>IFERROR(DataTable[[#This Row],[Utilized]]/DataTable[[#This Row],[Total Cost]]*DataTable[[#This Row],[Resource Cost]],0)</f>
        <v>300</v>
      </c>
      <c r="T100" s="36">
        <f>IFERROR(DataTable[[#This Row],[Utilized]]/DataTable[[#This Row],[Total Cost]]*DataTable[[#This Row],[Other Cost]],0)</f>
        <v>0</v>
      </c>
      <c r="U100" s="217">
        <v>42309</v>
      </c>
      <c r="V100" s="36" t="str">
        <f>TEXT(DataTable[[#This Row],[Month]],"MMM-YY")</f>
        <v>Nov-15</v>
      </c>
    </row>
    <row r="101" spans="1:22" x14ac:dyDescent="0.25">
      <c r="A101">
        <v>100</v>
      </c>
      <c r="B101" t="s">
        <v>16</v>
      </c>
      <c r="C101">
        <v>0.47</v>
      </c>
      <c r="D101" t="s">
        <v>176</v>
      </c>
      <c r="E101" t="s">
        <v>201</v>
      </c>
      <c r="F101" t="s">
        <v>63</v>
      </c>
      <c r="G101" t="s">
        <v>44</v>
      </c>
      <c r="H101" s="36">
        <v>0</v>
      </c>
      <c r="I101" s="36">
        <v>1500</v>
      </c>
      <c r="J101" t="s">
        <v>172</v>
      </c>
      <c r="K101" t="s">
        <v>146</v>
      </c>
      <c r="L101">
        <v>1500</v>
      </c>
      <c r="M101" s="36">
        <v>0</v>
      </c>
      <c r="N101" s="36">
        <f>DataTable[[#This Row],[Resource Cost]]+DataTable[[#This Row],[Other Cost]]</f>
        <v>1500</v>
      </c>
      <c r="O101" s="36">
        <v>300</v>
      </c>
      <c r="P101" s="36">
        <v>1200</v>
      </c>
      <c r="Q101" s="36">
        <f>DataTable[[#This Row],[Pct Budget]]*totalBudget</f>
        <v>3055000</v>
      </c>
      <c r="R101" s="36" t="str">
        <f>IFERROR(VLOOKUP(DataTable[[#This Row],[Financial Category]],tblFinancialCat[],2,FALSE),"")</f>
        <v>OpEx</v>
      </c>
      <c r="S101" s="36">
        <f>IFERROR(DataTable[[#This Row],[Utilized]]/DataTable[[#This Row],[Total Cost]]*DataTable[[#This Row],[Resource Cost]],0)</f>
        <v>300</v>
      </c>
      <c r="T101" s="36">
        <f>IFERROR(DataTable[[#This Row],[Utilized]]/DataTable[[#This Row],[Total Cost]]*DataTable[[#This Row],[Other Cost]],0)</f>
        <v>0</v>
      </c>
      <c r="U101" s="217">
        <v>42309</v>
      </c>
      <c r="V101" s="36" t="str">
        <f>TEXT(DataTable[[#This Row],[Month]],"MMM-YY")</f>
        <v>Nov-15</v>
      </c>
    </row>
    <row r="102" spans="1:22" x14ac:dyDescent="0.25">
      <c r="A102">
        <v>101</v>
      </c>
      <c r="B102" t="s">
        <v>16</v>
      </c>
      <c r="C102">
        <v>0.47</v>
      </c>
      <c r="D102" t="s">
        <v>176</v>
      </c>
      <c r="E102" t="s">
        <v>177</v>
      </c>
      <c r="F102" t="s">
        <v>63</v>
      </c>
      <c r="G102" t="s">
        <v>44</v>
      </c>
      <c r="H102" s="36">
        <v>0</v>
      </c>
      <c r="I102" s="36">
        <v>1500</v>
      </c>
      <c r="J102" t="s">
        <v>172</v>
      </c>
      <c r="K102" t="s">
        <v>146</v>
      </c>
      <c r="L102">
        <v>1500</v>
      </c>
      <c r="M102" s="36">
        <v>0</v>
      </c>
      <c r="N102" s="36">
        <f>DataTable[[#This Row],[Resource Cost]]+DataTable[[#This Row],[Other Cost]]</f>
        <v>1500</v>
      </c>
      <c r="O102" s="36">
        <v>300</v>
      </c>
      <c r="P102" s="36">
        <v>1200</v>
      </c>
      <c r="Q102" s="36">
        <f>DataTable[[#This Row],[Pct Budget]]*totalBudget</f>
        <v>3055000</v>
      </c>
      <c r="R102" s="36" t="str">
        <f>IFERROR(VLOOKUP(DataTable[[#This Row],[Financial Category]],tblFinancialCat[],2,FALSE),"")</f>
        <v>OpEx</v>
      </c>
      <c r="S102" s="36">
        <f>IFERROR(DataTable[[#This Row],[Utilized]]/DataTable[[#This Row],[Total Cost]]*DataTable[[#This Row],[Resource Cost]],0)</f>
        <v>300</v>
      </c>
      <c r="T102" s="36">
        <f>IFERROR(DataTable[[#This Row],[Utilized]]/DataTable[[#This Row],[Total Cost]]*DataTable[[#This Row],[Other Cost]],0)</f>
        <v>0</v>
      </c>
      <c r="U102" s="217">
        <v>42309</v>
      </c>
      <c r="V102" s="36" t="str">
        <f>TEXT(DataTable[[#This Row],[Month]],"MMM-YY")</f>
        <v>Nov-15</v>
      </c>
    </row>
    <row r="103" spans="1:22" x14ac:dyDescent="0.25">
      <c r="A103">
        <v>102</v>
      </c>
      <c r="B103" t="s">
        <v>16</v>
      </c>
      <c r="C103">
        <v>0.47</v>
      </c>
      <c r="D103" t="s">
        <v>176</v>
      </c>
      <c r="E103" t="s">
        <v>208</v>
      </c>
      <c r="F103" t="s">
        <v>63</v>
      </c>
      <c r="G103" t="s">
        <v>44</v>
      </c>
      <c r="H103" s="36">
        <v>0</v>
      </c>
      <c r="I103" s="36">
        <v>1500</v>
      </c>
      <c r="J103" t="s">
        <v>172</v>
      </c>
      <c r="K103" t="s">
        <v>146</v>
      </c>
      <c r="L103">
        <v>1500</v>
      </c>
      <c r="M103" s="36">
        <v>0</v>
      </c>
      <c r="N103" s="36">
        <f>DataTable[[#This Row],[Resource Cost]]+DataTable[[#This Row],[Other Cost]]</f>
        <v>1500</v>
      </c>
      <c r="O103" s="36">
        <v>300</v>
      </c>
      <c r="P103" s="36">
        <v>1200</v>
      </c>
      <c r="Q103" s="36">
        <f>DataTable[[#This Row],[Pct Budget]]*totalBudget</f>
        <v>3055000</v>
      </c>
      <c r="R103" s="36" t="str">
        <f>IFERROR(VLOOKUP(DataTable[[#This Row],[Financial Category]],tblFinancialCat[],2,FALSE),"")</f>
        <v>OpEx</v>
      </c>
      <c r="S103" s="36">
        <f>IFERROR(DataTable[[#This Row],[Utilized]]/DataTable[[#This Row],[Total Cost]]*DataTable[[#This Row],[Resource Cost]],0)</f>
        <v>300</v>
      </c>
      <c r="T103" s="36">
        <f>IFERROR(DataTable[[#This Row],[Utilized]]/DataTable[[#This Row],[Total Cost]]*DataTable[[#This Row],[Other Cost]],0)</f>
        <v>0</v>
      </c>
      <c r="U103" s="217">
        <v>42309</v>
      </c>
      <c r="V103" s="36" t="str">
        <f>TEXT(DataTable[[#This Row],[Month]],"MMM-YY")</f>
        <v>Nov-15</v>
      </c>
    </row>
    <row r="104" spans="1:22" x14ac:dyDescent="0.25">
      <c r="A104">
        <v>103</v>
      </c>
      <c r="B104" t="s">
        <v>16</v>
      </c>
      <c r="C104">
        <v>0.47</v>
      </c>
      <c r="D104" t="s">
        <v>176</v>
      </c>
      <c r="E104" t="s">
        <v>178</v>
      </c>
      <c r="F104" t="s">
        <v>63</v>
      </c>
      <c r="G104" t="s">
        <v>44</v>
      </c>
      <c r="H104" s="36">
        <v>0</v>
      </c>
      <c r="I104" s="36">
        <v>1802.8846153846152</v>
      </c>
      <c r="J104" t="s">
        <v>172</v>
      </c>
      <c r="K104" t="s">
        <v>118</v>
      </c>
      <c r="L104">
        <v>1802.8846153846152</v>
      </c>
      <c r="M104" s="36">
        <v>0</v>
      </c>
      <c r="N104" s="36">
        <f>DataTable[[#This Row],[Resource Cost]]+DataTable[[#This Row],[Other Cost]]</f>
        <v>1802.8846153846152</v>
      </c>
      <c r="O104" s="36">
        <v>360.57692307692309</v>
      </c>
      <c r="P104" s="36">
        <v>1442.3076923076924</v>
      </c>
      <c r="Q104" s="36">
        <f>DataTable[[#This Row],[Pct Budget]]*totalBudget</f>
        <v>3055000</v>
      </c>
      <c r="R104" s="36" t="str">
        <f>IFERROR(VLOOKUP(DataTable[[#This Row],[Financial Category]],tblFinancialCat[],2,FALSE),"")</f>
        <v>OpEx</v>
      </c>
      <c r="S104" s="36">
        <f>IFERROR(DataTable[[#This Row],[Utilized]]/DataTable[[#This Row],[Total Cost]]*DataTable[[#This Row],[Resource Cost]],0)</f>
        <v>360.57692307692309</v>
      </c>
      <c r="T104" s="36">
        <f>IFERROR(DataTable[[#This Row],[Utilized]]/DataTable[[#This Row],[Total Cost]]*DataTable[[#This Row],[Other Cost]],0)</f>
        <v>0</v>
      </c>
      <c r="U104" s="217">
        <v>42309</v>
      </c>
      <c r="V104" s="36" t="str">
        <f>TEXT(DataTable[[#This Row],[Month]],"MMM-YY")</f>
        <v>Nov-15</v>
      </c>
    </row>
    <row r="105" spans="1:22" x14ac:dyDescent="0.25">
      <c r="A105">
        <v>104</v>
      </c>
      <c r="B105" t="s">
        <v>16</v>
      </c>
      <c r="C105">
        <v>0.47</v>
      </c>
      <c r="D105" t="s">
        <v>176</v>
      </c>
      <c r="E105" t="s">
        <v>201</v>
      </c>
      <c r="F105" t="s">
        <v>63</v>
      </c>
      <c r="G105" t="s">
        <v>44</v>
      </c>
      <c r="H105" s="36">
        <v>0</v>
      </c>
      <c r="I105" s="36">
        <v>1802.8846153846152</v>
      </c>
      <c r="J105" t="s">
        <v>172</v>
      </c>
      <c r="K105" t="s">
        <v>118</v>
      </c>
      <c r="L105">
        <v>1802.8846153846152</v>
      </c>
      <c r="M105" s="36">
        <v>0</v>
      </c>
      <c r="N105" s="36">
        <f>DataTable[[#This Row],[Resource Cost]]+DataTable[[#This Row],[Other Cost]]</f>
        <v>1802.8846153846152</v>
      </c>
      <c r="O105" s="36">
        <v>360.57692307692309</v>
      </c>
      <c r="P105" s="36">
        <v>1442.3076923076924</v>
      </c>
      <c r="Q105" s="36">
        <f>DataTable[[#This Row],[Pct Budget]]*totalBudget</f>
        <v>3055000</v>
      </c>
      <c r="R105" s="36" t="str">
        <f>IFERROR(VLOOKUP(DataTable[[#This Row],[Financial Category]],tblFinancialCat[],2,FALSE),"")</f>
        <v>OpEx</v>
      </c>
      <c r="S105" s="36">
        <f>IFERROR(DataTable[[#This Row],[Utilized]]/DataTable[[#This Row],[Total Cost]]*DataTable[[#This Row],[Resource Cost]],0)</f>
        <v>360.57692307692309</v>
      </c>
      <c r="T105" s="36">
        <f>IFERROR(DataTable[[#This Row],[Utilized]]/DataTable[[#This Row],[Total Cost]]*DataTable[[#This Row],[Other Cost]],0)</f>
        <v>0</v>
      </c>
      <c r="U105" s="217">
        <v>42309</v>
      </c>
      <c r="V105" s="36" t="str">
        <f>TEXT(DataTable[[#This Row],[Month]],"MMM-YY")</f>
        <v>Nov-15</v>
      </c>
    </row>
    <row r="106" spans="1:22" x14ac:dyDescent="0.25">
      <c r="A106">
        <v>105</v>
      </c>
      <c r="B106" t="s">
        <v>16</v>
      </c>
      <c r="C106">
        <v>0.47</v>
      </c>
      <c r="D106" t="s">
        <v>176</v>
      </c>
      <c r="E106" t="s">
        <v>177</v>
      </c>
      <c r="F106" t="s">
        <v>63</v>
      </c>
      <c r="G106" t="s">
        <v>44</v>
      </c>
      <c r="H106" s="36">
        <v>0</v>
      </c>
      <c r="I106" s="36">
        <v>1802.8846153846152</v>
      </c>
      <c r="J106" t="s">
        <v>172</v>
      </c>
      <c r="K106" t="s">
        <v>118</v>
      </c>
      <c r="L106">
        <v>1802.8846153846152</v>
      </c>
      <c r="M106" s="36">
        <v>0</v>
      </c>
      <c r="N106" s="36">
        <f>DataTable[[#This Row],[Resource Cost]]+DataTable[[#This Row],[Other Cost]]</f>
        <v>1802.8846153846152</v>
      </c>
      <c r="O106" s="36">
        <v>360.57692307692309</v>
      </c>
      <c r="P106" s="36">
        <v>1442.3076923076924</v>
      </c>
      <c r="Q106" s="36">
        <f>DataTable[[#This Row],[Pct Budget]]*totalBudget</f>
        <v>3055000</v>
      </c>
      <c r="R106" s="36" t="str">
        <f>IFERROR(VLOOKUP(DataTable[[#This Row],[Financial Category]],tblFinancialCat[],2,FALSE),"")</f>
        <v>OpEx</v>
      </c>
      <c r="S106" s="36">
        <f>IFERROR(DataTable[[#This Row],[Utilized]]/DataTable[[#This Row],[Total Cost]]*DataTable[[#This Row],[Resource Cost]],0)</f>
        <v>360.57692307692309</v>
      </c>
      <c r="T106" s="36">
        <f>IFERROR(DataTable[[#This Row],[Utilized]]/DataTable[[#This Row],[Total Cost]]*DataTable[[#This Row],[Other Cost]],0)</f>
        <v>0</v>
      </c>
      <c r="U106" s="217">
        <v>42309</v>
      </c>
      <c r="V106" s="36" t="str">
        <f>TEXT(DataTable[[#This Row],[Month]],"MMM-YY")</f>
        <v>Nov-15</v>
      </c>
    </row>
    <row r="107" spans="1:22" x14ac:dyDescent="0.25">
      <c r="A107">
        <v>106</v>
      </c>
      <c r="B107" t="s">
        <v>16</v>
      </c>
      <c r="C107">
        <v>0.47</v>
      </c>
      <c r="D107" t="s">
        <v>176</v>
      </c>
      <c r="E107" t="s">
        <v>208</v>
      </c>
      <c r="F107" t="s">
        <v>63</v>
      </c>
      <c r="G107" t="s">
        <v>44</v>
      </c>
      <c r="H107" s="36">
        <v>0</v>
      </c>
      <c r="I107" s="36">
        <v>1802.8846153846152</v>
      </c>
      <c r="J107" t="s">
        <v>172</v>
      </c>
      <c r="K107" t="s">
        <v>118</v>
      </c>
      <c r="L107">
        <v>1802.8846153846152</v>
      </c>
      <c r="M107" s="36">
        <v>0</v>
      </c>
      <c r="N107" s="36">
        <f>DataTable[[#This Row],[Resource Cost]]+DataTable[[#This Row],[Other Cost]]</f>
        <v>1802.8846153846152</v>
      </c>
      <c r="O107" s="36">
        <v>360.57692307692309</v>
      </c>
      <c r="P107" s="36">
        <v>1442.3076923076924</v>
      </c>
      <c r="Q107" s="36">
        <f>DataTable[[#This Row],[Pct Budget]]*totalBudget</f>
        <v>3055000</v>
      </c>
      <c r="R107" s="36" t="str">
        <f>IFERROR(VLOOKUP(DataTable[[#This Row],[Financial Category]],tblFinancialCat[],2,FALSE),"")</f>
        <v>OpEx</v>
      </c>
      <c r="S107" s="36">
        <f>IFERROR(DataTable[[#This Row],[Utilized]]/DataTable[[#This Row],[Total Cost]]*DataTable[[#This Row],[Resource Cost]],0)</f>
        <v>360.57692307692309</v>
      </c>
      <c r="T107" s="36">
        <f>IFERROR(DataTable[[#This Row],[Utilized]]/DataTable[[#This Row],[Total Cost]]*DataTable[[#This Row],[Other Cost]],0)</f>
        <v>0</v>
      </c>
      <c r="U107" s="217">
        <v>42309</v>
      </c>
      <c r="V107" s="36" t="str">
        <f>TEXT(DataTable[[#This Row],[Month]],"MMM-YY")</f>
        <v>Nov-15</v>
      </c>
    </row>
    <row r="108" spans="1:22" x14ac:dyDescent="0.25">
      <c r="A108">
        <v>107</v>
      </c>
      <c r="B108" t="s">
        <v>16</v>
      </c>
      <c r="C108">
        <v>0.47</v>
      </c>
      <c r="D108" t="s">
        <v>176</v>
      </c>
      <c r="E108" t="s">
        <v>178</v>
      </c>
      <c r="F108" t="s">
        <v>63</v>
      </c>
      <c r="G108" t="s">
        <v>44</v>
      </c>
      <c r="H108" s="36">
        <v>0</v>
      </c>
      <c r="I108" s="36">
        <v>8250</v>
      </c>
      <c r="J108" t="s">
        <v>172</v>
      </c>
      <c r="K108" t="s">
        <v>147</v>
      </c>
      <c r="L108">
        <v>8250</v>
      </c>
      <c r="M108" s="36">
        <v>0</v>
      </c>
      <c r="N108" s="36">
        <f>DataTable[[#This Row],[Resource Cost]]+DataTable[[#This Row],[Other Cost]]</f>
        <v>8250</v>
      </c>
      <c r="O108" s="36">
        <v>1650</v>
      </c>
      <c r="P108" s="36">
        <v>6600</v>
      </c>
      <c r="Q108" s="36">
        <f>DataTable[[#This Row],[Pct Budget]]*totalBudget</f>
        <v>3055000</v>
      </c>
      <c r="R108" s="36" t="str">
        <f>IFERROR(VLOOKUP(DataTable[[#This Row],[Financial Category]],tblFinancialCat[],2,FALSE),"")</f>
        <v>OpEx</v>
      </c>
      <c r="S108" s="36">
        <f>IFERROR(DataTable[[#This Row],[Utilized]]/DataTable[[#This Row],[Total Cost]]*DataTable[[#This Row],[Resource Cost]],0)</f>
        <v>1650</v>
      </c>
      <c r="T108" s="36">
        <f>IFERROR(DataTable[[#This Row],[Utilized]]/DataTable[[#This Row],[Total Cost]]*DataTable[[#This Row],[Other Cost]],0)</f>
        <v>0</v>
      </c>
      <c r="U108" s="217">
        <v>42309</v>
      </c>
      <c r="V108" s="36" t="str">
        <f>TEXT(DataTable[[#This Row],[Month]],"MMM-YY")</f>
        <v>Nov-15</v>
      </c>
    </row>
    <row r="109" spans="1:22" x14ac:dyDescent="0.25">
      <c r="A109">
        <v>108</v>
      </c>
      <c r="B109" t="s">
        <v>16</v>
      </c>
      <c r="C109">
        <v>0.47</v>
      </c>
      <c r="D109" t="s">
        <v>176</v>
      </c>
      <c r="E109" t="s">
        <v>201</v>
      </c>
      <c r="F109" t="s">
        <v>63</v>
      </c>
      <c r="G109" t="s">
        <v>44</v>
      </c>
      <c r="H109" s="36">
        <v>0</v>
      </c>
      <c r="I109" s="36">
        <v>8250</v>
      </c>
      <c r="J109" t="s">
        <v>172</v>
      </c>
      <c r="K109" t="s">
        <v>147</v>
      </c>
      <c r="L109">
        <v>8250</v>
      </c>
      <c r="M109" s="36">
        <v>0</v>
      </c>
      <c r="N109" s="36">
        <f>DataTable[[#This Row],[Resource Cost]]+DataTable[[#This Row],[Other Cost]]</f>
        <v>8250</v>
      </c>
      <c r="O109" s="36">
        <v>1650</v>
      </c>
      <c r="P109" s="36">
        <v>6600</v>
      </c>
      <c r="Q109" s="36">
        <f>DataTable[[#This Row],[Pct Budget]]*totalBudget</f>
        <v>3055000</v>
      </c>
      <c r="R109" s="36" t="str">
        <f>IFERROR(VLOOKUP(DataTable[[#This Row],[Financial Category]],tblFinancialCat[],2,FALSE),"")</f>
        <v>OpEx</v>
      </c>
      <c r="S109" s="36">
        <f>IFERROR(DataTable[[#This Row],[Utilized]]/DataTable[[#This Row],[Total Cost]]*DataTable[[#This Row],[Resource Cost]],0)</f>
        <v>1650</v>
      </c>
      <c r="T109" s="36">
        <f>IFERROR(DataTable[[#This Row],[Utilized]]/DataTable[[#This Row],[Total Cost]]*DataTable[[#This Row],[Other Cost]],0)</f>
        <v>0</v>
      </c>
      <c r="U109" s="217">
        <v>42309</v>
      </c>
      <c r="V109" s="36" t="str">
        <f>TEXT(DataTable[[#This Row],[Month]],"MMM-YY")</f>
        <v>Nov-15</v>
      </c>
    </row>
    <row r="110" spans="1:22" x14ac:dyDescent="0.25">
      <c r="A110">
        <v>109</v>
      </c>
      <c r="B110" t="s">
        <v>16</v>
      </c>
      <c r="C110">
        <v>0.47</v>
      </c>
      <c r="D110" t="s">
        <v>176</v>
      </c>
      <c r="E110" t="s">
        <v>177</v>
      </c>
      <c r="F110" t="s">
        <v>63</v>
      </c>
      <c r="G110" t="s">
        <v>44</v>
      </c>
      <c r="H110" s="36">
        <v>0</v>
      </c>
      <c r="I110" s="36">
        <v>8250</v>
      </c>
      <c r="J110" t="s">
        <v>172</v>
      </c>
      <c r="K110" t="s">
        <v>147</v>
      </c>
      <c r="L110">
        <v>8250</v>
      </c>
      <c r="M110" s="36">
        <v>0</v>
      </c>
      <c r="N110" s="36">
        <f>DataTable[[#This Row],[Resource Cost]]+DataTable[[#This Row],[Other Cost]]</f>
        <v>8250</v>
      </c>
      <c r="O110" s="36">
        <v>1650</v>
      </c>
      <c r="P110" s="36">
        <v>6600</v>
      </c>
      <c r="Q110" s="36">
        <f>DataTable[[#This Row],[Pct Budget]]*totalBudget</f>
        <v>3055000</v>
      </c>
      <c r="R110" s="36" t="str">
        <f>IFERROR(VLOOKUP(DataTable[[#This Row],[Financial Category]],tblFinancialCat[],2,FALSE),"")</f>
        <v>OpEx</v>
      </c>
      <c r="S110" s="36">
        <f>IFERROR(DataTable[[#This Row],[Utilized]]/DataTable[[#This Row],[Total Cost]]*DataTable[[#This Row],[Resource Cost]],0)</f>
        <v>1650</v>
      </c>
      <c r="T110" s="36">
        <f>IFERROR(DataTable[[#This Row],[Utilized]]/DataTable[[#This Row],[Total Cost]]*DataTable[[#This Row],[Other Cost]],0)</f>
        <v>0</v>
      </c>
      <c r="U110" s="217">
        <v>42309</v>
      </c>
      <c r="V110" s="36" t="str">
        <f>TEXT(DataTable[[#This Row],[Month]],"MMM-YY")</f>
        <v>Nov-15</v>
      </c>
    </row>
    <row r="111" spans="1:22" x14ac:dyDescent="0.25">
      <c r="A111">
        <v>110</v>
      </c>
      <c r="B111" t="s">
        <v>16</v>
      </c>
      <c r="C111">
        <v>0.47</v>
      </c>
      <c r="D111" t="s">
        <v>176</v>
      </c>
      <c r="E111" t="s">
        <v>208</v>
      </c>
      <c r="F111" t="s">
        <v>63</v>
      </c>
      <c r="G111" t="s">
        <v>44</v>
      </c>
      <c r="H111" s="36">
        <v>0</v>
      </c>
      <c r="I111" s="36">
        <v>8250</v>
      </c>
      <c r="J111" t="s">
        <v>172</v>
      </c>
      <c r="K111" t="s">
        <v>147</v>
      </c>
      <c r="L111">
        <v>8250</v>
      </c>
      <c r="M111" s="36">
        <v>0</v>
      </c>
      <c r="N111" s="36">
        <f>DataTable[[#This Row],[Resource Cost]]+DataTable[[#This Row],[Other Cost]]</f>
        <v>8250</v>
      </c>
      <c r="O111" s="36">
        <v>1650</v>
      </c>
      <c r="P111" s="36">
        <v>6600</v>
      </c>
      <c r="Q111" s="36">
        <f>DataTable[[#This Row],[Pct Budget]]*totalBudget</f>
        <v>3055000</v>
      </c>
      <c r="R111" s="36" t="str">
        <f>IFERROR(VLOOKUP(DataTable[[#This Row],[Financial Category]],tblFinancialCat[],2,FALSE),"")</f>
        <v>OpEx</v>
      </c>
      <c r="S111" s="36">
        <f>IFERROR(DataTable[[#This Row],[Utilized]]/DataTable[[#This Row],[Total Cost]]*DataTable[[#This Row],[Resource Cost]],0)</f>
        <v>1650</v>
      </c>
      <c r="T111" s="36">
        <f>IFERROR(DataTable[[#This Row],[Utilized]]/DataTable[[#This Row],[Total Cost]]*DataTable[[#This Row],[Other Cost]],0)</f>
        <v>0</v>
      </c>
      <c r="U111" s="217">
        <v>42309</v>
      </c>
      <c r="V111" s="36" t="str">
        <f>TEXT(DataTable[[#This Row],[Month]],"MMM-YY")</f>
        <v>Nov-15</v>
      </c>
    </row>
    <row r="112" spans="1:22" x14ac:dyDescent="0.25">
      <c r="A112">
        <v>111</v>
      </c>
      <c r="B112" t="s">
        <v>16</v>
      </c>
      <c r="C112">
        <v>0.47</v>
      </c>
      <c r="D112" t="s">
        <v>176</v>
      </c>
      <c r="E112" t="s">
        <v>178</v>
      </c>
      <c r="F112" t="s">
        <v>63</v>
      </c>
      <c r="G112" t="s">
        <v>44</v>
      </c>
      <c r="H112" s="36">
        <v>0</v>
      </c>
      <c r="I112" s="36">
        <v>4507.2115384615381</v>
      </c>
      <c r="J112" t="s">
        <v>172</v>
      </c>
      <c r="K112" t="s">
        <v>129</v>
      </c>
      <c r="L112">
        <v>4507.2115384615381</v>
      </c>
      <c r="M112" s="36">
        <v>0</v>
      </c>
      <c r="N112" s="36">
        <f>DataTable[[#This Row],[Resource Cost]]+DataTable[[#This Row],[Other Cost]]</f>
        <v>4507.2115384615381</v>
      </c>
      <c r="O112" s="36">
        <v>901.44230769230762</v>
      </c>
      <c r="P112" s="36">
        <v>3605.7692307692305</v>
      </c>
      <c r="Q112" s="36">
        <f>DataTable[[#This Row],[Pct Budget]]*totalBudget</f>
        <v>3055000</v>
      </c>
      <c r="R112" s="36" t="str">
        <f>IFERROR(VLOOKUP(DataTable[[#This Row],[Financial Category]],tblFinancialCat[],2,FALSE),"")</f>
        <v>OpEx</v>
      </c>
      <c r="S112" s="36">
        <f>IFERROR(DataTable[[#This Row],[Utilized]]/DataTable[[#This Row],[Total Cost]]*DataTable[[#This Row],[Resource Cost]],0)</f>
        <v>901.44230769230762</v>
      </c>
      <c r="T112" s="36">
        <f>IFERROR(DataTable[[#This Row],[Utilized]]/DataTable[[#This Row],[Total Cost]]*DataTable[[#This Row],[Other Cost]],0)</f>
        <v>0</v>
      </c>
      <c r="U112" s="217">
        <v>42309</v>
      </c>
      <c r="V112" s="36" t="str">
        <f>TEXT(DataTable[[#This Row],[Month]],"MMM-YY")</f>
        <v>Nov-15</v>
      </c>
    </row>
    <row r="113" spans="1:22" x14ac:dyDescent="0.25">
      <c r="A113">
        <v>112</v>
      </c>
      <c r="B113" t="s">
        <v>16</v>
      </c>
      <c r="C113">
        <v>0.47</v>
      </c>
      <c r="D113" t="s">
        <v>176</v>
      </c>
      <c r="E113" t="s">
        <v>201</v>
      </c>
      <c r="F113" t="s">
        <v>63</v>
      </c>
      <c r="G113" t="s">
        <v>44</v>
      </c>
      <c r="H113" s="36">
        <v>0</v>
      </c>
      <c r="I113" s="36">
        <v>4507.2115384615381</v>
      </c>
      <c r="J113" t="s">
        <v>172</v>
      </c>
      <c r="K113" t="s">
        <v>129</v>
      </c>
      <c r="L113">
        <v>4507.2115384615381</v>
      </c>
      <c r="M113" s="36">
        <v>0</v>
      </c>
      <c r="N113" s="36">
        <f>DataTable[[#This Row],[Resource Cost]]+DataTable[[#This Row],[Other Cost]]</f>
        <v>4507.2115384615381</v>
      </c>
      <c r="O113" s="36">
        <v>901.44230769230762</v>
      </c>
      <c r="P113" s="36">
        <v>3605.7692307692305</v>
      </c>
      <c r="Q113" s="36">
        <f>DataTable[[#This Row],[Pct Budget]]*totalBudget</f>
        <v>3055000</v>
      </c>
      <c r="R113" s="36" t="str">
        <f>IFERROR(VLOOKUP(DataTable[[#This Row],[Financial Category]],tblFinancialCat[],2,FALSE),"")</f>
        <v>OpEx</v>
      </c>
      <c r="S113" s="36">
        <f>IFERROR(DataTable[[#This Row],[Utilized]]/DataTable[[#This Row],[Total Cost]]*DataTable[[#This Row],[Resource Cost]],0)</f>
        <v>901.44230769230762</v>
      </c>
      <c r="T113" s="36">
        <f>IFERROR(DataTable[[#This Row],[Utilized]]/DataTable[[#This Row],[Total Cost]]*DataTable[[#This Row],[Other Cost]],0)</f>
        <v>0</v>
      </c>
      <c r="U113" s="217">
        <v>42309</v>
      </c>
      <c r="V113" s="36" t="str">
        <f>TEXT(DataTable[[#This Row],[Month]],"MMM-YY")</f>
        <v>Nov-15</v>
      </c>
    </row>
    <row r="114" spans="1:22" x14ac:dyDescent="0.25">
      <c r="A114">
        <v>113</v>
      </c>
      <c r="B114" t="s">
        <v>16</v>
      </c>
      <c r="C114">
        <v>0.47</v>
      </c>
      <c r="D114" t="s">
        <v>176</v>
      </c>
      <c r="E114" t="s">
        <v>177</v>
      </c>
      <c r="F114" t="s">
        <v>63</v>
      </c>
      <c r="G114" t="s">
        <v>44</v>
      </c>
      <c r="H114" s="36">
        <v>0</v>
      </c>
      <c r="I114" s="36">
        <v>4507.2115384615381</v>
      </c>
      <c r="J114" t="s">
        <v>172</v>
      </c>
      <c r="K114" t="s">
        <v>129</v>
      </c>
      <c r="L114">
        <v>4507.2115384615381</v>
      </c>
      <c r="M114" s="36">
        <v>0</v>
      </c>
      <c r="N114" s="36">
        <f>DataTable[[#This Row],[Resource Cost]]+DataTable[[#This Row],[Other Cost]]</f>
        <v>4507.2115384615381</v>
      </c>
      <c r="O114" s="36">
        <v>901.44230769230762</v>
      </c>
      <c r="P114" s="36">
        <v>3605.7692307692305</v>
      </c>
      <c r="Q114" s="36">
        <f>DataTable[[#This Row],[Pct Budget]]*totalBudget</f>
        <v>3055000</v>
      </c>
      <c r="R114" s="36" t="str">
        <f>IFERROR(VLOOKUP(DataTable[[#This Row],[Financial Category]],tblFinancialCat[],2,FALSE),"")</f>
        <v>OpEx</v>
      </c>
      <c r="S114" s="36">
        <f>IFERROR(DataTable[[#This Row],[Utilized]]/DataTable[[#This Row],[Total Cost]]*DataTable[[#This Row],[Resource Cost]],0)</f>
        <v>901.44230769230762</v>
      </c>
      <c r="T114" s="36">
        <f>IFERROR(DataTable[[#This Row],[Utilized]]/DataTable[[#This Row],[Total Cost]]*DataTable[[#This Row],[Other Cost]],0)</f>
        <v>0</v>
      </c>
      <c r="U114" s="217">
        <v>42309</v>
      </c>
      <c r="V114" s="36" t="str">
        <f>TEXT(DataTable[[#This Row],[Month]],"MMM-YY")</f>
        <v>Nov-15</v>
      </c>
    </row>
    <row r="115" spans="1:22" x14ac:dyDescent="0.25">
      <c r="A115">
        <v>114</v>
      </c>
      <c r="B115" t="s">
        <v>16</v>
      </c>
      <c r="C115">
        <v>0.47</v>
      </c>
      <c r="D115" t="s">
        <v>176</v>
      </c>
      <c r="E115" t="s">
        <v>208</v>
      </c>
      <c r="F115" t="s">
        <v>63</v>
      </c>
      <c r="G115" t="s">
        <v>44</v>
      </c>
      <c r="H115" s="36">
        <v>0</v>
      </c>
      <c r="I115" s="36">
        <v>4507.2115384615381</v>
      </c>
      <c r="J115" t="s">
        <v>172</v>
      </c>
      <c r="K115" t="s">
        <v>129</v>
      </c>
      <c r="L115">
        <v>4507.2115384615381</v>
      </c>
      <c r="M115" s="36">
        <v>0</v>
      </c>
      <c r="N115" s="36">
        <f>DataTable[[#This Row],[Resource Cost]]+DataTable[[#This Row],[Other Cost]]</f>
        <v>4507.2115384615381</v>
      </c>
      <c r="O115" s="36">
        <v>901.44230769230762</v>
      </c>
      <c r="P115" s="36">
        <v>3605.7692307692305</v>
      </c>
      <c r="Q115" s="36">
        <f>DataTable[[#This Row],[Pct Budget]]*totalBudget</f>
        <v>3055000</v>
      </c>
      <c r="R115" s="36" t="str">
        <f>IFERROR(VLOOKUP(DataTable[[#This Row],[Financial Category]],tblFinancialCat[],2,FALSE),"")</f>
        <v>OpEx</v>
      </c>
      <c r="S115" s="36">
        <f>IFERROR(DataTable[[#This Row],[Utilized]]/DataTable[[#This Row],[Total Cost]]*DataTable[[#This Row],[Resource Cost]],0)</f>
        <v>901.44230769230762</v>
      </c>
      <c r="T115" s="36">
        <f>IFERROR(DataTable[[#This Row],[Utilized]]/DataTable[[#This Row],[Total Cost]]*DataTable[[#This Row],[Other Cost]],0)</f>
        <v>0</v>
      </c>
      <c r="U115" s="217">
        <v>42309</v>
      </c>
      <c r="V115" s="36" t="str">
        <f>TEXT(DataTable[[#This Row],[Month]],"MMM-YY")</f>
        <v>Nov-15</v>
      </c>
    </row>
    <row r="116" spans="1:22" x14ac:dyDescent="0.25">
      <c r="A116">
        <v>115</v>
      </c>
      <c r="B116" t="s">
        <v>16</v>
      </c>
      <c r="C116">
        <v>0.47</v>
      </c>
      <c r="D116" t="s">
        <v>18</v>
      </c>
      <c r="E116" t="s">
        <v>174</v>
      </c>
      <c r="F116" t="s">
        <v>65</v>
      </c>
      <c r="G116" t="s">
        <v>222</v>
      </c>
      <c r="H116" s="36">
        <v>272.4358974358974</v>
      </c>
      <c r="I116" s="36">
        <v>0</v>
      </c>
      <c r="J116" t="s">
        <v>172</v>
      </c>
      <c r="K116" t="s">
        <v>126</v>
      </c>
      <c r="L116">
        <v>272.4358974358974</v>
      </c>
      <c r="M116" s="36">
        <v>0</v>
      </c>
      <c r="N116" s="36">
        <f>DataTable[[#This Row],[Resource Cost]]+DataTable[[#This Row],[Other Cost]]</f>
        <v>272.4358974358974</v>
      </c>
      <c r="O116" s="36">
        <v>272.4358974358974</v>
      </c>
      <c r="P116" s="36">
        <v>0</v>
      </c>
      <c r="Q116" s="36">
        <f>DataTable[[#This Row],[Pct Budget]]*totalBudget</f>
        <v>3055000</v>
      </c>
      <c r="R116" s="36" t="str">
        <f>IFERROR(VLOOKUP(DataTable[[#This Row],[Financial Category]],tblFinancialCat[],2,FALSE),"")</f>
        <v>OpEx</v>
      </c>
      <c r="S116" s="36">
        <f>IFERROR(DataTable[[#This Row],[Utilized]]/DataTable[[#This Row],[Total Cost]]*DataTable[[#This Row],[Resource Cost]],0)</f>
        <v>272.4358974358974</v>
      </c>
      <c r="T116" s="36">
        <f>IFERROR(DataTable[[#This Row],[Utilized]]/DataTable[[#This Row],[Total Cost]]*DataTable[[#This Row],[Other Cost]],0)</f>
        <v>0</v>
      </c>
      <c r="U116" s="217">
        <v>42370</v>
      </c>
      <c r="V116" s="36" t="str">
        <f>TEXT(DataTable[[#This Row],[Month]],"MMM-YY")</f>
        <v>Jan-16</v>
      </c>
    </row>
    <row r="117" spans="1:22" x14ac:dyDescent="0.25">
      <c r="A117">
        <v>116</v>
      </c>
      <c r="B117" t="s">
        <v>16</v>
      </c>
      <c r="C117">
        <v>0.47</v>
      </c>
      <c r="D117" t="s">
        <v>18</v>
      </c>
      <c r="E117" t="s">
        <v>178</v>
      </c>
      <c r="F117" t="s">
        <v>65</v>
      </c>
      <c r="G117" t="s">
        <v>222</v>
      </c>
      <c r="H117" s="36">
        <v>272.4358974358974</v>
      </c>
      <c r="I117" s="36">
        <v>0</v>
      </c>
      <c r="J117" t="s">
        <v>172</v>
      </c>
      <c r="K117" t="s">
        <v>126</v>
      </c>
      <c r="L117">
        <v>272.4358974358974</v>
      </c>
      <c r="M117" s="36">
        <v>0</v>
      </c>
      <c r="N117" s="36">
        <f>DataTable[[#This Row],[Resource Cost]]+DataTable[[#This Row],[Other Cost]]</f>
        <v>272.4358974358974</v>
      </c>
      <c r="O117" s="36">
        <v>272.4358974358974</v>
      </c>
      <c r="P117" s="36">
        <v>0</v>
      </c>
      <c r="Q117" s="36">
        <f>DataTable[[#This Row],[Pct Budget]]*totalBudget</f>
        <v>3055000</v>
      </c>
      <c r="R117" s="36" t="str">
        <f>IFERROR(VLOOKUP(DataTable[[#This Row],[Financial Category]],tblFinancialCat[],2,FALSE),"")</f>
        <v>OpEx</v>
      </c>
      <c r="S117" s="36">
        <f>IFERROR(DataTable[[#This Row],[Utilized]]/DataTable[[#This Row],[Total Cost]]*DataTable[[#This Row],[Resource Cost]],0)</f>
        <v>272.4358974358974</v>
      </c>
      <c r="T117" s="36">
        <f>IFERROR(DataTable[[#This Row],[Utilized]]/DataTable[[#This Row],[Total Cost]]*DataTable[[#This Row],[Other Cost]],0)</f>
        <v>0</v>
      </c>
      <c r="U117" s="217">
        <v>42370</v>
      </c>
      <c r="V117" s="36" t="str">
        <f>TEXT(DataTable[[#This Row],[Month]],"MMM-YY")</f>
        <v>Jan-16</v>
      </c>
    </row>
    <row r="118" spans="1:22" x14ac:dyDescent="0.25">
      <c r="A118">
        <v>117</v>
      </c>
      <c r="B118" t="s">
        <v>16</v>
      </c>
      <c r="C118">
        <v>0.47</v>
      </c>
      <c r="D118" t="s">
        <v>18</v>
      </c>
      <c r="E118" t="s">
        <v>33</v>
      </c>
      <c r="F118" t="s">
        <v>65</v>
      </c>
      <c r="G118" t="s">
        <v>222</v>
      </c>
      <c r="H118" s="36">
        <v>272.4358974358974</v>
      </c>
      <c r="I118" s="36">
        <v>0</v>
      </c>
      <c r="J118" t="s">
        <v>172</v>
      </c>
      <c r="K118" t="s">
        <v>126</v>
      </c>
      <c r="L118">
        <v>272.4358974358974</v>
      </c>
      <c r="M118" s="36">
        <v>0</v>
      </c>
      <c r="N118" s="36">
        <f>DataTable[[#This Row],[Resource Cost]]+DataTable[[#This Row],[Other Cost]]</f>
        <v>272.4358974358974</v>
      </c>
      <c r="O118" s="36">
        <v>272.4358974358974</v>
      </c>
      <c r="P118" s="36">
        <v>0</v>
      </c>
      <c r="Q118" s="36">
        <f>DataTable[[#This Row],[Pct Budget]]*totalBudget</f>
        <v>3055000</v>
      </c>
      <c r="R118" s="36" t="str">
        <f>IFERROR(VLOOKUP(DataTable[[#This Row],[Financial Category]],tblFinancialCat[],2,FALSE),"")</f>
        <v>OpEx</v>
      </c>
      <c r="S118" s="36">
        <f>IFERROR(DataTable[[#This Row],[Utilized]]/DataTable[[#This Row],[Total Cost]]*DataTable[[#This Row],[Resource Cost]],0)</f>
        <v>272.4358974358974</v>
      </c>
      <c r="T118" s="36">
        <f>IFERROR(DataTable[[#This Row],[Utilized]]/DataTable[[#This Row],[Total Cost]]*DataTable[[#This Row],[Other Cost]],0)</f>
        <v>0</v>
      </c>
      <c r="U118" s="217">
        <v>42370</v>
      </c>
      <c r="V118" s="36" t="str">
        <f>TEXT(DataTable[[#This Row],[Month]],"MMM-YY")</f>
        <v>Jan-16</v>
      </c>
    </row>
    <row r="119" spans="1:22" x14ac:dyDescent="0.25">
      <c r="A119">
        <v>118</v>
      </c>
      <c r="B119" t="s">
        <v>16</v>
      </c>
      <c r="C119">
        <v>0.47</v>
      </c>
      <c r="D119" t="s">
        <v>18</v>
      </c>
      <c r="E119" t="s">
        <v>174</v>
      </c>
      <c r="F119" t="s">
        <v>65</v>
      </c>
      <c r="G119" t="s">
        <v>222</v>
      </c>
      <c r="H119" s="36">
        <v>2466.6666666666665</v>
      </c>
      <c r="I119" s="36">
        <v>0</v>
      </c>
      <c r="J119" t="s">
        <v>172</v>
      </c>
      <c r="K119" t="s">
        <v>162</v>
      </c>
      <c r="L119">
        <v>2466.6666666666665</v>
      </c>
      <c r="M119" s="36">
        <v>0</v>
      </c>
      <c r="N119" s="36">
        <f>DataTable[[#This Row],[Resource Cost]]+DataTable[[#This Row],[Other Cost]]</f>
        <v>2466.6666666666665</v>
      </c>
      <c r="O119" s="36">
        <v>2466.6666666666665</v>
      </c>
      <c r="P119" s="36">
        <v>0</v>
      </c>
      <c r="Q119" s="36">
        <f>DataTable[[#This Row],[Pct Budget]]*totalBudget</f>
        <v>3055000</v>
      </c>
      <c r="R119" s="36" t="str">
        <f>IFERROR(VLOOKUP(DataTable[[#This Row],[Financial Category]],tblFinancialCat[],2,FALSE),"")</f>
        <v>OpEx</v>
      </c>
      <c r="S119" s="36">
        <f>IFERROR(DataTable[[#This Row],[Utilized]]/DataTable[[#This Row],[Total Cost]]*DataTable[[#This Row],[Resource Cost]],0)</f>
        <v>2466.6666666666665</v>
      </c>
      <c r="T119" s="36">
        <f>IFERROR(DataTable[[#This Row],[Utilized]]/DataTable[[#This Row],[Total Cost]]*DataTable[[#This Row],[Other Cost]],0)</f>
        <v>0</v>
      </c>
      <c r="U119" s="217">
        <v>42370</v>
      </c>
      <c r="V119" s="36" t="str">
        <f>TEXT(DataTable[[#This Row],[Month]],"MMM-YY")</f>
        <v>Jan-16</v>
      </c>
    </row>
    <row r="120" spans="1:22" x14ac:dyDescent="0.25">
      <c r="A120">
        <v>119</v>
      </c>
      <c r="B120" t="s">
        <v>16</v>
      </c>
      <c r="C120">
        <v>0.47</v>
      </c>
      <c r="D120" t="s">
        <v>18</v>
      </c>
      <c r="E120" t="s">
        <v>178</v>
      </c>
      <c r="F120" t="s">
        <v>65</v>
      </c>
      <c r="G120" t="s">
        <v>222</v>
      </c>
      <c r="H120" s="36">
        <v>2466.6666666666665</v>
      </c>
      <c r="I120" s="36">
        <v>0</v>
      </c>
      <c r="J120" t="s">
        <v>172</v>
      </c>
      <c r="K120" t="s">
        <v>162</v>
      </c>
      <c r="L120">
        <v>2466.6666666666665</v>
      </c>
      <c r="M120" s="36">
        <v>0</v>
      </c>
      <c r="N120" s="36">
        <f>DataTable[[#This Row],[Resource Cost]]+DataTable[[#This Row],[Other Cost]]</f>
        <v>2466.6666666666665</v>
      </c>
      <c r="O120" s="36">
        <v>2466.6666666666665</v>
      </c>
      <c r="P120" s="36">
        <v>0</v>
      </c>
      <c r="Q120" s="36">
        <f>DataTable[[#This Row],[Pct Budget]]*totalBudget</f>
        <v>3055000</v>
      </c>
      <c r="R120" s="36" t="str">
        <f>IFERROR(VLOOKUP(DataTable[[#This Row],[Financial Category]],tblFinancialCat[],2,FALSE),"")</f>
        <v>OpEx</v>
      </c>
      <c r="S120" s="36">
        <f>IFERROR(DataTable[[#This Row],[Utilized]]/DataTable[[#This Row],[Total Cost]]*DataTable[[#This Row],[Resource Cost]],0)</f>
        <v>2466.6666666666665</v>
      </c>
      <c r="T120" s="36">
        <f>IFERROR(DataTable[[#This Row],[Utilized]]/DataTable[[#This Row],[Total Cost]]*DataTable[[#This Row],[Other Cost]],0)</f>
        <v>0</v>
      </c>
      <c r="U120" s="217">
        <v>42370</v>
      </c>
      <c r="V120" s="36" t="str">
        <f>TEXT(DataTable[[#This Row],[Month]],"MMM-YY")</f>
        <v>Jan-16</v>
      </c>
    </row>
    <row r="121" spans="1:22" x14ac:dyDescent="0.25">
      <c r="A121">
        <v>120</v>
      </c>
      <c r="B121" t="s">
        <v>16</v>
      </c>
      <c r="C121">
        <v>0.47</v>
      </c>
      <c r="D121" t="s">
        <v>18</v>
      </c>
      <c r="E121" t="s">
        <v>33</v>
      </c>
      <c r="F121" t="s">
        <v>65</v>
      </c>
      <c r="G121" t="s">
        <v>222</v>
      </c>
      <c r="H121" s="36">
        <v>2466.6666666666665</v>
      </c>
      <c r="I121" s="36">
        <v>0</v>
      </c>
      <c r="J121" t="s">
        <v>172</v>
      </c>
      <c r="K121" t="s">
        <v>162</v>
      </c>
      <c r="L121">
        <v>2466.6666666666665</v>
      </c>
      <c r="M121" s="36">
        <v>0</v>
      </c>
      <c r="N121" s="36">
        <f>DataTable[[#This Row],[Resource Cost]]+DataTable[[#This Row],[Other Cost]]</f>
        <v>2466.6666666666665</v>
      </c>
      <c r="O121" s="36">
        <v>2466.6666666666665</v>
      </c>
      <c r="P121" s="36">
        <v>0</v>
      </c>
      <c r="Q121" s="36">
        <f>DataTable[[#This Row],[Pct Budget]]*totalBudget</f>
        <v>3055000</v>
      </c>
      <c r="R121" s="36" t="str">
        <f>IFERROR(VLOOKUP(DataTable[[#This Row],[Financial Category]],tblFinancialCat[],2,FALSE),"")</f>
        <v>OpEx</v>
      </c>
      <c r="S121" s="36">
        <f>IFERROR(DataTable[[#This Row],[Utilized]]/DataTable[[#This Row],[Total Cost]]*DataTable[[#This Row],[Resource Cost]],0)</f>
        <v>2466.6666666666665</v>
      </c>
      <c r="T121" s="36">
        <f>IFERROR(DataTable[[#This Row],[Utilized]]/DataTable[[#This Row],[Total Cost]]*DataTable[[#This Row],[Other Cost]],0)</f>
        <v>0</v>
      </c>
      <c r="U121" s="217">
        <v>42370</v>
      </c>
      <c r="V121" s="36" t="str">
        <f>TEXT(DataTable[[#This Row],[Month]],"MMM-YY")</f>
        <v>Jan-16</v>
      </c>
    </row>
    <row r="122" spans="1:22" x14ac:dyDescent="0.25">
      <c r="A122">
        <v>121</v>
      </c>
      <c r="B122" t="s">
        <v>16</v>
      </c>
      <c r="C122">
        <v>0.47</v>
      </c>
      <c r="D122" t="s">
        <v>18</v>
      </c>
      <c r="E122" t="s">
        <v>174</v>
      </c>
      <c r="F122" t="s">
        <v>65</v>
      </c>
      <c r="G122" t="s">
        <v>222</v>
      </c>
      <c r="H122" s="36">
        <v>136.2179487179487</v>
      </c>
      <c r="I122" s="36">
        <v>0</v>
      </c>
      <c r="J122" t="s">
        <v>172</v>
      </c>
      <c r="K122" t="s">
        <v>126</v>
      </c>
      <c r="L122">
        <v>136.2179487179487</v>
      </c>
      <c r="M122" s="36">
        <v>0</v>
      </c>
      <c r="N122" s="36">
        <f>DataTable[[#This Row],[Resource Cost]]+DataTable[[#This Row],[Other Cost]]</f>
        <v>136.2179487179487</v>
      </c>
      <c r="O122" s="36">
        <v>136.2179487179487</v>
      </c>
      <c r="P122" s="36">
        <v>0</v>
      </c>
      <c r="Q122" s="36">
        <f>DataTable[[#This Row],[Pct Budget]]*totalBudget</f>
        <v>3055000</v>
      </c>
      <c r="R122" s="36" t="str">
        <f>IFERROR(VLOOKUP(DataTable[[#This Row],[Financial Category]],tblFinancialCat[],2,FALSE),"")</f>
        <v>OpEx</v>
      </c>
      <c r="S122" s="36">
        <f>IFERROR(DataTable[[#This Row],[Utilized]]/DataTable[[#This Row],[Total Cost]]*DataTable[[#This Row],[Resource Cost]],0)</f>
        <v>136.2179487179487</v>
      </c>
      <c r="T122" s="36">
        <f>IFERROR(DataTable[[#This Row],[Utilized]]/DataTable[[#This Row],[Total Cost]]*DataTable[[#This Row],[Other Cost]],0)</f>
        <v>0</v>
      </c>
      <c r="U122" s="217">
        <v>42156</v>
      </c>
      <c r="V122" s="36" t="str">
        <f>TEXT(DataTable[[#This Row],[Month]],"MMM-YY")</f>
        <v>Jun-15</v>
      </c>
    </row>
    <row r="123" spans="1:22" x14ac:dyDescent="0.25">
      <c r="A123">
        <v>122</v>
      </c>
      <c r="B123" t="s">
        <v>16</v>
      </c>
      <c r="C123">
        <v>0.47</v>
      </c>
      <c r="D123" t="s">
        <v>18</v>
      </c>
      <c r="E123" t="s">
        <v>178</v>
      </c>
      <c r="F123" t="s">
        <v>65</v>
      </c>
      <c r="G123" t="s">
        <v>222</v>
      </c>
      <c r="H123" s="36">
        <v>136.2179487179487</v>
      </c>
      <c r="I123" s="36">
        <v>0</v>
      </c>
      <c r="J123" t="s">
        <v>172</v>
      </c>
      <c r="K123" t="s">
        <v>126</v>
      </c>
      <c r="L123">
        <v>136.2179487179487</v>
      </c>
      <c r="M123" s="36">
        <v>0</v>
      </c>
      <c r="N123" s="36">
        <f>DataTable[[#This Row],[Resource Cost]]+DataTable[[#This Row],[Other Cost]]</f>
        <v>136.2179487179487</v>
      </c>
      <c r="O123" s="36">
        <v>136.2179487179487</v>
      </c>
      <c r="P123" s="36">
        <v>0</v>
      </c>
      <c r="Q123" s="36">
        <f>DataTable[[#This Row],[Pct Budget]]*totalBudget</f>
        <v>3055000</v>
      </c>
      <c r="R123" s="36" t="str">
        <f>IFERROR(VLOOKUP(DataTable[[#This Row],[Financial Category]],tblFinancialCat[],2,FALSE),"")</f>
        <v>OpEx</v>
      </c>
      <c r="S123" s="36">
        <f>IFERROR(DataTable[[#This Row],[Utilized]]/DataTable[[#This Row],[Total Cost]]*DataTable[[#This Row],[Resource Cost]],0)</f>
        <v>136.2179487179487</v>
      </c>
      <c r="T123" s="36">
        <f>IFERROR(DataTable[[#This Row],[Utilized]]/DataTable[[#This Row],[Total Cost]]*DataTable[[#This Row],[Other Cost]],0)</f>
        <v>0</v>
      </c>
      <c r="U123" s="217">
        <v>42156</v>
      </c>
      <c r="V123" s="36" t="str">
        <f>TEXT(DataTable[[#This Row],[Month]],"MMM-YY")</f>
        <v>Jun-15</v>
      </c>
    </row>
    <row r="124" spans="1:22" x14ac:dyDescent="0.25">
      <c r="A124">
        <v>123</v>
      </c>
      <c r="B124" t="s">
        <v>16</v>
      </c>
      <c r="C124">
        <v>0.47</v>
      </c>
      <c r="D124" t="s">
        <v>18</v>
      </c>
      <c r="E124" t="s">
        <v>33</v>
      </c>
      <c r="F124" t="s">
        <v>65</v>
      </c>
      <c r="G124" t="s">
        <v>222</v>
      </c>
      <c r="H124" s="36">
        <v>136.2179487179487</v>
      </c>
      <c r="I124" s="36">
        <v>0</v>
      </c>
      <c r="J124" t="s">
        <v>172</v>
      </c>
      <c r="K124" t="s">
        <v>126</v>
      </c>
      <c r="L124">
        <v>136.2179487179487</v>
      </c>
      <c r="M124" s="36">
        <v>0</v>
      </c>
      <c r="N124" s="36">
        <f>DataTable[[#This Row],[Resource Cost]]+DataTable[[#This Row],[Other Cost]]</f>
        <v>136.2179487179487</v>
      </c>
      <c r="O124" s="36">
        <v>136.2179487179487</v>
      </c>
      <c r="P124" s="36">
        <v>0</v>
      </c>
      <c r="Q124" s="36">
        <f>DataTable[[#This Row],[Pct Budget]]*totalBudget</f>
        <v>3055000</v>
      </c>
      <c r="R124" s="36" t="str">
        <f>IFERROR(VLOOKUP(DataTable[[#This Row],[Financial Category]],tblFinancialCat[],2,FALSE),"")</f>
        <v>OpEx</v>
      </c>
      <c r="S124" s="36">
        <f>IFERROR(DataTable[[#This Row],[Utilized]]/DataTable[[#This Row],[Total Cost]]*DataTable[[#This Row],[Resource Cost]],0)</f>
        <v>136.2179487179487</v>
      </c>
      <c r="T124" s="36">
        <f>IFERROR(DataTable[[#This Row],[Utilized]]/DataTable[[#This Row],[Total Cost]]*DataTable[[#This Row],[Other Cost]],0)</f>
        <v>0</v>
      </c>
      <c r="U124" s="217">
        <v>42156</v>
      </c>
      <c r="V124" s="36" t="str">
        <f>TEXT(DataTable[[#This Row],[Month]],"MMM-YY")</f>
        <v>Jun-15</v>
      </c>
    </row>
    <row r="125" spans="1:22" x14ac:dyDescent="0.25">
      <c r="A125">
        <v>124</v>
      </c>
      <c r="B125" t="s">
        <v>16</v>
      </c>
      <c r="C125">
        <v>0.47</v>
      </c>
      <c r="D125" t="s">
        <v>18</v>
      </c>
      <c r="E125" t="s">
        <v>174</v>
      </c>
      <c r="F125" t="s">
        <v>65</v>
      </c>
      <c r="G125" t="s">
        <v>222</v>
      </c>
      <c r="H125" s="36">
        <v>400.64102564102564</v>
      </c>
      <c r="I125" s="36">
        <v>0</v>
      </c>
      <c r="J125" t="s">
        <v>172</v>
      </c>
      <c r="K125" t="s">
        <v>127</v>
      </c>
      <c r="L125">
        <v>400.64102564102564</v>
      </c>
      <c r="M125" s="36">
        <v>0</v>
      </c>
      <c r="N125" s="36">
        <f>DataTable[[#This Row],[Resource Cost]]+DataTable[[#This Row],[Other Cost]]</f>
        <v>400.64102564102564</v>
      </c>
      <c r="O125" s="36">
        <v>400.64102564102564</v>
      </c>
      <c r="P125" s="36">
        <v>0</v>
      </c>
      <c r="Q125" s="36">
        <f>DataTable[[#This Row],[Pct Budget]]*totalBudget</f>
        <v>3055000</v>
      </c>
      <c r="R125" s="36" t="str">
        <f>IFERROR(VLOOKUP(DataTable[[#This Row],[Financial Category]],tblFinancialCat[],2,FALSE),"")</f>
        <v>OpEx</v>
      </c>
      <c r="S125" s="36">
        <f>IFERROR(DataTable[[#This Row],[Utilized]]/DataTable[[#This Row],[Total Cost]]*DataTable[[#This Row],[Resource Cost]],0)</f>
        <v>400.64102564102564</v>
      </c>
      <c r="T125" s="36">
        <f>IFERROR(DataTable[[#This Row],[Utilized]]/DataTable[[#This Row],[Total Cost]]*DataTable[[#This Row],[Other Cost]],0)</f>
        <v>0</v>
      </c>
      <c r="U125" s="217">
        <v>42156</v>
      </c>
      <c r="V125" s="36" t="str">
        <f>TEXT(DataTable[[#This Row],[Month]],"MMM-YY")</f>
        <v>Jun-15</v>
      </c>
    </row>
    <row r="126" spans="1:22" x14ac:dyDescent="0.25">
      <c r="A126">
        <v>125</v>
      </c>
      <c r="B126" t="s">
        <v>16</v>
      </c>
      <c r="C126">
        <v>0.47</v>
      </c>
      <c r="D126" t="s">
        <v>18</v>
      </c>
      <c r="E126" t="s">
        <v>178</v>
      </c>
      <c r="F126" t="s">
        <v>65</v>
      </c>
      <c r="G126" t="s">
        <v>222</v>
      </c>
      <c r="H126" s="36">
        <v>400.64102564102564</v>
      </c>
      <c r="I126" s="36">
        <v>0</v>
      </c>
      <c r="J126" t="s">
        <v>172</v>
      </c>
      <c r="K126" t="s">
        <v>127</v>
      </c>
      <c r="L126">
        <v>400.64102564102564</v>
      </c>
      <c r="M126" s="36">
        <v>0</v>
      </c>
      <c r="N126" s="36">
        <f>DataTable[[#This Row],[Resource Cost]]+DataTable[[#This Row],[Other Cost]]</f>
        <v>400.64102564102564</v>
      </c>
      <c r="O126" s="36">
        <v>400.64102564102564</v>
      </c>
      <c r="P126" s="36">
        <v>0</v>
      </c>
      <c r="Q126" s="36">
        <f>DataTable[[#This Row],[Pct Budget]]*totalBudget</f>
        <v>3055000</v>
      </c>
      <c r="R126" s="36" t="str">
        <f>IFERROR(VLOOKUP(DataTable[[#This Row],[Financial Category]],tblFinancialCat[],2,FALSE),"")</f>
        <v>OpEx</v>
      </c>
      <c r="S126" s="36">
        <f>IFERROR(DataTable[[#This Row],[Utilized]]/DataTable[[#This Row],[Total Cost]]*DataTable[[#This Row],[Resource Cost]],0)</f>
        <v>400.64102564102564</v>
      </c>
      <c r="T126" s="36">
        <f>IFERROR(DataTable[[#This Row],[Utilized]]/DataTable[[#This Row],[Total Cost]]*DataTable[[#This Row],[Other Cost]],0)</f>
        <v>0</v>
      </c>
      <c r="U126" s="217">
        <v>42156</v>
      </c>
      <c r="V126" s="36" t="str">
        <f>TEXT(DataTable[[#This Row],[Month]],"MMM-YY")</f>
        <v>Jun-15</v>
      </c>
    </row>
    <row r="127" spans="1:22" x14ac:dyDescent="0.25">
      <c r="A127">
        <v>126</v>
      </c>
      <c r="B127" t="s">
        <v>16</v>
      </c>
      <c r="C127">
        <v>0.47</v>
      </c>
      <c r="D127" t="s">
        <v>18</v>
      </c>
      <c r="E127" t="s">
        <v>33</v>
      </c>
      <c r="F127" t="s">
        <v>65</v>
      </c>
      <c r="G127" t="s">
        <v>222</v>
      </c>
      <c r="H127" s="36">
        <v>400.64102564102564</v>
      </c>
      <c r="I127" s="36">
        <v>0</v>
      </c>
      <c r="J127" t="s">
        <v>172</v>
      </c>
      <c r="K127" t="s">
        <v>127</v>
      </c>
      <c r="L127">
        <v>400.64102564102564</v>
      </c>
      <c r="M127" s="36">
        <v>0</v>
      </c>
      <c r="N127" s="36">
        <f>DataTable[[#This Row],[Resource Cost]]+DataTable[[#This Row],[Other Cost]]</f>
        <v>400.64102564102564</v>
      </c>
      <c r="O127" s="36">
        <v>400.64102564102564</v>
      </c>
      <c r="P127" s="36">
        <v>0</v>
      </c>
      <c r="Q127" s="36">
        <f>DataTable[[#This Row],[Pct Budget]]*totalBudget</f>
        <v>3055000</v>
      </c>
      <c r="R127" s="36" t="str">
        <f>IFERROR(VLOOKUP(DataTable[[#This Row],[Financial Category]],tblFinancialCat[],2,FALSE),"")</f>
        <v>OpEx</v>
      </c>
      <c r="S127" s="36">
        <f>IFERROR(DataTable[[#This Row],[Utilized]]/DataTable[[#This Row],[Total Cost]]*DataTable[[#This Row],[Resource Cost]],0)</f>
        <v>400.64102564102564</v>
      </c>
      <c r="T127" s="36">
        <f>IFERROR(DataTable[[#This Row],[Utilized]]/DataTable[[#This Row],[Total Cost]]*DataTable[[#This Row],[Other Cost]],0)</f>
        <v>0</v>
      </c>
      <c r="U127" s="217">
        <v>42156</v>
      </c>
      <c r="V127" s="36" t="str">
        <f>TEXT(DataTable[[#This Row],[Month]],"MMM-YY")</f>
        <v>Jun-15</v>
      </c>
    </row>
    <row r="128" spans="1:22" x14ac:dyDescent="0.25">
      <c r="A128">
        <v>127</v>
      </c>
      <c r="B128" t="s">
        <v>16</v>
      </c>
      <c r="C128">
        <v>0.47</v>
      </c>
      <c r="D128" t="s">
        <v>18</v>
      </c>
      <c r="E128" t="s">
        <v>174</v>
      </c>
      <c r="F128" t="s">
        <v>65</v>
      </c>
      <c r="G128" t="s">
        <v>222</v>
      </c>
      <c r="H128" s="36">
        <v>33401.442307692305</v>
      </c>
      <c r="I128" s="36">
        <v>0</v>
      </c>
      <c r="J128" t="s">
        <v>9</v>
      </c>
      <c r="K128" t="s">
        <v>126</v>
      </c>
      <c r="L128">
        <v>68.108974358974351</v>
      </c>
      <c r="M128" s="36">
        <v>33333.333333333336</v>
      </c>
      <c r="N128" s="36">
        <f>DataTable[[#This Row],[Resource Cost]]+DataTable[[#This Row],[Other Cost]]</f>
        <v>33401.442307692312</v>
      </c>
      <c r="O128" s="36">
        <v>33401.442307692305</v>
      </c>
      <c r="P128" s="36">
        <v>0</v>
      </c>
      <c r="Q128" s="36">
        <f>DataTable[[#This Row],[Pct Budget]]*totalBudget</f>
        <v>3055000</v>
      </c>
      <c r="R128" s="36" t="str">
        <f>IFERROR(VLOOKUP(DataTable[[#This Row],[Financial Category]],tblFinancialCat[],2,FALSE),"")</f>
        <v xml:space="preserve">CapEx  </v>
      </c>
      <c r="S128" s="36">
        <f>IFERROR(DataTable[[#This Row],[Utilized]]/DataTable[[#This Row],[Total Cost]]*DataTable[[#This Row],[Resource Cost]],0)</f>
        <v>68.108974358974336</v>
      </c>
      <c r="T128" s="36">
        <f>IFERROR(DataTable[[#This Row],[Utilized]]/DataTable[[#This Row],[Total Cost]]*DataTable[[#This Row],[Other Cost]],0)</f>
        <v>33333.333333333328</v>
      </c>
      <c r="U128" s="217">
        <v>42186</v>
      </c>
      <c r="V128" s="36" t="str">
        <f>TEXT(DataTable[[#This Row],[Month]],"MMM-YY")</f>
        <v>Jul-15</v>
      </c>
    </row>
    <row r="129" spans="1:22" x14ac:dyDescent="0.25">
      <c r="A129">
        <v>128</v>
      </c>
      <c r="B129" t="s">
        <v>16</v>
      </c>
      <c r="C129">
        <v>0.47</v>
      </c>
      <c r="D129" t="s">
        <v>18</v>
      </c>
      <c r="E129" t="s">
        <v>178</v>
      </c>
      <c r="F129" t="s">
        <v>65</v>
      </c>
      <c r="G129" t="s">
        <v>222</v>
      </c>
      <c r="H129" s="36">
        <v>33401.442307692305</v>
      </c>
      <c r="I129" s="36">
        <v>0</v>
      </c>
      <c r="J129" t="s">
        <v>9</v>
      </c>
      <c r="K129" t="s">
        <v>126</v>
      </c>
      <c r="L129">
        <v>68.108974358974351</v>
      </c>
      <c r="M129" s="36">
        <v>33333.333333333336</v>
      </c>
      <c r="N129" s="36">
        <f>DataTable[[#This Row],[Resource Cost]]+DataTable[[#This Row],[Other Cost]]</f>
        <v>33401.442307692312</v>
      </c>
      <c r="O129" s="36">
        <v>33401.442307692305</v>
      </c>
      <c r="P129" s="36">
        <v>0</v>
      </c>
      <c r="Q129" s="36">
        <f>DataTable[[#This Row],[Pct Budget]]*totalBudget</f>
        <v>3055000</v>
      </c>
      <c r="R129" s="36" t="str">
        <f>IFERROR(VLOOKUP(DataTable[[#This Row],[Financial Category]],tblFinancialCat[],2,FALSE),"")</f>
        <v xml:space="preserve">CapEx  </v>
      </c>
      <c r="S129" s="36">
        <f>IFERROR(DataTable[[#This Row],[Utilized]]/DataTable[[#This Row],[Total Cost]]*DataTable[[#This Row],[Resource Cost]],0)</f>
        <v>68.108974358974336</v>
      </c>
      <c r="T129" s="36">
        <f>IFERROR(DataTable[[#This Row],[Utilized]]/DataTable[[#This Row],[Total Cost]]*DataTable[[#This Row],[Other Cost]],0)</f>
        <v>33333.333333333328</v>
      </c>
      <c r="U129" s="217">
        <v>42186</v>
      </c>
      <c r="V129" s="36" t="str">
        <f>TEXT(DataTable[[#This Row],[Month]],"MMM-YY")</f>
        <v>Jul-15</v>
      </c>
    </row>
    <row r="130" spans="1:22" x14ac:dyDescent="0.25">
      <c r="A130">
        <v>129</v>
      </c>
      <c r="B130" t="s">
        <v>16</v>
      </c>
      <c r="C130">
        <v>0.47</v>
      </c>
      <c r="D130" t="s">
        <v>18</v>
      </c>
      <c r="E130" t="s">
        <v>33</v>
      </c>
      <c r="F130" t="s">
        <v>65</v>
      </c>
      <c r="G130" t="s">
        <v>222</v>
      </c>
      <c r="H130" s="36">
        <v>33401.442307692305</v>
      </c>
      <c r="I130" s="36">
        <v>0</v>
      </c>
      <c r="J130" t="s">
        <v>9</v>
      </c>
      <c r="K130" t="s">
        <v>126</v>
      </c>
      <c r="L130">
        <v>68.108974358974351</v>
      </c>
      <c r="M130" s="36">
        <v>33333.333333333336</v>
      </c>
      <c r="N130" s="36">
        <f>DataTable[[#This Row],[Resource Cost]]+DataTable[[#This Row],[Other Cost]]</f>
        <v>33401.442307692312</v>
      </c>
      <c r="O130" s="36">
        <v>33401.442307692305</v>
      </c>
      <c r="P130" s="36">
        <v>0</v>
      </c>
      <c r="Q130" s="36">
        <f>DataTable[[#This Row],[Pct Budget]]*totalBudget</f>
        <v>3055000</v>
      </c>
      <c r="R130" s="36" t="str">
        <f>IFERROR(VLOOKUP(DataTable[[#This Row],[Financial Category]],tblFinancialCat[],2,FALSE),"")</f>
        <v xml:space="preserve">CapEx  </v>
      </c>
      <c r="S130" s="36">
        <f>IFERROR(DataTable[[#This Row],[Utilized]]/DataTable[[#This Row],[Total Cost]]*DataTable[[#This Row],[Resource Cost]],0)</f>
        <v>68.108974358974336</v>
      </c>
      <c r="T130" s="36">
        <f>IFERROR(DataTable[[#This Row],[Utilized]]/DataTable[[#This Row],[Total Cost]]*DataTable[[#This Row],[Other Cost]],0)</f>
        <v>33333.333333333328</v>
      </c>
      <c r="U130" s="217">
        <v>42186</v>
      </c>
      <c r="V130" s="36" t="str">
        <f>TEXT(DataTable[[#This Row],[Month]],"MMM-YY")</f>
        <v>Jul-15</v>
      </c>
    </row>
    <row r="131" spans="1:22" x14ac:dyDescent="0.25">
      <c r="A131">
        <v>130</v>
      </c>
      <c r="B131" t="s">
        <v>16</v>
      </c>
      <c r="C131">
        <v>0.47</v>
      </c>
      <c r="D131" t="s">
        <v>18</v>
      </c>
      <c r="E131" t="s">
        <v>174</v>
      </c>
      <c r="F131" t="s">
        <v>65</v>
      </c>
      <c r="G131" t="s">
        <v>222</v>
      </c>
      <c r="H131" s="36">
        <v>83401.442307692312</v>
      </c>
      <c r="I131" s="36">
        <v>0</v>
      </c>
      <c r="J131" t="s">
        <v>10</v>
      </c>
      <c r="K131" t="s">
        <v>126</v>
      </c>
      <c r="L131">
        <v>68.108974358974351</v>
      </c>
      <c r="M131" s="36">
        <v>83333.333333333328</v>
      </c>
      <c r="N131" s="36">
        <f>DataTable[[#This Row],[Resource Cost]]+DataTable[[#This Row],[Other Cost]]</f>
        <v>83401.442307692298</v>
      </c>
      <c r="O131" s="36">
        <v>83401.442307692312</v>
      </c>
      <c r="P131" s="36">
        <v>0</v>
      </c>
      <c r="Q131" s="36">
        <f>DataTable[[#This Row],[Pct Budget]]*totalBudget</f>
        <v>3055000</v>
      </c>
      <c r="R131" s="36" t="str">
        <f>IFERROR(VLOOKUP(DataTable[[#This Row],[Financial Category]],tblFinancialCat[],2,FALSE),"")</f>
        <v xml:space="preserve">CapEx  </v>
      </c>
      <c r="S131" s="36">
        <f>IFERROR(DataTable[[#This Row],[Utilized]]/DataTable[[#This Row],[Total Cost]]*DataTable[[#This Row],[Resource Cost]],0)</f>
        <v>68.108974358974365</v>
      </c>
      <c r="T131" s="36">
        <f>IFERROR(DataTable[[#This Row],[Utilized]]/DataTable[[#This Row],[Total Cost]]*DataTable[[#This Row],[Other Cost]],0)</f>
        <v>83333.333333333343</v>
      </c>
      <c r="U131" s="217">
        <v>42401</v>
      </c>
      <c r="V131" s="36" t="str">
        <f>TEXT(DataTable[[#This Row],[Month]],"MMM-YY")</f>
        <v>Feb-16</v>
      </c>
    </row>
    <row r="132" spans="1:22" x14ac:dyDescent="0.25">
      <c r="A132">
        <v>131</v>
      </c>
      <c r="B132" t="s">
        <v>16</v>
      </c>
      <c r="C132">
        <v>0.47</v>
      </c>
      <c r="D132" t="s">
        <v>18</v>
      </c>
      <c r="E132" t="s">
        <v>178</v>
      </c>
      <c r="F132" t="s">
        <v>65</v>
      </c>
      <c r="G132" t="s">
        <v>222</v>
      </c>
      <c r="H132" s="36">
        <v>83401.442307692312</v>
      </c>
      <c r="I132" s="36">
        <v>0</v>
      </c>
      <c r="J132" t="s">
        <v>10</v>
      </c>
      <c r="K132" t="s">
        <v>126</v>
      </c>
      <c r="L132">
        <v>68.108974358974351</v>
      </c>
      <c r="M132" s="36">
        <v>83333.333333333328</v>
      </c>
      <c r="N132" s="36">
        <f>DataTable[[#This Row],[Resource Cost]]+DataTable[[#This Row],[Other Cost]]</f>
        <v>83401.442307692298</v>
      </c>
      <c r="O132" s="36">
        <v>83401.442307692312</v>
      </c>
      <c r="P132" s="36">
        <v>0</v>
      </c>
      <c r="Q132" s="36">
        <f>DataTable[[#This Row],[Pct Budget]]*totalBudget</f>
        <v>3055000</v>
      </c>
      <c r="R132" s="36" t="str">
        <f>IFERROR(VLOOKUP(DataTable[[#This Row],[Financial Category]],tblFinancialCat[],2,FALSE),"")</f>
        <v xml:space="preserve">CapEx  </v>
      </c>
      <c r="S132" s="36">
        <f>IFERROR(DataTable[[#This Row],[Utilized]]/DataTable[[#This Row],[Total Cost]]*DataTable[[#This Row],[Resource Cost]],0)</f>
        <v>68.108974358974365</v>
      </c>
      <c r="T132" s="36">
        <f>IFERROR(DataTable[[#This Row],[Utilized]]/DataTable[[#This Row],[Total Cost]]*DataTable[[#This Row],[Other Cost]],0)</f>
        <v>83333.333333333343</v>
      </c>
      <c r="U132" s="217">
        <v>42401</v>
      </c>
      <c r="V132" s="36" t="str">
        <f>TEXT(DataTable[[#This Row],[Month]],"MMM-YY")</f>
        <v>Feb-16</v>
      </c>
    </row>
    <row r="133" spans="1:22" x14ac:dyDescent="0.25">
      <c r="A133">
        <v>132</v>
      </c>
      <c r="B133" t="s">
        <v>16</v>
      </c>
      <c r="C133">
        <v>0.47</v>
      </c>
      <c r="D133" t="s">
        <v>18</v>
      </c>
      <c r="E133" t="s">
        <v>33</v>
      </c>
      <c r="F133" t="s">
        <v>65</v>
      </c>
      <c r="G133" t="s">
        <v>222</v>
      </c>
      <c r="H133" s="36">
        <v>83401.442307692312</v>
      </c>
      <c r="I133" s="36">
        <v>0</v>
      </c>
      <c r="J133" t="s">
        <v>10</v>
      </c>
      <c r="K133" t="s">
        <v>126</v>
      </c>
      <c r="L133">
        <v>68.108974358974351</v>
      </c>
      <c r="M133" s="36">
        <v>83333.333333333328</v>
      </c>
      <c r="N133" s="36">
        <f>DataTable[[#This Row],[Resource Cost]]+DataTable[[#This Row],[Other Cost]]</f>
        <v>83401.442307692298</v>
      </c>
      <c r="O133" s="36">
        <v>83401.442307692312</v>
      </c>
      <c r="P133" s="36">
        <v>0</v>
      </c>
      <c r="Q133" s="36">
        <f>DataTable[[#This Row],[Pct Budget]]*totalBudget</f>
        <v>3055000</v>
      </c>
      <c r="R133" s="36" t="str">
        <f>IFERROR(VLOOKUP(DataTable[[#This Row],[Financial Category]],tblFinancialCat[],2,FALSE),"")</f>
        <v xml:space="preserve">CapEx  </v>
      </c>
      <c r="S133" s="36">
        <f>IFERROR(DataTable[[#This Row],[Utilized]]/DataTable[[#This Row],[Total Cost]]*DataTable[[#This Row],[Resource Cost]],0)</f>
        <v>68.108974358974365</v>
      </c>
      <c r="T133" s="36">
        <f>IFERROR(DataTable[[#This Row],[Utilized]]/DataTable[[#This Row],[Total Cost]]*DataTable[[#This Row],[Other Cost]],0)</f>
        <v>83333.333333333343</v>
      </c>
      <c r="U133" s="217">
        <v>42401</v>
      </c>
      <c r="V133" s="36" t="str">
        <f>TEXT(DataTable[[#This Row],[Month]],"MMM-YY")</f>
        <v>Feb-16</v>
      </c>
    </row>
    <row r="134" spans="1:22" x14ac:dyDescent="0.25">
      <c r="A134">
        <v>133</v>
      </c>
      <c r="B134" t="s">
        <v>16</v>
      </c>
      <c r="C134">
        <v>0.47</v>
      </c>
      <c r="D134" t="s">
        <v>18</v>
      </c>
      <c r="E134" t="s">
        <v>174</v>
      </c>
      <c r="F134" t="s">
        <v>65</v>
      </c>
      <c r="G134" t="s">
        <v>222</v>
      </c>
      <c r="H134" s="36">
        <v>272.4358974358974</v>
      </c>
      <c r="I134" s="36">
        <v>0</v>
      </c>
      <c r="J134" t="s">
        <v>172</v>
      </c>
      <c r="K134" t="s">
        <v>126</v>
      </c>
      <c r="L134">
        <v>272.4358974358974</v>
      </c>
      <c r="M134" s="36">
        <v>0</v>
      </c>
      <c r="N134" s="36">
        <f>DataTable[[#This Row],[Resource Cost]]+DataTable[[#This Row],[Other Cost]]</f>
        <v>272.4358974358974</v>
      </c>
      <c r="O134" s="36">
        <v>272.4358974358974</v>
      </c>
      <c r="P134" s="36">
        <v>0</v>
      </c>
      <c r="Q134" s="36">
        <f>DataTable[[#This Row],[Pct Budget]]*totalBudget</f>
        <v>3055000</v>
      </c>
      <c r="R134" s="36" t="str">
        <f>IFERROR(VLOOKUP(DataTable[[#This Row],[Financial Category]],tblFinancialCat[],2,FALSE),"")</f>
        <v>OpEx</v>
      </c>
      <c r="S134" s="36">
        <f>IFERROR(DataTable[[#This Row],[Utilized]]/DataTable[[#This Row],[Total Cost]]*DataTable[[#This Row],[Resource Cost]],0)</f>
        <v>272.4358974358974</v>
      </c>
      <c r="T134" s="36">
        <f>IFERROR(DataTable[[#This Row],[Utilized]]/DataTable[[#This Row],[Total Cost]]*DataTable[[#This Row],[Other Cost]],0)</f>
        <v>0</v>
      </c>
      <c r="U134" s="217">
        <v>42430</v>
      </c>
      <c r="V134" s="36" t="str">
        <f>TEXT(DataTable[[#This Row],[Month]],"MMM-YY")</f>
        <v>Mar-16</v>
      </c>
    </row>
    <row r="135" spans="1:22" x14ac:dyDescent="0.25">
      <c r="A135">
        <v>134</v>
      </c>
      <c r="B135" t="s">
        <v>16</v>
      </c>
      <c r="C135">
        <v>0.47</v>
      </c>
      <c r="D135" t="s">
        <v>18</v>
      </c>
      <c r="E135" t="s">
        <v>178</v>
      </c>
      <c r="F135" t="s">
        <v>65</v>
      </c>
      <c r="G135" t="s">
        <v>222</v>
      </c>
      <c r="H135" s="36">
        <v>272.4358974358974</v>
      </c>
      <c r="I135" s="36">
        <v>0</v>
      </c>
      <c r="J135" t="s">
        <v>172</v>
      </c>
      <c r="K135" t="s">
        <v>126</v>
      </c>
      <c r="L135">
        <v>272.4358974358974</v>
      </c>
      <c r="M135" s="36">
        <v>0</v>
      </c>
      <c r="N135" s="36">
        <f>DataTable[[#This Row],[Resource Cost]]+DataTable[[#This Row],[Other Cost]]</f>
        <v>272.4358974358974</v>
      </c>
      <c r="O135" s="36">
        <v>272.4358974358974</v>
      </c>
      <c r="P135" s="36">
        <v>0</v>
      </c>
      <c r="Q135" s="36">
        <f>DataTable[[#This Row],[Pct Budget]]*totalBudget</f>
        <v>3055000</v>
      </c>
      <c r="R135" s="36" t="str">
        <f>IFERROR(VLOOKUP(DataTable[[#This Row],[Financial Category]],tblFinancialCat[],2,FALSE),"")</f>
        <v>OpEx</v>
      </c>
      <c r="S135" s="36">
        <f>IFERROR(DataTable[[#This Row],[Utilized]]/DataTable[[#This Row],[Total Cost]]*DataTable[[#This Row],[Resource Cost]],0)</f>
        <v>272.4358974358974</v>
      </c>
      <c r="T135" s="36">
        <f>IFERROR(DataTable[[#This Row],[Utilized]]/DataTable[[#This Row],[Total Cost]]*DataTable[[#This Row],[Other Cost]],0)</f>
        <v>0</v>
      </c>
      <c r="U135" s="217">
        <v>42430</v>
      </c>
      <c r="V135" s="36" t="str">
        <f>TEXT(DataTable[[#This Row],[Month]],"MMM-YY")</f>
        <v>Mar-16</v>
      </c>
    </row>
    <row r="136" spans="1:22" x14ac:dyDescent="0.25">
      <c r="A136">
        <v>135</v>
      </c>
      <c r="B136" t="s">
        <v>16</v>
      </c>
      <c r="C136">
        <v>0.47</v>
      </c>
      <c r="D136" t="s">
        <v>18</v>
      </c>
      <c r="E136" t="s">
        <v>33</v>
      </c>
      <c r="F136" t="s">
        <v>65</v>
      </c>
      <c r="G136" t="s">
        <v>222</v>
      </c>
      <c r="H136" s="36">
        <v>272.4358974358974</v>
      </c>
      <c r="I136" s="36">
        <v>0</v>
      </c>
      <c r="J136" t="s">
        <v>172</v>
      </c>
      <c r="K136" t="s">
        <v>126</v>
      </c>
      <c r="L136">
        <v>272.4358974358974</v>
      </c>
      <c r="M136" s="36">
        <v>0</v>
      </c>
      <c r="N136" s="36">
        <f>DataTable[[#This Row],[Resource Cost]]+DataTable[[#This Row],[Other Cost]]</f>
        <v>272.4358974358974</v>
      </c>
      <c r="O136" s="36">
        <v>272.4358974358974</v>
      </c>
      <c r="P136" s="36">
        <v>0</v>
      </c>
      <c r="Q136" s="36">
        <f>DataTable[[#This Row],[Pct Budget]]*totalBudget</f>
        <v>3055000</v>
      </c>
      <c r="R136" s="36" t="str">
        <f>IFERROR(VLOOKUP(DataTable[[#This Row],[Financial Category]],tblFinancialCat[],2,FALSE),"")</f>
        <v>OpEx</v>
      </c>
      <c r="S136" s="36">
        <f>IFERROR(DataTable[[#This Row],[Utilized]]/DataTable[[#This Row],[Total Cost]]*DataTable[[#This Row],[Resource Cost]],0)</f>
        <v>272.4358974358974</v>
      </c>
      <c r="T136" s="36">
        <f>IFERROR(DataTable[[#This Row],[Utilized]]/DataTable[[#This Row],[Total Cost]]*DataTable[[#This Row],[Other Cost]],0)</f>
        <v>0</v>
      </c>
      <c r="U136" s="217">
        <v>42430</v>
      </c>
      <c r="V136" s="36" t="str">
        <f>TEXT(DataTable[[#This Row],[Month]],"MMM-YY")</f>
        <v>Mar-16</v>
      </c>
    </row>
    <row r="137" spans="1:22" x14ac:dyDescent="0.25">
      <c r="A137">
        <v>136</v>
      </c>
      <c r="B137" t="s">
        <v>16</v>
      </c>
      <c r="C137">
        <v>0.47</v>
      </c>
      <c r="D137" t="s">
        <v>18</v>
      </c>
      <c r="E137" t="s">
        <v>174</v>
      </c>
      <c r="F137" t="s">
        <v>65</v>
      </c>
      <c r="G137" t="s">
        <v>222</v>
      </c>
      <c r="H137" s="36">
        <v>600.96153846153845</v>
      </c>
      <c r="I137" s="36">
        <v>0</v>
      </c>
      <c r="J137" t="s">
        <v>172</v>
      </c>
      <c r="K137" t="s">
        <v>127</v>
      </c>
      <c r="L137">
        <v>600.96153846153845</v>
      </c>
      <c r="M137" s="36">
        <v>0</v>
      </c>
      <c r="N137" s="36">
        <f>DataTable[[#This Row],[Resource Cost]]+DataTable[[#This Row],[Other Cost]]</f>
        <v>600.96153846153845</v>
      </c>
      <c r="O137" s="36">
        <v>600.96153846153845</v>
      </c>
      <c r="P137" s="36">
        <v>0</v>
      </c>
      <c r="Q137" s="36">
        <f>DataTable[[#This Row],[Pct Budget]]*totalBudget</f>
        <v>3055000</v>
      </c>
      <c r="R137" s="36" t="str">
        <f>IFERROR(VLOOKUP(DataTable[[#This Row],[Financial Category]],tblFinancialCat[],2,FALSE),"")</f>
        <v>OpEx</v>
      </c>
      <c r="S137" s="36">
        <f>IFERROR(DataTable[[#This Row],[Utilized]]/DataTable[[#This Row],[Total Cost]]*DataTable[[#This Row],[Resource Cost]],0)</f>
        <v>600.96153846153845</v>
      </c>
      <c r="T137" s="36">
        <f>IFERROR(DataTable[[#This Row],[Utilized]]/DataTable[[#This Row],[Total Cost]]*DataTable[[#This Row],[Other Cost]],0)</f>
        <v>0</v>
      </c>
      <c r="U137" s="217">
        <v>42430</v>
      </c>
      <c r="V137" s="36" t="str">
        <f>TEXT(DataTable[[#This Row],[Month]],"MMM-YY")</f>
        <v>Mar-16</v>
      </c>
    </row>
    <row r="138" spans="1:22" x14ac:dyDescent="0.25">
      <c r="A138">
        <v>137</v>
      </c>
      <c r="B138" t="s">
        <v>16</v>
      </c>
      <c r="C138">
        <v>0.47</v>
      </c>
      <c r="D138" t="s">
        <v>18</v>
      </c>
      <c r="E138" t="s">
        <v>178</v>
      </c>
      <c r="F138" t="s">
        <v>65</v>
      </c>
      <c r="G138" t="s">
        <v>222</v>
      </c>
      <c r="H138" s="36">
        <v>600.96153846153845</v>
      </c>
      <c r="I138" s="36">
        <v>0</v>
      </c>
      <c r="J138" t="s">
        <v>172</v>
      </c>
      <c r="K138" t="s">
        <v>127</v>
      </c>
      <c r="L138">
        <v>600.96153846153845</v>
      </c>
      <c r="M138" s="36">
        <v>0</v>
      </c>
      <c r="N138" s="36">
        <f>DataTable[[#This Row],[Resource Cost]]+DataTable[[#This Row],[Other Cost]]</f>
        <v>600.96153846153845</v>
      </c>
      <c r="O138" s="36">
        <v>600.96153846153845</v>
      </c>
      <c r="P138" s="36">
        <v>0</v>
      </c>
      <c r="Q138" s="36">
        <f>DataTable[[#This Row],[Pct Budget]]*totalBudget</f>
        <v>3055000</v>
      </c>
      <c r="R138" s="36" t="str">
        <f>IFERROR(VLOOKUP(DataTable[[#This Row],[Financial Category]],tblFinancialCat[],2,FALSE),"")</f>
        <v>OpEx</v>
      </c>
      <c r="S138" s="36">
        <f>IFERROR(DataTable[[#This Row],[Utilized]]/DataTable[[#This Row],[Total Cost]]*DataTable[[#This Row],[Resource Cost]],0)</f>
        <v>600.96153846153845</v>
      </c>
      <c r="T138" s="36">
        <f>IFERROR(DataTable[[#This Row],[Utilized]]/DataTable[[#This Row],[Total Cost]]*DataTable[[#This Row],[Other Cost]],0)</f>
        <v>0</v>
      </c>
      <c r="U138" s="217">
        <v>42430</v>
      </c>
      <c r="V138" s="36" t="str">
        <f>TEXT(DataTable[[#This Row],[Month]],"MMM-YY")</f>
        <v>Mar-16</v>
      </c>
    </row>
    <row r="139" spans="1:22" x14ac:dyDescent="0.25">
      <c r="A139">
        <v>138</v>
      </c>
      <c r="B139" t="s">
        <v>16</v>
      </c>
      <c r="C139">
        <v>0.47</v>
      </c>
      <c r="D139" t="s">
        <v>18</v>
      </c>
      <c r="E139" t="s">
        <v>33</v>
      </c>
      <c r="F139" t="s">
        <v>65</v>
      </c>
      <c r="G139" t="s">
        <v>222</v>
      </c>
      <c r="H139" s="36">
        <v>600.96153846153845</v>
      </c>
      <c r="I139" s="36">
        <v>0</v>
      </c>
      <c r="J139" t="s">
        <v>172</v>
      </c>
      <c r="K139" t="s">
        <v>127</v>
      </c>
      <c r="L139">
        <v>600.96153846153845</v>
      </c>
      <c r="M139" s="36">
        <v>0</v>
      </c>
      <c r="N139" s="36">
        <f>DataTable[[#This Row],[Resource Cost]]+DataTable[[#This Row],[Other Cost]]</f>
        <v>600.96153846153845</v>
      </c>
      <c r="O139" s="36">
        <v>600.96153846153845</v>
      </c>
      <c r="P139" s="36">
        <v>0</v>
      </c>
      <c r="Q139" s="36">
        <f>DataTable[[#This Row],[Pct Budget]]*totalBudget</f>
        <v>3055000</v>
      </c>
      <c r="R139" s="36" t="str">
        <f>IFERROR(VLOOKUP(DataTable[[#This Row],[Financial Category]],tblFinancialCat[],2,FALSE),"")</f>
        <v>OpEx</v>
      </c>
      <c r="S139" s="36">
        <f>IFERROR(DataTable[[#This Row],[Utilized]]/DataTable[[#This Row],[Total Cost]]*DataTable[[#This Row],[Resource Cost]],0)</f>
        <v>600.96153846153845</v>
      </c>
      <c r="T139" s="36">
        <f>IFERROR(DataTable[[#This Row],[Utilized]]/DataTable[[#This Row],[Total Cost]]*DataTable[[#This Row],[Other Cost]],0)</f>
        <v>0</v>
      </c>
      <c r="U139" s="217">
        <v>42430</v>
      </c>
      <c r="V139" s="36" t="str">
        <f>TEXT(DataTable[[#This Row],[Month]],"MMM-YY")</f>
        <v>Mar-16</v>
      </c>
    </row>
    <row r="140" spans="1:22" x14ac:dyDescent="0.25">
      <c r="A140">
        <v>139</v>
      </c>
      <c r="B140" t="s">
        <v>16</v>
      </c>
      <c r="C140">
        <v>0.47</v>
      </c>
      <c r="D140" t="s">
        <v>18</v>
      </c>
      <c r="E140" t="s">
        <v>174</v>
      </c>
      <c r="F140" t="s">
        <v>65</v>
      </c>
      <c r="G140" t="s">
        <v>222</v>
      </c>
      <c r="H140" s="36">
        <v>7400</v>
      </c>
      <c r="I140" s="36">
        <v>0</v>
      </c>
      <c r="J140" t="s">
        <v>172</v>
      </c>
      <c r="K140" t="s">
        <v>162</v>
      </c>
      <c r="L140">
        <v>7400</v>
      </c>
      <c r="M140" s="36">
        <v>0</v>
      </c>
      <c r="N140" s="36">
        <f>DataTable[[#This Row],[Resource Cost]]+DataTable[[#This Row],[Other Cost]]</f>
        <v>7400</v>
      </c>
      <c r="O140" s="36">
        <v>7400</v>
      </c>
      <c r="P140" s="36">
        <v>0</v>
      </c>
      <c r="Q140" s="36">
        <f>DataTable[[#This Row],[Pct Budget]]*totalBudget</f>
        <v>3055000</v>
      </c>
      <c r="R140" s="36" t="str">
        <f>IFERROR(VLOOKUP(DataTable[[#This Row],[Financial Category]],tblFinancialCat[],2,FALSE),"")</f>
        <v>OpEx</v>
      </c>
      <c r="S140" s="36">
        <f>IFERROR(DataTable[[#This Row],[Utilized]]/DataTable[[#This Row],[Total Cost]]*DataTable[[#This Row],[Resource Cost]],0)</f>
        <v>7400</v>
      </c>
      <c r="T140" s="36">
        <f>IFERROR(DataTable[[#This Row],[Utilized]]/DataTable[[#This Row],[Total Cost]]*DataTable[[#This Row],[Other Cost]],0)</f>
        <v>0</v>
      </c>
      <c r="U140" s="217">
        <v>42430</v>
      </c>
      <c r="V140" s="36" t="str">
        <f>TEXT(DataTable[[#This Row],[Month]],"MMM-YY")</f>
        <v>Mar-16</v>
      </c>
    </row>
    <row r="141" spans="1:22" x14ac:dyDescent="0.25">
      <c r="A141">
        <v>140</v>
      </c>
      <c r="B141" t="s">
        <v>16</v>
      </c>
      <c r="C141">
        <v>0.47</v>
      </c>
      <c r="D141" t="s">
        <v>18</v>
      </c>
      <c r="E141" t="s">
        <v>178</v>
      </c>
      <c r="F141" t="s">
        <v>65</v>
      </c>
      <c r="G141" t="s">
        <v>222</v>
      </c>
      <c r="H141" s="36">
        <v>7400</v>
      </c>
      <c r="I141" s="36">
        <v>0</v>
      </c>
      <c r="J141" t="s">
        <v>172</v>
      </c>
      <c r="K141" t="s">
        <v>162</v>
      </c>
      <c r="L141">
        <v>7400</v>
      </c>
      <c r="M141" s="36">
        <v>0</v>
      </c>
      <c r="N141" s="36">
        <f>DataTable[[#This Row],[Resource Cost]]+DataTable[[#This Row],[Other Cost]]</f>
        <v>7400</v>
      </c>
      <c r="O141" s="36">
        <v>7400</v>
      </c>
      <c r="P141" s="36">
        <v>0</v>
      </c>
      <c r="Q141" s="36">
        <f>DataTable[[#This Row],[Pct Budget]]*totalBudget</f>
        <v>3055000</v>
      </c>
      <c r="R141" s="36" t="str">
        <f>IFERROR(VLOOKUP(DataTable[[#This Row],[Financial Category]],tblFinancialCat[],2,FALSE),"")</f>
        <v>OpEx</v>
      </c>
      <c r="S141" s="36">
        <f>IFERROR(DataTable[[#This Row],[Utilized]]/DataTable[[#This Row],[Total Cost]]*DataTable[[#This Row],[Resource Cost]],0)</f>
        <v>7400</v>
      </c>
      <c r="T141" s="36">
        <f>IFERROR(DataTable[[#This Row],[Utilized]]/DataTable[[#This Row],[Total Cost]]*DataTable[[#This Row],[Other Cost]],0)</f>
        <v>0</v>
      </c>
      <c r="U141" s="217">
        <v>42430</v>
      </c>
      <c r="V141" s="36" t="str">
        <f>TEXT(DataTable[[#This Row],[Month]],"MMM-YY")</f>
        <v>Mar-16</v>
      </c>
    </row>
    <row r="142" spans="1:22" x14ac:dyDescent="0.25">
      <c r="A142">
        <v>141</v>
      </c>
      <c r="B142" t="s">
        <v>16</v>
      </c>
      <c r="C142">
        <v>0.47</v>
      </c>
      <c r="D142" t="s">
        <v>18</v>
      </c>
      <c r="E142" t="s">
        <v>33</v>
      </c>
      <c r="F142" t="s">
        <v>65</v>
      </c>
      <c r="G142" t="s">
        <v>222</v>
      </c>
      <c r="H142" s="36">
        <v>7400</v>
      </c>
      <c r="I142" s="36">
        <v>0</v>
      </c>
      <c r="J142" t="s">
        <v>172</v>
      </c>
      <c r="K142" t="s">
        <v>162</v>
      </c>
      <c r="L142">
        <v>7400</v>
      </c>
      <c r="M142" s="36">
        <v>0</v>
      </c>
      <c r="N142" s="36">
        <f>DataTable[[#This Row],[Resource Cost]]+DataTable[[#This Row],[Other Cost]]</f>
        <v>7400</v>
      </c>
      <c r="O142" s="36">
        <v>7400</v>
      </c>
      <c r="P142" s="36">
        <v>0</v>
      </c>
      <c r="Q142" s="36">
        <f>DataTable[[#This Row],[Pct Budget]]*totalBudget</f>
        <v>3055000</v>
      </c>
      <c r="R142" s="36" t="str">
        <f>IFERROR(VLOOKUP(DataTable[[#This Row],[Financial Category]],tblFinancialCat[],2,FALSE),"")</f>
        <v>OpEx</v>
      </c>
      <c r="S142" s="36">
        <f>IFERROR(DataTable[[#This Row],[Utilized]]/DataTable[[#This Row],[Total Cost]]*DataTable[[#This Row],[Resource Cost]],0)</f>
        <v>7400</v>
      </c>
      <c r="T142" s="36">
        <f>IFERROR(DataTable[[#This Row],[Utilized]]/DataTable[[#This Row],[Total Cost]]*DataTable[[#This Row],[Other Cost]],0)</f>
        <v>0</v>
      </c>
      <c r="U142" s="217">
        <v>42430</v>
      </c>
      <c r="V142" s="36" t="str">
        <f>TEXT(DataTable[[#This Row],[Month]],"MMM-YY")</f>
        <v>Mar-16</v>
      </c>
    </row>
    <row r="143" spans="1:22" x14ac:dyDescent="0.25">
      <c r="A143">
        <v>142</v>
      </c>
      <c r="B143" t="s">
        <v>16</v>
      </c>
      <c r="C143">
        <v>0.47</v>
      </c>
      <c r="D143" t="s">
        <v>194</v>
      </c>
      <c r="E143" t="s">
        <v>195</v>
      </c>
      <c r="F143" t="s">
        <v>64</v>
      </c>
      <c r="G143" t="s">
        <v>222</v>
      </c>
      <c r="H143" s="36">
        <v>408.65384615384613</v>
      </c>
      <c r="I143" s="36">
        <v>0</v>
      </c>
      <c r="J143" t="s">
        <v>172</v>
      </c>
      <c r="K143" t="s">
        <v>126</v>
      </c>
      <c r="L143">
        <v>408.65384615384613</v>
      </c>
      <c r="M143" s="36">
        <v>0</v>
      </c>
      <c r="N143" s="36">
        <f>DataTable[[#This Row],[Resource Cost]]+DataTable[[#This Row],[Other Cost]]</f>
        <v>408.65384615384613</v>
      </c>
      <c r="O143" s="36">
        <v>408.65384615384613</v>
      </c>
      <c r="P143" s="36">
        <v>0</v>
      </c>
      <c r="Q143" s="36">
        <f>DataTable[[#This Row],[Pct Budget]]*totalBudget</f>
        <v>3055000</v>
      </c>
      <c r="R143" s="36" t="str">
        <f>IFERROR(VLOOKUP(DataTable[[#This Row],[Financial Category]],tblFinancialCat[],2,FALSE),"")</f>
        <v>OpEx</v>
      </c>
      <c r="S143" s="36">
        <f>IFERROR(DataTable[[#This Row],[Utilized]]/DataTable[[#This Row],[Total Cost]]*DataTable[[#This Row],[Resource Cost]],0)</f>
        <v>408.65384615384613</v>
      </c>
      <c r="T143" s="36">
        <f>IFERROR(DataTable[[#This Row],[Utilized]]/DataTable[[#This Row],[Total Cost]]*DataTable[[#This Row],[Other Cost]],0)</f>
        <v>0</v>
      </c>
      <c r="U143" s="217">
        <v>42095</v>
      </c>
      <c r="V143" s="36" t="str">
        <f>TEXT(DataTable[[#This Row],[Month]],"MMM-YY")</f>
        <v>Apr-15</v>
      </c>
    </row>
    <row r="144" spans="1:22" x14ac:dyDescent="0.25">
      <c r="A144">
        <v>143</v>
      </c>
      <c r="B144" t="s">
        <v>16</v>
      </c>
      <c r="C144">
        <v>0.47</v>
      </c>
      <c r="D144" t="s">
        <v>194</v>
      </c>
      <c r="E144" t="s">
        <v>32</v>
      </c>
      <c r="F144" t="s">
        <v>64</v>
      </c>
      <c r="G144" t="s">
        <v>222</v>
      </c>
      <c r="H144" s="36">
        <v>408.65384615384613</v>
      </c>
      <c r="I144" s="36">
        <v>0</v>
      </c>
      <c r="J144" t="s">
        <v>172</v>
      </c>
      <c r="K144" t="s">
        <v>126</v>
      </c>
      <c r="L144">
        <v>408.65384615384613</v>
      </c>
      <c r="M144" s="36">
        <v>0</v>
      </c>
      <c r="N144" s="36">
        <f>DataTable[[#This Row],[Resource Cost]]+DataTable[[#This Row],[Other Cost]]</f>
        <v>408.65384615384613</v>
      </c>
      <c r="O144" s="36">
        <v>408.65384615384613</v>
      </c>
      <c r="P144" s="36">
        <v>0</v>
      </c>
      <c r="Q144" s="36">
        <f>DataTable[[#This Row],[Pct Budget]]*totalBudget</f>
        <v>3055000</v>
      </c>
      <c r="R144" s="36" t="str">
        <f>IFERROR(VLOOKUP(DataTable[[#This Row],[Financial Category]],tblFinancialCat[],2,FALSE),"")</f>
        <v>OpEx</v>
      </c>
      <c r="S144" s="36">
        <f>IFERROR(DataTable[[#This Row],[Utilized]]/DataTable[[#This Row],[Total Cost]]*DataTable[[#This Row],[Resource Cost]],0)</f>
        <v>408.65384615384613</v>
      </c>
      <c r="T144" s="36">
        <f>IFERROR(DataTable[[#This Row],[Utilized]]/DataTable[[#This Row],[Total Cost]]*DataTable[[#This Row],[Other Cost]],0)</f>
        <v>0</v>
      </c>
      <c r="U144" s="217">
        <v>42095</v>
      </c>
      <c r="V144" s="36" t="str">
        <f>TEXT(DataTable[[#This Row],[Month]],"MMM-YY")</f>
        <v>Apr-15</v>
      </c>
    </row>
    <row r="145" spans="1:22" x14ac:dyDescent="0.25">
      <c r="A145">
        <v>144</v>
      </c>
      <c r="B145" t="s">
        <v>16</v>
      </c>
      <c r="C145">
        <v>0.47</v>
      </c>
      <c r="D145" t="s">
        <v>194</v>
      </c>
      <c r="E145" t="s">
        <v>195</v>
      </c>
      <c r="F145" t="s">
        <v>64</v>
      </c>
      <c r="G145" t="s">
        <v>222</v>
      </c>
      <c r="H145" s="36">
        <v>901.44230769230774</v>
      </c>
      <c r="I145" s="36">
        <v>0</v>
      </c>
      <c r="J145" t="s">
        <v>172</v>
      </c>
      <c r="K145" t="s">
        <v>127</v>
      </c>
      <c r="L145">
        <v>901.44230769230774</v>
      </c>
      <c r="M145" s="36">
        <v>0</v>
      </c>
      <c r="N145" s="36">
        <f>DataTable[[#This Row],[Resource Cost]]+DataTable[[#This Row],[Other Cost]]</f>
        <v>901.44230769230774</v>
      </c>
      <c r="O145" s="36">
        <v>901.44230769230774</v>
      </c>
      <c r="P145" s="36">
        <v>0</v>
      </c>
      <c r="Q145" s="36">
        <f>DataTable[[#This Row],[Pct Budget]]*totalBudget</f>
        <v>3055000</v>
      </c>
      <c r="R145" s="36" t="str">
        <f>IFERROR(VLOOKUP(DataTable[[#This Row],[Financial Category]],tblFinancialCat[],2,FALSE),"")</f>
        <v>OpEx</v>
      </c>
      <c r="S145" s="36">
        <f>IFERROR(DataTable[[#This Row],[Utilized]]/DataTable[[#This Row],[Total Cost]]*DataTable[[#This Row],[Resource Cost]],0)</f>
        <v>901.44230769230774</v>
      </c>
      <c r="T145" s="36">
        <f>IFERROR(DataTable[[#This Row],[Utilized]]/DataTable[[#This Row],[Total Cost]]*DataTable[[#This Row],[Other Cost]],0)</f>
        <v>0</v>
      </c>
      <c r="U145" s="217">
        <v>42095</v>
      </c>
      <c r="V145" s="36" t="str">
        <f>TEXT(DataTable[[#This Row],[Month]],"MMM-YY")</f>
        <v>Apr-15</v>
      </c>
    </row>
    <row r="146" spans="1:22" x14ac:dyDescent="0.25">
      <c r="A146">
        <v>145</v>
      </c>
      <c r="B146" t="s">
        <v>16</v>
      </c>
      <c r="C146">
        <v>0.47</v>
      </c>
      <c r="D146" t="s">
        <v>194</v>
      </c>
      <c r="E146" t="s">
        <v>32</v>
      </c>
      <c r="F146" t="s">
        <v>64</v>
      </c>
      <c r="G146" t="s">
        <v>222</v>
      </c>
      <c r="H146" s="36">
        <v>901.44230769230774</v>
      </c>
      <c r="I146" s="36">
        <v>0</v>
      </c>
      <c r="J146" t="s">
        <v>172</v>
      </c>
      <c r="K146" t="s">
        <v>127</v>
      </c>
      <c r="L146">
        <v>901.44230769230774</v>
      </c>
      <c r="M146" s="36">
        <v>0</v>
      </c>
      <c r="N146" s="36">
        <f>DataTable[[#This Row],[Resource Cost]]+DataTable[[#This Row],[Other Cost]]</f>
        <v>901.44230769230774</v>
      </c>
      <c r="O146" s="36">
        <v>901.44230769230774</v>
      </c>
      <c r="P146" s="36">
        <v>0</v>
      </c>
      <c r="Q146" s="36">
        <f>DataTable[[#This Row],[Pct Budget]]*totalBudget</f>
        <v>3055000</v>
      </c>
      <c r="R146" s="36" t="str">
        <f>IFERROR(VLOOKUP(DataTable[[#This Row],[Financial Category]],tblFinancialCat[],2,FALSE),"")</f>
        <v>OpEx</v>
      </c>
      <c r="S146" s="36">
        <f>IFERROR(DataTable[[#This Row],[Utilized]]/DataTable[[#This Row],[Total Cost]]*DataTable[[#This Row],[Resource Cost]],0)</f>
        <v>901.44230769230774</v>
      </c>
      <c r="T146" s="36">
        <f>IFERROR(DataTable[[#This Row],[Utilized]]/DataTable[[#This Row],[Total Cost]]*DataTable[[#This Row],[Other Cost]],0)</f>
        <v>0</v>
      </c>
      <c r="U146" s="217">
        <v>42095</v>
      </c>
      <c r="V146" s="36" t="str">
        <f>TEXT(DataTable[[#This Row],[Month]],"MMM-YY")</f>
        <v>Apr-15</v>
      </c>
    </row>
    <row r="147" spans="1:22" x14ac:dyDescent="0.25">
      <c r="A147">
        <v>146</v>
      </c>
      <c r="B147" t="s">
        <v>16</v>
      </c>
      <c r="C147">
        <v>0.47</v>
      </c>
      <c r="D147" t="s">
        <v>194</v>
      </c>
      <c r="E147" t="s">
        <v>195</v>
      </c>
      <c r="F147" t="s">
        <v>64</v>
      </c>
      <c r="G147" t="s">
        <v>44</v>
      </c>
      <c r="H147" s="36">
        <v>204.32692307692307</v>
      </c>
      <c r="I147" s="36">
        <v>204.32692307692307</v>
      </c>
      <c r="J147" t="s">
        <v>172</v>
      </c>
      <c r="K147" t="s">
        <v>126</v>
      </c>
      <c r="L147">
        <v>408.65384615384613</v>
      </c>
      <c r="M147" s="36">
        <v>0</v>
      </c>
      <c r="N147" s="36">
        <f>DataTable[[#This Row],[Resource Cost]]+DataTable[[#This Row],[Other Cost]]</f>
        <v>408.65384615384613</v>
      </c>
      <c r="O147" s="36">
        <v>306.49038461538458</v>
      </c>
      <c r="P147" s="36">
        <v>102.16346153846153</v>
      </c>
      <c r="Q147" s="36">
        <f>DataTable[[#This Row],[Pct Budget]]*totalBudget</f>
        <v>3055000</v>
      </c>
      <c r="R147" s="36" t="str">
        <f>IFERROR(VLOOKUP(DataTable[[#This Row],[Financial Category]],tblFinancialCat[],2,FALSE),"")</f>
        <v>OpEx</v>
      </c>
      <c r="S147" s="36">
        <f>IFERROR(DataTable[[#This Row],[Utilized]]/DataTable[[#This Row],[Total Cost]]*DataTable[[#This Row],[Resource Cost]],0)</f>
        <v>306.49038461538458</v>
      </c>
      <c r="T147" s="36">
        <f>IFERROR(DataTable[[#This Row],[Utilized]]/DataTable[[#This Row],[Total Cost]]*DataTable[[#This Row],[Other Cost]],0)</f>
        <v>0</v>
      </c>
      <c r="U147" s="217">
        <v>42125</v>
      </c>
      <c r="V147" s="36" t="str">
        <f>TEXT(DataTable[[#This Row],[Month]],"MMM-YY")</f>
        <v>May-15</v>
      </c>
    </row>
    <row r="148" spans="1:22" x14ac:dyDescent="0.25">
      <c r="A148">
        <v>147</v>
      </c>
      <c r="B148" t="s">
        <v>16</v>
      </c>
      <c r="C148">
        <v>0.47</v>
      </c>
      <c r="D148" t="s">
        <v>194</v>
      </c>
      <c r="E148" t="s">
        <v>32</v>
      </c>
      <c r="F148" t="s">
        <v>64</v>
      </c>
      <c r="G148" t="s">
        <v>44</v>
      </c>
      <c r="H148" s="36">
        <v>204.32692307692307</v>
      </c>
      <c r="I148" s="36">
        <v>204.32692307692307</v>
      </c>
      <c r="J148" t="s">
        <v>172</v>
      </c>
      <c r="K148" t="s">
        <v>126</v>
      </c>
      <c r="L148">
        <v>408.65384615384613</v>
      </c>
      <c r="M148" s="36">
        <v>0</v>
      </c>
      <c r="N148" s="36">
        <f>DataTable[[#This Row],[Resource Cost]]+DataTable[[#This Row],[Other Cost]]</f>
        <v>408.65384615384613</v>
      </c>
      <c r="O148" s="36">
        <v>306.49038461538458</v>
      </c>
      <c r="P148" s="36">
        <v>102.16346153846153</v>
      </c>
      <c r="Q148" s="36">
        <f>DataTable[[#This Row],[Pct Budget]]*totalBudget</f>
        <v>3055000</v>
      </c>
      <c r="R148" s="36" t="str">
        <f>IFERROR(VLOOKUP(DataTable[[#This Row],[Financial Category]],tblFinancialCat[],2,FALSE),"")</f>
        <v>OpEx</v>
      </c>
      <c r="S148" s="36">
        <f>IFERROR(DataTable[[#This Row],[Utilized]]/DataTable[[#This Row],[Total Cost]]*DataTable[[#This Row],[Resource Cost]],0)</f>
        <v>306.49038461538458</v>
      </c>
      <c r="T148" s="36">
        <f>IFERROR(DataTable[[#This Row],[Utilized]]/DataTable[[#This Row],[Total Cost]]*DataTable[[#This Row],[Other Cost]],0)</f>
        <v>0</v>
      </c>
      <c r="U148" s="217">
        <v>42125</v>
      </c>
      <c r="V148" s="36" t="str">
        <f>TEXT(DataTable[[#This Row],[Month]],"MMM-YY")</f>
        <v>May-15</v>
      </c>
    </row>
    <row r="149" spans="1:22" x14ac:dyDescent="0.25">
      <c r="A149">
        <v>148</v>
      </c>
      <c r="B149" t="s">
        <v>16</v>
      </c>
      <c r="C149">
        <v>0.47</v>
      </c>
      <c r="D149" t="s">
        <v>194</v>
      </c>
      <c r="E149" t="s">
        <v>195</v>
      </c>
      <c r="F149" t="s">
        <v>64</v>
      </c>
      <c r="G149" t="s">
        <v>44</v>
      </c>
      <c r="H149" s="36">
        <v>1850</v>
      </c>
      <c r="I149" s="36">
        <v>1850</v>
      </c>
      <c r="J149" t="s">
        <v>172</v>
      </c>
      <c r="K149" t="s">
        <v>162</v>
      </c>
      <c r="L149">
        <v>3700</v>
      </c>
      <c r="M149" s="36">
        <v>0</v>
      </c>
      <c r="N149" s="36">
        <f>DataTable[[#This Row],[Resource Cost]]+DataTable[[#This Row],[Other Cost]]</f>
        <v>3700</v>
      </c>
      <c r="O149" s="36">
        <v>2775</v>
      </c>
      <c r="P149" s="36">
        <v>925</v>
      </c>
      <c r="Q149" s="36">
        <f>DataTable[[#This Row],[Pct Budget]]*totalBudget</f>
        <v>3055000</v>
      </c>
      <c r="R149" s="36" t="str">
        <f>IFERROR(VLOOKUP(DataTable[[#This Row],[Financial Category]],tblFinancialCat[],2,FALSE),"")</f>
        <v>OpEx</v>
      </c>
      <c r="S149" s="36">
        <f>IFERROR(DataTable[[#This Row],[Utilized]]/DataTable[[#This Row],[Total Cost]]*DataTable[[#This Row],[Resource Cost]],0)</f>
        <v>2775</v>
      </c>
      <c r="T149" s="36">
        <f>IFERROR(DataTable[[#This Row],[Utilized]]/DataTable[[#This Row],[Total Cost]]*DataTable[[#This Row],[Other Cost]],0)</f>
        <v>0</v>
      </c>
      <c r="U149" s="217">
        <v>42125</v>
      </c>
      <c r="V149" s="36" t="str">
        <f>TEXT(DataTable[[#This Row],[Month]],"MMM-YY")</f>
        <v>May-15</v>
      </c>
    </row>
    <row r="150" spans="1:22" x14ac:dyDescent="0.25">
      <c r="A150">
        <v>149</v>
      </c>
      <c r="B150" t="s">
        <v>16</v>
      </c>
      <c r="C150">
        <v>0.47</v>
      </c>
      <c r="D150" t="s">
        <v>194</v>
      </c>
      <c r="E150" t="s">
        <v>32</v>
      </c>
      <c r="F150" t="s">
        <v>64</v>
      </c>
      <c r="G150" t="s">
        <v>44</v>
      </c>
      <c r="H150" s="36">
        <v>1850</v>
      </c>
      <c r="I150" s="36">
        <v>1850</v>
      </c>
      <c r="J150" t="s">
        <v>172</v>
      </c>
      <c r="K150" t="s">
        <v>162</v>
      </c>
      <c r="L150">
        <v>3700</v>
      </c>
      <c r="M150" s="36">
        <v>0</v>
      </c>
      <c r="N150" s="36">
        <f>DataTable[[#This Row],[Resource Cost]]+DataTable[[#This Row],[Other Cost]]</f>
        <v>3700</v>
      </c>
      <c r="O150" s="36">
        <v>2775</v>
      </c>
      <c r="P150" s="36">
        <v>925</v>
      </c>
      <c r="Q150" s="36">
        <f>DataTable[[#This Row],[Pct Budget]]*totalBudget</f>
        <v>3055000</v>
      </c>
      <c r="R150" s="36" t="str">
        <f>IFERROR(VLOOKUP(DataTable[[#This Row],[Financial Category]],tblFinancialCat[],2,FALSE),"")</f>
        <v>OpEx</v>
      </c>
      <c r="S150" s="36">
        <f>IFERROR(DataTable[[#This Row],[Utilized]]/DataTable[[#This Row],[Total Cost]]*DataTable[[#This Row],[Resource Cost]],0)</f>
        <v>2775</v>
      </c>
      <c r="T150" s="36">
        <f>IFERROR(DataTable[[#This Row],[Utilized]]/DataTable[[#This Row],[Total Cost]]*DataTable[[#This Row],[Other Cost]],0)</f>
        <v>0</v>
      </c>
      <c r="U150" s="217">
        <v>42125</v>
      </c>
      <c r="V150" s="36" t="str">
        <f>TEXT(DataTable[[#This Row],[Month]],"MMM-YY")</f>
        <v>May-15</v>
      </c>
    </row>
    <row r="151" spans="1:22" x14ac:dyDescent="0.25">
      <c r="A151">
        <v>150</v>
      </c>
      <c r="B151" t="s">
        <v>16</v>
      </c>
      <c r="C151">
        <v>0.47</v>
      </c>
      <c r="D151" t="s">
        <v>194</v>
      </c>
      <c r="E151" t="s">
        <v>195</v>
      </c>
      <c r="F151" t="s">
        <v>64</v>
      </c>
      <c r="G151" t="s">
        <v>44</v>
      </c>
      <c r="H151" s="36">
        <v>70000</v>
      </c>
      <c r="I151" s="36">
        <v>30000.000000000004</v>
      </c>
      <c r="J151" t="s">
        <v>9</v>
      </c>
      <c r="L151">
        <v>0</v>
      </c>
      <c r="M151" s="36">
        <v>100000</v>
      </c>
      <c r="N151" s="36">
        <f>DataTable[[#This Row],[Resource Cost]]+DataTable[[#This Row],[Other Cost]]</f>
        <v>100000</v>
      </c>
      <c r="O151" s="36">
        <v>10000</v>
      </c>
      <c r="P151" s="36">
        <v>90000</v>
      </c>
      <c r="Q151" s="36">
        <f>DataTable[[#This Row],[Pct Budget]]*totalBudget</f>
        <v>3055000</v>
      </c>
      <c r="R151" s="36" t="str">
        <f>IFERROR(VLOOKUP(DataTable[[#This Row],[Financial Category]],tblFinancialCat[],2,FALSE),"")</f>
        <v xml:space="preserve">CapEx  </v>
      </c>
      <c r="S151" s="36">
        <f>IFERROR(DataTable[[#This Row],[Utilized]]/DataTable[[#This Row],[Total Cost]]*DataTable[[#This Row],[Resource Cost]],0)</f>
        <v>0</v>
      </c>
      <c r="T151" s="36">
        <f>IFERROR(DataTable[[#This Row],[Utilized]]/DataTable[[#This Row],[Total Cost]]*DataTable[[#This Row],[Other Cost]],0)</f>
        <v>10000</v>
      </c>
      <c r="U151" s="217">
        <v>42095</v>
      </c>
      <c r="V151" s="36" t="str">
        <f>TEXT(DataTable[[#This Row],[Month]],"MMM-YY")</f>
        <v>Apr-15</v>
      </c>
    </row>
    <row r="152" spans="1:22" x14ac:dyDescent="0.25">
      <c r="A152">
        <v>151</v>
      </c>
      <c r="B152" t="s">
        <v>16</v>
      </c>
      <c r="C152">
        <v>0.47</v>
      </c>
      <c r="D152" t="s">
        <v>194</v>
      </c>
      <c r="E152" t="s">
        <v>32</v>
      </c>
      <c r="F152" t="s">
        <v>64</v>
      </c>
      <c r="G152" t="s">
        <v>44</v>
      </c>
      <c r="H152" s="36">
        <v>70000</v>
      </c>
      <c r="I152" s="36">
        <v>30000.000000000004</v>
      </c>
      <c r="J152" t="s">
        <v>9</v>
      </c>
      <c r="L152">
        <v>0</v>
      </c>
      <c r="M152" s="36">
        <v>100000</v>
      </c>
      <c r="N152" s="36">
        <f>DataTable[[#This Row],[Resource Cost]]+DataTable[[#This Row],[Other Cost]]</f>
        <v>100000</v>
      </c>
      <c r="O152" s="36">
        <v>10000</v>
      </c>
      <c r="P152" s="36">
        <v>90000</v>
      </c>
      <c r="Q152" s="36">
        <f>DataTable[[#This Row],[Pct Budget]]*totalBudget</f>
        <v>3055000</v>
      </c>
      <c r="R152" s="36" t="str">
        <f>IFERROR(VLOOKUP(DataTable[[#This Row],[Financial Category]],tblFinancialCat[],2,FALSE),"")</f>
        <v xml:space="preserve">CapEx  </v>
      </c>
      <c r="S152" s="36">
        <f>IFERROR(DataTable[[#This Row],[Utilized]]/DataTable[[#This Row],[Total Cost]]*DataTable[[#This Row],[Resource Cost]],0)</f>
        <v>0</v>
      </c>
      <c r="T152" s="36">
        <f>IFERROR(DataTable[[#This Row],[Utilized]]/DataTable[[#This Row],[Total Cost]]*DataTable[[#This Row],[Other Cost]],0)</f>
        <v>10000</v>
      </c>
      <c r="U152" s="217">
        <v>42095</v>
      </c>
      <c r="V152" s="36" t="str">
        <f>TEXT(DataTable[[#This Row],[Month]],"MMM-YY")</f>
        <v>Apr-15</v>
      </c>
    </row>
    <row r="153" spans="1:22" x14ac:dyDescent="0.25">
      <c r="A153">
        <v>152</v>
      </c>
      <c r="B153" t="s">
        <v>16</v>
      </c>
      <c r="C153">
        <v>0.47</v>
      </c>
      <c r="D153" t="s">
        <v>194</v>
      </c>
      <c r="E153" t="s">
        <v>195</v>
      </c>
      <c r="F153" t="s">
        <v>64</v>
      </c>
      <c r="G153" t="s">
        <v>44</v>
      </c>
      <c r="H153" s="36">
        <v>195000</v>
      </c>
      <c r="I153" s="36">
        <v>130000</v>
      </c>
      <c r="J153" t="s">
        <v>10</v>
      </c>
      <c r="L153">
        <v>0</v>
      </c>
      <c r="M153" s="36">
        <v>325000</v>
      </c>
      <c r="N153" s="36">
        <f>DataTable[[#This Row],[Resource Cost]]+DataTable[[#This Row],[Other Cost]]</f>
        <v>325000</v>
      </c>
      <c r="O153" s="36">
        <v>32500</v>
      </c>
      <c r="P153" s="36">
        <v>292500</v>
      </c>
      <c r="Q153" s="36">
        <f>DataTable[[#This Row],[Pct Budget]]*totalBudget</f>
        <v>3055000</v>
      </c>
      <c r="R153" s="36" t="str">
        <f>IFERROR(VLOOKUP(DataTable[[#This Row],[Financial Category]],tblFinancialCat[],2,FALSE),"")</f>
        <v xml:space="preserve">CapEx  </v>
      </c>
      <c r="S153" s="36">
        <f>IFERROR(DataTable[[#This Row],[Utilized]]/DataTable[[#This Row],[Total Cost]]*DataTable[[#This Row],[Resource Cost]],0)</f>
        <v>0</v>
      </c>
      <c r="T153" s="36">
        <f>IFERROR(DataTable[[#This Row],[Utilized]]/DataTable[[#This Row],[Total Cost]]*DataTable[[#This Row],[Other Cost]],0)</f>
        <v>32500</v>
      </c>
      <c r="U153" s="217">
        <v>42339</v>
      </c>
      <c r="V153" s="36" t="str">
        <f>TEXT(DataTable[[#This Row],[Month]],"MMM-YY")</f>
        <v>Dec-15</v>
      </c>
    </row>
    <row r="154" spans="1:22" x14ac:dyDescent="0.25">
      <c r="A154">
        <v>153</v>
      </c>
      <c r="B154" t="s">
        <v>16</v>
      </c>
      <c r="C154">
        <v>0.47</v>
      </c>
      <c r="D154" t="s">
        <v>194</v>
      </c>
      <c r="E154" t="s">
        <v>32</v>
      </c>
      <c r="F154" t="s">
        <v>64</v>
      </c>
      <c r="G154" t="s">
        <v>44</v>
      </c>
      <c r="H154" s="36">
        <v>195000</v>
      </c>
      <c r="I154" s="36">
        <v>130000</v>
      </c>
      <c r="J154" t="s">
        <v>10</v>
      </c>
      <c r="L154">
        <v>0</v>
      </c>
      <c r="M154" s="36">
        <v>325000</v>
      </c>
      <c r="N154" s="36">
        <f>DataTable[[#This Row],[Resource Cost]]+DataTable[[#This Row],[Other Cost]]</f>
        <v>325000</v>
      </c>
      <c r="O154" s="36">
        <v>32500</v>
      </c>
      <c r="P154" s="36">
        <v>292500</v>
      </c>
      <c r="Q154" s="36">
        <f>DataTable[[#This Row],[Pct Budget]]*totalBudget</f>
        <v>3055000</v>
      </c>
      <c r="R154" s="36" t="str">
        <f>IFERROR(VLOOKUP(DataTable[[#This Row],[Financial Category]],tblFinancialCat[],2,FALSE),"")</f>
        <v xml:space="preserve">CapEx  </v>
      </c>
      <c r="S154" s="36">
        <f>IFERROR(DataTable[[#This Row],[Utilized]]/DataTable[[#This Row],[Total Cost]]*DataTable[[#This Row],[Resource Cost]],0)</f>
        <v>0</v>
      </c>
      <c r="T154" s="36">
        <f>IFERROR(DataTable[[#This Row],[Utilized]]/DataTable[[#This Row],[Total Cost]]*DataTable[[#This Row],[Other Cost]],0)</f>
        <v>32500</v>
      </c>
      <c r="U154" s="217">
        <v>42339</v>
      </c>
      <c r="V154" s="36" t="str">
        <f>TEXT(DataTable[[#This Row],[Month]],"MMM-YY")</f>
        <v>Dec-15</v>
      </c>
    </row>
    <row r="155" spans="1:22" x14ac:dyDescent="0.25">
      <c r="A155">
        <v>154</v>
      </c>
      <c r="B155" t="s">
        <v>16</v>
      </c>
      <c r="C155">
        <v>0.47</v>
      </c>
      <c r="D155" t="s">
        <v>194</v>
      </c>
      <c r="E155" t="s">
        <v>195</v>
      </c>
      <c r="F155" t="s">
        <v>64</v>
      </c>
      <c r="G155" t="s">
        <v>44</v>
      </c>
      <c r="H155" s="36">
        <v>163.46153846153845</v>
      </c>
      <c r="I155" s="36">
        <v>653.84615384615381</v>
      </c>
      <c r="J155" t="s">
        <v>172</v>
      </c>
      <c r="K155" t="s">
        <v>126</v>
      </c>
      <c r="L155">
        <v>817.30769230769226</v>
      </c>
      <c r="M155" s="36">
        <v>0</v>
      </c>
      <c r="N155" s="36">
        <f>DataTable[[#This Row],[Resource Cost]]+DataTable[[#This Row],[Other Cost]]</f>
        <v>817.30769230769226</v>
      </c>
      <c r="O155" s="36">
        <v>40.865384615384613</v>
      </c>
      <c r="P155" s="36">
        <v>776.44230769230762</v>
      </c>
      <c r="Q155" s="36">
        <f>DataTable[[#This Row],[Pct Budget]]*totalBudget</f>
        <v>3055000</v>
      </c>
      <c r="R155" s="36" t="str">
        <f>IFERROR(VLOOKUP(DataTable[[#This Row],[Financial Category]],tblFinancialCat[],2,FALSE),"")</f>
        <v>OpEx</v>
      </c>
      <c r="S155" s="36">
        <f>IFERROR(DataTable[[#This Row],[Utilized]]/DataTable[[#This Row],[Total Cost]]*DataTable[[#This Row],[Resource Cost]],0)</f>
        <v>40.865384615384613</v>
      </c>
      <c r="T155" s="36">
        <f>IFERROR(DataTable[[#This Row],[Utilized]]/DataTable[[#This Row],[Total Cost]]*DataTable[[#This Row],[Other Cost]],0)</f>
        <v>0</v>
      </c>
      <c r="U155" s="217">
        <v>42430</v>
      </c>
      <c r="V155" s="36" t="str">
        <f>TEXT(DataTable[[#This Row],[Month]],"MMM-YY")</f>
        <v>Mar-16</v>
      </c>
    </row>
    <row r="156" spans="1:22" x14ac:dyDescent="0.25">
      <c r="A156">
        <v>155</v>
      </c>
      <c r="B156" t="s">
        <v>16</v>
      </c>
      <c r="C156">
        <v>0.47</v>
      </c>
      <c r="D156" t="s">
        <v>194</v>
      </c>
      <c r="E156" t="s">
        <v>32</v>
      </c>
      <c r="F156" t="s">
        <v>64</v>
      </c>
      <c r="G156" t="s">
        <v>44</v>
      </c>
      <c r="H156" s="36">
        <v>163.46153846153845</v>
      </c>
      <c r="I156" s="36">
        <v>653.84615384615381</v>
      </c>
      <c r="J156" t="s">
        <v>172</v>
      </c>
      <c r="K156" t="s">
        <v>126</v>
      </c>
      <c r="L156">
        <v>817.30769230769226</v>
      </c>
      <c r="M156" s="36">
        <v>0</v>
      </c>
      <c r="N156" s="36">
        <f>DataTable[[#This Row],[Resource Cost]]+DataTable[[#This Row],[Other Cost]]</f>
        <v>817.30769230769226</v>
      </c>
      <c r="O156" s="36">
        <v>40.865384615384613</v>
      </c>
      <c r="P156" s="36">
        <v>776.44230769230762</v>
      </c>
      <c r="Q156" s="36">
        <f>DataTable[[#This Row],[Pct Budget]]*totalBudget</f>
        <v>3055000</v>
      </c>
      <c r="R156" s="36" t="str">
        <f>IFERROR(VLOOKUP(DataTable[[#This Row],[Financial Category]],tblFinancialCat[],2,FALSE),"")</f>
        <v>OpEx</v>
      </c>
      <c r="S156" s="36">
        <f>IFERROR(DataTable[[#This Row],[Utilized]]/DataTable[[#This Row],[Total Cost]]*DataTable[[#This Row],[Resource Cost]],0)</f>
        <v>40.865384615384613</v>
      </c>
      <c r="T156" s="36">
        <f>IFERROR(DataTable[[#This Row],[Utilized]]/DataTable[[#This Row],[Total Cost]]*DataTable[[#This Row],[Other Cost]],0)</f>
        <v>0</v>
      </c>
      <c r="U156" s="217">
        <v>42430</v>
      </c>
      <c r="V156" s="36" t="str">
        <f>TEXT(DataTable[[#This Row],[Month]],"MMM-YY")</f>
        <v>Mar-16</v>
      </c>
    </row>
    <row r="157" spans="1:22" x14ac:dyDescent="0.25">
      <c r="A157">
        <v>156</v>
      </c>
      <c r="B157" t="s">
        <v>16</v>
      </c>
      <c r="C157">
        <v>0.47</v>
      </c>
      <c r="D157" t="s">
        <v>194</v>
      </c>
      <c r="E157" t="s">
        <v>195</v>
      </c>
      <c r="F157" t="s">
        <v>64</v>
      </c>
      <c r="G157" t="s">
        <v>44</v>
      </c>
      <c r="H157" s="36">
        <v>1200</v>
      </c>
      <c r="I157" s="36">
        <v>4800</v>
      </c>
      <c r="J157" t="s">
        <v>172</v>
      </c>
      <c r="K157" t="s">
        <v>146</v>
      </c>
      <c r="L157">
        <v>6000</v>
      </c>
      <c r="M157" s="36">
        <v>0</v>
      </c>
      <c r="N157" s="36">
        <f>DataTable[[#This Row],[Resource Cost]]+DataTable[[#This Row],[Other Cost]]</f>
        <v>6000</v>
      </c>
      <c r="O157" s="36">
        <v>300</v>
      </c>
      <c r="P157" s="36">
        <v>5700</v>
      </c>
      <c r="Q157" s="36">
        <f>DataTable[[#This Row],[Pct Budget]]*totalBudget</f>
        <v>3055000</v>
      </c>
      <c r="R157" s="36" t="str">
        <f>IFERROR(VLOOKUP(DataTable[[#This Row],[Financial Category]],tblFinancialCat[],2,FALSE),"")</f>
        <v>OpEx</v>
      </c>
      <c r="S157" s="36">
        <f>IFERROR(DataTable[[#This Row],[Utilized]]/DataTable[[#This Row],[Total Cost]]*DataTable[[#This Row],[Resource Cost]],0)</f>
        <v>300</v>
      </c>
      <c r="T157" s="36">
        <f>IFERROR(DataTable[[#This Row],[Utilized]]/DataTable[[#This Row],[Total Cost]]*DataTable[[#This Row],[Other Cost]],0)</f>
        <v>0</v>
      </c>
      <c r="U157" s="217">
        <v>42430</v>
      </c>
      <c r="V157" s="36" t="str">
        <f>TEXT(DataTable[[#This Row],[Month]],"MMM-YY")</f>
        <v>Mar-16</v>
      </c>
    </row>
    <row r="158" spans="1:22" x14ac:dyDescent="0.25">
      <c r="A158">
        <v>157</v>
      </c>
      <c r="B158" t="s">
        <v>16</v>
      </c>
      <c r="C158">
        <v>0.47</v>
      </c>
      <c r="D158" t="s">
        <v>194</v>
      </c>
      <c r="E158" t="s">
        <v>32</v>
      </c>
      <c r="F158" t="s">
        <v>64</v>
      </c>
      <c r="G158" t="s">
        <v>44</v>
      </c>
      <c r="H158" s="36">
        <v>1200</v>
      </c>
      <c r="I158" s="36">
        <v>4800</v>
      </c>
      <c r="J158" t="s">
        <v>172</v>
      </c>
      <c r="K158" t="s">
        <v>146</v>
      </c>
      <c r="L158">
        <v>6000</v>
      </c>
      <c r="M158" s="36">
        <v>0</v>
      </c>
      <c r="N158" s="36">
        <f>DataTable[[#This Row],[Resource Cost]]+DataTable[[#This Row],[Other Cost]]</f>
        <v>6000</v>
      </c>
      <c r="O158" s="36">
        <v>300</v>
      </c>
      <c r="P158" s="36">
        <v>5700</v>
      </c>
      <c r="Q158" s="36">
        <f>DataTable[[#This Row],[Pct Budget]]*totalBudget</f>
        <v>3055000</v>
      </c>
      <c r="R158" s="36" t="str">
        <f>IFERROR(VLOOKUP(DataTable[[#This Row],[Financial Category]],tblFinancialCat[],2,FALSE),"")</f>
        <v>OpEx</v>
      </c>
      <c r="S158" s="36">
        <f>IFERROR(DataTable[[#This Row],[Utilized]]/DataTable[[#This Row],[Total Cost]]*DataTable[[#This Row],[Resource Cost]],0)</f>
        <v>300</v>
      </c>
      <c r="T158" s="36">
        <f>IFERROR(DataTable[[#This Row],[Utilized]]/DataTable[[#This Row],[Total Cost]]*DataTable[[#This Row],[Other Cost]],0)</f>
        <v>0</v>
      </c>
      <c r="U158" s="217">
        <v>42430</v>
      </c>
      <c r="V158" s="36" t="str">
        <f>TEXT(DataTable[[#This Row],[Month]],"MMM-YY")</f>
        <v>Mar-16</v>
      </c>
    </row>
    <row r="159" spans="1:22" x14ac:dyDescent="0.25">
      <c r="A159">
        <v>158</v>
      </c>
      <c r="B159" t="s">
        <v>16</v>
      </c>
      <c r="C159">
        <v>0.47</v>
      </c>
      <c r="D159" t="s">
        <v>194</v>
      </c>
      <c r="E159" t="s">
        <v>195</v>
      </c>
      <c r="F159" t="s">
        <v>64</v>
      </c>
      <c r="G159" t="s">
        <v>44</v>
      </c>
      <c r="H159" s="36">
        <v>721.15384615384619</v>
      </c>
      <c r="I159" s="36">
        <v>2884.6153846153848</v>
      </c>
      <c r="J159" t="s">
        <v>172</v>
      </c>
      <c r="K159" t="s">
        <v>118</v>
      </c>
      <c r="L159">
        <v>3605.7692307692305</v>
      </c>
      <c r="M159" s="36">
        <v>0</v>
      </c>
      <c r="N159" s="36">
        <f>DataTable[[#This Row],[Resource Cost]]+DataTable[[#This Row],[Other Cost]]</f>
        <v>3605.7692307692305</v>
      </c>
      <c r="O159" s="36">
        <v>180.28846153846155</v>
      </c>
      <c r="P159" s="36">
        <v>3425.4807692307686</v>
      </c>
      <c r="Q159" s="36">
        <f>DataTable[[#This Row],[Pct Budget]]*totalBudget</f>
        <v>3055000</v>
      </c>
      <c r="R159" s="36" t="str">
        <f>IFERROR(VLOOKUP(DataTable[[#This Row],[Financial Category]],tblFinancialCat[],2,FALSE),"")</f>
        <v>OpEx</v>
      </c>
      <c r="S159" s="36">
        <f>IFERROR(DataTable[[#This Row],[Utilized]]/DataTable[[#This Row],[Total Cost]]*DataTable[[#This Row],[Resource Cost]],0)</f>
        <v>180.28846153846155</v>
      </c>
      <c r="T159" s="36">
        <f>IFERROR(DataTable[[#This Row],[Utilized]]/DataTable[[#This Row],[Total Cost]]*DataTable[[#This Row],[Other Cost]],0)</f>
        <v>0</v>
      </c>
      <c r="U159" s="217">
        <v>42430</v>
      </c>
      <c r="V159" s="36" t="str">
        <f>TEXT(DataTable[[#This Row],[Month]],"MMM-YY")</f>
        <v>Mar-16</v>
      </c>
    </row>
    <row r="160" spans="1:22" x14ac:dyDescent="0.25">
      <c r="A160">
        <v>159</v>
      </c>
      <c r="B160" t="s">
        <v>16</v>
      </c>
      <c r="C160">
        <v>0.47</v>
      </c>
      <c r="D160" t="s">
        <v>194</v>
      </c>
      <c r="E160" t="s">
        <v>32</v>
      </c>
      <c r="F160" t="s">
        <v>64</v>
      </c>
      <c r="G160" t="s">
        <v>44</v>
      </c>
      <c r="H160" s="36">
        <v>721.15384615384619</v>
      </c>
      <c r="I160" s="36">
        <v>2884.6153846153848</v>
      </c>
      <c r="J160" t="s">
        <v>172</v>
      </c>
      <c r="K160" t="s">
        <v>118</v>
      </c>
      <c r="L160">
        <v>3605.7692307692305</v>
      </c>
      <c r="M160" s="36">
        <v>0</v>
      </c>
      <c r="N160" s="36">
        <f>DataTable[[#This Row],[Resource Cost]]+DataTable[[#This Row],[Other Cost]]</f>
        <v>3605.7692307692305</v>
      </c>
      <c r="O160" s="36">
        <v>180.28846153846155</v>
      </c>
      <c r="P160" s="36">
        <v>3425.4807692307686</v>
      </c>
      <c r="Q160" s="36">
        <f>DataTable[[#This Row],[Pct Budget]]*totalBudget</f>
        <v>3055000</v>
      </c>
      <c r="R160" s="36" t="str">
        <f>IFERROR(VLOOKUP(DataTable[[#This Row],[Financial Category]],tblFinancialCat[],2,FALSE),"")</f>
        <v>OpEx</v>
      </c>
      <c r="S160" s="36">
        <f>IFERROR(DataTable[[#This Row],[Utilized]]/DataTable[[#This Row],[Total Cost]]*DataTable[[#This Row],[Resource Cost]],0)</f>
        <v>180.28846153846155</v>
      </c>
      <c r="T160" s="36">
        <f>IFERROR(DataTable[[#This Row],[Utilized]]/DataTable[[#This Row],[Total Cost]]*DataTable[[#This Row],[Other Cost]],0)</f>
        <v>0</v>
      </c>
      <c r="U160" s="217">
        <v>42430</v>
      </c>
      <c r="V160" s="36" t="str">
        <f>TEXT(DataTable[[#This Row],[Month]],"MMM-YY")</f>
        <v>Mar-16</v>
      </c>
    </row>
    <row r="161" spans="1:22" x14ac:dyDescent="0.25">
      <c r="A161">
        <v>160</v>
      </c>
      <c r="B161" t="s">
        <v>16</v>
      </c>
      <c r="C161">
        <v>0.47</v>
      </c>
      <c r="D161" t="s">
        <v>194</v>
      </c>
      <c r="E161" t="s">
        <v>195</v>
      </c>
      <c r="F161" t="s">
        <v>64</v>
      </c>
      <c r="G161" t="s">
        <v>44</v>
      </c>
      <c r="H161" s="36">
        <v>3300</v>
      </c>
      <c r="I161" s="36">
        <v>13200</v>
      </c>
      <c r="J161" t="s">
        <v>172</v>
      </c>
      <c r="K161" t="s">
        <v>147</v>
      </c>
      <c r="L161">
        <v>16500</v>
      </c>
      <c r="M161" s="36">
        <v>0</v>
      </c>
      <c r="N161" s="36">
        <f>DataTable[[#This Row],[Resource Cost]]+DataTable[[#This Row],[Other Cost]]</f>
        <v>16500</v>
      </c>
      <c r="O161" s="36">
        <v>825</v>
      </c>
      <c r="P161" s="36">
        <v>15675</v>
      </c>
      <c r="Q161" s="36">
        <f>DataTable[[#This Row],[Pct Budget]]*totalBudget</f>
        <v>3055000</v>
      </c>
      <c r="R161" s="36" t="str">
        <f>IFERROR(VLOOKUP(DataTable[[#This Row],[Financial Category]],tblFinancialCat[],2,FALSE),"")</f>
        <v>OpEx</v>
      </c>
      <c r="S161" s="36">
        <f>IFERROR(DataTable[[#This Row],[Utilized]]/DataTable[[#This Row],[Total Cost]]*DataTable[[#This Row],[Resource Cost]],0)</f>
        <v>825</v>
      </c>
      <c r="T161" s="36">
        <f>IFERROR(DataTable[[#This Row],[Utilized]]/DataTable[[#This Row],[Total Cost]]*DataTable[[#This Row],[Other Cost]],0)</f>
        <v>0</v>
      </c>
      <c r="U161" s="217">
        <v>42430</v>
      </c>
      <c r="V161" s="36" t="str">
        <f>TEXT(DataTable[[#This Row],[Month]],"MMM-YY")</f>
        <v>Mar-16</v>
      </c>
    </row>
    <row r="162" spans="1:22" x14ac:dyDescent="0.25">
      <c r="A162">
        <v>161</v>
      </c>
      <c r="B162" t="s">
        <v>16</v>
      </c>
      <c r="C162">
        <v>0.47</v>
      </c>
      <c r="D162" t="s">
        <v>194</v>
      </c>
      <c r="E162" t="s">
        <v>32</v>
      </c>
      <c r="F162" t="s">
        <v>64</v>
      </c>
      <c r="G162" t="s">
        <v>44</v>
      </c>
      <c r="H162" s="36">
        <v>3300</v>
      </c>
      <c r="I162" s="36">
        <v>13200</v>
      </c>
      <c r="J162" t="s">
        <v>172</v>
      </c>
      <c r="K162" t="s">
        <v>147</v>
      </c>
      <c r="L162">
        <v>16500</v>
      </c>
      <c r="M162" s="36">
        <v>0</v>
      </c>
      <c r="N162" s="36">
        <f>DataTable[[#This Row],[Resource Cost]]+DataTable[[#This Row],[Other Cost]]</f>
        <v>16500</v>
      </c>
      <c r="O162" s="36">
        <v>825</v>
      </c>
      <c r="P162" s="36">
        <v>15675</v>
      </c>
      <c r="Q162" s="36">
        <f>DataTable[[#This Row],[Pct Budget]]*totalBudget</f>
        <v>3055000</v>
      </c>
      <c r="R162" s="36" t="str">
        <f>IFERROR(VLOOKUP(DataTable[[#This Row],[Financial Category]],tblFinancialCat[],2,FALSE),"")</f>
        <v>OpEx</v>
      </c>
      <c r="S162" s="36">
        <f>IFERROR(DataTable[[#This Row],[Utilized]]/DataTable[[#This Row],[Total Cost]]*DataTable[[#This Row],[Resource Cost]],0)</f>
        <v>825</v>
      </c>
      <c r="T162" s="36">
        <f>IFERROR(DataTable[[#This Row],[Utilized]]/DataTable[[#This Row],[Total Cost]]*DataTable[[#This Row],[Other Cost]],0)</f>
        <v>0</v>
      </c>
      <c r="U162" s="217">
        <v>42430</v>
      </c>
      <c r="V162" s="36" t="str">
        <f>TEXT(DataTable[[#This Row],[Month]],"MMM-YY")</f>
        <v>Mar-16</v>
      </c>
    </row>
    <row r="163" spans="1:22" x14ac:dyDescent="0.25">
      <c r="A163">
        <v>162</v>
      </c>
      <c r="B163" t="s">
        <v>16</v>
      </c>
      <c r="C163">
        <v>0.47</v>
      </c>
      <c r="D163" t="s">
        <v>194</v>
      </c>
      <c r="E163" t="s">
        <v>195</v>
      </c>
      <c r="F163" t="s">
        <v>64</v>
      </c>
      <c r="G163" t="s">
        <v>44</v>
      </c>
      <c r="H163" s="36">
        <v>600.96153846153845</v>
      </c>
      <c r="I163" s="36">
        <v>2403.8461538461538</v>
      </c>
      <c r="J163" t="s">
        <v>172</v>
      </c>
      <c r="K163" t="s">
        <v>129</v>
      </c>
      <c r="L163">
        <v>3004.8076923076924</v>
      </c>
      <c r="M163" s="36">
        <v>0</v>
      </c>
      <c r="N163" s="36">
        <f>DataTable[[#This Row],[Resource Cost]]+DataTable[[#This Row],[Other Cost]]</f>
        <v>3004.8076923076924</v>
      </c>
      <c r="O163" s="36">
        <v>150.24038461538461</v>
      </c>
      <c r="P163" s="36">
        <v>2854.5673076923076</v>
      </c>
      <c r="Q163" s="36">
        <f>DataTable[[#This Row],[Pct Budget]]*totalBudget</f>
        <v>3055000</v>
      </c>
      <c r="R163" s="36" t="str">
        <f>IFERROR(VLOOKUP(DataTable[[#This Row],[Financial Category]],tblFinancialCat[],2,FALSE),"")</f>
        <v>OpEx</v>
      </c>
      <c r="S163" s="36">
        <f>IFERROR(DataTable[[#This Row],[Utilized]]/DataTable[[#This Row],[Total Cost]]*DataTable[[#This Row],[Resource Cost]],0)</f>
        <v>150.24038461538461</v>
      </c>
      <c r="T163" s="36">
        <f>IFERROR(DataTable[[#This Row],[Utilized]]/DataTable[[#This Row],[Total Cost]]*DataTable[[#This Row],[Other Cost]],0)</f>
        <v>0</v>
      </c>
      <c r="U163" s="217">
        <v>42430</v>
      </c>
      <c r="V163" s="36" t="str">
        <f>TEXT(DataTable[[#This Row],[Month]],"MMM-YY")</f>
        <v>Mar-16</v>
      </c>
    </row>
    <row r="164" spans="1:22" x14ac:dyDescent="0.25">
      <c r="A164">
        <v>163</v>
      </c>
      <c r="B164" t="s">
        <v>16</v>
      </c>
      <c r="C164">
        <v>0.47</v>
      </c>
      <c r="D164" t="s">
        <v>194</v>
      </c>
      <c r="E164" t="s">
        <v>32</v>
      </c>
      <c r="F164" t="s">
        <v>64</v>
      </c>
      <c r="G164" t="s">
        <v>44</v>
      </c>
      <c r="H164" s="36">
        <v>600.96153846153845</v>
      </c>
      <c r="I164" s="36">
        <v>2403.8461538461538</v>
      </c>
      <c r="J164" t="s">
        <v>172</v>
      </c>
      <c r="K164" t="s">
        <v>129</v>
      </c>
      <c r="L164">
        <v>3004.8076923076924</v>
      </c>
      <c r="M164" s="36">
        <v>0</v>
      </c>
      <c r="N164" s="36">
        <f>DataTable[[#This Row],[Resource Cost]]+DataTable[[#This Row],[Other Cost]]</f>
        <v>3004.8076923076924</v>
      </c>
      <c r="O164" s="36">
        <v>150.24038461538461</v>
      </c>
      <c r="P164" s="36">
        <v>2854.5673076923076</v>
      </c>
      <c r="Q164" s="36">
        <f>DataTable[[#This Row],[Pct Budget]]*totalBudget</f>
        <v>3055000</v>
      </c>
      <c r="R164" s="36" t="str">
        <f>IFERROR(VLOOKUP(DataTable[[#This Row],[Financial Category]],tblFinancialCat[],2,FALSE),"")</f>
        <v>OpEx</v>
      </c>
      <c r="S164" s="36">
        <f>IFERROR(DataTable[[#This Row],[Utilized]]/DataTable[[#This Row],[Total Cost]]*DataTable[[#This Row],[Resource Cost]],0)</f>
        <v>150.24038461538461</v>
      </c>
      <c r="T164" s="36">
        <f>IFERROR(DataTable[[#This Row],[Utilized]]/DataTable[[#This Row],[Total Cost]]*DataTable[[#This Row],[Other Cost]],0)</f>
        <v>0</v>
      </c>
      <c r="U164" s="217">
        <v>42430</v>
      </c>
      <c r="V164" s="36" t="str">
        <f>TEXT(DataTable[[#This Row],[Month]],"MMM-YY")</f>
        <v>Mar-16</v>
      </c>
    </row>
    <row r="165" spans="1:22" x14ac:dyDescent="0.25">
      <c r="A165">
        <v>164</v>
      </c>
      <c r="B165" t="s">
        <v>1</v>
      </c>
      <c r="C165">
        <v>0.15</v>
      </c>
      <c r="D165" t="s">
        <v>19</v>
      </c>
      <c r="E165" t="s">
        <v>177</v>
      </c>
      <c r="F165" t="s">
        <v>63</v>
      </c>
      <c r="G165" t="s">
        <v>42</v>
      </c>
      <c r="H165" s="36">
        <v>2403.8461538461538</v>
      </c>
      <c r="I165" s="36">
        <v>600.96153846153834</v>
      </c>
      <c r="J165" t="s">
        <v>31</v>
      </c>
      <c r="K165" t="s">
        <v>14</v>
      </c>
      <c r="L165">
        <v>3004.8076923076924</v>
      </c>
      <c r="M165" s="36">
        <v>0</v>
      </c>
      <c r="N165" s="36">
        <f>DataTable[[#This Row],[Resource Cost]]+DataTable[[#This Row],[Other Cost]]</f>
        <v>3004.8076923076924</v>
      </c>
      <c r="O165" s="36">
        <v>3004.8076923076924</v>
      </c>
      <c r="P165" s="36">
        <v>3004.8076923076924</v>
      </c>
      <c r="Q165" s="36">
        <f>DataTable[[#This Row],[Pct Budget]]*totalBudget</f>
        <v>975000</v>
      </c>
      <c r="R165" s="36" t="str">
        <f>IFERROR(VLOOKUP(DataTable[[#This Row],[Financial Category]],tblFinancialCat[],2,FALSE),"")</f>
        <v>OpEx</v>
      </c>
      <c r="S165" s="36">
        <f>IFERROR(DataTable[[#This Row],[Utilized]]/DataTable[[#This Row],[Total Cost]]*DataTable[[#This Row],[Resource Cost]],0)</f>
        <v>3004.8076923076924</v>
      </c>
      <c r="T165" s="36">
        <f>IFERROR(DataTable[[#This Row],[Utilized]]/DataTable[[#This Row],[Total Cost]]*DataTable[[#This Row],[Other Cost]],0)</f>
        <v>0</v>
      </c>
      <c r="U165" s="217">
        <v>42036</v>
      </c>
      <c r="V165" s="36" t="str">
        <f>TEXT(DataTable[[#This Row],[Month]],"MMM-YY")</f>
        <v>Feb-15</v>
      </c>
    </row>
    <row r="166" spans="1:22" x14ac:dyDescent="0.25">
      <c r="A166">
        <v>165</v>
      </c>
      <c r="B166" t="s">
        <v>1</v>
      </c>
      <c r="C166">
        <v>0.15</v>
      </c>
      <c r="D166" t="s">
        <v>19</v>
      </c>
      <c r="E166" t="s">
        <v>32</v>
      </c>
      <c r="F166" t="s">
        <v>63</v>
      </c>
      <c r="G166" t="s">
        <v>42</v>
      </c>
      <c r="H166" s="36">
        <v>2403.8461538461538</v>
      </c>
      <c r="I166" s="36">
        <v>600.96153846153834</v>
      </c>
      <c r="J166" t="s">
        <v>31</v>
      </c>
      <c r="K166" t="s">
        <v>14</v>
      </c>
      <c r="L166">
        <v>3004.8076923076924</v>
      </c>
      <c r="M166" s="36">
        <v>0</v>
      </c>
      <c r="N166" s="36">
        <f>DataTable[[#This Row],[Resource Cost]]+DataTable[[#This Row],[Other Cost]]</f>
        <v>3004.8076923076924</v>
      </c>
      <c r="O166" s="36">
        <v>3004.8076923076924</v>
      </c>
      <c r="P166" s="36">
        <v>3004.8076923076924</v>
      </c>
      <c r="Q166" s="36">
        <f>DataTable[[#This Row],[Pct Budget]]*totalBudget</f>
        <v>975000</v>
      </c>
      <c r="R166" s="36" t="str">
        <f>IFERROR(VLOOKUP(DataTable[[#This Row],[Financial Category]],tblFinancialCat[],2,FALSE),"")</f>
        <v>OpEx</v>
      </c>
      <c r="S166" s="36">
        <f>IFERROR(DataTable[[#This Row],[Utilized]]/DataTable[[#This Row],[Total Cost]]*DataTable[[#This Row],[Resource Cost]],0)</f>
        <v>3004.8076923076924</v>
      </c>
      <c r="T166" s="36">
        <f>IFERROR(DataTable[[#This Row],[Utilized]]/DataTable[[#This Row],[Total Cost]]*DataTable[[#This Row],[Other Cost]],0)</f>
        <v>0</v>
      </c>
      <c r="U166" s="217">
        <v>42036</v>
      </c>
      <c r="V166" s="36" t="str">
        <f>TEXT(DataTable[[#This Row],[Month]],"MMM-YY")</f>
        <v>Feb-15</v>
      </c>
    </row>
    <row r="167" spans="1:22" x14ac:dyDescent="0.25">
      <c r="A167">
        <v>166</v>
      </c>
      <c r="B167" t="s">
        <v>1</v>
      </c>
      <c r="C167">
        <v>0.15</v>
      </c>
      <c r="D167" t="s">
        <v>19</v>
      </c>
      <c r="E167" t="s">
        <v>177</v>
      </c>
      <c r="F167" t="s">
        <v>63</v>
      </c>
      <c r="G167" t="s">
        <v>42</v>
      </c>
      <c r="H167" s="36">
        <v>40000</v>
      </c>
      <c r="I167" s="36">
        <v>9999.9999999999982</v>
      </c>
      <c r="J167" t="s">
        <v>31</v>
      </c>
      <c r="K167" t="s">
        <v>44</v>
      </c>
      <c r="L167">
        <v>50000</v>
      </c>
      <c r="M167" s="36">
        <v>0</v>
      </c>
      <c r="N167" s="36">
        <f>DataTable[[#This Row],[Resource Cost]]+DataTable[[#This Row],[Other Cost]]</f>
        <v>50000</v>
      </c>
      <c r="O167" s="36">
        <v>50000</v>
      </c>
      <c r="P167" s="36">
        <v>50000</v>
      </c>
      <c r="Q167" s="36">
        <f>DataTable[[#This Row],[Pct Budget]]*totalBudget</f>
        <v>975000</v>
      </c>
      <c r="R167" s="36" t="str">
        <f>IFERROR(VLOOKUP(DataTable[[#This Row],[Financial Category]],tblFinancialCat[],2,FALSE),"")</f>
        <v>OpEx</v>
      </c>
      <c r="S167" s="36">
        <f>IFERROR(DataTable[[#This Row],[Utilized]]/DataTable[[#This Row],[Total Cost]]*DataTable[[#This Row],[Resource Cost]],0)</f>
        <v>50000</v>
      </c>
      <c r="T167" s="36">
        <f>IFERROR(DataTable[[#This Row],[Utilized]]/DataTable[[#This Row],[Total Cost]]*DataTable[[#This Row],[Other Cost]],0)</f>
        <v>0</v>
      </c>
      <c r="U167" s="217">
        <v>42036</v>
      </c>
      <c r="V167" s="36" t="str">
        <f>TEXT(DataTable[[#This Row],[Month]],"MMM-YY")</f>
        <v>Feb-15</v>
      </c>
    </row>
    <row r="168" spans="1:22" x14ac:dyDescent="0.25">
      <c r="A168">
        <v>167</v>
      </c>
      <c r="B168" t="s">
        <v>1</v>
      </c>
      <c r="C168">
        <v>0.15</v>
      </c>
      <c r="D168" t="s">
        <v>19</v>
      </c>
      <c r="E168" t="s">
        <v>32</v>
      </c>
      <c r="F168" t="s">
        <v>63</v>
      </c>
      <c r="G168" t="s">
        <v>42</v>
      </c>
      <c r="H168" s="36">
        <v>40000</v>
      </c>
      <c r="I168" s="36">
        <v>9999.9999999999982</v>
      </c>
      <c r="J168" t="s">
        <v>31</v>
      </c>
      <c r="K168" t="s">
        <v>44</v>
      </c>
      <c r="L168">
        <v>50000</v>
      </c>
      <c r="M168" s="36">
        <v>0</v>
      </c>
      <c r="N168" s="36">
        <f>DataTable[[#This Row],[Resource Cost]]+DataTable[[#This Row],[Other Cost]]</f>
        <v>50000</v>
      </c>
      <c r="O168" s="36">
        <v>50000</v>
      </c>
      <c r="P168" s="36">
        <v>50000</v>
      </c>
      <c r="Q168" s="36">
        <f>DataTable[[#This Row],[Pct Budget]]*totalBudget</f>
        <v>975000</v>
      </c>
      <c r="R168" s="36" t="str">
        <f>IFERROR(VLOOKUP(DataTable[[#This Row],[Financial Category]],tblFinancialCat[],2,FALSE),"")</f>
        <v>OpEx</v>
      </c>
      <c r="S168" s="36">
        <f>IFERROR(DataTable[[#This Row],[Utilized]]/DataTable[[#This Row],[Total Cost]]*DataTable[[#This Row],[Resource Cost]],0)</f>
        <v>50000</v>
      </c>
      <c r="T168" s="36">
        <f>IFERROR(DataTable[[#This Row],[Utilized]]/DataTable[[#This Row],[Total Cost]]*DataTable[[#This Row],[Other Cost]],0)</f>
        <v>0</v>
      </c>
      <c r="U168" s="217">
        <v>42036</v>
      </c>
      <c r="V168" s="36" t="str">
        <f>TEXT(DataTable[[#This Row],[Month]],"MMM-YY")</f>
        <v>Feb-15</v>
      </c>
    </row>
    <row r="169" spans="1:22" x14ac:dyDescent="0.25">
      <c r="A169">
        <v>168</v>
      </c>
      <c r="B169" t="s">
        <v>1</v>
      </c>
      <c r="C169">
        <v>0.15</v>
      </c>
      <c r="D169" t="s">
        <v>18</v>
      </c>
      <c r="E169" t="s">
        <v>209</v>
      </c>
      <c r="F169" t="s">
        <v>64</v>
      </c>
      <c r="G169" t="s">
        <v>222</v>
      </c>
      <c r="H169" s="36">
        <v>18028.846153846152</v>
      </c>
      <c r="I169" s="36">
        <v>0</v>
      </c>
      <c r="J169" t="s">
        <v>31</v>
      </c>
      <c r="K169" t="s">
        <v>14</v>
      </c>
      <c r="L169">
        <v>18028.846153846152</v>
      </c>
      <c r="M169" s="36">
        <v>0</v>
      </c>
      <c r="N169" s="36">
        <f>DataTable[[#This Row],[Resource Cost]]+DataTable[[#This Row],[Other Cost]]</f>
        <v>18028.846153846152</v>
      </c>
      <c r="O169" s="36">
        <v>18028.846153846152</v>
      </c>
      <c r="P169" s="36">
        <v>18028.846153846152</v>
      </c>
      <c r="Q169" s="36">
        <f>DataTable[[#This Row],[Pct Budget]]*totalBudget</f>
        <v>975000</v>
      </c>
      <c r="R169" s="36" t="str">
        <f>IFERROR(VLOOKUP(DataTable[[#This Row],[Financial Category]],tblFinancialCat[],2,FALSE),"")</f>
        <v>OpEx</v>
      </c>
      <c r="S169" s="36">
        <f>IFERROR(DataTable[[#This Row],[Utilized]]/DataTable[[#This Row],[Total Cost]]*DataTable[[#This Row],[Resource Cost]],0)</f>
        <v>18028.846153846152</v>
      </c>
      <c r="T169" s="36">
        <f>IFERROR(DataTable[[#This Row],[Utilized]]/DataTable[[#This Row],[Total Cost]]*DataTable[[#This Row],[Other Cost]],0)</f>
        <v>0</v>
      </c>
      <c r="U169" s="217">
        <v>42036</v>
      </c>
      <c r="V169" s="36" t="str">
        <f>TEXT(DataTable[[#This Row],[Month]],"MMM-YY")</f>
        <v>Feb-15</v>
      </c>
    </row>
    <row r="170" spans="1:22" x14ac:dyDescent="0.25">
      <c r="A170">
        <v>169</v>
      </c>
      <c r="B170" t="s">
        <v>1</v>
      </c>
      <c r="C170">
        <v>0.15</v>
      </c>
      <c r="D170" t="s">
        <v>18</v>
      </c>
      <c r="E170" t="s">
        <v>209</v>
      </c>
      <c r="F170" t="s">
        <v>64</v>
      </c>
      <c r="G170" t="s">
        <v>222</v>
      </c>
      <c r="H170" s="36">
        <v>200000</v>
      </c>
      <c r="I170" s="36">
        <v>0</v>
      </c>
      <c r="J170" t="s">
        <v>31</v>
      </c>
      <c r="K170" t="s">
        <v>44</v>
      </c>
      <c r="L170">
        <v>200000</v>
      </c>
      <c r="M170" s="36">
        <v>0</v>
      </c>
      <c r="N170" s="36">
        <f>DataTable[[#This Row],[Resource Cost]]+DataTable[[#This Row],[Other Cost]]</f>
        <v>200000</v>
      </c>
      <c r="O170" s="36">
        <v>200000</v>
      </c>
      <c r="P170" s="36">
        <v>200000</v>
      </c>
      <c r="Q170" s="36">
        <f>DataTable[[#This Row],[Pct Budget]]*totalBudget</f>
        <v>975000</v>
      </c>
      <c r="R170" s="36" t="str">
        <f>IFERROR(VLOOKUP(DataTable[[#This Row],[Financial Category]],tblFinancialCat[],2,FALSE),"")</f>
        <v>OpEx</v>
      </c>
      <c r="S170" s="36">
        <f>IFERROR(DataTable[[#This Row],[Utilized]]/DataTable[[#This Row],[Total Cost]]*DataTable[[#This Row],[Resource Cost]],0)</f>
        <v>200000</v>
      </c>
      <c r="T170" s="36">
        <f>IFERROR(DataTable[[#This Row],[Utilized]]/DataTable[[#This Row],[Total Cost]]*DataTable[[#This Row],[Other Cost]],0)</f>
        <v>0</v>
      </c>
      <c r="U170" s="217">
        <v>42036</v>
      </c>
      <c r="V170" s="36" t="str">
        <f>TEXT(DataTable[[#This Row],[Month]],"MMM-YY")</f>
        <v>Feb-15</v>
      </c>
    </row>
    <row r="171" spans="1:22" x14ac:dyDescent="0.25">
      <c r="A171">
        <v>170</v>
      </c>
      <c r="B171" t="s">
        <v>1</v>
      </c>
      <c r="C171">
        <v>0.15</v>
      </c>
      <c r="D171" t="s">
        <v>176</v>
      </c>
      <c r="E171" t="s">
        <v>178</v>
      </c>
      <c r="F171" t="s">
        <v>62</v>
      </c>
      <c r="G171" t="s">
        <v>222</v>
      </c>
      <c r="H171" s="36">
        <v>6009.6153846153848</v>
      </c>
      <c r="I171" s="36">
        <v>0</v>
      </c>
      <c r="J171" t="s">
        <v>31</v>
      </c>
      <c r="K171" t="s">
        <v>14</v>
      </c>
      <c r="L171">
        <v>6009.6153846153848</v>
      </c>
      <c r="M171" s="36">
        <v>0</v>
      </c>
      <c r="N171" s="36">
        <f>DataTable[[#This Row],[Resource Cost]]+DataTable[[#This Row],[Other Cost]]</f>
        <v>6009.6153846153848</v>
      </c>
      <c r="O171" s="36">
        <v>5408.6538461538466</v>
      </c>
      <c r="P171" s="36">
        <v>6009.6153846153848</v>
      </c>
      <c r="Q171" s="36">
        <f>DataTable[[#This Row],[Pct Budget]]*totalBudget</f>
        <v>975000</v>
      </c>
      <c r="R171" s="36" t="str">
        <f>IFERROR(VLOOKUP(DataTable[[#This Row],[Financial Category]],tblFinancialCat[],2,FALSE),"")</f>
        <v>OpEx</v>
      </c>
      <c r="S171" s="36">
        <f>IFERROR(DataTable[[#This Row],[Utilized]]/DataTable[[#This Row],[Total Cost]]*DataTable[[#This Row],[Resource Cost]],0)</f>
        <v>5408.6538461538466</v>
      </c>
      <c r="T171" s="36">
        <f>IFERROR(DataTable[[#This Row],[Utilized]]/DataTable[[#This Row],[Total Cost]]*DataTable[[#This Row],[Other Cost]],0)</f>
        <v>0</v>
      </c>
      <c r="U171" s="217">
        <v>42095</v>
      </c>
      <c r="V171" s="36" t="str">
        <f>TEXT(DataTable[[#This Row],[Month]],"MMM-YY")</f>
        <v>Apr-15</v>
      </c>
    </row>
    <row r="172" spans="1:22" x14ac:dyDescent="0.25">
      <c r="A172">
        <v>171</v>
      </c>
      <c r="B172" t="s">
        <v>1</v>
      </c>
      <c r="C172">
        <v>0.15</v>
      </c>
      <c r="D172" t="s">
        <v>176</v>
      </c>
      <c r="E172" t="s">
        <v>178</v>
      </c>
      <c r="F172" t="s">
        <v>62</v>
      </c>
      <c r="G172" t="s">
        <v>222</v>
      </c>
      <c r="H172" s="36">
        <v>100000</v>
      </c>
      <c r="I172" s="36">
        <v>0</v>
      </c>
      <c r="J172" t="s">
        <v>31</v>
      </c>
      <c r="K172" t="s">
        <v>44</v>
      </c>
      <c r="L172">
        <v>100000</v>
      </c>
      <c r="M172" s="36">
        <v>0</v>
      </c>
      <c r="N172" s="36">
        <f>DataTable[[#This Row],[Resource Cost]]+DataTable[[#This Row],[Other Cost]]</f>
        <v>100000</v>
      </c>
      <c r="O172" s="36">
        <v>90000</v>
      </c>
      <c r="P172" s="36">
        <v>100000</v>
      </c>
      <c r="Q172" s="36">
        <f>DataTable[[#This Row],[Pct Budget]]*totalBudget</f>
        <v>975000</v>
      </c>
      <c r="R172" s="36" t="str">
        <f>IFERROR(VLOOKUP(DataTable[[#This Row],[Financial Category]],tblFinancialCat[],2,FALSE),"")</f>
        <v>OpEx</v>
      </c>
      <c r="S172" s="36">
        <f>IFERROR(DataTable[[#This Row],[Utilized]]/DataTable[[#This Row],[Total Cost]]*DataTable[[#This Row],[Resource Cost]],0)</f>
        <v>90000</v>
      </c>
      <c r="T172" s="36">
        <f>IFERROR(DataTable[[#This Row],[Utilized]]/DataTable[[#This Row],[Total Cost]]*DataTable[[#This Row],[Other Cost]],0)</f>
        <v>0</v>
      </c>
      <c r="U172" s="217">
        <v>42095</v>
      </c>
      <c r="V172" s="36" t="str">
        <f>TEXT(DataTable[[#This Row],[Month]],"MMM-YY")</f>
        <v>Apr-15</v>
      </c>
    </row>
    <row r="173" spans="1:22" x14ac:dyDescent="0.25">
      <c r="A173">
        <v>172</v>
      </c>
      <c r="B173" t="s">
        <v>1</v>
      </c>
      <c r="C173">
        <v>0.15</v>
      </c>
      <c r="D173" t="s">
        <v>181</v>
      </c>
      <c r="E173" t="s">
        <v>197</v>
      </c>
      <c r="F173" t="s">
        <v>64</v>
      </c>
      <c r="G173" t="s">
        <v>222</v>
      </c>
      <c r="H173" s="36">
        <v>3004.8076923076924</v>
      </c>
      <c r="I173" s="36">
        <v>0</v>
      </c>
      <c r="J173" t="s">
        <v>31</v>
      </c>
      <c r="K173" t="s">
        <v>14</v>
      </c>
      <c r="L173">
        <v>3004.8076923076924</v>
      </c>
      <c r="M173" s="36">
        <v>0</v>
      </c>
      <c r="N173" s="36">
        <f>DataTable[[#This Row],[Resource Cost]]+DataTable[[#This Row],[Other Cost]]</f>
        <v>3004.8076923076924</v>
      </c>
      <c r="O173" s="36">
        <v>1802.8846153846155</v>
      </c>
      <c r="P173" s="36">
        <v>3004.8076923076924</v>
      </c>
      <c r="Q173" s="36">
        <f>DataTable[[#This Row],[Pct Budget]]*totalBudget</f>
        <v>975000</v>
      </c>
      <c r="R173" s="36" t="str">
        <f>IFERROR(VLOOKUP(DataTable[[#This Row],[Financial Category]],tblFinancialCat[],2,FALSE),"")</f>
        <v>OpEx</v>
      </c>
      <c r="S173" s="36">
        <f>IFERROR(DataTable[[#This Row],[Utilized]]/DataTable[[#This Row],[Total Cost]]*DataTable[[#This Row],[Resource Cost]],0)</f>
        <v>1802.8846153846155</v>
      </c>
      <c r="T173" s="36">
        <f>IFERROR(DataTable[[#This Row],[Utilized]]/DataTable[[#This Row],[Total Cost]]*DataTable[[#This Row],[Other Cost]],0)</f>
        <v>0</v>
      </c>
      <c r="U173" s="217">
        <v>42186</v>
      </c>
      <c r="V173" s="36" t="str">
        <f>TEXT(DataTable[[#This Row],[Month]],"MMM-YY")</f>
        <v>Jul-15</v>
      </c>
    </row>
    <row r="174" spans="1:22" x14ac:dyDescent="0.25">
      <c r="A174">
        <v>173</v>
      </c>
      <c r="B174" t="s">
        <v>1</v>
      </c>
      <c r="C174">
        <v>0.15</v>
      </c>
      <c r="D174" t="s">
        <v>181</v>
      </c>
      <c r="E174" t="s">
        <v>200</v>
      </c>
      <c r="F174" t="s">
        <v>64</v>
      </c>
      <c r="G174" t="s">
        <v>222</v>
      </c>
      <c r="H174" s="36">
        <v>3004.8076923076924</v>
      </c>
      <c r="I174" s="36">
        <v>0</v>
      </c>
      <c r="J174" t="s">
        <v>31</v>
      </c>
      <c r="K174" t="s">
        <v>14</v>
      </c>
      <c r="L174">
        <v>3004.8076923076924</v>
      </c>
      <c r="M174" s="36">
        <v>0</v>
      </c>
      <c r="N174" s="36">
        <f>DataTable[[#This Row],[Resource Cost]]+DataTable[[#This Row],[Other Cost]]</f>
        <v>3004.8076923076924</v>
      </c>
      <c r="O174" s="36">
        <v>1802.8846153846155</v>
      </c>
      <c r="P174" s="36">
        <v>3004.8076923076924</v>
      </c>
      <c r="Q174" s="36">
        <f>DataTable[[#This Row],[Pct Budget]]*totalBudget</f>
        <v>975000</v>
      </c>
      <c r="R174" s="36" t="str">
        <f>IFERROR(VLOOKUP(DataTable[[#This Row],[Financial Category]],tblFinancialCat[],2,FALSE),"")</f>
        <v>OpEx</v>
      </c>
      <c r="S174" s="36">
        <f>IFERROR(DataTable[[#This Row],[Utilized]]/DataTable[[#This Row],[Total Cost]]*DataTable[[#This Row],[Resource Cost]],0)</f>
        <v>1802.8846153846155</v>
      </c>
      <c r="T174" s="36">
        <f>IFERROR(DataTable[[#This Row],[Utilized]]/DataTable[[#This Row],[Total Cost]]*DataTable[[#This Row],[Other Cost]],0)</f>
        <v>0</v>
      </c>
      <c r="U174" s="217">
        <v>42186</v>
      </c>
      <c r="V174" s="36" t="str">
        <f>TEXT(DataTable[[#This Row],[Month]],"MMM-YY")</f>
        <v>Jul-15</v>
      </c>
    </row>
    <row r="175" spans="1:22" x14ac:dyDescent="0.25">
      <c r="A175">
        <v>174</v>
      </c>
      <c r="B175" t="s">
        <v>1</v>
      </c>
      <c r="C175">
        <v>0.15</v>
      </c>
      <c r="D175" t="s">
        <v>181</v>
      </c>
      <c r="E175" t="s">
        <v>197</v>
      </c>
      <c r="F175" t="s">
        <v>64</v>
      </c>
      <c r="G175" t="s">
        <v>222</v>
      </c>
      <c r="H175" s="36">
        <v>150000</v>
      </c>
      <c r="I175" s="36">
        <v>0</v>
      </c>
      <c r="J175" t="s">
        <v>31</v>
      </c>
      <c r="K175" t="s">
        <v>44</v>
      </c>
      <c r="L175">
        <v>150000</v>
      </c>
      <c r="M175" s="36">
        <v>0</v>
      </c>
      <c r="N175" s="36">
        <f>DataTable[[#This Row],[Resource Cost]]+DataTable[[#This Row],[Other Cost]]</f>
        <v>150000</v>
      </c>
      <c r="O175" s="36">
        <v>90000</v>
      </c>
      <c r="P175" s="36">
        <v>150000</v>
      </c>
      <c r="Q175" s="36">
        <f>DataTable[[#This Row],[Pct Budget]]*totalBudget</f>
        <v>975000</v>
      </c>
      <c r="R175" s="36" t="str">
        <f>IFERROR(VLOOKUP(DataTable[[#This Row],[Financial Category]],tblFinancialCat[],2,FALSE),"")</f>
        <v>OpEx</v>
      </c>
      <c r="S175" s="36">
        <f>IFERROR(DataTable[[#This Row],[Utilized]]/DataTable[[#This Row],[Total Cost]]*DataTable[[#This Row],[Resource Cost]],0)</f>
        <v>90000</v>
      </c>
      <c r="T175" s="36">
        <f>IFERROR(DataTable[[#This Row],[Utilized]]/DataTable[[#This Row],[Total Cost]]*DataTable[[#This Row],[Other Cost]],0)</f>
        <v>0</v>
      </c>
      <c r="U175" s="217">
        <v>42186</v>
      </c>
      <c r="V175" s="36" t="str">
        <f>TEXT(DataTable[[#This Row],[Month]],"MMM-YY")</f>
        <v>Jul-15</v>
      </c>
    </row>
    <row r="176" spans="1:22" x14ac:dyDescent="0.25">
      <c r="A176">
        <v>175</v>
      </c>
      <c r="B176" t="s">
        <v>1</v>
      </c>
      <c r="C176">
        <v>0.15</v>
      </c>
      <c r="D176" t="s">
        <v>181</v>
      </c>
      <c r="E176" t="s">
        <v>200</v>
      </c>
      <c r="F176" t="s">
        <v>64</v>
      </c>
      <c r="G176" t="s">
        <v>222</v>
      </c>
      <c r="H176" s="36">
        <v>150000</v>
      </c>
      <c r="I176" s="36">
        <v>0</v>
      </c>
      <c r="J176" t="s">
        <v>31</v>
      </c>
      <c r="K176" t="s">
        <v>44</v>
      </c>
      <c r="L176">
        <v>150000</v>
      </c>
      <c r="M176" s="36">
        <v>0</v>
      </c>
      <c r="N176" s="36">
        <f>DataTable[[#This Row],[Resource Cost]]+DataTable[[#This Row],[Other Cost]]</f>
        <v>150000</v>
      </c>
      <c r="O176" s="36">
        <v>90000</v>
      </c>
      <c r="P176" s="36">
        <v>150000</v>
      </c>
      <c r="Q176" s="36">
        <f>DataTable[[#This Row],[Pct Budget]]*totalBudget</f>
        <v>975000</v>
      </c>
      <c r="R176" s="36" t="str">
        <f>IFERROR(VLOOKUP(DataTable[[#This Row],[Financial Category]],tblFinancialCat[],2,FALSE),"")</f>
        <v>OpEx</v>
      </c>
      <c r="S176" s="36">
        <f>IFERROR(DataTable[[#This Row],[Utilized]]/DataTable[[#This Row],[Total Cost]]*DataTable[[#This Row],[Resource Cost]],0)</f>
        <v>90000</v>
      </c>
      <c r="T176" s="36">
        <f>IFERROR(DataTable[[#This Row],[Utilized]]/DataTable[[#This Row],[Total Cost]]*DataTable[[#This Row],[Other Cost]],0)</f>
        <v>0</v>
      </c>
      <c r="U176" s="217">
        <v>42186</v>
      </c>
      <c r="V176" s="36" t="str">
        <f>TEXT(DataTable[[#This Row],[Month]],"MMM-YY")</f>
        <v>Jul-15</v>
      </c>
    </row>
    <row r="177" spans="1:22" x14ac:dyDescent="0.25">
      <c r="A177">
        <v>176</v>
      </c>
      <c r="B177" t="s">
        <v>28</v>
      </c>
      <c r="C177">
        <v>0.1</v>
      </c>
      <c r="D177" t="s">
        <v>18</v>
      </c>
      <c r="E177" t="s">
        <v>187</v>
      </c>
      <c r="F177" t="s">
        <v>63</v>
      </c>
      <c r="G177" t="s">
        <v>222</v>
      </c>
      <c r="H177" s="36">
        <v>272.4358974358974</v>
      </c>
      <c r="I177" s="36">
        <v>0</v>
      </c>
      <c r="J177" t="s">
        <v>172</v>
      </c>
      <c r="K177" t="s">
        <v>126</v>
      </c>
      <c r="L177">
        <v>272.4358974358974</v>
      </c>
      <c r="M177" s="36">
        <v>0</v>
      </c>
      <c r="N177" s="36">
        <f>DataTable[[#This Row],[Resource Cost]]+DataTable[[#This Row],[Other Cost]]</f>
        <v>272.4358974358974</v>
      </c>
      <c r="O177" s="36">
        <v>68.108974358974351</v>
      </c>
      <c r="P177" s="36">
        <v>204.32692307692304</v>
      </c>
      <c r="Q177" s="36">
        <f>DataTable[[#This Row],[Pct Budget]]*totalBudget</f>
        <v>650000</v>
      </c>
      <c r="R177" s="36" t="str">
        <f>IFERROR(VLOOKUP(DataTable[[#This Row],[Financial Category]],tblFinancialCat[],2,FALSE),"")</f>
        <v>OpEx</v>
      </c>
      <c r="S177" s="36">
        <f>IFERROR(DataTable[[#This Row],[Utilized]]/DataTable[[#This Row],[Total Cost]]*DataTable[[#This Row],[Resource Cost]],0)</f>
        <v>68.108974358974351</v>
      </c>
      <c r="T177" s="36">
        <f>IFERROR(DataTable[[#This Row],[Utilized]]/DataTable[[#This Row],[Total Cost]]*DataTable[[#This Row],[Other Cost]],0)</f>
        <v>0</v>
      </c>
      <c r="U177" s="217">
        <v>42125</v>
      </c>
      <c r="V177" s="36" t="str">
        <f>TEXT(DataTable[[#This Row],[Month]],"MMM-YY")</f>
        <v>May-15</v>
      </c>
    </row>
    <row r="178" spans="1:22" x14ac:dyDescent="0.25">
      <c r="A178">
        <v>177</v>
      </c>
      <c r="B178" t="s">
        <v>28</v>
      </c>
      <c r="C178">
        <v>0.1</v>
      </c>
      <c r="D178" t="s">
        <v>18</v>
      </c>
      <c r="E178" t="s">
        <v>191</v>
      </c>
      <c r="F178" t="s">
        <v>63</v>
      </c>
      <c r="G178" t="s">
        <v>222</v>
      </c>
      <c r="H178" s="36">
        <v>272.4358974358974</v>
      </c>
      <c r="I178" s="36">
        <v>0</v>
      </c>
      <c r="J178" t="s">
        <v>172</v>
      </c>
      <c r="K178" t="s">
        <v>126</v>
      </c>
      <c r="L178">
        <v>272.4358974358974</v>
      </c>
      <c r="M178" s="36">
        <v>0</v>
      </c>
      <c r="N178" s="36">
        <f>DataTable[[#This Row],[Resource Cost]]+DataTable[[#This Row],[Other Cost]]</f>
        <v>272.4358974358974</v>
      </c>
      <c r="O178" s="36">
        <v>68.108974358974351</v>
      </c>
      <c r="P178" s="36">
        <v>204.32692307692304</v>
      </c>
      <c r="Q178" s="36">
        <f>DataTable[[#This Row],[Pct Budget]]*totalBudget</f>
        <v>650000</v>
      </c>
      <c r="R178" s="36" t="str">
        <f>IFERROR(VLOOKUP(DataTable[[#This Row],[Financial Category]],tblFinancialCat[],2,FALSE),"")</f>
        <v>OpEx</v>
      </c>
      <c r="S178" s="36">
        <f>IFERROR(DataTable[[#This Row],[Utilized]]/DataTable[[#This Row],[Total Cost]]*DataTable[[#This Row],[Resource Cost]],0)</f>
        <v>68.108974358974351</v>
      </c>
      <c r="T178" s="36">
        <f>IFERROR(DataTable[[#This Row],[Utilized]]/DataTable[[#This Row],[Total Cost]]*DataTable[[#This Row],[Other Cost]],0)</f>
        <v>0</v>
      </c>
      <c r="U178" s="217">
        <v>42125</v>
      </c>
      <c r="V178" s="36" t="str">
        <f>TEXT(DataTable[[#This Row],[Month]],"MMM-YY")</f>
        <v>May-15</v>
      </c>
    </row>
    <row r="179" spans="1:22" x14ac:dyDescent="0.25">
      <c r="A179">
        <v>178</v>
      </c>
      <c r="B179" t="s">
        <v>28</v>
      </c>
      <c r="C179">
        <v>0.1</v>
      </c>
      <c r="D179" t="s">
        <v>18</v>
      </c>
      <c r="E179" t="s">
        <v>178</v>
      </c>
      <c r="F179" t="s">
        <v>63</v>
      </c>
      <c r="G179" t="s">
        <v>222</v>
      </c>
      <c r="H179" s="36">
        <v>272.4358974358974</v>
      </c>
      <c r="I179" s="36">
        <v>0</v>
      </c>
      <c r="J179" t="s">
        <v>172</v>
      </c>
      <c r="K179" t="s">
        <v>126</v>
      </c>
      <c r="L179">
        <v>272.4358974358974</v>
      </c>
      <c r="M179" s="36">
        <v>0</v>
      </c>
      <c r="N179" s="36">
        <f>DataTable[[#This Row],[Resource Cost]]+DataTable[[#This Row],[Other Cost]]</f>
        <v>272.4358974358974</v>
      </c>
      <c r="O179" s="36">
        <v>68.108974358974351</v>
      </c>
      <c r="P179" s="36">
        <v>204.32692307692304</v>
      </c>
      <c r="Q179" s="36">
        <f>DataTable[[#This Row],[Pct Budget]]*totalBudget</f>
        <v>650000</v>
      </c>
      <c r="R179" s="36" t="str">
        <f>IFERROR(VLOOKUP(DataTable[[#This Row],[Financial Category]],tblFinancialCat[],2,FALSE),"")</f>
        <v>OpEx</v>
      </c>
      <c r="S179" s="36">
        <f>IFERROR(DataTable[[#This Row],[Utilized]]/DataTable[[#This Row],[Total Cost]]*DataTable[[#This Row],[Resource Cost]],0)</f>
        <v>68.108974358974351</v>
      </c>
      <c r="T179" s="36">
        <f>IFERROR(DataTable[[#This Row],[Utilized]]/DataTable[[#This Row],[Total Cost]]*DataTable[[#This Row],[Other Cost]],0)</f>
        <v>0</v>
      </c>
      <c r="U179" s="217">
        <v>42125</v>
      </c>
      <c r="V179" s="36" t="str">
        <f>TEXT(DataTable[[#This Row],[Month]],"MMM-YY")</f>
        <v>May-15</v>
      </c>
    </row>
    <row r="180" spans="1:22" x14ac:dyDescent="0.25">
      <c r="A180">
        <v>179</v>
      </c>
      <c r="B180" t="s">
        <v>28</v>
      </c>
      <c r="C180">
        <v>0.1</v>
      </c>
      <c r="D180" t="s">
        <v>18</v>
      </c>
      <c r="E180" t="s">
        <v>187</v>
      </c>
      <c r="F180" t="s">
        <v>63</v>
      </c>
      <c r="G180" t="s">
        <v>222</v>
      </c>
      <c r="H180" s="36">
        <v>2466.6666666666665</v>
      </c>
      <c r="I180" s="36">
        <v>0</v>
      </c>
      <c r="J180" t="s">
        <v>172</v>
      </c>
      <c r="K180" t="s">
        <v>162</v>
      </c>
      <c r="L180">
        <v>2466.6666666666665</v>
      </c>
      <c r="M180" s="36">
        <v>0</v>
      </c>
      <c r="N180" s="36">
        <f>DataTable[[#This Row],[Resource Cost]]+DataTable[[#This Row],[Other Cost]]</f>
        <v>2466.6666666666665</v>
      </c>
      <c r="O180" s="36">
        <v>616.66666666666663</v>
      </c>
      <c r="P180" s="36">
        <v>1850</v>
      </c>
      <c r="Q180" s="36">
        <f>DataTable[[#This Row],[Pct Budget]]*totalBudget</f>
        <v>650000</v>
      </c>
      <c r="R180" s="36" t="str">
        <f>IFERROR(VLOOKUP(DataTable[[#This Row],[Financial Category]],tblFinancialCat[],2,FALSE),"")</f>
        <v>OpEx</v>
      </c>
      <c r="S180" s="36">
        <f>IFERROR(DataTable[[#This Row],[Utilized]]/DataTable[[#This Row],[Total Cost]]*DataTable[[#This Row],[Resource Cost]],0)</f>
        <v>616.66666666666663</v>
      </c>
      <c r="T180" s="36">
        <f>IFERROR(DataTable[[#This Row],[Utilized]]/DataTable[[#This Row],[Total Cost]]*DataTable[[#This Row],[Other Cost]],0)</f>
        <v>0</v>
      </c>
      <c r="U180" s="217">
        <v>42125</v>
      </c>
      <c r="V180" s="36" t="str">
        <f>TEXT(DataTable[[#This Row],[Month]],"MMM-YY")</f>
        <v>May-15</v>
      </c>
    </row>
    <row r="181" spans="1:22" x14ac:dyDescent="0.25">
      <c r="A181">
        <v>180</v>
      </c>
      <c r="B181" t="s">
        <v>28</v>
      </c>
      <c r="C181">
        <v>0.1</v>
      </c>
      <c r="D181" t="s">
        <v>18</v>
      </c>
      <c r="E181" t="s">
        <v>191</v>
      </c>
      <c r="F181" t="s">
        <v>63</v>
      </c>
      <c r="G181" t="s">
        <v>222</v>
      </c>
      <c r="H181" s="36">
        <v>2466.6666666666665</v>
      </c>
      <c r="I181" s="36">
        <v>0</v>
      </c>
      <c r="J181" t="s">
        <v>172</v>
      </c>
      <c r="K181" t="s">
        <v>162</v>
      </c>
      <c r="L181">
        <v>2466.6666666666665</v>
      </c>
      <c r="M181" s="36">
        <v>0</v>
      </c>
      <c r="N181" s="36">
        <f>DataTable[[#This Row],[Resource Cost]]+DataTable[[#This Row],[Other Cost]]</f>
        <v>2466.6666666666665</v>
      </c>
      <c r="O181" s="36">
        <v>616.66666666666663</v>
      </c>
      <c r="P181" s="36">
        <v>1850</v>
      </c>
      <c r="Q181" s="36">
        <f>DataTable[[#This Row],[Pct Budget]]*totalBudget</f>
        <v>650000</v>
      </c>
      <c r="R181" s="36" t="str">
        <f>IFERROR(VLOOKUP(DataTable[[#This Row],[Financial Category]],tblFinancialCat[],2,FALSE),"")</f>
        <v>OpEx</v>
      </c>
      <c r="S181" s="36">
        <f>IFERROR(DataTable[[#This Row],[Utilized]]/DataTable[[#This Row],[Total Cost]]*DataTable[[#This Row],[Resource Cost]],0)</f>
        <v>616.66666666666663</v>
      </c>
      <c r="T181" s="36">
        <f>IFERROR(DataTable[[#This Row],[Utilized]]/DataTable[[#This Row],[Total Cost]]*DataTable[[#This Row],[Other Cost]],0)</f>
        <v>0</v>
      </c>
      <c r="U181" s="217">
        <v>42125</v>
      </c>
      <c r="V181" s="36" t="str">
        <f>TEXT(DataTable[[#This Row],[Month]],"MMM-YY")</f>
        <v>May-15</v>
      </c>
    </row>
    <row r="182" spans="1:22" x14ac:dyDescent="0.25">
      <c r="A182">
        <v>181</v>
      </c>
      <c r="B182" t="s">
        <v>28</v>
      </c>
      <c r="C182">
        <v>0.1</v>
      </c>
      <c r="D182" t="s">
        <v>18</v>
      </c>
      <c r="E182" t="s">
        <v>178</v>
      </c>
      <c r="F182" t="s">
        <v>63</v>
      </c>
      <c r="G182" t="s">
        <v>222</v>
      </c>
      <c r="H182" s="36">
        <v>2466.6666666666665</v>
      </c>
      <c r="I182" s="36">
        <v>0</v>
      </c>
      <c r="J182" t="s">
        <v>172</v>
      </c>
      <c r="K182" t="s">
        <v>162</v>
      </c>
      <c r="L182">
        <v>2466.6666666666665</v>
      </c>
      <c r="M182" s="36">
        <v>0</v>
      </c>
      <c r="N182" s="36">
        <f>DataTable[[#This Row],[Resource Cost]]+DataTable[[#This Row],[Other Cost]]</f>
        <v>2466.6666666666665</v>
      </c>
      <c r="O182" s="36">
        <v>616.66666666666663</v>
      </c>
      <c r="P182" s="36">
        <v>1850</v>
      </c>
      <c r="Q182" s="36">
        <f>DataTable[[#This Row],[Pct Budget]]*totalBudget</f>
        <v>650000</v>
      </c>
      <c r="R182" s="36" t="str">
        <f>IFERROR(VLOOKUP(DataTable[[#This Row],[Financial Category]],tblFinancialCat[],2,FALSE),"")</f>
        <v>OpEx</v>
      </c>
      <c r="S182" s="36">
        <f>IFERROR(DataTable[[#This Row],[Utilized]]/DataTable[[#This Row],[Total Cost]]*DataTable[[#This Row],[Resource Cost]],0)</f>
        <v>616.66666666666663</v>
      </c>
      <c r="T182" s="36">
        <f>IFERROR(DataTable[[#This Row],[Utilized]]/DataTable[[#This Row],[Total Cost]]*DataTable[[#This Row],[Other Cost]],0)</f>
        <v>0</v>
      </c>
      <c r="U182" s="217">
        <v>42125</v>
      </c>
      <c r="V182" s="36" t="str">
        <f>TEXT(DataTable[[#This Row],[Month]],"MMM-YY")</f>
        <v>May-15</v>
      </c>
    </row>
    <row r="183" spans="1:22" x14ac:dyDescent="0.25">
      <c r="A183">
        <v>182</v>
      </c>
      <c r="B183" t="s">
        <v>28</v>
      </c>
      <c r="C183">
        <v>0.1</v>
      </c>
      <c r="D183" t="s">
        <v>18</v>
      </c>
      <c r="E183" t="s">
        <v>187</v>
      </c>
      <c r="F183" t="s">
        <v>63</v>
      </c>
      <c r="G183" t="s">
        <v>222</v>
      </c>
      <c r="H183" s="36">
        <v>41666.666666666664</v>
      </c>
      <c r="I183" s="36">
        <v>0</v>
      </c>
      <c r="J183" t="s">
        <v>11</v>
      </c>
      <c r="L183">
        <v>0</v>
      </c>
      <c r="M183" s="36">
        <v>41666.666666666664</v>
      </c>
      <c r="N183" s="36">
        <f>DataTable[[#This Row],[Resource Cost]]+DataTable[[#This Row],[Other Cost]]</f>
        <v>41666.666666666664</v>
      </c>
      <c r="O183" s="36">
        <v>20833.333333333332</v>
      </c>
      <c r="P183" s="36">
        <v>20833.333333333332</v>
      </c>
      <c r="Q183" s="36">
        <f>DataTable[[#This Row],[Pct Budget]]*totalBudget</f>
        <v>650000</v>
      </c>
      <c r="R183" s="36" t="str">
        <f>IFERROR(VLOOKUP(DataTable[[#This Row],[Financial Category]],tblFinancialCat[],2,FALSE),"")</f>
        <v>OpEx</v>
      </c>
      <c r="S183" s="36">
        <f>IFERROR(DataTable[[#This Row],[Utilized]]/DataTable[[#This Row],[Total Cost]]*DataTable[[#This Row],[Resource Cost]],0)</f>
        <v>0</v>
      </c>
      <c r="T183" s="36">
        <f>IFERROR(DataTable[[#This Row],[Utilized]]/DataTable[[#This Row],[Total Cost]]*DataTable[[#This Row],[Other Cost]],0)</f>
        <v>20833.333333333332</v>
      </c>
      <c r="U183" s="217">
        <v>42125</v>
      </c>
      <c r="V183" s="36" t="str">
        <f>TEXT(DataTable[[#This Row],[Month]],"MMM-YY")</f>
        <v>May-15</v>
      </c>
    </row>
    <row r="184" spans="1:22" x14ac:dyDescent="0.25">
      <c r="A184">
        <v>183</v>
      </c>
      <c r="B184" t="s">
        <v>28</v>
      </c>
      <c r="C184">
        <v>0.1</v>
      </c>
      <c r="D184" t="s">
        <v>18</v>
      </c>
      <c r="E184" t="s">
        <v>191</v>
      </c>
      <c r="F184" t="s">
        <v>63</v>
      </c>
      <c r="G184" t="s">
        <v>222</v>
      </c>
      <c r="H184" s="36">
        <v>41666.666666666664</v>
      </c>
      <c r="I184" s="36">
        <v>0</v>
      </c>
      <c r="J184" t="s">
        <v>11</v>
      </c>
      <c r="L184">
        <v>0</v>
      </c>
      <c r="M184" s="36">
        <v>41666.666666666664</v>
      </c>
      <c r="N184" s="36">
        <f>DataTable[[#This Row],[Resource Cost]]+DataTable[[#This Row],[Other Cost]]</f>
        <v>41666.666666666664</v>
      </c>
      <c r="O184" s="36">
        <v>20833.333333333332</v>
      </c>
      <c r="P184" s="36">
        <v>20833.333333333332</v>
      </c>
      <c r="Q184" s="36">
        <f>DataTable[[#This Row],[Pct Budget]]*totalBudget</f>
        <v>650000</v>
      </c>
      <c r="R184" s="36" t="str">
        <f>IFERROR(VLOOKUP(DataTable[[#This Row],[Financial Category]],tblFinancialCat[],2,FALSE),"")</f>
        <v>OpEx</v>
      </c>
      <c r="S184" s="36">
        <f>IFERROR(DataTable[[#This Row],[Utilized]]/DataTable[[#This Row],[Total Cost]]*DataTable[[#This Row],[Resource Cost]],0)</f>
        <v>0</v>
      </c>
      <c r="T184" s="36">
        <f>IFERROR(DataTable[[#This Row],[Utilized]]/DataTable[[#This Row],[Total Cost]]*DataTable[[#This Row],[Other Cost]],0)</f>
        <v>20833.333333333332</v>
      </c>
      <c r="U184" s="217">
        <v>42125</v>
      </c>
      <c r="V184" s="36" t="str">
        <f>TEXT(DataTable[[#This Row],[Month]],"MMM-YY")</f>
        <v>May-15</v>
      </c>
    </row>
    <row r="185" spans="1:22" x14ac:dyDescent="0.25">
      <c r="A185">
        <v>184</v>
      </c>
      <c r="B185" t="s">
        <v>28</v>
      </c>
      <c r="C185">
        <v>0.1</v>
      </c>
      <c r="D185" t="s">
        <v>18</v>
      </c>
      <c r="E185" t="s">
        <v>178</v>
      </c>
      <c r="F185" t="s">
        <v>63</v>
      </c>
      <c r="G185" t="s">
        <v>222</v>
      </c>
      <c r="H185" s="36">
        <v>41666.666666666664</v>
      </c>
      <c r="I185" s="36">
        <v>0</v>
      </c>
      <c r="J185" t="s">
        <v>11</v>
      </c>
      <c r="L185">
        <v>0</v>
      </c>
      <c r="M185" s="36">
        <v>41666.666666666664</v>
      </c>
      <c r="N185" s="36">
        <f>DataTable[[#This Row],[Resource Cost]]+DataTable[[#This Row],[Other Cost]]</f>
        <v>41666.666666666664</v>
      </c>
      <c r="O185" s="36">
        <v>20833.333333333332</v>
      </c>
      <c r="P185" s="36">
        <v>20833.333333333332</v>
      </c>
      <c r="Q185" s="36">
        <f>DataTable[[#This Row],[Pct Budget]]*totalBudget</f>
        <v>650000</v>
      </c>
      <c r="R185" s="36" t="str">
        <f>IFERROR(VLOOKUP(DataTable[[#This Row],[Financial Category]],tblFinancialCat[],2,FALSE),"")</f>
        <v>OpEx</v>
      </c>
      <c r="S185" s="36">
        <f>IFERROR(DataTable[[#This Row],[Utilized]]/DataTable[[#This Row],[Total Cost]]*DataTable[[#This Row],[Resource Cost]],0)</f>
        <v>0</v>
      </c>
      <c r="T185" s="36">
        <f>IFERROR(DataTable[[#This Row],[Utilized]]/DataTable[[#This Row],[Total Cost]]*DataTable[[#This Row],[Other Cost]],0)</f>
        <v>20833.333333333332</v>
      </c>
      <c r="U185" s="217">
        <v>42125</v>
      </c>
      <c r="V185" s="36" t="str">
        <f>TEXT(DataTable[[#This Row],[Month]],"MMM-YY")</f>
        <v>May-15</v>
      </c>
    </row>
    <row r="186" spans="1:22" x14ac:dyDescent="0.25">
      <c r="A186">
        <v>185</v>
      </c>
      <c r="B186" t="s">
        <v>28</v>
      </c>
      <c r="C186">
        <v>0.1</v>
      </c>
      <c r="D186" t="s">
        <v>18</v>
      </c>
      <c r="E186" t="s">
        <v>187</v>
      </c>
      <c r="F186" t="s">
        <v>63</v>
      </c>
      <c r="G186" t="s">
        <v>222</v>
      </c>
      <c r="H186" s="36">
        <v>544.8717948717948</v>
      </c>
      <c r="I186" s="36">
        <v>0</v>
      </c>
      <c r="J186" t="s">
        <v>172</v>
      </c>
      <c r="K186" t="s">
        <v>126</v>
      </c>
      <c r="L186">
        <v>544.8717948717948</v>
      </c>
      <c r="M186" s="36">
        <v>0</v>
      </c>
      <c r="N186" s="36">
        <f>DataTable[[#This Row],[Resource Cost]]+DataTable[[#This Row],[Other Cost]]</f>
        <v>544.8717948717948</v>
      </c>
      <c r="O186" s="36">
        <v>272.4358974358974</v>
      </c>
      <c r="P186" s="36">
        <v>272.4358974358974</v>
      </c>
      <c r="Q186" s="36">
        <f>DataTable[[#This Row],[Pct Budget]]*totalBudget</f>
        <v>650000</v>
      </c>
      <c r="R186" s="36" t="str">
        <f>IFERROR(VLOOKUP(DataTable[[#This Row],[Financial Category]],tblFinancialCat[],2,FALSE),"")</f>
        <v>OpEx</v>
      </c>
      <c r="S186" s="36">
        <f>IFERROR(DataTable[[#This Row],[Utilized]]/DataTable[[#This Row],[Total Cost]]*DataTable[[#This Row],[Resource Cost]],0)</f>
        <v>272.4358974358974</v>
      </c>
      <c r="T186" s="36">
        <f>IFERROR(DataTable[[#This Row],[Utilized]]/DataTable[[#This Row],[Total Cost]]*DataTable[[#This Row],[Other Cost]],0)</f>
        <v>0</v>
      </c>
      <c r="U186" s="217">
        <v>42186</v>
      </c>
      <c r="V186" s="36" t="str">
        <f>TEXT(DataTable[[#This Row],[Month]],"MMM-YY")</f>
        <v>Jul-15</v>
      </c>
    </row>
    <row r="187" spans="1:22" x14ac:dyDescent="0.25">
      <c r="A187">
        <v>186</v>
      </c>
      <c r="B187" t="s">
        <v>28</v>
      </c>
      <c r="C187">
        <v>0.1</v>
      </c>
      <c r="D187" t="s">
        <v>18</v>
      </c>
      <c r="E187" t="s">
        <v>191</v>
      </c>
      <c r="F187" t="s">
        <v>63</v>
      </c>
      <c r="G187" t="s">
        <v>222</v>
      </c>
      <c r="H187" s="36">
        <v>544.8717948717948</v>
      </c>
      <c r="I187" s="36">
        <v>0</v>
      </c>
      <c r="J187" t="s">
        <v>172</v>
      </c>
      <c r="K187" t="s">
        <v>126</v>
      </c>
      <c r="L187">
        <v>544.8717948717948</v>
      </c>
      <c r="M187" s="36">
        <v>0</v>
      </c>
      <c r="N187" s="36">
        <f>DataTable[[#This Row],[Resource Cost]]+DataTable[[#This Row],[Other Cost]]</f>
        <v>544.8717948717948</v>
      </c>
      <c r="O187" s="36">
        <v>272.4358974358974</v>
      </c>
      <c r="P187" s="36">
        <v>272.4358974358974</v>
      </c>
      <c r="Q187" s="36">
        <f>DataTable[[#This Row],[Pct Budget]]*totalBudget</f>
        <v>650000</v>
      </c>
      <c r="R187" s="36" t="str">
        <f>IFERROR(VLOOKUP(DataTable[[#This Row],[Financial Category]],tblFinancialCat[],2,FALSE),"")</f>
        <v>OpEx</v>
      </c>
      <c r="S187" s="36">
        <f>IFERROR(DataTable[[#This Row],[Utilized]]/DataTable[[#This Row],[Total Cost]]*DataTable[[#This Row],[Resource Cost]],0)</f>
        <v>272.4358974358974</v>
      </c>
      <c r="T187" s="36">
        <f>IFERROR(DataTable[[#This Row],[Utilized]]/DataTable[[#This Row],[Total Cost]]*DataTable[[#This Row],[Other Cost]],0)</f>
        <v>0</v>
      </c>
      <c r="U187" s="217">
        <v>42186</v>
      </c>
      <c r="V187" s="36" t="str">
        <f>TEXT(DataTable[[#This Row],[Month]],"MMM-YY")</f>
        <v>Jul-15</v>
      </c>
    </row>
    <row r="188" spans="1:22" x14ac:dyDescent="0.25">
      <c r="A188">
        <v>187</v>
      </c>
      <c r="B188" t="s">
        <v>28</v>
      </c>
      <c r="C188">
        <v>0.1</v>
      </c>
      <c r="D188" t="s">
        <v>18</v>
      </c>
      <c r="E188" t="s">
        <v>178</v>
      </c>
      <c r="F188" t="s">
        <v>63</v>
      </c>
      <c r="G188" t="s">
        <v>222</v>
      </c>
      <c r="H188" s="36">
        <v>544.8717948717948</v>
      </c>
      <c r="I188" s="36">
        <v>0</v>
      </c>
      <c r="J188" t="s">
        <v>172</v>
      </c>
      <c r="K188" t="s">
        <v>126</v>
      </c>
      <c r="L188">
        <v>544.8717948717948</v>
      </c>
      <c r="M188" s="36">
        <v>0</v>
      </c>
      <c r="N188" s="36">
        <f>DataTable[[#This Row],[Resource Cost]]+DataTable[[#This Row],[Other Cost]]</f>
        <v>544.8717948717948</v>
      </c>
      <c r="O188" s="36">
        <v>272.4358974358974</v>
      </c>
      <c r="P188" s="36">
        <v>272.4358974358974</v>
      </c>
      <c r="Q188" s="36">
        <f>DataTable[[#This Row],[Pct Budget]]*totalBudget</f>
        <v>650000</v>
      </c>
      <c r="R188" s="36" t="str">
        <f>IFERROR(VLOOKUP(DataTable[[#This Row],[Financial Category]],tblFinancialCat[],2,FALSE),"")</f>
        <v>OpEx</v>
      </c>
      <c r="S188" s="36">
        <f>IFERROR(DataTable[[#This Row],[Utilized]]/DataTable[[#This Row],[Total Cost]]*DataTable[[#This Row],[Resource Cost]],0)</f>
        <v>272.4358974358974</v>
      </c>
      <c r="T188" s="36">
        <f>IFERROR(DataTable[[#This Row],[Utilized]]/DataTable[[#This Row],[Total Cost]]*DataTable[[#This Row],[Other Cost]],0)</f>
        <v>0</v>
      </c>
      <c r="U188" s="217">
        <v>42186</v>
      </c>
      <c r="V188" s="36" t="str">
        <f>TEXT(DataTable[[#This Row],[Month]],"MMM-YY")</f>
        <v>Jul-15</v>
      </c>
    </row>
    <row r="189" spans="1:22" x14ac:dyDescent="0.25">
      <c r="A189">
        <v>188</v>
      </c>
      <c r="B189" t="s">
        <v>28</v>
      </c>
      <c r="C189">
        <v>0.1</v>
      </c>
      <c r="D189" t="s">
        <v>18</v>
      </c>
      <c r="E189" t="s">
        <v>187</v>
      </c>
      <c r="F189" t="s">
        <v>63</v>
      </c>
      <c r="G189" t="s">
        <v>222</v>
      </c>
      <c r="H189" s="36">
        <v>801.28205128205127</v>
      </c>
      <c r="I189" s="36">
        <v>0</v>
      </c>
      <c r="J189" t="s">
        <v>172</v>
      </c>
      <c r="K189" t="s">
        <v>127</v>
      </c>
      <c r="L189">
        <v>801.28205128205127</v>
      </c>
      <c r="M189" s="36">
        <v>0</v>
      </c>
      <c r="N189" s="36">
        <f>DataTable[[#This Row],[Resource Cost]]+DataTable[[#This Row],[Other Cost]]</f>
        <v>801.28205128205127</v>
      </c>
      <c r="O189" s="36">
        <v>400.64102564102564</v>
      </c>
      <c r="P189" s="36">
        <v>400.64102564102564</v>
      </c>
      <c r="Q189" s="36">
        <f>DataTable[[#This Row],[Pct Budget]]*totalBudget</f>
        <v>650000</v>
      </c>
      <c r="R189" s="36" t="str">
        <f>IFERROR(VLOOKUP(DataTable[[#This Row],[Financial Category]],tblFinancialCat[],2,FALSE),"")</f>
        <v>OpEx</v>
      </c>
      <c r="S189" s="36">
        <f>IFERROR(DataTable[[#This Row],[Utilized]]/DataTable[[#This Row],[Total Cost]]*DataTable[[#This Row],[Resource Cost]],0)</f>
        <v>400.64102564102564</v>
      </c>
      <c r="T189" s="36">
        <f>IFERROR(DataTable[[#This Row],[Utilized]]/DataTable[[#This Row],[Total Cost]]*DataTable[[#This Row],[Other Cost]],0)</f>
        <v>0</v>
      </c>
      <c r="U189" s="217">
        <v>42186</v>
      </c>
      <c r="V189" s="36" t="str">
        <f>TEXT(DataTable[[#This Row],[Month]],"MMM-YY")</f>
        <v>Jul-15</v>
      </c>
    </row>
    <row r="190" spans="1:22" x14ac:dyDescent="0.25">
      <c r="A190">
        <v>189</v>
      </c>
      <c r="B190" t="s">
        <v>28</v>
      </c>
      <c r="C190">
        <v>0.1</v>
      </c>
      <c r="D190" t="s">
        <v>18</v>
      </c>
      <c r="E190" t="s">
        <v>191</v>
      </c>
      <c r="F190" t="s">
        <v>63</v>
      </c>
      <c r="G190" t="s">
        <v>222</v>
      </c>
      <c r="H190" s="36">
        <v>801.28205128205127</v>
      </c>
      <c r="I190" s="36">
        <v>0</v>
      </c>
      <c r="J190" t="s">
        <v>172</v>
      </c>
      <c r="K190" t="s">
        <v>127</v>
      </c>
      <c r="L190">
        <v>801.28205128205127</v>
      </c>
      <c r="M190" s="36">
        <v>0</v>
      </c>
      <c r="N190" s="36">
        <f>DataTable[[#This Row],[Resource Cost]]+DataTable[[#This Row],[Other Cost]]</f>
        <v>801.28205128205127</v>
      </c>
      <c r="O190" s="36">
        <v>400.64102564102564</v>
      </c>
      <c r="P190" s="36">
        <v>400.64102564102564</v>
      </c>
      <c r="Q190" s="36">
        <f>DataTable[[#This Row],[Pct Budget]]*totalBudget</f>
        <v>650000</v>
      </c>
      <c r="R190" s="36" t="str">
        <f>IFERROR(VLOOKUP(DataTable[[#This Row],[Financial Category]],tblFinancialCat[],2,FALSE),"")</f>
        <v>OpEx</v>
      </c>
      <c r="S190" s="36">
        <f>IFERROR(DataTable[[#This Row],[Utilized]]/DataTable[[#This Row],[Total Cost]]*DataTable[[#This Row],[Resource Cost]],0)</f>
        <v>400.64102564102564</v>
      </c>
      <c r="T190" s="36">
        <f>IFERROR(DataTable[[#This Row],[Utilized]]/DataTable[[#This Row],[Total Cost]]*DataTable[[#This Row],[Other Cost]],0)</f>
        <v>0</v>
      </c>
      <c r="U190" s="217">
        <v>42186</v>
      </c>
      <c r="V190" s="36" t="str">
        <f>TEXT(DataTable[[#This Row],[Month]],"MMM-YY")</f>
        <v>Jul-15</v>
      </c>
    </row>
    <row r="191" spans="1:22" x14ac:dyDescent="0.25">
      <c r="A191">
        <v>190</v>
      </c>
      <c r="B191" t="s">
        <v>28</v>
      </c>
      <c r="C191">
        <v>0.1</v>
      </c>
      <c r="D191" t="s">
        <v>18</v>
      </c>
      <c r="E191" t="s">
        <v>178</v>
      </c>
      <c r="F191" t="s">
        <v>63</v>
      </c>
      <c r="G191" t="s">
        <v>222</v>
      </c>
      <c r="H191" s="36">
        <v>801.28205128205127</v>
      </c>
      <c r="I191" s="36">
        <v>0</v>
      </c>
      <c r="J191" t="s">
        <v>172</v>
      </c>
      <c r="K191" t="s">
        <v>127</v>
      </c>
      <c r="L191">
        <v>801.28205128205127</v>
      </c>
      <c r="M191" s="36">
        <v>0</v>
      </c>
      <c r="N191" s="36">
        <f>DataTable[[#This Row],[Resource Cost]]+DataTable[[#This Row],[Other Cost]]</f>
        <v>801.28205128205127</v>
      </c>
      <c r="O191" s="36">
        <v>400.64102564102564</v>
      </c>
      <c r="P191" s="36">
        <v>400.64102564102564</v>
      </c>
      <c r="Q191" s="36">
        <f>DataTable[[#This Row],[Pct Budget]]*totalBudget</f>
        <v>650000</v>
      </c>
      <c r="R191" s="36" t="str">
        <f>IFERROR(VLOOKUP(DataTable[[#This Row],[Financial Category]],tblFinancialCat[],2,FALSE),"")</f>
        <v>OpEx</v>
      </c>
      <c r="S191" s="36">
        <f>IFERROR(DataTable[[#This Row],[Utilized]]/DataTable[[#This Row],[Total Cost]]*DataTable[[#This Row],[Resource Cost]],0)</f>
        <v>400.64102564102564</v>
      </c>
      <c r="T191" s="36">
        <f>IFERROR(DataTable[[#This Row],[Utilized]]/DataTable[[#This Row],[Total Cost]]*DataTable[[#This Row],[Other Cost]],0)</f>
        <v>0</v>
      </c>
      <c r="U191" s="217">
        <v>42186</v>
      </c>
      <c r="V191" s="36" t="str">
        <f>TEXT(DataTable[[#This Row],[Month]],"MMM-YY")</f>
        <v>Jul-15</v>
      </c>
    </row>
    <row r="192" spans="1:22" x14ac:dyDescent="0.25">
      <c r="A192">
        <v>191</v>
      </c>
      <c r="B192" t="s">
        <v>28</v>
      </c>
      <c r="C192">
        <v>0.1</v>
      </c>
      <c r="D192" t="s">
        <v>18</v>
      </c>
      <c r="E192" t="s">
        <v>187</v>
      </c>
      <c r="F192" t="s">
        <v>63</v>
      </c>
      <c r="G192" t="s">
        <v>44</v>
      </c>
      <c r="H192" s="36">
        <v>217.94871794871793</v>
      </c>
      <c r="I192" s="36">
        <v>54.487179487179468</v>
      </c>
      <c r="J192" t="s">
        <v>172</v>
      </c>
      <c r="K192" t="s">
        <v>126</v>
      </c>
      <c r="L192">
        <v>272.4358974358974</v>
      </c>
      <c r="M192" s="36">
        <v>0</v>
      </c>
      <c r="N192" s="36">
        <f>DataTable[[#This Row],[Resource Cost]]+DataTable[[#This Row],[Other Cost]]</f>
        <v>272.4358974358974</v>
      </c>
      <c r="O192" s="36">
        <v>27.243589743589741</v>
      </c>
      <c r="P192" s="36">
        <v>245.19230769230768</v>
      </c>
      <c r="Q192" s="36">
        <f>DataTable[[#This Row],[Pct Budget]]*totalBudget</f>
        <v>650000</v>
      </c>
      <c r="R192" s="36" t="str">
        <f>IFERROR(VLOOKUP(DataTable[[#This Row],[Financial Category]],tblFinancialCat[],2,FALSE),"")</f>
        <v>OpEx</v>
      </c>
      <c r="S192" s="36">
        <f>IFERROR(DataTable[[#This Row],[Utilized]]/DataTable[[#This Row],[Total Cost]]*DataTable[[#This Row],[Resource Cost]],0)</f>
        <v>27.243589743589741</v>
      </c>
      <c r="T192" s="36">
        <f>IFERROR(DataTable[[#This Row],[Utilized]]/DataTable[[#This Row],[Total Cost]]*DataTable[[#This Row],[Other Cost]],0)</f>
        <v>0</v>
      </c>
      <c r="U192" s="217">
        <v>42217</v>
      </c>
      <c r="V192" s="36" t="str">
        <f>TEXT(DataTable[[#This Row],[Month]],"MMM-YY")</f>
        <v>Aug-15</v>
      </c>
    </row>
    <row r="193" spans="1:22" x14ac:dyDescent="0.25">
      <c r="A193">
        <v>192</v>
      </c>
      <c r="B193" t="s">
        <v>28</v>
      </c>
      <c r="C193">
        <v>0.1</v>
      </c>
      <c r="D193" t="s">
        <v>18</v>
      </c>
      <c r="E193" t="s">
        <v>191</v>
      </c>
      <c r="F193" t="s">
        <v>63</v>
      </c>
      <c r="G193" t="s">
        <v>44</v>
      </c>
      <c r="H193" s="36">
        <v>217.94871794871793</v>
      </c>
      <c r="I193" s="36">
        <v>54.487179487179468</v>
      </c>
      <c r="J193" t="s">
        <v>172</v>
      </c>
      <c r="K193" t="s">
        <v>126</v>
      </c>
      <c r="L193">
        <v>272.4358974358974</v>
      </c>
      <c r="M193" s="36">
        <v>0</v>
      </c>
      <c r="N193" s="36">
        <f>DataTable[[#This Row],[Resource Cost]]+DataTable[[#This Row],[Other Cost]]</f>
        <v>272.4358974358974</v>
      </c>
      <c r="O193" s="36">
        <v>27.243589743589741</v>
      </c>
      <c r="P193" s="36">
        <v>245.19230769230768</v>
      </c>
      <c r="Q193" s="36">
        <f>DataTable[[#This Row],[Pct Budget]]*totalBudget</f>
        <v>650000</v>
      </c>
      <c r="R193" s="36" t="str">
        <f>IFERROR(VLOOKUP(DataTable[[#This Row],[Financial Category]],tblFinancialCat[],2,FALSE),"")</f>
        <v>OpEx</v>
      </c>
      <c r="S193" s="36">
        <f>IFERROR(DataTable[[#This Row],[Utilized]]/DataTable[[#This Row],[Total Cost]]*DataTable[[#This Row],[Resource Cost]],0)</f>
        <v>27.243589743589741</v>
      </c>
      <c r="T193" s="36">
        <f>IFERROR(DataTable[[#This Row],[Utilized]]/DataTable[[#This Row],[Total Cost]]*DataTable[[#This Row],[Other Cost]],0)</f>
        <v>0</v>
      </c>
      <c r="U193" s="217">
        <v>42217</v>
      </c>
      <c r="V193" s="36" t="str">
        <f>TEXT(DataTable[[#This Row],[Month]],"MMM-YY")</f>
        <v>Aug-15</v>
      </c>
    </row>
    <row r="194" spans="1:22" x14ac:dyDescent="0.25">
      <c r="A194">
        <v>193</v>
      </c>
      <c r="B194" t="s">
        <v>28</v>
      </c>
      <c r="C194">
        <v>0.1</v>
      </c>
      <c r="D194" t="s">
        <v>18</v>
      </c>
      <c r="E194" t="s">
        <v>178</v>
      </c>
      <c r="F194" t="s">
        <v>63</v>
      </c>
      <c r="G194" t="s">
        <v>44</v>
      </c>
      <c r="H194" s="36">
        <v>217.94871794871793</v>
      </c>
      <c r="I194" s="36">
        <v>54.487179487179468</v>
      </c>
      <c r="J194" t="s">
        <v>172</v>
      </c>
      <c r="K194" t="s">
        <v>126</v>
      </c>
      <c r="L194">
        <v>272.4358974358974</v>
      </c>
      <c r="M194" s="36">
        <v>0</v>
      </c>
      <c r="N194" s="36">
        <f>DataTable[[#This Row],[Resource Cost]]+DataTable[[#This Row],[Other Cost]]</f>
        <v>272.4358974358974</v>
      </c>
      <c r="O194" s="36">
        <v>27.243589743589741</v>
      </c>
      <c r="P194" s="36">
        <v>245.19230769230768</v>
      </c>
      <c r="Q194" s="36">
        <f>DataTable[[#This Row],[Pct Budget]]*totalBudget</f>
        <v>650000</v>
      </c>
      <c r="R194" s="36" t="str">
        <f>IFERROR(VLOOKUP(DataTable[[#This Row],[Financial Category]],tblFinancialCat[],2,FALSE),"")</f>
        <v>OpEx</v>
      </c>
      <c r="S194" s="36">
        <f>IFERROR(DataTable[[#This Row],[Utilized]]/DataTable[[#This Row],[Total Cost]]*DataTable[[#This Row],[Resource Cost]],0)</f>
        <v>27.243589743589741</v>
      </c>
      <c r="T194" s="36">
        <f>IFERROR(DataTable[[#This Row],[Utilized]]/DataTable[[#This Row],[Total Cost]]*DataTable[[#This Row],[Other Cost]],0)</f>
        <v>0</v>
      </c>
      <c r="U194" s="217">
        <v>42217</v>
      </c>
      <c r="V194" s="36" t="str">
        <f>TEXT(DataTable[[#This Row],[Month]],"MMM-YY")</f>
        <v>Aug-15</v>
      </c>
    </row>
    <row r="195" spans="1:22" x14ac:dyDescent="0.25">
      <c r="A195">
        <v>194</v>
      </c>
      <c r="B195" t="s">
        <v>28</v>
      </c>
      <c r="C195">
        <v>0.1</v>
      </c>
      <c r="D195" t="s">
        <v>18</v>
      </c>
      <c r="E195" t="s">
        <v>187</v>
      </c>
      <c r="F195" t="s">
        <v>63</v>
      </c>
      <c r="G195" t="s">
        <v>44</v>
      </c>
      <c r="H195" s="36">
        <v>480.76923076923077</v>
      </c>
      <c r="I195" s="36">
        <v>120.19230769230766</v>
      </c>
      <c r="J195" t="s">
        <v>172</v>
      </c>
      <c r="K195" t="s">
        <v>127</v>
      </c>
      <c r="L195">
        <v>600.96153846153845</v>
      </c>
      <c r="M195" s="36">
        <v>0</v>
      </c>
      <c r="N195" s="36">
        <f>DataTable[[#This Row],[Resource Cost]]+DataTable[[#This Row],[Other Cost]]</f>
        <v>600.96153846153845</v>
      </c>
      <c r="O195" s="36">
        <v>60.096153846153847</v>
      </c>
      <c r="P195" s="36">
        <v>540.86538461538464</v>
      </c>
      <c r="Q195" s="36">
        <f>DataTable[[#This Row],[Pct Budget]]*totalBudget</f>
        <v>650000</v>
      </c>
      <c r="R195" s="36" t="str">
        <f>IFERROR(VLOOKUP(DataTable[[#This Row],[Financial Category]],tblFinancialCat[],2,FALSE),"")</f>
        <v>OpEx</v>
      </c>
      <c r="S195" s="36">
        <f>IFERROR(DataTable[[#This Row],[Utilized]]/DataTable[[#This Row],[Total Cost]]*DataTable[[#This Row],[Resource Cost]],0)</f>
        <v>60.096153846153847</v>
      </c>
      <c r="T195" s="36">
        <f>IFERROR(DataTable[[#This Row],[Utilized]]/DataTable[[#This Row],[Total Cost]]*DataTable[[#This Row],[Other Cost]],0)</f>
        <v>0</v>
      </c>
      <c r="U195" s="217">
        <v>42217</v>
      </c>
      <c r="V195" s="36" t="str">
        <f>TEXT(DataTable[[#This Row],[Month]],"MMM-YY")</f>
        <v>Aug-15</v>
      </c>
    </row>
    <row r="196" spans="1:22" x14ac:dyDescent="0.25">
      <c r="A196">
        <v>195</v>
      </c>
      <c r="B196" t="s">
        <v>28</v>
      </c>
      <c r="C196">
        <v>0.1</v>
      </c>
      <c r="D196" t="s">
        <v>18</v>
      </c>
      <c r="E196" t="s">
        <v>191</v>
      </c>
      <c r="F196" t="s">
        <v>63</v>
      </c>
      <c r="G196" t="s">
        <v>44</v>
      </c>
      <c r="H196" s="36">
        <v>480.76923076923077</v>
      </c>
      <c r="I196" s="36">
        <v>120.19230769230766</v>
      </c>
      <c r="J196" t="s">
        <v>172</v>
      </c>
      <c r="K196" t="s">
        <v>127</v>
      </c>
      <c r="L196">
        <v>600.96153846153845</v>
      </c>
      <c r="M196" s="36">
        <v>0</v>
      </c>
      <c r="N196" s="36">
        <f>DataTable[[#This Row],[Resource Cost]]+DataTable[[#This Row],[Other Cost]]</f>
        <v>600.96153846153845</v>
      </c>
      <c r="O196" s="36">
        <v>60.096153846153847</v>
      </c>
      <c r="P196" s="36">
        <v>540.86538461538464</v>
      </c>
      <c r="Q196" s="36">
        <f>DataTable[[#This Row],[Pct Budget]]*totalBudget</f>
        <v>650000</v>
      </c>
      <c r="R196" s="36" t="str">
        <f>IFERROR(VLOOKUP(DataTable[[#This Row],[Financial Category]],tblFinancialCat[],2,FALSE),"")</f>
        <v>OpEx</v>
      </c>
      <c r="S196" s="36">
        <f>IFERROR(DataTable[[#This Row],[Utilized]]/DataTable[[#This Row],[Total Cost]]*DataTable[[#This Row],[Resource Cost]],0)</f>
        <v>60.096153846153847</v>
      </c>
      <c r="T196" s="36">
        <f>IFERROR(DataTable[[#This Row],[Utilized]]/DataTable[[#This Row],[Total Cost]]*DataTable[[#This Row],[Other Cost]],0)</f>
        <v>0</v>
      </c>
      <c r="U196" s="217">
        <v>42217</v>
      </c>
      <c r="V196" s="36" t="str">
        <f>TEXT(DataTable[[#This Row],[Month]],"MMM-YY")</f>
        <v>Aug-15</v>
      </c>
    </row>
    <row r="197" spans="1:22" x14ac:dyDescent="0.25">
      <c r="A197">
        <v>196</v>
      </c>
      <c r="B197" t="s">
        <v>28</v>
      </c>
      <c r="C197">
        <v>0.1</v>
      </c>
      <c r="D197" t="s">
        <v>18</v>
      </c>
      <c r="E197" t="s">
        <v>178</v>
      </c>
      <c r="F197" t="s">
        <v>63</v>
      </c>
      <c r="G197" t="s">
        <v>44</v>
      </c>
      <c r="H197" s="36">
        <v>480.76923076923077</v>
      </c>
      <c r="I197" s="36">
        <v>120.19230769230766</v>
      </c>
      <c r="J197" t="s">
        <v>172</v>
      </c>
      <c r="K197" t="s">
        <v>127</v>
      </c>
      <c r="L197">
        <v>600.96153846153845</v>
      </c>
      <c r="M197" s="36">
        <v>0</v>
      </c>
      <c r="N197" s="36">
        <f>DataTable[[#This Row],[Resource Cost]]+DataTable[[#This Row],[Other Cost]]</f>
        <v>600.96153846153845</v>
      </c>
      <c r="O197" s="36">
        <v>60.096153846153847</v>
      </c>
      <c r="P197" s="36">
        <v>540.86538461538464</v>
      </c>
      <c r="Q197" s="36">
        <f>DataTable[[#This Row],[Pct Budget]]*totalBudget</f>
        <v>650000</v>
      </c>
      <c r="R197" s="36" t="str">
        <f>IFERROR(VLOOKUP(DataTable[[#This Row],[Financial Category]],tblFinancialCat[],2,FALSE),"")</f>
        <v>OpEx</v>
      </c>
      <c r="S197" s="36">
        <f>IFERROR(DataTable[[#This Row],[Utilized]]/DataTable[[#This Row],[Total Cost]]*DataTable[[#This Row],[Resource Cost]],0)</f>
        <v>60.096153846153847</v>
      </c>
      <c r="T197" s="36">
        <f>IFERROR(DataTable[[#This Row],[Utilized]]/DataTable[[#This Row],[Total Cost]]*DataTable[[#This Row],[Other Cost]],0)</f>
        <v>0</v>
      </c>
      <c r="U197" s="217">
        <v>42217</v>
      </c>
      <c r="V197" s="36" t="str">
        <f>TEXT(DataTable[[#This Row],[Month]],"MMM-YY")</f>
        <v>Aug-15</v>
      </c>
    </row>
    <row r="198" spans="1:22" x14ac:dyDescent="0.25">
      <c r="A198">
        <v>197</v>
      </c>
      <c r="B198" t="s">
        <v>28</v>
      </c>
      <c r="C198">
        <v>0.1</v>
      </c>
      <c r="D198" t="s">
        <v>18</v>
      </c>
      <c r="E198" t="s">
        <v>187</v>
      </c>
      <c r="F198" t="s">
        <v>63</v>
      </c>
      <c r="G198" t="s">
        <v>44</v>
      </c>
      <c r="H198" s="36">
        <v>5920</v>
      </c>
      <c r="I198" s="36">
        <v>1479.9999999999998</v>
      </c>
      <c r="J198" t="s">
        <v>172</v>
      </c>
      <c r="K198" t="s">
        <v>162</v>
      </c>
      <c r="L198">
        <v>7400</v>
      </c>
      <c r="M198" s="36">
        <v>0</v>
      </c>
      <c r="N198" s="36">
        <f>DataTable[[#This Row],[Resource Cost]]+DataTable[[#This Row],[Other Cost]]</f>
        <v>7400</v>
      </c>
      <c r="O198" s="36">
        <v>740</v>
      </c>
      <c r="P198" s="36">
        <v>6660</v>
      </c>
      <c r="Q198" s="36">
        <f>DataTable[[#This Row],[Pct Budget]]*totalBudget</f>
        <v>650000</v>
      </c>
      <c r="R198" s="36" t="str">
        <f>IFERROR(VLOOKUP(DataTable[[#This Row],[Financial Category]],tblFinancialCat[],2,FALSE),"")</f>
        <v>OpEx</v>
      </c>
      <c r="S198" s="36">
        <f>IFERROR(DataTable[[#This Row],[Utilized]]/DataTable[[#This Row],[Total Cost]]*DataTable[[#This Row],[Resource Cost]],0)</f>
        <v>740</v>
      </c>
      <c r="T198" s="36">
        <f>IFERROR(DataTable[[#This Row],[Utilized]]/DataTable[[#This Row],[Total Cost]]*DataTable[[#This Row],[Other Cost]],0)</f>
        <v>0</v>
      </c>
      <c r="U198" s="217">
        <v>42217</v>
      </c>
      <c r="V198" s="36" t="str">
        <f>TEXT(DataTable[[#This Row],[Month]],"MMM-YY")</f>
        <v>Aug-15</v>
      </c>
    </row>
    <row r="199" spans="1:22" x14ac:dyDescent="0.25">
      <c r="A199">
        <v>198</v>
      </c>
      <c r="B199" t="s">
        <v>28</v>
      </c>
      <c r="C199">
        <v>0.1</v>
      </c>
      <c r="D199" t="s">
        <v>18</v>
      </c>
      <c r="E199" t="s">
        <v>191</v>
      </c>
      <c r="F199" t="s">
        <v>63</v>
      </c>
      <c r="G199" t="s">
        <v>44</v>
      </c>
      <c r="H199" s="36">
        <v>5920</v>
      </c>
      <c r="I199" s="36">
        <v>1479.9999999999998</v>
      </c>
      <c r="J199" t="s">
        <v>172</v>
      </c>
      <c r="K199" t="s">
        <v>162</v>
      </c>
      <c r="L199">
        <v>7400</v>
      </c>
      <c r="M199" s="36">
        <v>0</v>
      </c>
      <c r="N199" s="36">
        <f>DataTable[[#This Row],[Resource Cost]]+DataTable[[#This Row],[Other Cost]]</f>
        <v>7400</v>
      </c>
      <c r="O199" s="36">
        <v>740</v>
      </c>
      <c r="P199" s="36">
        <v>6660</v>
      </c>
      <c r="Q199" s="36">
        <f>DataTable[[#This Row],[Pct Budget]]*totalBudget</f>
        <v>650000</v>
      </c>
      <c r="R199" s="36" t="str">
        <f>IFERROR(VLOOKUP(DataTable[[#This Row],[Financial Category]],tblFinancialCat[],2,FALSE),"")</f>
        <v>OpEx</v>
      </c>
      <c r="S199" s="36">
        <f>IFERROR(DataTable[[#This Row],[Utilized]]/DataTable[[#This Row],[Total Cost]]*DataTable[[#This Row],[Resource Cost]],0)</f>
        <v>740</v>
      </c>
      <c r="T199" s="36">
        <f>IFERROR(DataTable[[#This Row],[Utilized]]/DataTable[[#This Row],[Total Cost]]*DataTable[[#This Row],[Other Cost]],0)</f>
        <v>0</v>
      </c>
      <c r="U199" s="217">
        <v>42217</v>
      </c>
      <c r="V199" s="36" t="str">
        <f>TEXT(DataTable[[#This Row],[Month]],"MMM-YY")</f>
        <v>Aug-15</v>
      </c>
    </row>
    <row r="200" spans="1:22" x14ac:dyDescent="0.25">
      <c r="A200">
        <v>199</v>
      </c>
      <c r="B200" t="s">
        <v>28</v>
      </c>
      <c r="C200">
        <v>0.1</v>
      </c>
      <c r="D200" t="s">
        <v>18</v>
      </c>
      <c r="E200" t="s">
        <v>178</v>
      </c>
      <c r="F200" t="s">
        <v>63</v>
      </c>
      <c r="G200" t="s">
        <v>44</v>
      </c>
      <c r="H200" s="36">
        <v>5920</v>
      </c>
      <c r="I200" s="36">
        <v>1479.9999999999998</v>
      </c>
      <c r="J200" t="s">
        <v>172</v>
      </c>
      <c r="K200" t="s">
        <v>162</v>
      </c>
      <c r="L200">
        <v>7400</v>
      </c>
      <c r="M200" s="36">
        <v>0</v>
      </c>
      <c r="N200" s="36">
        <f>DataTable[[#This Row],[Resource Cost]]+DataTable[[#This Row],[Other Cost]]</f>
        <v>7400</v>
      </c>
      <c r="O200" s="36">
        <v>740</v>
      </c>
      <c r="P200" s="36">
        <v>6660</v>
      </c>
      <c r="Q200" s="36">
        <f>DataTable[[#This Row],[Pct Budget]]*totalBudget</f>
        <v>650000</v>
      </c>
      <c r="R200" s="36" t="str">
        <f>IFERROR(VLOOKUP(DataTable[[#This Row],[Financial Category]],tblFinancialCat[],2,FALSE),"")</f>
        <v>OpEx</v>
      </c>
      <c r="S200" s="36">
        <f>IFERROR(DataTable[[#This Row],[Utilized]]/DataTable[[#This Row],[Total Cost]]*DataTable[[#This Row],[Resource Cost]],0)</f>
        <v>740</v>
      </c>
      <c r="T200" s="36">
        <f>IFERROR(DataTable[[#This Row],[Utilized]]/DataTable[[#This Row],[Total Cost]]*DataTable[[#This Row],[Other Cost]],0)</f>
        <v>0</v>
      </c>
      <c r="U200" s="217">
        <v>42217</v>
      </c>
      <c r="V200" s="36" t="str">
        <f>TEXT(DataTable[[#This Row],[Month]],"MMM-YY")</f>
        <v>Aug-15</v>
      </c>
    </row>
    <row r="201" spans="1:22" x14ac:dyDescent="0.25">
      <c r="A201">
        <v>200</v>
      </c>
      <c r="B201" t="s">
        <v>28</v>
      </c>
      <c r="C201">
        <v>0.1</v>
      </c>
      <c r="D201" t="s">
        <v>18</v>
      </c>
      <c r="E201" t="s">
        <v>173</v>
      </c>
      <c r="F201" t="s">
        <v>65</v>
      </c>
      <c r="G201" t="s">
        <v>222</v>
      </c>
      <c r="H201" s="36">
        <v>10016.025641025641</v>
      </c>
      <c r="I201" s="36">
        <v>0</v>
      </c>
      <c r="J201" t="s">
        <v>31</v>
      </c>
      <c r="K201" t="s">
        <v>14</v>
      </c>
      <c r="L201">
        <v>10016.025641025641</v>
      </c>
      <c r="M201" s="36">
        <v>0</v>
      </c>
      <c r="N201" s="36">
        <f>DataTable[[#This Row],[Resource Cost]]+DataTable[[#This Row],[Other Cost]]</f>
        <v>10016.025641025641</v>
      </c>
      <c r="O201" s="36">
        <v>6510.416666666667</v>
      </c>
      <c r="P201" s="36">
        <v>10016.025641025641</v>
      </c>
      <c r="Q201" s="36">
        <f>DataTable[[#This Row],[Pct Budget]]*totalBudget</f>
        <v>650000</v>
      </c>
      <c r="R201" s="36" t="str">
        <f>IFERROR(VLOOKUP(DataTable[[#This Row],[Financial Category]],tblFinancialCat[],2,FALSE),"")</f>
        <v>OpEx</v>
      </c>
      <c r="S201" s="36">
        <f>IFERROR(DataTable[[#This Row],[Utilized]]/DataTable[[#This Row],[Total Cost]]*DataTable[[#This Row],[Resource Cost]],0)</f>
        <v>6510.416666666667</v>
      </c>
      <c r="T201" s="36">
        <f>IFERROR(DataTable[[#This Row],[Utilized]]/DataTable[[#This Row],[Total Cost]]*DataTable[[#This Row],[Other Cost]],0)</f>
        <v>0</v>
      </c>
      <c r="U201" s="217">
        <v>42064</v>
      </c>
      <c r="V201" s="36" t="str">
        <f>TEXT(DataTable[[#This Row],[Month]],"MMM-YY")</f>
        <v>Mar-15</v>
      </c>
    </row>
    <row r="202" spans="1:22" x14ac:dyDescent="0.25">
      <c r="A202">
        <v>201</v>
      </c>
      <c r="B202" t="s">
        <v>28</v>
      </c>
      <c r="C202">
        <v>0.1</v>
      </c>
      <c r="D202" t="s">
        <v>18</v>
      </c>
      <c r="E202" t="s">
        <v>187</v>
      </c>
      <c r="F202" t="s">
        <v>65</v>
      </c>
      <c r="G202" t="s">
        <v>222</v>
      </c>
      <c r="H202" s="36">
        <v>10016.025641025641</v>
      </c>
      <c r="I202" s="36">
        <v>0</v>
      </c>
      <c r="J202" t="s">
        <v>31</v>
      </c>
      <c r="K202" t="s">
        <v>14</v>
      </c>
      <c r="L202">
        <v>10016.025641025641</v>
      </c>
      <c r="M202" s="36">
        <v>0</v>
      </c>
      <c r="N202" s="36">
        <f>DataTable[[#This Row],[Resource Cost]]+DataTable[[#This Row],[Other Cost]]</f>
        <v>10016.025641025641</v>
      </c>
      <c r="O202" s="36">
        <v>6510.416666666667</v>
      </c>
      <c r="P202" s="36">
        <v>10016.025641025641</v>
      </c>
      <c r="Q202" s="36">
        <f>DataTable[[#This Row],[Pct Budget]]*totalBudget</f>
        <v>650000</v>
      </c>
      <c r="R202" s="36" t="str">
        <f>IFERROR(VLOOKUP(DataTable[[#This Row],[Financial Category]],tblFinancialCat[],2,FALSE),"")</f>
        <v>OpEx</v>
      </c>
      <c r="S202" s="36">
        <f>IFERROR(DataTable[[#This Row],[Utilized]]/DataTable[[#This Row],[Total Cost]]*DataTable[[#This Row],[Resource Cost]],0)</f>
        <v>6510.416666666667</v>
      </c>
      <c r="T202" s="36">
        <f>IFERROR(DataTable[[#This Row],[Utilized]]/DataTable[[#This Row],[Total Cost]]*DataTable[[#This Row],[Other Cost]],0)</f>
        <v>0</v>
      </c>
      <c r="U202" s="217">
        <v>42064</v>
      </c>
      <c r="V202" s="36" t="str">
        <f>TEXT(DataTable[[#This Row],[Month]],"MMM-YY")</f>
        <v>Mar-15</v>
      </c>
    </row>
    <row r="203" spans="1:22" x14ac:dyDescent="0.25">
      <c r="A203">
        <v>202</v>
      </c>
      <c r="B203" t="s">
        <v>28</v>
      </c>
      <c r="C203">
        <v>0.1</v>
      </c>
      <c r="D203" t="s">
        <v>18</v>
      </c>
      <c r="E203" t="s">
        <v>178</v>
      </c>
      <c r="F203" t="s">
        <v>65</v>
      </c>
      <c r="G203" t="s">
        <v>222</v>
      </c>
      <c r="H203" s="36">
        <v>10016.025641025641</v>
      </c>
      <c r="I203" s="36">
        <v>0</v>
      </c>
      <c r="J203" t="s">
        <v>31</v>
      </c>
      <c r="K203" t="s">
        <v>14</v>
      </c>
      <c r="L203">
        <v>10016.025641025641</v>
      </c>
      <c r="M203" s="36">
        <v>0</v>
      </c>
      <c r="N203" s="36">
        <f>DataTable[[#This Row],[Resource Cost]]+DataTable[[#This Row],[Other Cost]]</f>
        <v>10016.025641025641</v>
      </c>
      <c r="O203" s="36">
        <v>6510.416666666667</v>
      </c>
      <c r="P203" s="36">
        <v>10016.025641025641</v>
      </c>
      <c r="Q203" s="36">
        <f>DataTable[[#This Row],[Pct Budget]]*totalBudget</f>
        <v>650000</v>
      </c>
      <c r="R203" s="36" t="str">
        <f>IFERROR(VLOOKUP(DataTable[[#This Row],[Financial Category]],tblFinancialCat[],2,FALSE),"")</f>
        <v>OpEx</v>
      </c>
      <c r="S203" s="36">
        <f>IFERROR(DataTable[[#This Row],[Utilized]]/DataTable[[#This Row],[Total Cost]]*DataTable[[#This Row],[Resource Cost]],0)</f>
        <v>6510.416666666667</v>
      </c>
      <c r="T203" s="36">
        <f>IFERROR(DataTable[[#This Row],[Utilized]]/DataTable[[#This Row],[Total Cost]]*DataTable[[#This Row],[Other Cost]],0)</f>
        <v>0</v>
      </c>
      <c r="U203" s="217">
        <v>42064</v>
      </c>
      <c r="V203" s="36" t="str">
        <f>TEXT(DataTable[[#This Row],[Month]],"MMM-YY")</f>
        <v>Mar-15</v>
      </c>
    </row>
    <row r="204" spans="1:22" x14ac:dyDescent="0.25">
      <c r="A204">
        <v>203</v>
      </c>
      <c r="B204" t="s">
        <v>28</v>
      </c>
      <c r="C204">
        <v>0.1</v>
      </c>
      <c r="D204" t="s">
        <v>18</v>
      </c>
      <c r="E204" t="s">
        <v>173</v>
      </c>
      <c r="F204" t="s">
        <v>65</v>
      </c>
      <c r="G204" t="s">
        <v>222</v>
      </c>
      <c r="H204" s="36">
        <v>28333.333333333332</v>
      </c>
      <c r="I204" s="36">
        <v>0</v>
      </c>
      <c r="J204" t="s">
        <v>31</v>
      </c>
      <c r="K204" t="s">
        <v>123</v>
      </c>
      <c r="L204">
        <v>28333.333333333332</v>
      </c>
      <c r="M204" s="36">
        <v>0</v>
      </c>
      <c r="N204" s="36">
        <f>DataTable[[#This Row],[Resource Cost]]+DataTable[[#This Row],[Other Cost]]</f>
        <v>28333.333333333332</v>
      </c>
      <c r="O204" s="36">
        <v>18416.666666666668</v>
      </c>
      <c r="P204" s="36">
        <v>28333.333333333332</v>
      </c>
      <c r="Q204" s="36">
        <f>DataTable[[#This Row],[Pct Budget]]*totalBudget</f>
        <v>650000</v>
      </c>
      <c r="R204" s="36" t="str">
        <f>IFERROR(VLOOKUP(DataTable[[#This Row],[Financial Category]],tblFinancialCat[],2,FALSE),"")</f>
        <v>OpEx</v>
      </c>
      <c r="S204" s="36">
        <f>IFERROR(DataTable[[#This Row],[Utilized]]/DataTable[[#This Row],[Total Cost]]*DataTable[[#This Row],[Resource Cost]],0)</f>
        <v>18416.666666666668</v>
      </c>
      <c r="T204" s="36">
        <f>IFERROR(DataTable[[#This Row],[Utilized]]/DataTable[[#This Row],[Total Cost]]*DataTable[[#This Row],[Other Cost]],0)</f>
        <v>0</v>
      </c>
      <c r="U204" s="217">
        <v>42064</v>
      </c>
      <c r="V204" s="36" t="str">
        <f>TEXT(DataTable[[#This Row],[Month]],"MMM-YY")</f>
        <v>Mar-15</v>
      </c>
    </row>
    <row r="205" spans="1:22" x14ac:dyDescent="0.25">
      <c r="A205">
        <v>204</v>
      </c>
      <c r="B205" t="s">
        <v>28</v>
      </c>
      <c r="C205">
        <v>0.1</v>
      </c>
      <c r="D205" t="s">
        <v>18</v>
      </c>
      <c r="E205" t="s">
        <v>187</v>
      </c>
      <c r="F205" t="s">
        <v>65</v>
      </c>
      <c r="G205" t="s">
        <v>222</v>
      </c>
      <c r="H205" s="36">
        <v>28333.333333333332</v>
      </c>
      <c r="I205" s="36">
        <v>0</v>
      </c>
      <c r="J205" t="s">
        <v>31</v>
      </c>
      <c r="K205" t="s">
        <v>123</v>
      </c>
      <c r="L205">
        <v>28333.333333333332</v>
      </c>
      <c r="M205" s="36">
        <v>0</v>
      </c>
      <c r="N205" s="36">
        <f>DataTable[[#This Row],[Resource Cost]]+DataTable[[#This Row],[Other Cost]]</f>
        <v>28333.333333333332</v>
      </c>
      <c r="O205" s="36">
        <v>18416.666666666668</v>
      </c>
      <c r="P205" s="36">
        <v>28333.333333333332</v>
      </c>
      <c r="Q205" s="36">
        <f>DataTable[[#This Row],[Pct Budget]]*totalBudget</f>
        <v>650000</v>
      </c>
      <c r="R205" s="36" t="str">
        <f>IFERROR(VLOOKUP(DataTable[[#This Row],[Financial Category]],tblFinancialCat[],2,FALSE),"")</f>
        <v>OpEx</v>
      </c>
      <c r="S205" s="36">
        <f>IFERROR(DataTable[[#This Row],[Utilized]]/DataTable[[#This Row],[Total Cost]]*DataTable[[#This Row],[Resource Cost]],0)</f>
        <v>18416.666666666668</v>
      </c>
      <c r="T205" s="36">
        <f>IFERROR(DataTable[[#This Row],[Utilized]]/DataTable[[#This Row],[Total Cost]]*DataTable[[#This Row],[Other Cost]],0)</f>
        <v>0</v>
      </c>
      <c r="U205" s="217">
        <v>42064</v>
      </c>
      <c r="V205" s="36" t="str">
        <f>TEXT(DataTable[[#This Row],[Month]],"MMM-YY")</f>
        <v>Mar-15</v>
      </c>
    </row>
    <row r="206" spans="1:22" x14ac:dyDescent="0.25">
      <c r="A206">
        <v>205</v>
      </c>
      <c r="B206" t="s">
        <v>28</v>
      </c>
      <c r="C206">
        <v>0.1</v>
      </c>
      <c r="D206" t="s">
        <v>18</v>
      </c>
      <c r="E206" t="s">
        <v>178</v>
      </c>
      <c r="F206" t="s">
        <v>65</v>
      </c>
      <c r="G206" t="s">
        <v>222</v>
      </c>
      <c r="H206" s="36">
        <v>28333.333333333332</v>
      </c>
      <c r="I206" s="36">
        <v>0</v>
      </c>
      <c r="J206" t="s">
        <v>31</v>
      </c>
      <c r="K206" t="s">
        <v>123</v>
      </c>
      <c r="L206">
        <v>28333.333333333332</v>
      </c>
      <c r="M206" s="36">
        <v>0</v>
      </c>
      <c r="N206" s="36">
        <f>DataTable[[#This Row],[Resource Cost]]+DataTable[[#This Row],[Other Cost]]</f>
        <v>28333.333333333332</v>
      </c>
      <c r="O206" s="36">
        <v>18416.666666666668</v>
      </c>
      <c r="P206" s="36">
        <v>28333.333333333332</v>
      </c>
      <c r="Q206" s="36">
        <f>DataTable[[#This Row],[Pct Budget]]*totalBudget</f>
        <v>650000</v>
      </c>
      <c r="R206" s="36" t="str">
        <f>IFERROR(VLOOKUP(DataTable[[#This Row],[Financial Category]],tblFinancialCat[],2,FALSE),"")</f>
        <v>OpEx</v>
      </c>
      <c r="S206" s="36">
        <f>IFERROR(DataTable[[#This Row],[Utilized]]/DataTable[[#This Row],[Total Cost]]*DataTable[[#This Row],[Resource Cost]],0)</f>
        <v>18416.666666666668</v>
      </c>
      <c r="T206" s="36">
        <f>IFERROR(DataTable[[#This Row],[Utilized]]/DataTable[[#This Row],[Total Cost]]*DataTable[[#This Row],[Other Cost]],0)</f>
        <v>0</v>
      </c>
      <c r="U206" s="217">
        <v>42064</v>
      </c>
      <c r="V206" s="36" t="str">
        <f>TEXT(DataTable[[#This Row],[Month]],"MMM-YY")</f>
        <v>Mar-15</v>
      </c>
    </row>
    <row r="207" spans="1:22" x14ac:dyDescent="0.25">
      <c r="A207">
        <v>206</v>
      </c>
      <c r="B207" t="s">
        <v>28</v>
      </c>
      <c r="C207">
        <v>0.1</v>
      </c>
      <c r="D207" t="s">
        <v>18</v>
      </c>
      <c r="E207" t="s">
        <v>173</v>
      </c>
      <c r="F207" t="s">
        <v>65</v>
      </c>
      <c r="G207" t="s">
        <v>222</v>
      </c>
      <c r="H207" s="36">
        <v>1602.5641025641025</v>
      </c>
      <c r="I207" s="36">
        <v>0</v>
      </c>
      <c r="J207" t="s">
        <v>31</v>
      </c>
      <c r="K207" t="s">
        <v>44</v>
      </c>
      <c r="L207">
        <v>1602.5641025641025</v>
      </c>
      <c r="M207" s="36">
        <v>0</v>
      </c>
      <c r="N207" s="36">
        <f>DataTable[[#This Row],[Resource Cost]]+DataTable[[#This Row],[Other Cost]]</f>
        <v>1602.5641025641025</v>
      </c>
      <c r="O207" s="36">
        <v>1041.6666666666667</v>
      </c>
      <c r="P207" s="36">
        <v>1602.5641025641025</v>
      </c>
      <c r="Q207" s="36">
        <f>DataTable[[#This Row],[Pct Budget]]*totalBudget</f>
        <v>650000</v>
      </c>
      <c r="R207" s="36" t="str">
        <f>IFERROR(VLOOKUP(DataTable[[#This Row],[Financial Category]],tblFinancialCat[],2,FALSE),"")</f>
        <v>OpEx</v>
      </c>
      <c r="S207" s="36">
        <f>IFERROR(DataTable[[#This Row],[Utilized]]/DataTable[[#This Row],[Total Cost]]*DataTable[[#This Row],[Resource Cost]],0)</f>
        <v>1041.6666666666667</v>
      </c>
      <c r="T207" s="36">
        <f>IFERROR(DataTable[[#This Row],[Utilized]]/DataTable[[#This Row],[Total Cost]]*DataTable[[#This Row],[Other Cost]],0)</f>
        <v>0</v>
      </c>
      <c r="U207" s="217">
        <v>42064</v>
      </c>
      <c r="V207" s="36" t="str">
        <f>TEXT(DataTable[[#This Row],[Month]],"MMM-YY")</f>
        <v>Mar-15</v>
      </c>
    </row>
    <row r="208" spans="1:22" x14ac:dyDescent="0.25">
      <c r="A208">
        <v>207</v>
      </c>
      <c r="B208" t="s">
        <v>28</v>
      </c>
      <c r="C208">
        <v>0.1</v>
      </c>
      <c r="D208" t="s">
        <v>18</v>
      </c>
      <c r="E208" t="s">
        <v>187</v>
      </c>
      <c r="F208" t="s">
        <v>65</v>
      </c>
      <c r="G208" t="s">
        <v>222</v>
      </c>
      <c r="H208" s="36">
        <v>1602.5641025641025</v>
      </c>
      <c r="I208" s="36">
        <v>0</v>
      </c>
      <c r="J208" t="s">
        <v>31</v>
      </c>
      <c r="K208" t="s">
        <v>44</v>
      </c>
      <c r="L208">
        <v>1602.5641025641025</v>
      </c>
      <c r="M208" s="36">
        <v>0</v>
      </c>
      <c r="N208" s="36">
        <f>DataTable[[#This Row],[Resource Cost]]+DataTable[[#This Row],[Other Cost]]</f>
        <v>1602.5641025641025</v>
      </c>
      <c r="O208" s="36">
        <v>1041.6666666666667</v>
      </c>
      <c r="P208" s="36">
        <v>1602.5641025641025</v>
      </c>
      <c r="Q208" s="36">
        <f>DataTable[[#This Row],[Pct Budget]]*totalBudget</f>
        <v>650000</v>
      </c>
      <c r="R208" s="36" t="str">
        <f>IFERROR(VLOOKUP(DataTable[[#This Row],[Financial Category]],tblFinancialCat[],2,FALSE),"")</f>
        <v>OpEx</v>
      </c>
      <c r="S208" s="36">
        <f>IFERROR(DataTable[[#This Row],[Utilized]]/DataTable[[#This Row],[Total Cost]]*DataTable[[#This Row],[Resource Cost]],0)</f>
        <v>1041.6666666666667</v>
      </c>
      <c r="T208" s="36">
        <f>IFERROR(DataTable[[#This Row],[Utilized]]/DataTable[[#This Row],[Total Cost]]*DataTable[[#This Row],[Other Cost]],0)</f>
        <v>0</v>
      </c>
      <c r="U208" s="217">
        <v>42064</v>
      </c>
      <c r="V208" s="36" t="str">
        <f>TEXT(DataTable[[#This Row],[Month]],"MMM-YY")</f>
        <v>Mar-15</v>
      </c>
    </row>
    <row r="209" spans="1:22" x14ac:dyDescent="0.25">
      <c r="A209">
        <v>208</v>
      </c>
      <c r="B209" t="s">
        <v>28</v>
      </c>
      <c r="C209">
        <v>0.1</v>
      </c>
      <c r="D209" t="s">
        <v>18</v>
      </c>
      <c r="E209" t="s">
        <v>178</v>
      </c>
      <c r="F209" t="s">
        <v>65</v>
      </c>
      <c r="G209" t="s">
        <v>222</v>
      </c>
      <c r="H209" s="36">
        <v>1602.5641025641025</v>
      </c>
      <c r="I209" s="36">
        <v>0</v>
      </c>
      <c r="J209" t="s">
        <v>31</v>
      </c>
      <c r="K209" t="s">
        <v>44</v>
      </c>
      <c r="L209">
        <v>1602.5641025641025</v>
      </c>
      <c r="M209" s="36">
        <v>0</v>
      </c>
      <c r="N209" s="36">
        <f>DataTable[[#This Row],[Resource Cost]]+DataTable[[#This Row],[Other Cost]]</f>
        <v>1602.5641025641025</v>
      </c>
      <c r="O209" s="36">
        <v>1041.6666666666667</v>
      </c>
      <c r="P209" s="36">
        <v>1602.5641025641025</v>
      </c>
      <c r="Q209" s="36">
        <f>DataTable[[#This Row],[Pct Budget]]*totalBudget</f>
        <v>650000</v>
      </c>
      <c r="R209" s="36" t="str">
        <f>IFERROR(VLOOKUP(DataTable[[#This Row],[Financial Category]],tblFinancialCat[],2,FALSE),"")</f>
        <v>OpEx</v>
      </c>
      <c r="S209" s="36">
        <f>IFERROR(DataTable[[#This Row],[Utilized]]/DataTable[[#This Row],[Total Cost]]*DataTable[[#This Row],[Resource Cost]],0)</f>
        <v>1041.6666666666667</v>
      </c>
      <c r="T209" s="36">
        <f>IFERROR(DataTable[[#This Row],[Utilized]]/DataTable[[#This Row],[Total Cost]]*DataTable[[#This Row],[Other Cost]],0)</f>
        <v>0</v>
      </c>
      <c r="U209" s="217">
        <v>42064</v>
      </c>
      <c r="V209" s="36" t="str">
        <f>TEXT(DataTable[[#This Row],[Month]],"MMM-YY")</f>
        <v>Mar-15</v>
      </c>
    </row>
    <row r="210" spans="1:22" x14ac:dyDescent="0.25">
      <c r="A210">
        <v>209</v>
      </c>
      <c r="B210" t="s">
        <v>30</v>
      </c>
      <c r="C210">
        <v>0.04</v>
      </c>
      <c r="D210" t="s">
        <v>186</v>
      </c>
      <c r="E210" t="s">
        <v>178</v>
      </c>
      <c r="F210" t="s">
        <v>65</v>
      </c>
      <c r="G210" t="s">
        <v>222</v>
      </c>
      <c r="H210" s="36">
        <v>6009.6153846153848</v>
      </c>
      <c r="I210" s="36">
        <v>0</v>
      </c>
      <c r="J210" t="s">
        <v>172</v>
      </c>
      <c r="K210" t="s">
        <v>14</v>
      </c>
      <c r="L210">
        <v>6009.6153846153848</v>
      </c>
      <c r="M210" s="36">
        <v>0</v>
      </c>
      <c r="N210" s="36">
        <f>DataTable[[#This Row],[Resource Cost]]+DataTable[[#This Row],[Other Cost]]</f>
        <v>6009.6153846153848</v>
      </c>
      <c r="O210" s="36">
        <v>3004.8076923076924</v>
      </c>
      <c r="P210" s="36">
        <v>6009.6153846153848</v>
      </c>
      <c r="Q210" s="36">
        <f>DataTable[[#This Row],[Pct Budget]]*totalBudget</f>
        <v>260000</v>
      </c>
      <c r="R210" s="36" t="str">
        <f>IFERROR(VLOOKUP(DataTable[[#This Row],[Financial Category]],tblFinancialCat[],2,FALSE),"")</f>
        <v>OpEx</v>
      </c>
      <c r="S210" s="36">
        <f>IFERROR(DataTable[[#This Row],[Utilized]]/DataTable[[#This Row],[Total Cost]]*DataTable[[#This Row],[Resource Cost]],0)</f>
        <v>3004.8076923076924</v>
      </c>
      <c r="T210" s="36">
        <f>IFERROR(DataTable[[#This Row],[Utilized]]/DataTable[[#This Row],[Total Cost]]*DataTable[[#This Row],[Other Cost]],0)</f>
        <v>0</v>
      </c>
      <c r="U210" s="217">
        <v>42186</v>
      </c>
      <c r="V210" s="36" t="str">
        <f>TEXT(DataTable[[#This Row],[Month]],"MMM-YY")</f>
        <v>Jul-15</v>
      </c>
    </row>
    <row r="211" spans="1:22" x14ac:dyDescent="0.25">
      <c r="A211">
        <v>210</v>
      </c>
      <c r="B211" t="s">
        <v>30</v>
      </c>
      <c r="C211">
        <v>0.04</v>
      </c>
      <c r="D211" t="s">
        <v>186</v>
      </c>
      <c r="E211" t="s">
        <v>178</v>
      </c>
      <c r="F211" t="s">
        <v>65</v>
      </c>
      <c r="G211" t="s">
        <v>222</v>
      </c>
      <c r="H211" s="36">
        <v>24038.461538461539</v>
      </c>
      <c r="I211" s="36">
        <v>0</v>
      </c>
      <c r="J211" t="s">
        <v>172</v>
      </c>
      <c r="K211" t="s">
        <v>44</v>
      </c>
      <c r="L211">
        <v>24038.461538461539</v>
      </c>
      <c r="M211" s="36">
        <v>0</v>
      </c>
      <c r="N211" s="36">
        <f>DataTable[[#This Row],[Resource Cost]]+DataTable[[#This Row],[Other Cost]]</f>
        <v>24038.461538461539</v>
      </c>
      <c r="O211" s="36">
        <v>12019.23076923077</v>
      </c>
      <c r="P211" s="36">
        <v>24038.461538461539</v>
      </c>
      <c r="Q211" s="36">
        <f>DataTable[[#This Row],[Pct Budget]]*totalBudget</f>
        <v>260000</v>
      </c>
      <c r="R211" s="36" t="str">
        <f>IFERROR(VLOOKUP(DataTable[[#This Row],[Financial Category]],tblFinancialCat[],2,FALSE),"")</f>
        <v>OpEx</v>
      </c>
      <c r="S211" s="36">
        <f>IFERROR(DataTable[[#This Row],[Utilized]]/DataTable[[#This Row],[Total Cost]]*DataTable[[#This Row],[Resource Cost]],0)</f>
        <v>12019.23076923077</v>
      </c>
      <c r="T211" s="36">
        <f>IFERROR(DataTable[[#This Row],[Utilized]]/DataTable[[#This Row],[Total Cost]]*DataTable[[#This Row],[Other Cost]],0)</f>
        <v>0</v>
      </c>
      <c r="U211" s="217">
        <v>42186</v>
      </c>
      <c r="V211" s="36" t="str">
        <f>TEXT(DataTable[[#This Row],[Month]],"MMM-YY")</f>
        <v>Jul-15</v>
      </c>
    </row>
    <row r="212" spans="1:22" x14ac:dyDescent="0.25">
      <c r="A212">
        <v>211</v>
      </c>
      <c r="B212" t="s">
        <v>30</v>
      </c>
      <c r="C212">
        <v>0.04</v>
      </c>
      <c r="D212" t="s">
        <v>186</v>
      </c>
      <c r="E212" t="s">
        <v>207</v>
      </c>
      <c r="F212" t="s">
        <v>63</v>
      </c>
      <c r="G212" t="s">
        <v>222</v>
      </c>
      <c r="H212" s="36">
        <v>75000</v>
      </c>
      <c r="I212" s="36">
        <v>0</v>
      </c>
      <c r="J212" t="s">
        <v>172</v>
      </c>
      <c r="K212" t="s">
        <v>149</v>
      </c>
      <c r="L212">
        <v>75000</v>
      </c>
      <c r="M212" s="36">
        <v>0</v>
      </c>
      <c r="N212" s="36">
        <f>DataTable[[#This Row],[Resource Cost]]+DataTable[[#This Row],[Other Cost]]</f>
        <v>75000</v>
      </c>
      <c r="O212" s="36">
        <v>60000</v>
      </c>
      <c r="P212" s="36">
        <v>75000</v>
      </c>
      <c r="Q212" s="36">
        <f>DataTable[[#This Row],[Pct Budget]]*totalBudget</f>
        <v>260000</v>
      </c>
      <c r="R212" s="36" t="str">
        <f>IFERROR(VLOOKUP(DataTable[[#This Row],[Financial Category]],tblFinancialCat[],2,FALSE),"")</f>
        <v>OpEx</v>
      </c>
      <c r="S212" s="36">
        <f>IFERROR(DataTable[[#This Row],[Utilized]]/DataTable[[#This Row],[Total Cost]]*DataTable[[#This Row],[Resource Cost]],0)</f>
        <v>60000</v>
      </c>
      <c r="T212" s="36">
        <f>IFERROR(DataTable[[#This Row],[Utilized]]/DataTable[[#This Row],[Total Cost]]*DataTable[[#This Row],[Other Cost]],0)</f>
        <v>0</v>
      </c>
      <c r="U212" s="217">
        <v>42186</v>
      </c>
      <c r="V212" s="36" t="str">
        <f>TEXT(DataTable[[#This Row],[Month]],"MMM-YY")</f>
        <v>Jul-15</v>
      </c>
    </row>
    <row r="213" spans="1:22" x14ac:dyDescent="0.25">
      <c r="A213">
        <v>212</v>
      </c>
      <c r="B213" t="s">
        <v>30</v>
      </c>
      <c r="C213">
        <v>0.04</v>
      </c>
      <c r="D213" t="s">
        <v>186</v>
      </c>
      <c r="E213" t="s">
        <v>207</v>
      </c>
      <c r="F213" t="s">
        <v>63</v>
      </c>
      <c r="G213" t="s">
        <v>222</v>
      </c>
      <c r="H213" s="36">
        <v>2019.2307692307693</v>
      </c>
      <c r="I213" s="36">
        <v>0</v>
      </c>
      <c r="J213" t="s">
        <v>172</v>
      </c>
      <c r="K213" t="s">
        <v>121</v>
      </c>
      <c r="L213">
        <v>2019.2307692307693</v>
      </c>
      <c r="M213" s="36">
        <v>0</v>
      </c>
      <c r="N213" s="36">
        <f>DataTable[[#This Row],[Resource Cost]]+DataTable[[#This Row],[Other Cost]]</f>
        <v>2019.2307692307693</v>
      </c>
      <c r="O213" s="36">
        <v>1615.3846153846155</v>
      </c>
      <c r="P213" s="36">
        <v>2019.2307692307693</v>
      </c>
      <c r="Q213" s="36">
        <f>DataTable[[#This Row],[Pct Budget]]*totalBudget</f>
        <v>260000</v>
      </c>
      <c r="R213" s="36" t="str">
        <f>IFERROR(VLOOKUP(DataTable[[#This Row],[Financial Category]],tblFinancialCat[],2,FALSE),"")</f>
        <v>OpEx</v>
      </c>
      <c r="S213" s="36">
        <f>IFERROR(DataTable[[#This Row],[Utilized]]/DataTable[[#This Row],[Total Cost]]*DataTable[[#This Row],[Resource Cost]],0)</f>
        <v>1615.3846153846155</v>
      </c>
      <c r="T213" s="36">
        <f>IFERROR(DataTable[[#This Row],[Utilized]]/DataTable[[#This Row],[Total Cost]]*DataTable[[#This Row],[Other Cost]],0)</f>
        <v>0</v>
      </c>
      <c r="U213" s="217">
        <v>42186</v>
      </c>
      <c r="V213" s="36" t="str">
        <f>TEXT(DataTable[[#This Row],[Month]],"MMM-YY")</f>
        <v>Jul-15</v>
      </c>
    </row>
    <row r="214" spans="1:22" x14ac:dyDescent="0.25">
      <c r="A214">
        <v>213</v>
      </c>
      <c r="B214" t="s">
        <v>30</v>
      </c>
      <c r="C214">
        <v>0.04</v>
      </c>
      <c r="D214" t="s">
        <v>186</v>
      </c>
      <c r="E214" t="s">
        <v>207</v>
      </c>
      <c r="F214" t="s">
        <v>63</v>
      </c>
      <c r="G214" t="s">
        <v>222</v>
      </c>
      <c r="H214" s="36">
        <v>4807.6923076923076</v>
      </c>
      <c r="I214" s="36">
        <v>0</v>
      </c>
      <c r="J214" t="s">
        <v>172</v>
      </c>
      <c r="K214" t="s">
        <v>14</v>
      </c>
      <c r="L214">
        <v>4807.6923076923076</v>
      </c>
      <c r="M214" s="36">
        <v>0</v>
      </c>
      <c r="N214" s="36">
        <f>DataTable[[#This Row],[Resource Cost]]+DataTable[[#This Row],[Other Cost]]</f>
        <v>4807.6923076923076</v>
      </c>
      <c r="O214" s="36">
        <v>3846.1538461538462</v>
      </c>
      <c r="P214" s="36">
        <v>4807.6923076923076</v>
      </c>
      <c r="Q214" s="36">
        <f>DataTable[[#This Row],[Pct Budget]]*totalBudget</f>
        <v>260000</v>
      </c>
      <c r="R214" s="36" t="str">
        <f>IFERROR(VLOOKUP(DataTable[[#This Row],[Financial Category]],tblFinancialCat[],2,FALSE),"")</f>
        <v>OpEx</v>
      </c>
      <c r="S214" s="36">
        <f>IFERROR(DataTable[[#This Row],[Utilized]]/DataTable[[#This Row],[Total Cost]]*DataTable[[#This Row],[Resource Cost]],0)</f>
        <v>3846.1538461538462</v>
      </c>
      <c r="T214" s="36">
        <f>IFERROR(DataTable[[#This Row],[Utilized]]/DataTable[[#This Row],[Total Cost]]*DataTable[[#This Row],[Other Cost]],0)</f>
        <v>0</v>
      </c>
      <c r="U214" s="217">
        <v>42186</v>
      </c>
      <c r="V214" s="36" t="str">
        <f>TEXT(DataTable[[#This Row],[Month]],"MMM-YY")</f>
        <v>Jul-15</v>
      </c>
    </row>
    <row r="215" spans="1:22" x14ac:dyDescent="0.25">
      <c r="A215">
        <v>214</v>
      </c>
      <c r="B215" t="s">
        <v>30</v>
      </c>
      <c r="C215">
        <v>0.04</v>
      </c>
      <c r="D215" t="s">
        <v>186</v>
      </c>
      <c r="E215" t="s">
        <v>207</v>
      </c>
      <c r="F215" t="s">
        <v>63</v>
      </c>
      <c r="G215" t="s">
        <v>222</v>
      </c>
      <c r="H215" s="36">
        <v>6009.6153846153848</v>
      </c>
      <c r="I215" s="36">
        <v>0</v>
      </c>
      <c r="J215" t="s">
        <v>172</v>
      </c>
      <c r="K215" t="s">
        <v>133</v>
      </c>
      <c r="L215">
        <v>6009.6153846153848</v>
      </c>
      <c r="M215" s="36">
        <v>0</v>
      </c>
      <c r="N215" s="36">
        <f>DataTable[[#This Row],[Resource Cost]]+DataTable[[#This Row],[Other Cost]]</f>
        <v>6009.6153846153848</v>
      </c>
      <c r="O215" s="36">
        <v>4807.6923076923076</v>
      </c>
      <c r="P215" s="36">
        <v>6009.6153846153848</v>
      </c>
      <c r="Q215" s="36">
        <f>DataTable[[#This Row],[Pct Budget]]*totalBudget</f>
        <v>260000</v>
      </c>
      <c r="R215" s="36" t="str">
        <f>IFERROR(VLOOKUP(DataTable[[#This Row],[Financial Category]],tblFinancialCat[],2,FALSE),"")</f>
        <v>OpEx</v>
      </c>
      <c r="S215" s="36">
        <f>IFERROR(DataTable[[#This Row],[Utilized]]/DataTable[[#This Row],[Total Cost]]*DataTable[[#This Row],[Resource Cost]],0)</f>
        <v>4807.6923076923076</v>
      </c>
      <c r="T215" s="36">
        <f>IFERROR(DataTable[[#This Row],[Utilized]]/DataTable[[#This Row],[Total Cost]]*DataTable[[#This Row],[Other Cost]],0)</f>
        <v>0</v>
      </c>
      <c r="U215" s="217">
        <v>42186</v>
      </c>
      <c r="V215" s="36" t="str">
        <f>TEXT(DataTable[[#This Row],[Month]],"MMM-YY")</f>
        <v>Jul-15</v>
      </c>
    </row>
    <row r="216" spans="1:22" x14ac:dyDescent="0.25">
      <c r="A216">
        <v>215</v>
      </c>
      <c r="B216" t="s">
        <v>27</v>
      </c>
      <c r="C216">
        <v>0.04</v>
      </c>
      <c r="D216" t="s">
        <v>203</v>
      </c>
      <c r="E216" t="s">
        <v>201</v>
      </c>
      <c r="F216" t="s">
        <v>65</v>
      </c>
      <c r="G216" t="s">
        <v>222</v>
      </c>
      <c r="H216" s="36">
        <v>11634.615384615385</v>
      </c>
      <c r="I216" s="36">
        <v>0</v>
      </c>
      <c r="J216" t="s">
        <v>11</v>
      </c>
      <c r="K216" t="s">
        <v>14</v>
      </c>
      <c r="L216">
        <v>801.28205128205127</v>
      </c>
      <c r="M216" s="36">
        <v>10833.333333333334</v>
      </c>
      <c r="N216" s="36">
        <f>DataTable[[#This Row],[Resource Cost]]+DataTable[[#This Row],[Other Cost]]</f>
        <v>11634.615384615385</v>
      </c>
      <c r="O216" s="36">
        <v>11634.615384615385</v>
      </c>
      <c r="P216" s="36">
        <v>11634.615384615385</v>
      </c>
      <c r="Q216" s="36">
        <f>DataTable[[#This Row],[Pct Budget]]*totalBudget</f>
        <v>260000</v>
      </c>
      <c r="R216" s="36" t="str">
        <f>IFERROR(VLOOKUP(DataTable[[#This Row],[Financial Category]],tblFinancialCat[],2,FALSE),"")</f>
        <v>OpEx</v>
      </c>
      <c r="S216" s="36">
        <f>IFERROR(DataTable[[#This Row],[Utilized]]/DataTable[[#This Row],[Total Cost]]*DataTable[[#This Row],[Resource Cost]],0)</f>
        <v>801.28205128205127</v>
      </c>
      <c r="T216" s="36">
        <f>IFERROR(DataTable[[#This Row],[Utilized]]/DataTable[[#This Row],[Total Cost]]*DataTable[[#This Row],[Other Cost]],0)</f>
        <v>10833.333333333334</v>
      </c>
      <c r="U216" s="217">
        <v>42217</v>
      </c>
      <c r="V216" s="36" t="str">
        <f>TEXT(DataTable[[#This Row],[Month]],"MMM-YY")</f>
        <v>Aug-15</v>
      </c>
    </row>
    <row r="217" spans="1:22" x14ac:dyDescent="0.25">
      <c r="A217">
        <v>216</v>
      </c>
      <c r="B217" t="s">
        <v>27</v>
      </c>
      <c r="C217">
        <v>0.04</v>
      </c>
      <c r="D217" t="s">
        <v>203</v>
      </c>
      <c r="E217" t="s">
        <v>179</v>
      </c>
      <c r="F217" t="s">
        <v>65</v>
      </c>
      <c r="G217" t="s">
        <v>222</v>
      </c>
      <c r="H217" s="36">
        <v>11634.615384615385</v>
      </c>
      <c r="I217" s="36">
        <v>0</v>
      </c>
      <c r="J217" t="s">
        <v>11</v>
      </c>
      <c r="K217" t="s">
        <v>14</v>
      </c>
      <c r="L217">
        <v>801.28205128205127</v>
      </c>
      <c r="M217" s="36">
        <v>10833.333333333334</v>
      </c>
      <c r="N217" s="36">
        <f>DataTable[[#This Row],[Resource Cost]]+DataTable[[#This Row],[Other Cost]]</f>
        <v>11634.615384615385</v>
      </c>
      <c r="O217" s="36">
        <v>11634.615384615385</v>
      </c>
      <c r="P217" s="36">
        <v>11634.615384615385</v>
      </c>
      <c r="Q217" s="36">
        <f>DataTable[[#This Row],[Pct Budget]]*totalBudget</f>
        <v>260000</v>
      </c>
      <c r="R217" s="36" t="str">
        <f>IFERROR(VLOOKUP(DataTable[[#This Row],[Financial Category]],tblFinancialCat[],2,FALSE),"")</f>
        <v>OpEx</v>
      </c>
      <c r="S217" s="36">
        <f>IFERROR(DataTable[[#This Row],[Utilized]]/DataTable[[#This Row],[Total Cost]]*DataTable[[#This Row],[Resource Cost]],0)</f>
        <v>801.28205128205127</v>
      </c>
      <c r="T217" s="36">
        <f>IFERROR(DataTable[[#This Row],[Utilized]]/DataTable[[#This Row],[Total Cost]]*DataTable[[#This Row],[Other Cost]],0)</f>
        <v>10833.333333333334</v>
      </c>
      <c r="U217" s="217">
        <v>42217</v>
      </c>
      <c r="V217" s="36" t="str">
        <f>TEXT(DataTable[[#This Row],[Month]],"MMM-YY")</f>
        <v>Aug-15</v>
      </c>
    </row>
    <row r="218" spans="1:22" x14ac:dyDescent="0.25">
      <c r="A218">
        <v>217</v>
      </c>
      <c r="B218" t="s">
        <v>27</v>
      </c>
      <c r="C218">
        <v>0.04</v>
      </c>
      <c r="D218" t="s">
        <v>203</v>
      </c>
      <c r="E218" t="s">
        <v>178</v>
      </c>
      <c r="F218" t="s">
        <v>65</v>
      </c>
      <c r="G218" t="s">
        <v>222</v>
      </c>
      <c r="H218" s="36">
        <v>11634.615384615385</v>
      </c>
      <c r="I218" s="36">
        <v>0</v>
      </c>
      <c r="J218" t="s">
        <v>11</v>
      </c>
      <c r="K218" t="s">
        <v>14</v>
      </c>
      <c r="L218">
        <v>801.28205128205127</v>
      </c>
      <c r="M218" s="36">
        <v>10833.333333333334</v>
      </c>
      <c r="N218" s="36">
        <f>DataTable[[#This Row],[Resource Cost]]+DataTable[[#This Row],[Other Cost]]</f>
        <v>11634.615384615385</v>
      </c>
      <c r="O218" s="36">
        <v>11634.615384615385</v>
      </c>
      <c r="P218" s="36">
        <v>11634.615384615385</v>
      </c>
      <c r="Q218" s="36">
        <f>DataTable[[#This Row],[Pct Budget]]*totalBudget</f>
        <v>260000</v>
      </c>
      <c r="R218" s="36" t="str">
        <f>IFERROR(VLOOKUP(DataTable[[#This Row],[Financial Category]],tblFinancialCat[],2,FALSE),"")</f>
        <v>OpEx</v>
      </c>
      <c r="S218" s="36">
        <f>IFERROR(DataTable[[#This Row],[Utilized]]/DataTable[[#This Row],[Total Cost]]*DataTable[[#This Row],[Resource Cost]],0)</f>
        <v>801.28205128205127</v>
      </c>
      <c r="T218" s="36">
        <f>IFERROR(DataTable[[#This Row],[Utilized]]/DataTable[[#This Row],[Total Cost]]*DataTable[[#This Row],[Other Cost]],0)</f>
        <v>10833.333333333334</v>
      </c>
      <c r="U218" s="217">
        <v>42217</v>
      </c>
      <c r="V218" s="36" t="str">
        <f>TEXT(DataTable[[#This Row],[Month]],"MMM-YY")</f>
        <v>Aug-15</v>
      </c>
    </row>
    <row r="219" spans="1:22" x14ac:dyDescent="0.25">
      <c r="A219">
        <v>218</v>
      </c>
      <c r="B219" t="s">
        <v>27</v>
      </c>
      <c r="C219">
        <v>0.04</v>
      </c>
      <c r="D219" t="s">
        <v>203</v>
      </c>
      <c r="E219" t="s">
        <v>201</v>
      </c>
      <c r="F219" t="s">
        <v>65</v>
      </c>
      <c r="G219" t="s">
        <v>222</v>
      </c>
      <c r="H219" s="36">
        <v>16602.564102564105</v>
      </c>
      <c r="I219" s="36">
        <v>0</v>
      </c>
      <c r="J219" t="s">
        <v>11</v>
      </c>
      <c r="K219" t="s">
        <v>131</v>
      </c>
      <c r="L219">
        <v>5769.2307692307695</v>
      </c>
      <c r="M219" s="36">
        <v>10833.333333333334</v>
      </c>
      <c r="N219" s="36">
        <f>DataTable[[#This Row],[Resource Cost]]+DataTable[[#This Row],[Other Cost]]</f>
        <v>16602.564102564102</v>
      </c>
      <c r="O219" s="36">
        <v>16602.564102564105</v>
      </c>
      <c r="P219" s="36">
        <v>16602.564102564105</v>
      </c>
      <c r="Q219" s="36">
        <f>DataTable[[#This Row],[Pct Budget]]*totalBudget</f>
        <v>260000</v>
      </c>
      <c r="R219" s="36" t="str">
        <f>IFERROR(VLOOKUP(DataTable[[#This Row],[Financial Category]],tblFinancialCat[],2,FALSE),"")</f>
        <v>OpEx</v>
      </c>
      <c r="S219" s="36">
        <f>IFERROR(DataTable[[#This Row],[Utilized]]/DataTable[[#This Row],[Total Cost]]*DataTable[[#This Row],[Resource Cost]],0)</f>
        <v>5769.2307692307704</v>
      </c>
      <c r="T219" s="36">
        <f>IFERROR(DataTable[[#This Row],[Utilized]]/DataTable[[#This Row],[Total Cost]]*DataTable[[#This Row],[Other Cost]],0)</f>
        <v>10833.333333333336</v>
      </c>
      <c r="U219" s="217">
        <v>42217</v>
      </c>
      <c r="V219" s="36" t="str">
        <f>TEXT(DataTable[[#This Row],[Month]],"MMM-YY")</f>
        <v>Aug-15</v>
      </c>
    </row>
    <row r="220" spans="1:22" x14ac:dyDescent="0.25">
      <c r="A220">
        <v>219</v>
      </c>
      <c r="B220" t="s">
        <v>27</v>
      </c>
      <c r="C220">
        <v>0.04</v>
      </c>
      <c r="D220" t="s">
        <v>203</v>
      </c>
      <c r="E220" t="s">
        <v>179</v>
      </c>
      <c r="F220" t="s">
        <v>65</v>
      </c>
      <c r="G220" t="s">
        <v>222</v>
      </c>
      <c r="H220" s="36">
        <v>16602.564102564105</v>
      </c>
      <c r="I220" s="36">
        <v>0</v>
      </c>
      <c r="J220" t="s">
        <v>11</v>
      </c>
      <c r="K220" t="s">
        <v>131</v>
      </c>
      <c r="L220">
        <v>5769.2307692307695</v>
      </c>
      <c r="M220" s="36">
        <v>10833.333333333334</v>
      </c>
      <c r="N220" s="36">
        <f>DataTable[[#This Row],[Resource Cost]]+DataTable[[#This Row],[Other Cost]]</f>
        <v>16602.564102564102</v>
      </c>
      <c r="O220" s="36">
        <v>16602.564102564105</v>
      </c>
      <c r="P220" s="36">
        <v>16602.564102564105</v>
      </c>
      <c r="Q220" s="36">
        <f>DataTable[[#This Row],[Pct Budget]]*totalBudget</f>
        <v>260000</v>
      </c>
      <c r="R220" s="36" t="str">
        <f>IFERROR(VLOOKUP(DataTable[[#This Row],[Financial Category]],tblFinancialCat[],2,FALSE),"")</f>
        <v>OpEx</v>
      </c>
      <c r="S220" s="36">
        <f>IFERROR(DataTable[[#This Row],[Utilized]]/DataTable[[#This Row],[Total Cost]]*DataTable[[#This Row],[Resource Cost]],0)</f>
        <v>5769.2307692307704</v>
      </c>
      <c r="T220" s="36">
        <f>IFERROR(DataTable[[#This Row],[Utilized]]/DataTable[[#This Row],[Total Cost]]*DataTable[[#This Row],[Other Cost]],0)</f>
        <v>10833.333333333336</v>
      </c>
      <c r="U220" s="217">
        <v>42217</v>
      </c>
      <c r="V220" s="36" t="str">
        <f>TEXT(DataTable[[#This Row],[Month]],"MMM-YY")</f>
        <v>Aug-15</v>
      </c>
    </row>
    <row r="221" spans="1:22" x14ac:dyDescent="0.25">
      <c r="A221">
        <v>220</v>
      </c>
      <c r="B221" t="s">
        <v>27</v>
      </c>
      <c r="C221">
        <v>0.04</v>
      </c>
      <c r="D221" t="s">
        <v>203</v>
      </c>
      <c r="E221" t="s">
        <v>178</v>
      </c>
      <c r="F221" t="s">
        <v>65</v>
      </c>
      <c r="G221" t="s">
        <v>222</v>
      </c>
      <c r="H221" s="36">
        <v>16602.564102564105</v>
      </c>
      <c r="I221" s="36">
        <v>0</v>
      </c>
      <c r="J221" t="s">
        <v>11</v>
      </c>
      <c r="K221" t="s">
        <v>131</v>
      </c>
      <c r="L221">
        <v>5769.2307692307695</v>
      </c>
      <c r="M221" s="36">
        <v>10833.333333333334</v>
      </c>
      <c r="N221" s="36">
        <f>DataTable[[#This Row],[Resource Cost]]+DataTable[[#This Row],[Other Cost]]</f>
        <v>16602.564102564102</v>
      </c>
      <c r="O221" s="36">
        <v>16602.564102564105</v>
      </c>
      <c r="P221" s="36">
        <v>16602.564102564105</v>
      </c>
      <c r="Q221" s="36">
        <f>DataTable[[#This Row],[Pct Budget]]*totalBudget</f>
        <v>260000</v>
      </c>
      <c r="R221" s="36" t="str">
        <f>IFERROR(VLOOKUP(DataTable[[#This Row],[Financial Category]],tblFinancialCat[],2,FALSE),"")</f>
        <v>OpEx</v>
      </c>
      <c r="S221" s="36">
        <f>IFERROR(DataTable[[#This Row],[Utilized]]/DataTable[[#This Row],[Total Cost]]*DataTable[[#This Row],[Resource Cost]],0)</f>
        <v>5769.2307692307704</v>
      </c>
      <c r="T221" s="36">
        <f>IFERROR(DataTable[[#This Row],[Utilized]]/DataTable[[#This Row],[Total Cost]]*DataTable[[#This Row],[Other Cost]],0)</f>
        <v>10833.333333333336</v>
      </c>
      <c r="U221" s="217">
        <v>42217</v>
      </c>
      <c r="V221" s="36" t="str">
        <f>TEXT(DataTable[[#This Row],[Month]],"MMM-YY")</f>
        <v>Aug-15</v>
      </c>
    </row>
    <row r="222" spans="1:22" x14ac:dyDescent="0.25">
      <c r="A222">
        <v>221</v>
      </c>
      <c r="B222" t="s">
        <v>27</v>
      </c>
      <c r="C222">
        <v>0.04</v>
      </c>
      <c r="D222" t="s">
        <v>18</v>
      </c>
      <c r="E222" t="s">
        <v>201</v>
      </c>
      <c r="F222" t="s">
        <v>64</v>
      </c>
      <c r="G222" t="s">
        <v>222</v>
      </c>
      <c r="H222" s="36">
        <v>801.28205128205127</v>
      </c>
      <c r="I222" s="36">
        <v>0</v>
      </c>
      <c r="J222" t="s">
        <v>172</v>
      </c>
      <c r="K222" t="s">
        <v>14</v>
      </c>
      <c r="L222">
        <v>801.28205128205127</v>
      </c>
      <c r="M222" s="36">
        <v>0</v>
      </c>
      <c r="N222" s="36">
        <f>DataTable[[#This Row],[Resource Cost]]+DataTable[[#This Row],[Other Cost]]</f>
        <v>801.28205128205127</v>
      </c>
      <c r="O222" s="36">
        <v>0</v>
      </c>
      <c r="P222" s="36">
        <v>801.28205128205127</v>
      </c>
      <c r="Q222" s="36">
        <f>DataTable[[#This Row],[Pct Budget]]*totalBudget</f>
        <v>260000</v>
      </c>
      <c r="R222" s="36" t="str">
        <f>IFERROR(VLOOKUP(DataTable[[#This Row],[Financial Category]],tblFinancialCat[],2,FALSE),"")</f>
        <v>OpEx</v>
      </c>
      <c r="S222" s="36">
        <f>IFERROR(DataTable[[#This Row],[Utilized]]/DataTable[[#This Row],[Total Cost]]*DataTable[[#This Row],[Resource Cost]],0)</f>
        <v>0</v>
      </c>
      <c r="T222" s="36">
        <f>IFERROR(DataTable[[#This Row],[Utilized]]/DataTable[[#This Row],[Total Cost]]*DataTable[[#This Row],[Other Cost]],0)</f>
        <v>0</v>
      </c>
      <c r="U222" s="217">
        <v>42217</v>
      </c>
      <c r="V222" s="36" t="str">
        <f>TEXT(DataTable[[#This Row],[Month]],"MMM-YY")</f>
        <v>Aug-15</v>
      </c>
    </row>
    <row r="223" spans="1:22" x14ac:dyDescent="0.25">
      <c r="A223">
        <v>222</v>
      </c>
      <c r="B223" t="s">
        <v>27</v>
      </c>
      <c r="C223">
        <v>0.04</v>
      </c>
      <c r="D223" t="s">
        <v>18</v>
      </c>
      <c r="E223" t="s">
        <v>179</v>
      </c>
      <c r="F223" t="s">
        <v>64</v>
      </c>
      <c r="G223" t="s">
        <v>222</v>
      </c>
      <c r="H223" s="36">
        <v>801.28205128205127</v>
      </c>
      <c r="I223" s="36">
        <v>0</v>
      </c>
      <c r="J223" t="s">
        <v>172</v>
      </c>
      <c r="K223" t="s">
        <v>14</v>
      </c>
      <c r="L223">
        <v>801.28205128205127</v>
      </c>
      <c r="M223" s="36">
        <v>0</v>
      </c>
      <c r="N223" s="36">
        <f>DataTable[[#This Row],[Resource Cost]]+DataTable[[#This Row],[Other Cost]]</f>
        <v>801.28205128205127</v>
      </c>
      <c r="O223" s="36">
        <v>0</v>
      </c>
      <c r="P223" s="36">
        <v>801.28205128205127</v>
      </c>
      <c r="Q223" s="36">
        <f>DataTable[[#This Row],[Pct Budget]]*totalBudget</f>
        <v>260000</v>
      </c>
      <c r="R223" s="36" t="str">
        <f>IFERROR(VLOOKUP(DataTable[[#This Row],[Financial Category]],tblFinancialCat[],2,FALSE),"")</f>
        <v>OpEx</v>
      </c>
      <c r="S223" s="36">
        <f>IFERROR(DataTable[[#This Row],[Utilized]]/DataTable[[#This Row],[Total Cost]]*DataTable[[#This Row],[Resource Cost]],0)</f>
        <v>0</v>
      </c>
      <c r="T223" s="36">
        <f>IFERROR(DataTable[[#This Row],[Utilized]]/DataTable[[#This Row],[Total Cost]]*DataTable[[#This Row],[Other Cost]],0)</f>
        <v>0</v>
      </c>
      <c r="U223" s="217">
        <v>42217</v>
      </c>
      <c r="V223" s="36" t="str">
        <f>TEXT(DataTable[[#This Row],[Month]],"MMM-YY")</f>
        <v>Aug-15</v>
      </c>
    </row>
    <row r="224" spans="1:22" x14ac:dyDescent="0.25">
      <c r="A224">
        <v>223</v>
      </c>
      <c r="B224" t="s">
        <v>27</v>
      </c>
      <c r="C224">
        <v>0.04</v>
      </c>
      <c r="D224" t="s">
        <v>18</v>
      </c>
      <c r="E224" t="s">
        <v>178</v>
      </c>
      <c r="F224" t="s">
        <v>64</v>
      </c>
      <c r="G224" t="s">
        <v>222</v>
      </c>
      <c r="H224" s="36">
        <v>801.28205128205127</v>
      </c>
      <c r="I224" s="36">
        <v>0</v>
      </c>
      <c r="J224" t="s">
        <v>172</v>
      </c>
      <c r="K224" t="s">
        <v>14</v>
      </c>
      <c r="L224">
        <v>801.28205128205127</v>
      </c>
      <c r="M224" s="36">
        <v>0</v>
      </c>
      <c r="N224" s="36">
        <f>DataTable[[#This Row],[Resource Cost]]+DataTable[[#This Row],[Other Cost]]</f>
        <v>801.28205128205127</v>
      </c>
      <c r="O224" s="36">
        <v>0</v>
      </c>
      <c r="P224" s="36">
        <v>801.28205128205127</v>
      </c>
      <c r="Q224" s="36">
        <f>DataTable[[#This Row],[Pct Budget]]*totalBudget</f>
        <v>260000</v>
      </c>
      <c r="R224" s="36" t="str">
        <f>IFERROR(VLOOKUP(DataTable[[#This Row],[Financial Category]],tblFinancialCat[],2,FALSE),"")</f>
        <v>OpEx</v>
      </c>
      <c r="S224" s="36">
        <f>IFERROR(DataTable[[#This Row],[Utilized]]/DataTable[[#This Row],[Total Cost]]*DataTable[[#This Row],[Resource Cost]],0)</f>
        <v>0</v>
      </c>
      <c r="T224" s="36">
        <f>IFERROR(DataTable[[#This Row],[Utilized]]/DataTable[[#This Row],[Total Cost]]*DataTable[[#This Row],[Other Cost]],0)</f>
        <v>0</v>
      </c>
      <c r="U224" s="217">
        <v>42217</v>
      </c>
      <c r="V224" s="36" t="str">
        <f>TEXT(DataTable[[#This Row],[Month]],"MMM-YY")</f>
        <v>Aug-15</v>
      </c>
    </row>
    <row r="225" spans="1:22" x14ac:dyDescent="0.25">
      <c r="A225">
        <v>224</v>
      </c>
      <c r="B225" t="s">
        <v>27</v>
      </c>
      <c r="C225">
        <v>0.04</v>
      </c>
      <c r="D225" t="s">
        <v>18</v>
      </c>
      <c r="E225" t="s">
        <v>201</v>
      </c>
      <c r="F225" t="s">
        <v>64</v>
      </c>
      <c r="G225" t="s">
        <v>222</v>
      </c>
      <c r="H225" s="36">
        <v>6490.3846153846143</v>
      </c>
      <c r="I225" s="36">
        <v>0</v>
      </c>
      <c r="J225" t="s">
        <v>172</v>
      </c>
      <c r="K225" t="s">
        <v>131</v>
      </c>
      <c r="L225">
        <v>6490.3846153846143</v>
      </c>
      <c r="M225" s="36">
        <v>0</v>
      </c>
      <c r="N225" s="36">
        <f>DataTable[[#This Row],[Resource Cost]]+DataTable[[#This Row],[Other Cost]]</f>
        <v>6490.3846153846143</v>
      </c>
      <c r="O225" s="36">
        <v>0</v>
      </c>
      <c r="P225" s="36">
        <v>6490.3846153846143</v>
      </c>
      <c r="Q225" s="36">
        <f>DataTable[[#This Row],[Pct Budget]]*totalBudget</f>
        <v>260000</v>
      </c>
      <c r="R225" s="36" t="str">
        <f>IFERROR(VLOOKUP(DataTable[[#This Row],[Financial Category]],tblFinancialCat[],2,FALSE),"")</f>
        <v>OpEx</v>
      </c>
      <c r="S225" s="36">
        <f>IFERROR(DataTable[[#This Row],[Utilized]]/DataTable[[#This Row],[Total Cost]]*DataTable[[#This Row],[Resource Cost]],0)</f>
        <v>0</v>
      </c>
      <c r="T225" s="36">
        <f>IFERROR(DataTable[[#This Row],[Utilized]]/DataTable[[#This Row],[Total Cost]]*DataTable[[#This Row],[Other Cost]],0)</f>
        <v>0</v>
      </c>
      <c r="U225" s="217">
        <v>42217</v>
      </c>
      <c r="V225" s="36" t="str">
        <f>TEXT(DataTable[[#This Row],[Month]],"MMM-YY")</f>
        <v>Aug-15</v>
      </c>
    </row>
    <row r="226" spans="1:22" x14ac:dyDescent="0.25">
      <c r="A226">
        <v>225</v>
      </c>
      <c r="B226" t="s">
        <v>27</v>
      </c>
      <c r="C226">
        <v>0.04</v>
      </c>
      <c r="D226" t="s">
        <v>18</v>
      </c>
      <c r="E226" t="s">
        <v>179</v>
      </c>
      <c r="F226" t="s">
        <v>64</v>
      </c>
      <c r="G226" t="s">
        <v>222</v>
      </c>
      <c r="H226" s="36">
        <v>6490.3846153846143</v>
      </c>
      <c r="I226" s="36">
        <v>0</v>
      </c>
      <c r="J226" t="s">
        <v>172</v>
      </c>
      <c r="K226" t="s">
        <v>131</v>
      </c>
      <c r="L226">
        <v>6490.3846153846143</v>
      </c>
      <c r="M226" s="36">
        <v>0</v>
      </c>
      <c r="N226" s="36">
        <f>DataTable[[#This Row],[Resource Cost]]+DataTable[[#This Row],[Other Cost]]</f>
        <v>6490.3846153846143</v>
      </c>
      <c r="O226" s="36">
        <v>0</v>
      </c>
      <c r="P226" s="36">
        <v>6490.3846153846143</v>
      </c>
      <c r="Q226" s="36">
        <f>DataTable[[#This Row],[Pct Budget]]*totalBudget</f>
        <v>260000</v>
      </c>
      <c r="R226" s="36" t="str">
        <f>IFERROR(VLOOKUP(DataTable[[#This Row],[Financial Category]],tblFinancialCat[],2,FALSE),"")</f>
        <v>OpEx</v>
      </c>
      <c r="S226" s="36">
        <f>IFERROR(DataTable[[#This Row],[Utilized]]/DataTable[[#This Row],[Total Cost]]*DataTable[[#This Row],[Resource Cost]],0)</f>
        <v>0</v>
      </c>
      <c r="T226" s="36">
        <f>IFERROR(DataTable[[#This Row],[Utilized]]/DataTable[[#This Row],[Total Cost]]*DataTable[[#This Row],[Other Cost]],0)</f>
        <v>0</v>
      </c>
      <c r="U226" s="217">
        <v>42217</v>
      </c>
      <c r="V226" s="36" t="str">
        <f>TEXT(DataTable[[#This Row],[Month]],"MMM-YY")</f>
        <v>Aug-15</v>
      </c>
    </row>
    <row r="227" spans="1:22" x14ac:dyDescent="0.25">
      <c r="A227">
        <v>226</v>
      </c>
      <c r="B227" t="s">
        <v>27</v>
      </c>
      <c r="C227">
        <v>0.04</v>
      </c>
      <c r="D227" t="s">
        <v>18</v>
      </c>
      <c r="E227" t="s">
        <v>178</v>
      </c>
      <c r="F227" t="s">
        <v>64</v>
      </c>
      <c r="G227" t="s">
        <v>222</v>
      </c>
      <c r="H227" s="36">
        <v>6490.3846153846143</v>
      </c>
      <c r="I227" s="36">
        <v>0</v>
      </c>
      <c r="J227" t="s">
        <v>172</v>
      </c>
      <c r="K227" t="s">
        <v>131</v>
      </c>
      <c r="L227">
        <v>6490.3846153846143</v>
      </c>
      <c r="M227" s="36">
        <v>0</v>
      </c>
      <c r="N227" s="36">
        <f>DataTable[[#This Row],[Resource Cost]]+DataTable[[#This Row],[Other Cost]]</f>
        <v>6490.3846153846143</v>
      </c>
      <c r="O227" s="36">
        <v>0</v>
      </c>
      <c r="P227" s="36">
        <v>6490.3846153846143</v>
      </c>
      <c r="Q227" s="36">
        <f>DataTable[[#This Row],[Pct Budget]]*totalBudget</f>
        <v>260000</v>
      </c>
      <c r="R227" s="36" t="str">
        <f>IFERROR(VLOOKUP(DataTable[[#This Row],[Financial Category]],tblFinancialCat[],2,FALSE),"")</f>
        <v>OpEx</v>
      </c>
      <c r="S227" s="36">
        <f>IFERROR(DataTable[[#This Row],[Utilized]]/DataTable[[#This Row],[Total Cost]]*DataTable[[#This Row],[Resource Cost]],0)</f>
        <v>0</v>
      </c>
      <c r="T227" s="36">
        <f>IFERROR(DataTable[[#This Row],[Utilized]]/DataTable[[#This Row],[Total Cost]]*DataTable[[#This Row],[Other Cost]],0)</f>
        <v>0</v>
      </c>
      <c r="U227" s="217">
        <v>42217</v>
      </c>
      <c r="V227" s="36" t="str">
        <f>TEXT(DataTable[[#This Row],[Month]],"MMM-YY")</f>
        <v>Aug-15</v>
      </c>
    </row>
    <row r="228" spans="1:22" x14ac:dyDescent="0.25">
      <c r="A228">
        <v>227</v>
      </c>
      <c r="B228" t="s">
        <v>27</v>
      </c>
      <c r="C228">
        <v>0.04</v>
      </c>
      <c r="D228" t="s">
        <v>181</v>
      </c>
      <c r="E228" t="s">
        <v>201</v>
      </c>
      <c r="F228" t="s">
        <v>63</v>
      </c>
      <c r="G228" t="s">
        <v>222</v>
      </c>
      <c r="H228" s="36">
        <v>801.28205128205127</v>
      </c>
      <c r="I228" s="36">
        <v>0</v>
      </c>
      <c r="J228" t="s">
        <v>172</v>
      </c>
      <c r="K228" t="s">
        <v>14</v>
      </c>
      <c r="L228">
        <v>801.28205128205127</v>
      </c>
      <c r="M228" s="36">
        <v>0</v>
      </c>
      <c r="N228" s="36">
        <f>DataTable[[#This Row],[Resource Cost]]+DataTable[[#This Row],[Other Cost]]</f>
        <v>801.28205128205127</v>
      </c>
      <c r="O228" s="36">
        <v>0</v>
      </c>
      <c r="P228" s="36">
        <v>801.28205128205127</v>
      </c>
      <c r="Q228" s="36">
        <f>DataTable[[#This Row],[Pct Budget]]*totalBudget</f>
        <v>260000</v>
      </c>
      <c r="R228" s="36" t="str">
        <f>IFERROR(VLOOKUP(DataTable[[#This Row],[Financial Category]],tblFinancialCat[],2,FALSE),"")</f>
        <v>OpEx</v>
      </c>
      <c r="S228" s="36">
        <f>IFERROR(DataTable[[#This Row],[Utilized]]/DataTable[[#This Row],[Total Cost]]*DataTable[[#This Row],[Resource Cost]],0)</f>
        <v>0</v>
      </c>
      <c r="T228" s="36">
        <f>IFERROR(DataTable[[#This Row],[Utilized]]/DataTable[[#This Row],[Total Cost]]*DataTable[[#This Row],[Other Cost]],0)</f>
        <v>0</v>
      </c>
      <c r="U228" s="217">
        <v>42217</v>
      </c>
      <c r="V228" s="36" t="str">
        <f>TEXT(DataTable[[#This Row],[Month]],"MMM-YY")</f>
        <v>Aug-15</v>
      </c>
    </row>
    <row r="229" spans="1:22" x14ac:dyDescent="0.25">
      <c r="A229">
        <v>228</v>
      </c>
      <c r="B229" t="s">
        <v>27</v>
      </c>
      <c r="C229">
        <v>0.04</v>
      </c>
      <c r="D229" t="s">
        <v>181</v>
      </c>
      <c r="E229" t="s">
        <v>179</v>
      </c>
      <c r="F229" t="s">
        <v>63</v>
      </c>
      <c r="G229" t="s">
        <v>222</v>
      </c>
      <c r="H229" s="36">
        <v>801.28205128205127</v>
      </c>
      <c r="I229" s="36">
        <v>0</v>
      </c>
      <c r="J229" t="s">
        <v>172</v>
      </c>
      <c r="K229" t="s">
        <v>14</v>
      </c>
      <c r="L229">
        <v>801.28205128205127</v>
      </c>
      <c r="M229" s="36">
        <v>0</v>
      </c>
      <c r="N229" s="36">
        <f>DataTable[[#This Row],[Resource Cost]]+DataTable[[#This Row],[Other Cost]]</f>
        <v>801.28205128205127</v>
      </c>
      <c r="O229" s="36">
        <v>0</v>
      </c>
      <c r="P229" s="36">
        <v>801.28205128205127</v>
      </c>
      <c r="Q229" s="36">
        <f>DataTable[[#This Row],[Pct Budget]]*totalBudget</f>
        <v>260000</v>
      </c>
      <c r="R229" s="36" t="str">
        <f>IFERROR(VLOOKUP(DataTable[[#This Row],[Financial Category]],tblFinancialCat[],2,FALSE),"")</f>
        <v>OpEx</v>
      </c>
      <c r="S229" s="36">
        <f>IFERROR(DataTable[[#This Row],[Utilized]]/DataTable[[#This Row],[Total Cost]]*DataTable[[#This Row],[Resource Cost]],0)</f>
        <v>0</v>
      </c>
      <c r="T229" s="36">
        <f>IFERROR(DataTable[[#This Row],[Utilized]]/DataTable[[#This Row],[Total Cost]]*DataTable[[#This Row],[Other Cost]],0)</f>
        <v>0</v>
      </c>
      <c r="U229" s="217">
        <v>42217</v>
      </c>
      <c r="V229" s="36" t="str">
        <f>TEXT(DataTable[[#This Row],[Month]],"MMM-YY")</f>
        <v>Aug-15</v>
      </c>
    </row>
    <row r="230" spans="1:22" x14ac:dyDescent="0.25">
      <c r="A230">
        <v>229</v>
      </c>
      <c r="B230" t="s">
        <v>27</v>
      </c>
      <c r="C230">
        <v>0.04</v>
      </c>
      <c r="D230" t="s">
        <v>181</v>
      </c>
      <c r="E230" t="s">
        <v>178</v>
      </c>
      <c r="F230" t="s">
        <v>63</v>
      </c>
      <c r="G230" t="s">
        <v>222</v>
      </c>
      <c r="H230" s="36">
        <v>801.28205128205127</v>
      </c>
      <c r="I230" s="36">
        <v>0</v>
      </c>
      <c r="J230" t="s">
        <v>172</v>
      </c>
      <c r="K230" t="s">
        <v>14</v>
      </c>
      <c r="L230">
        <v>801.28205128205127</v>
      </c>
      <c r="M230" s="36">
        <v>0</v>
      </c>
      <c r="N230" s="36">
        <f>DataTable[[#This Row],[Resource Cost]]+DataTable[[#This Row],[Other Cost]]</f>
        <v>801.28205128205127</v>
      </c>
      <c r="O230" s="36">
        <v>0</v>
      </c>
      <c r="P230" s="36">
        <v>801.28205128205127</v>
      </c>
      <c r="Q230" s="36">
        <f>DataTable[[#This Row],[Pct Budget]]*totalBudget</f>
        <v>260000</v>
      </c>
      <c r="R230" s="36" t="str">
        <f>IFERROR(VLOOKUP(DataTable[[#This Row],[Financial Category]],tblFinancialCat[],2,FALSE),"")</f>
        <v>OpEx</v>
      </c>
      <c r="S230" s="36">
        <f>IFERROR(DataTable[[#This Row],[Utilized]]/DataTable[[#This Row],[Total Cost]]*DataTable[[#This Row],[Resource Cost]],0)</f>
        <v>0</v>
      </c>
      <c r="T230" s="36">
        <f>IFERROR(DataTable[[#This Row],[Utilized]]/DataTable[[#This Row],[Total Cost]]*DataTable[[#This Row],[Other Cost]],0)</f>
        <v>0</v>
      </c>
      <c r="U230" s="217">
        <v>42217</v>
      </c>
      <c r="V230" s="36" t="str">
        <f>TEXT(DataTable[[#This Row],[Month]],"MMM-YY")</f>
        <v>Aug-15</v>
      </c>
    </row>
    <row r="231" spans="1:22" x14ac:dyDescent="0.25">
      <c r="A231">
        <v>230</v>
      </c>
      <c r="B231" t="s">
        <v>27</v>
      </c>
      <c r="C231">
        <v>0.04</v>
      </c>
      <c r="D231" t="s">
        <v>181</v>
      </c>
      <c r="E231" t="s">
        <v>201</v>
      </c>
      <c r="F231" t="s">
        <v>63</v>
      </c>
      <c r="G231" t="s">
        <v>222</v>
      </c>
      <c r="H231" s="36">
        <v>5769.2307692307695</v>
      </c>
      <c r="I231" s="36">
        <v>0</v>
      </c>
      <c r="J231" t="s">
        <v>172</v>
      </c>
      <c r="K231" t="s">
        <v>131</v>
      </c>
      <c r="L231">
        <v>5769.2307692307695</v>
      </c>
      <c r="M231" s="36">
        <v>0</v>
      </c>
      <c r="N231" s="36">
        <f>DataTable[[#This Row],[Resource Cost]]+DataTable[[#This Row],[Other Cost]]</f>
        <v>5769.2307692307695</v>
      </c>
      <c r="O231" s="36">
        <v>0</v>
      </c>
      <c r="P231" s="36">
        <v>5769.2307692307695</v>
      </c>
      <c r="Q231" s="36">
        <f>DataTable[[#This Row],[Pct Budget]]*totalBudget</f>
        <v>260000</v>
      </c>
      <c r="R231" s="36" t="str">
        <f>IFERROR(VLOOKUP(DataTable[[#This Row],[Financial Category]],tblFinancialCat[],2,FALSE),"")</f>
        <v>OpEx</v>
      </c>
      <c r="S231" s="36">
        <f>IFERROR(DataTable[[#This Row],[Utilized]]/DataTable[[#This Row],[Total Cost]]*DataTable[[#This Row],[Resource Cost]],0)</f>
        <v>0</v>
      </c>
      <c r="T231" s="36">
        <f>IFERROR(DataTable[[#This Row],[Utilized]]/DataTable[[#This Row],[Total Cost]]*DataTable[[#This Row],[Other Cost]],0)</f>
        <v>0</v>
      </c>
      <c r="U231" s="217">
        <v>42217</v>
      </c>
      <c r="V231" s="36" t="str">
        <f>TEXT(DataTable[[#This Row],[Month]],"MMM-YY")</f>
        <v>Aug-15</v>
      </c>
    </row>
    <row r="232" spans="1:22" x14ac:dyDescent="0.25">
      <c r="A232">
        <v>231</v>
      </c>
      <c r="B232" t="s">
        <v>27</v>
      </c>
      <c r="C232">
        <v>0.04</v>
      </c>
      <c r="D232" t="s">
        <v>181</v>
      </c>
      <c r="E232" t="s">
        <v>179</v>
      </c>
      <c r="F232" t="s">
        <v>63</v>
      </c>
      <c r="G232" t="s">
        <v>222</v>
      </c>
      <c r="H232" s="36">
        <v>5769.2307692307695</v>
      </c>
      <c r="I232" s="36">
        <v>0</v>
      </c>
      <c r="J232" t="s">
        <v>172</v>
      </c>
      <c r="K232" t="s">
        <v>131</v>
      </c>
      <c r="L232">
        <v>5769.2307692307695</v>
      </c>
      <c r="M232" s="36">
        <v>0</v>
      </c>
      <c r="N232" s="36">
        <f>DataTable[[#This Row],[Resource Cost]]+DataTable[[#This Row],[Other Cost]]</f>
        <v>5769.2307692307695</v>
      </c>
      <c r="O232" s="36">
        <v>0</v>
      </c>
      <c r="P232" s="36">
        <v>5769.2307692307695</v>
      </c>
      <c r="Q232" s="36">
        <f>DataTable[[#This Row],[Pct Budget]]*totalBudget</f>
        <v>260000</v>
      </c>
      <c r="R232" s="36" t="str">
        <f>IFERROR(VLOOKUP(DataTable[[#This Row],[Financial Category]],tblFinancialCat[],2,FALSE),"")</f>
        <v>OpEx</v>
      </c>
      <c r="S232" s="36">
        <f>IFERROR(DataTable[[#This Row],[Utilized]]/DataTable[[#This Row],[Total Cost]]*DataTable[[#This Row],[Resource Cost]],0)</f>
        <v>0</v>
      </c>
      <c r="T232" s="36">
        <f>IFERROR(DataTable[[#This Row],[Utilized]]/DataTable[[#This Row],[Total Cost]]*DataTable[[#This Row],[Other Cost]],0)</f>
        <v>0</v>
      </c>
      <c r="U232" s="217">
        <v>42217</v>
      </c>
      <c r="V232" s="36" t="str">
        <f>TEXT(DataTable[[#This Row],[Month]],"MMM-YY")</f>
        <v>Aug-15</v>
      </c>
    </row>
    <row r="233" spans="1:22" x14ac:dyDescent="0.25">
      <c r="A233">
        <v>232</v>
      </c>
      <c r="B233" t="s">
        <v>27</v>
      </c>
      <c r="C233">
        <v>0.04</v>
      </c>
      <c r="D233" t="s">
        <v>181</v>
      </c>
      <c r="E233" t="s">
        <v>178</v>
      </c>
      <c r="F233" t="s">
        <v>63</v>
      </c>
      <c r="G233" t="s">
        <v>222</v>
      </c>
      <c r="H233" s="36">
        <v>5769.2307692307695</v>
      </c>
      <c r="I233" s="36">
        <v>0</v>
      </c>
      <c r="J233" t="s">
        <v>172</v>
      </c>
      <c r="K233" t="s">
        <v>131</v>
      </c>
      <c r="L233">
        <v>5769.2307692307695</v>
      </c>
      <c r="M233" s="36">
        <v>0</v>
      </c>
      <c r="N233" s="36">
        <f>DataTable[[#This Row],[Resource Cost]]+DataTable[[#This Row],[Other Cost]]</f>
        <v>5769.2307692307695</v>
      </c>
      <c r="O233" s="36">
        <v>0</v>
      </c>
      <c r="P233" s="36">
        <v>5769.2307692307695</v>
      </c>
      <c r="Q233" s="36">
        <f>DataTable[[#This Row],[Pct Budget]]*totalBudget</f>
        <v>260000</v>
      </c>
      <c r="R233" s="36" t="str">
        <f>IFERROR(VLOOKUP(DataTable[[#This Row],[Financial Category]],tblFinancialCat[],2,FALSE),"")</f>
        <v>OpEx</v>
      </c>
      <c r="S233" s="36">
        <f>IFERROR(DataTable[[#This Row],[Utilized]]/DataTable[[#This Row],[Total Cost]]*DataTable[[#This Row],[Resource Cost]],0)</f>
        <v>0</v>
      </c>
      <c r="T233" s="36">
        <f>IFERROR(DataTable[[#This Row],[Utilized]]/DataTable[[#This Row],[Total Cost]]*DataTable[[#This Row],[Other Cost]],0)</f>
        <v>0</v>
      </c>
      <c r="U233" s="217">
        <v>42217</v>
      </c>
      <c r="V233" s="36" t="str">
        <f>TEXT(DataTable[[#This Row],[Month]],"MMM-YY")</f>
        <v>Aug-15</v>
      </c>
    </row>
    <row r="234" spans="1:22" x14ac:dyDescent="0.25">
      <c r="A234">
        <v>233</v>
      </c>
      <c r="B234" t="s">
        <v>27</v>
      </c>
      <c r="C234">
        <v>0.04</v>
      </c>
      <c r="D234" t="s">
        <v>181</v>
      </c>
      <c r="E234" t="s">
        <v>201</v>
      </c>
      <c r="F234" t="s">
        <v>63</v>
      </c>
      <c r="G234" t="s">
        <v>222</v>
      </c>
      <c r="H234" s="36">
        <v>673.07692307692309</v>
      </c>
      <c r="I234" s="36">
        <v>0</v>
      </c>
      <c r="J234" t="s">
        <v>172</v>
      </c>
      <c r="K234" t="s">
        <v>121</v>
      </c>
      <c r="L234">
        <v>673.07692307692309</v>
      </c>
      <c r="M234" s="36">
        <v>0</v>
      </c>
      <c r="N234" s="36">
        <f>DataTable[[#This Row],[Resource Cost]]+DataTable[[#This Row],[Other Cost]]</f>
        <v>673.07692307692309</v>
      </c>
      <c r="O234" s="36">
        <v>0</v>
      </c>
      <c r="P234" s="36">
        <v>673.07692307692309</v>
      </c>
      <c r="Q234" s="36">
        <f>DataTable[[#This Row],[Pct Budget]]*totalBudget</f>
        <v>260000</v>
      </c>
      <c r="R234" s="36" t="str">
        <f>IFERROR(VLOOKUP(DataTable[[#This Row],[Financial Category]],tblFinancialCat[],2,FALSE),"")</f>
        <v>OpEx</v>
      </c>
      <c r="S234" s="36">
        <f>IFERROR(DataTable[[#This Row],[Utilized]]/DataTable[[#This Row],[Total Cost]]*DataTable[[#This Row],[Resource Cost]],0)</f>
        <v>0</v>
      </c>
      <c r="T234" s="36">
        <f>IFERROR(DataTable[[#This Row],[Utilized]]/DataTable[[#This Row],[Total Cost]]*DataTable[[#This Row],[Other Cost]],0)</f>
        <v>0</v>
      </c>
      <c r="U234" s="217">
        <v>42217</v>
      </c>
      <c r="V234" s="36" t="str">
        <f>TEXT(DataTable[[#This Row],[Month]],"MMM-YY")</f>
        <v>Aug-15</v>
      </c>
    </row>
    <row r="235" spans="1:22" x14ac:dyDescent="0.25">
      <c r="A235">
        <v>234</v>
      </c>
      <c r="B235" t="s">
        <v>27</v>
      </c>
      <c r="C235">
        <v>0.04</v>
      </c>
      <c r="D235" t="s">
        <v>181</v>
      </c>
      <c r="E235" t="s">
        <v>179</v>
      </c>
      <c r="F235" t="s">
        <v>63</v>
      </c>
      <c r="G235" t="s">
        <v>222</v>
      </c>
      <c r="H235" s="36">
        <v>673.07692307692309</v>
      </c>
      <c r="I235" s="36">
        <v>0</v>
      </c>
      <c r="J235" t="s">
        <v>172</v>
      </c>
      <c r="K235" t="s">
        <v>121</v>
      </c>
      <c r="L235">
        <v>673.07692307692309</v>
      </c>
      <c r="M235" s="36">
        <v>0</v>
      </c>
      <c r="N235" s="36">
        <f>DataTable[[#This Row],[Resource Cost]]+DataTable[[#This Row],[Other Cost]]</f>
        <v>673.07692307692309</v>
      </c>
      <c r="O235" s="36">
        <v>0</v>
      </c>
      <c r="P235" s="36">
        <v>673.07692307692309</v>
      </c>
      <c r="Q235" s="36">
        <f>DataTable[[#This Row],[Pct Budget]]*totalBudget</f>
        <v>260000</v>
      </c>
      <c r="R235" s="36" t="str">
        <f>IFERROR(VLOOKUP(DataTable[[#This Row],[Financial Category]],tblFinancialCat[],2,FALSE),"")</f>
        <v>OpEx</v>
      </c>
      <c r="S235" s="36">
        <f>IFERROR(DataTable[[#This Row],[Utilized]]/DataTable[[#This Row],[Total Cost]]*DataTable[[#This Row],[Resource Cost]],0)</f>
        <v>0</v>
      </c>
      <c r="T235" s="36">
        <f>IFERROR(DataTable[[#This Row],[Utilized]]/DataTable[[#This Row],[Total Cost]]*DataTable[[#This Row],[Other Cost]],0)</f>
        <v>0</v>
      </c>
      <c r="U235" s="217">
        <v>42217</v>
      </c>
      <c r="V235" s="36" t="str">
        <f>TEXT(DataTable[[#This Row],[Month]],"MMM-YY")</f>
        <v>Aug-15</v>
      </c>
    </row>
    <row r="236" spans="1:22" x14ac:dyDescent="0.25">
      <c r="A236">
        <v>235</v>
      </c>
      <c r="B236" t="s">
        <v>27</v>
      </c>
      <c r="C236">
        <v>0.04</v>
      </c>
      <c r="D236" t="s">
        <v>181</v>
      </c>
      <c r="E236" t="s">
        <v>178</v>
      </c>
      <c r="F236" t="s">
        <v>63</v>
      </c>
      <c r="G236" t="s">
        <v>222</v>
      </c>
      <c r="H236" s="36">
        <v>673.07692307692309</v>
      </c>
      <c r="I236" s="36">
        <v>0</v>
      </c>
      <c r="J236" t="s">
        <v>172</v>
      </c>
      <c r="K236" t="s">
        <v>121</v>
      </c>
      <c r="L236">
        <v>673.07692307692309</v>
      </c>
      <c r="M236" s="36">
        <v>0</v>
      </c>
      <c r="N236" s="36">
        <f>DataTable[[#This Row],[Resource Cost]]+DataTable[[#This Row],[Other Cost]]</f>
        <v>673.07692307692309</v>
      </c>
      <c r="O236" s="36">
        <v>0</v>
      </c>
      <c r="P236" s="36">
        <v>673.07692307692309</v>
      </c>
      <c r="Q236" s="36">
        <f>DataTable[[#This Row],[Pct Budget]]*totalBudget</f>
        <v>260000</v>
      </c>
      <c r="R236" s="36" t="str">
        <f>IFERROR(VLOOKUP(DataTable[[#This Row],[Financial Category]],tblFinancialCat[],2,FALSE),"")</f>
        <v>OpEx</v>
      </c>
      <c r="S236" s="36">
        <f>IFERROR(DataTable[[#This Row],[Utilized]]/DataTable[[#This Row],[Total Cost]]*DataTable[[#This Row],[Resource Cost]],0)</f>
        <v>0</v>
      </c>
      <c r="T236" s="36">
        <f>IFERROR(DataTable[[#This Row],[Utilized]]/DataTable[[#This Row],[Total Cost]]*DataTable[[#This Row],[Other Cost]],0)</f>
        <v>0</v>
      </c>
      <c r="U236" s="217">
        <v>42217</v>
      </c>
      <c r="V236" s="36" t="str">
        <f>TEXT(DataTable[[#This Row],[Month]],"MMM-YY")</f>
        <v>Aug-15</v>
      </c>
    </row>
    <row r="237" spans="1:22" x14ac:dyDescent="0.25">
      <c r="A237">
        <v>236</v>
      </c>
      <c r="B237" t="s">
        <v>0</v>
      </c>
      <c r="C237">
        <v>7.0000000000000007E-2</v>
      </c>
      <c r="D237" t="s">
        <v>188</v>
      </c>
      <c r="E237" t="s">
        <v>179</v>
      </c>
      <c r="F237" t="s">
        <v>65</v>
      </c>
      <c r="G237" t="s">
        <v>179</v>
      </c>
      <c r="H237" s="36">
        <v>612.98076923076917</v>
      </c>
      <c r="I237" s="36">
        <v>204.32692307692307</v>
      </c>
      <c r="J237" t="s">
        <v>172</v>
      </c>
      <c r="K237" t="s">
        <v>126</v>
      </c>
      <c r="L237">
        <v>817.30769230769226</v>
      </c>
      <c r="M237" s="36">
        <v>0</v>
      </c>
      <c r="N237" s="36">
        <f>DataTable[[#This Row],[Resource Cost]]+DataTable[[#This Row],[Other Cost]]</f>
        <v>817.30769230769226</v>
      </c>
      <c r="O237" s="36">
        <v>817.30769230769226</v>
      </c>
      <c r="P237" s="36">
        <v>817.30769230769226</v>
      </c>
      <c r="Q237" s="36">
        <f>DataTable[[#This Row],[Pct Budget]]*totalBudget</f>
        <v>455000.00000000006</v>
      </c>
      <c r="R237" s="36" t="str">
        <f>IFERROR(VLOOKUP(DataTable[[#This Row],[Financial Category]],tblFinancialCat[],2,FALSE),"")</f>
        <v>OpEx</v>
      </c>
      <c r="S237" s="36">
        <f>IFERROR(DataTable[[#This Row],[Utilized]]/DataTable[[#This Row],[Total Cost]]*DataTable[[#This Row],[Resource Cost]],0)</f>
        <v>817.30769230769226</v>
      </c>
      <c r="T237" s="36">
        <f>IFERROR(DataTable[[#This Row],[Utilized]]/DataTable[[#This Row],[Total Cost]]*DataTable[[#This Row],[Other Cost]],0)</f>
        <v>0</v>
      </c>
      <c r="U237" s="217">
        <v>42248</v>
      </c>
      <c r="V237" s="36" t="str">
        <f>TEXT(DataTable[[#This Row],[Month]],"MMM-YY")</f>
        <v>Sep-15</v>
      </c>
    </row>
    <row r="238" spans="1:22" x14ac:dyDescent="0.25">
      <c r="A238">
        <v>237</v>
      </c>
      <c r="B238" t="s">
        <v>0</v>
      </c>
      <c r="C238">
        <v>7.0000000000000007E-2</v>
      </c>
      <c r="D238" t="s">
        <v>188</v>
      </c>
      <c r="E238" t="s">
        <v>151</v>
      </c>
      <c r="F238" t="s">
        <v>65</v>
      </c>
      <c r="G238" t="s">
        <v>179</v>
      </c>
      <c r="H238" s="36">
        <v>612.98076923076917</v>
      </c>
      <c r="I238" s="36">
        <v>204.32692307692307</v>
      </c>
      <c r="J238" t="s">
        <v>172</v>
      </c>
      <c r="K238" t="s">
        <v>126</v>
      </c>
      <c r="L238">
        <v>817.30769230769226</v>
      </c>
      <c r="M238" s="36">
        <v>0</v>
      </c>
      <c r="N238" s="36">
        <f>DataTable[[#This Row],[Resource Cost]]+DataTable[[#This Row],[Other Cost]]</f>
        <v>817.30769230769226</v>
      </c>
      <c r="O238" s="36">
        <v>817.30769230769226</v>
      </c>
      <c r="P238" s="36">
        <v>817.30769230769226</v>
      </c>
      <c r="Q238" s="36">
        <f>DataTable[[#This Row],[Pct Budget]]*totalBudget</f>
        <v>455000.00000000006</v>
      </c>
      <c r="R238" s="36" t="str">
        <f>IFERROR(VLOOKUP(DataTable[[#This Row],[Financial Category]],tblFinancialCat[],2,FALSE),"")</f>
        <v>OpEx</v>
      </c>
      <c r="S238" s="36">
        <f>IFERROR(DataTable[[#This Row],[Utilized]]/DataTable[[#This Row],[Total Cost]]*DataTable[[#This Row],[Resource Cost]],0)</f>
        <v>817.30769230769226</v>
      </c>
      <c r="T238" s="36">
        <f>IFERROR(DataTable[[#This Row],[Utilized]]/DataTable[[#This Row],[Total Cost]]*DataTable[[#This Row],[Other Cost]],0)</f>
        <v>0</v>
      </c>
      <c r="U238" s="217">
        <v>42248</v>
      </c>
      <c r="V238" s="36" t="str">
        <f>TEXT(DataTable[[#This Row],[Month]],"MMM-YY")</f>
        <v>Sep-15</v>
      </c>
    </row>
    <row r="239" spans="1:22" x14ac:dyDescent="0.25">
      <c r="A239">
        <v>238</v>
      </c>
      <c r="B239" t="s">
        <v>0</v>
      </c>
      <c r="C239">
        <v>7.0000000000000007E-2</v>
      </c>
      <c r="D239" t="s">
        <v>188</v>
      </c>
      <c r="E239" t="s">
        <v>179</v>
      </c>
      <c r="F239" t="s">
        <v>65</v>
      </c>
      <c r="G239" t="s">
        <v>179</v>
      </c>
      <c r="H239" s="36">
        <v>12375</v>
      </c>
      <c r="I239" s="36">
        <v>4125</v>
      </c>
      <c r="J239" t="s">
        <v>172</v>
      </c>
      <c r="K239" t="s">
        <v>122</v>
      </c>
      <c r="L239">
        <v>16500</v>
      </c>
      <c r="M239" s="36">
        <v>0</v>
      </c>
      <c r="N239" s="36">
        <f>DataTable[[#This Row],[Resource Cost]]+DataTable[[#This Row],[Other Cost]]</f>
        <v>16500</v>
      </c>
      <c r="O239" s="36">
        <v>16500</v>
      </c>
      <c r="P239" s="36">
        <v>16500</v>
      </c>
      <c r="Q239" s="36">
        <f>DataTable[[#This Row],[Pct Budget]]*totalBudget</f>
        <v>455000.00000000006</v>
      </c>
      <c r="R239" s="36" t="str">
        <f>IFERROR(VLOOKUP(DataTable[[#This Row],[Financial Category]],tblFinancialCat[],2,FALSE),"")</f>
        <v>OpEx</v>
      </c>
      <c r="S239" s="36">
        <f>IFERROR(DataTable[[#This Row],[Utilized]]/DataTable[[#This Row],[Total Cost]]*DataTable[[#This Row],[Resource Cost]],0)</f>
        <v>16500</v>
      </c>
      <c r="T239" s="36">
        <f>IFERROR(DataTable[[#This Row],[Utilized]]/DataTable[[#This Row],[Total Cost]]*DataTable[[#This Row],[Other Cost]],0)</f>
        <v>0</v>
      </c>
      <c r="U239" s="217">
        <v>42248</v>
      </c>
      <c r="V239" s="36" t="str">
        <f>TEXT(DataTable[[#This Row],[Month]],"MMM-YY")</f>
        <v>Sep-15</v>
      </c>
    </row>
    <row r="240" spans="1:22" x14ac:dyDescent="0.25">
      <c r="A240">
        <v>239</v>
      </c>
      <c r="B240" t="s">
        <v>0</v>
      </c>
      <c r="C240">
        <v>7.0000000000000007E-2</v>
      </c>
      <c r="D240" t="s">
        <v>188</v>
      </c>
      <c r="E240" t="s">
        <v>151</v>
      </c>
      <c r="F240" t="s">
        <v>65</v>
      </c>
      <c r="G240" t="s">
        <v>179</v>
      </c>
      <c r="H240" s="36">
        <v>12375</v>
      </c>
      <c r="I240" s="36">
        <v>4125</v>
      </c>
      <c r="J240" t="s">
        <v>172</v>
      </c>
      <c r="K240" t="s">
        <v>122</v>
      </c>
      <c r="L240">
        <v>16500</v>
      </c>
      <c r="M240" s="36">
        <v>0</v>
      </c>
      <c r="N240" s="36">
        <f>DataTable[[#This Row],[Resource Cost]]+DataTable[[#This Row],[Other Cost]]</f>
        <v>16500</v>
      </c>
      <c r="O240" s="36">
        <v>16500</v>
      </c>
      <c r="P240" s="36">
        <v>16500</v>
      </c>
      <c r="Q240" s="36">
        <f>DataTable[[#This Row],[Pct Budget]]*totalBudget</f>
        <v>455000.00000000006</v>
      </c>
      <c r="R240" s="36" t="str">
        <f>IFERROR(VLOOKUP(DataTable[[#This Row],[Financial Category]],tblFinancialCat[],2,FALSE),"")</f>
        <v>OpEx</v>
      </c>
      <c r="S240" s="36">
        <f>IFERROR(DataTable[[#This Row],[Utilized]]/DataTable[[#This Row],[Total Cost]]*DataTable[[#This Row],[Resource Cost]],0)</f>
        <v>16500</v>
      </c>
      <c r="T240" s="36">
        <f>IFERROR(DataTable[[#This Row],[Utilized]]/DataTable[[#This Row],[Total Cost]]*DataTable[[#This Row],[Other Cost]],0)</f>
        <v>0</v>
      </c>
      <c r="U240" s="217">
        <v>42248</v>
      </c>
      <c r="V240" s="36" t="str">
        <f>TEXT(DataTable[[#This Row],[Month]],"MMM-YY")</f>
        <v>Sep-15</v>
      </c>
    </row>
    <row r="241" spans="1:22" x14ac:dyDescent="0.25">
      <c r="A241">
        <v>240</v>
      </c>
      <c r="B241" t="s">
        <v>0</v>
      </c>
      <c r="C241">
        <v>7.0000000000000007E-2</v>
      </c>
      <c r="D241" t="s">
        <v>188</v>
      </c>
      <c r="E241" t="s">
        <v>179</v>
      </c>
      <c r="F241" t="s">
        <v>65</v>
      </c>
      <c r="G241" t="s">
        <v>179</v>
      </c>
      <c r="H241" s="36">
        <v>757.21153846153845</v>
      </c>
      <c r="I241" s="36">
        <v>252.40384615384616</v>
      </c>
      <c r="J241" t="s">
        <v>172</v>
      </c>
      <c r="K241" t="s">
        <v>121</v>
      </c>
      <c r="L241">
        <v>1009.6153846153846</v>
      </c>
      <c r="M241" s="36">
        <v>0</v>
      </c>
      <c r="N241" s="36">
        <f>DataTable[[#This Row],[Resource Cost]]+DataTable[[#This Row],[Other Cost]]</f>
        <v>1009.6153846153846</v>
      </c>
      <c r="O241" s="36">
        <v>1009.6153846153846</v>
      </c>
      <c r="P241" s="36">
        <v>1009.6153846153846</v>
      </c>
      <c r="Q241" s="36">
        <f>DataTable[[#This Row],[Pct Budget]]*totalBudget</f>
        <v>455000.00000000006</v>
      </c>
      <c r="R241" s="36" t="str">
        <f>IFERROR(VLOOKUP(DataTable[[#This Row],[Financial Category]],tblFinancialCat[],2,FALSE),"")</f>
        <v>OpEx</v>
      </c>
      <c r="S241" s="36">
        <f>IFERROR(DataTable[[#This Row],[Utilized]]/DataTable[[#This Row],[Total Cost]]*DataTable[[#This Row],[Resource Cost]],0)</f>
        <v>1009.6153846153846</v>
      </c>
      <c r="T241" s="36">
        <f>IFERROR(DataTable[[#This Row],[Utilized]]/DataTable[[#This Row],[Total Cost]]*DataTable[[#This Row],[Other Cost]],0)</f>
        <v>0</v>
      </c>
      <c r="U241" s="217">
        <v>42248</v>
      </c>
      <c r="V241" s="36" t="str">
        <f>TEXT(DataTable[[#This Row],[Month]],"MMM-YY")</f>
        <v>Sep-15</v>
      </c>
    </row>
    <row r="242" spans="1:22" x14ac:dyDescent="0.25">
      <c r="A242">
        <v>241</v>
      </c>
      <c r="B242" t="s">
        <v>0</v>
      </c>
      <c r="C242">
        <v>7.0000000000000007E-2</v>
      </c>
      <c r="D242" t="s">
        <v>188</v>
      </c>
      <c r="E242" t="s">
        <v>151</v>
      </c>
      <c r="F242" t="s">
        <v>65</v>
      </c>
      <c r="G242" t="s">
        <v>179</v>
      </c>
      <c r="H242" s="36">
        <v>757.21153846153845</v>
      </c>
      <c r="I242" s="36">
        <v>252.40384615384616</v>
      </c>
      <c r="J242" t="s">
        <v>172</v>
      </c>
      <c r="K242" t="s">
        <v>121</v>
      </c>
      <c r="L242">
        <v>1009.6153846153846</v>
      </c>
      <c r="M242" s="36">
        <v>0</v>
      </c>
      <c r="N242" s="36">
        <f>DataTable[[#This Row],[Resource Cost]]+DataTable[[#This Row],[Other Cost]]</f>
        <v>1009.6153846153846</v>
      </c>
      <c r="O242" s="36">
        <v>1009.6153846153846</v>
      </c>
      <c r="P242" s="36">
        <v>1009.6153846153846</v>
      </c>
      <c r="Q242" s="36">
        <f>DataTable[[#This Row],[Pct Budget]]*totalBudget</f>
        <v>455000.00000000006</v>
      </c>
      <c r="R242" s="36" t="str">
        <f>IFERROR(VLOOKUP(DataTable[[#This Row],[Financial Category]],tblFinancialCat[],2,FALSE),"")</f>
        <v>OpEx</v>
      </c>
      <c r="S242" s="36">
        <f>IFERROR(DataTable[[#This Row],[Utilized]]/DataTable[[#This Row],[Total Cost]]*DataTable[[#This Row],[Resource Cost]],0)</f>
        <v>1009.6153846153846</v>
      </c>
      <c r="T242" s="36">
        <f>IFERROR(DataTable[[#This Row],[Utilized]]/DataTable[[#This Row],[Total Cost]]*DataTable[[#This Row],[Other Cost]],0)</f>
        <v>0</v>
      </c>
      <c r="U242" s="217">
        <v>42248</v>
      </c>
      <c r="V242" s="36" t="str">
        <f>TEXT(DataTable[[#This Row],[Month]],"MMM-YY")</f>
        <v>Sep-15</v>
      </c>
    </row>
    <row r="243" spans="1:22" x14ac:dyDescent="0.25">
      <c r="A243">
        <v>242</v>
      </c>
      <c r="B243" t="s">
        <v>0</v>
      </c>
      <c r="C243">
        <v>7.0000000000000007E-2</v>
      </c>
      <c r="D243" t="s">
        <v>188</v>
      </c>
      <c r="E243" t="s">
        <v>179</v>
      </c>
      <c r="F243" t="s">
        <v>65</v>
      </c>
      <c r="G243" t="s">
        <v>179</v>
      </c>
      <c r="H243" s="36">
        <v>450.72115384615381</v>
      </c>
      <c r="I243" s="36">
        <v>150.24038461538461</v>
      </c>
      <c r="J243" t="s">
        <v>172</v>
      </c>
      <c r="K243" t="s">
        <v>14</v>
      </c>
      <c r="L243">
        <v>600.96153846153845</v>
      </c>
      <c r="M243" s="36">
        <v>0</v>
      </c>
      <c r="N243" s="36">
        <f>DataTable[[#This Row],[Resource Cost]]+DataTable[[#This Row],[Other Cost]]</f>
        <v>600.96153846153845</v>
      </c>
      <c r="O243" s="36">
        <v>600.96153846153845</v>
      </c>
      <c r="P243" s="36">
        <v>600.96153846153845</v>
      </c>
      <c r="Q243" s="36">
        <f>DataTable[[#This Row],[Pct Budget]]*totalBudget</f>
        <v>455000.00000000006</v>
      </c>
      <c r="R243" s="36" t="str">
        <f>IFERROR(VLOOKUP(DataTable[[#This Row],[Financial Category]],tblFinancialCat[],2,FALSE),"")</f>
        <v>OpEx</v>
      </c>
      <c r="S243" s="36">
        <f>IFERROR(DataTable[[#This Row],[Utilized]]/DataTable[[#This Row],[Total Cost]]*DataTable[[#This Row],[Resource Cost]],0)</f>
        <v>600.96153846153845</v>
      </c>
      <c r="T243" s="36">
        <f>IFERROR(DataTable[[#This Row],[Utilized]]/DataTable[[#This Row],[Total Cost]]*DataTable[[#This Row],[Other Cost]],0)</f>
        <v>0</v>
      </c>
      <c r="U243" s="217">
        <v>42248</v>
      </c>
      <c r="V243" s="36" t="str">
        <f>TEXT(DataTable[[#This Row],[Month]],"MMM-YY")</f>
        <v>Sep-15</v>
      </c>
    </row>
    <row r="244" spans="1:22" x14ac:dyDescent="0.25">
      <c r="A244">
        <v>243</v>
      </c>
      <c r="B244" t="s">
        <v>0</v>
      </c>
      <c r="C244">
        <v>7.0000000000000007E-2</v>
      </c>
      <c r="D244" t="s">
        <v>188</v>
      </c>
      <c r="E244" t="s">
        <v>151</v>
      </c>
      <c r="F244" t="s">
        <v>65</v>
      </c>
      <c r="G244" t="s">
        <v>179</v>
      </c>
      <c r="H244" s="36">
        <v>450.72115384615381</v>
      </c>
      <c r="I244" s="36">
        <v>150.24038461538461</v>
      </c>
      <c r="J244" t="s">
        <v>172</v>
      </c>
      <c r="K244" t="s">
        <v>14</v>
      </c>
      <c r="L244">
        <v>600.96153846153845</v>
      </c>
      <c r="M244" s="36">
        <v>0</v>
      </c>
      <c r="N244" s="36">
        <f>DataTable[[#This Row],[Resource Cost]]+DataTable[[#This Row],[Other Cost]]</f>
        <v>600.96153846153845</v>
      </c>
      <c r="O244" s="36">
        <v>600.96153846153845</v>
      </c>
      <c r="P244" s="36">
        <v>600.96153846153845</v>
      </c>
      <c r="Q244" s="36">
        <f>DataTable[[#This Row],[Pct Budget]]*totalBudget</f>
        <v>455000.00000000006</v>
      </c>
      <c r="R244" s="36" t="str">
        <f>IFERROR(VLOOKUP(DataTable[[#This Row],[Financial Category]],tblFinancialCat[],2,FALSE),"")</f>
        <v>OpEx</v>
      </c>
      <c r="S244" s="36">
        <f>IFERROR(DataTable[[#This Row],[Utilized]]/DataTable[[#This Row],[Total Cost]]*DataTable[[#This Row],[Resource Cost]],0)</f>
        <v>600.96153846153845</v>
      </c>
      <c r="T244" s="36">
        <f>IFERROR(DataTable[[#This Row],[Utilized]]/DataTable[[#This Row],[Total Cost]]*DataTable[[#This Row],[Other Cost]],0)</f>
        <v>0</v>
      </c>
      <c r="U244" s="217">
        <v>42248</v>
      </c>
      <c r="V244" s="36" t="str">
        <f>TEXT(DataTable[[#This Row],[Month]],"MMM-YY")</f>
        <v>Sep-15</v>
      </c>
    </row>
    <row r="245" spans="1:22" x14ac:dyDescent="0.25">
      <c r="A245">
        <v>244</v>
      </c>
      <c r="B245" t="s">
        <v>0</v>
      </c>
      <c r="C245">
        <v>7.0000000000000007E-2</v>
      </c>
      <c r="D245" t="s">
        <v>189</v>
      </c>
      <c r="E245" t="s">
        <v>207</v>
      </c>
      <c r="F245" t="s">
        <v>62</v>
      </c>
      <c r="G245" t="s">
        <v>222</v>
      </c>
      <c r="H245" s="36">
        <v>1201.9230769230769</v>
      </c>
      <c r="I245" s="36">
        <v>0</v>
      </c>
      <c r="J245" t="s">
        <v>172</v>
      </c>
      <c r="K245" t="s">
        <v>14</v>
      </c>
      <c r="L245">
        <v>1201.9230769230769</v>
      </c>
      <c r="M245" s="36">
        <v>0</v>
      </c>
      <c r="N245" s="36">
        <f>DataTable[[#This Row],[Resource Cost]]+DataTable[[#This Row],[Other Cost]]</f>
        <v>1201.9230769230769</v>
      </c>
      <c r="O245" s="36">
        <v>120.19230769230769</v>
      </c>
      <c r="P245" s="36">
        <v>1201.9230769230769</v>
      </c>
      <c r="Q245" s="36">
        <f>DataTable[[#This Row],[Pct Budget]]*totalBudget</f>
        <v>455000.00000000006</v>
      </c>
      <c r="R245" s="36" t="str">
        <f>IFERROR(VLOOKUP(DataTable[[#This Row],[Financial Category]],tblFinancialCat[],2,FALSE),"")</f>
        <v>OpEx</v>
      </c>
      <c r="S245" s="36">
        <f>IFERROR(DataTable[[#This Row],[Utilized]]/DataTable[[#This Row],[Total Cost]]*DataTable[[#This Row],[Resource Cost]],0)</f>
        <v>120.19230769230769</v>
      </c>
      <c r="T245" s="36">
        <f>IFERROR(DataTable[[#This Row],[Utilized]]/DataTable[[#This Row],[Total Cost]]*DataTable[[#This Row],[Other Cost]],0)</f>
        <v>0</v>
      </c>
      <c r="U245" s="217">
        <v>42278</v>
      </c>
      <c r="V245" s="36" t="str">
        <f>TEXT(DataTable[[#This Row],[Month]],"MMM-YY")</f>
        <v>Oct-15</v>
      </c>
    </row>
    <row r="246" spans="1:22" x14ac:dyDescent="0.25">
      <c r="A246">
        <v>245</v>
      </c>
      <c r="B246" t="s">
        <v>0</v>
      </c>
      <c r="C246">
        <v>7.0000000000000007E-2</v>
      </c>
      <c r="D246" t="s">
        <v>189</v>
      </c>
      <c r="E246" t="s">
        <v>206</v>
      </c>
      <c r="F246" t="s">
        <v>62</v>
      </c>
      <c r="G246" t="s">
        <v>222</v>
      </c>
      <c r="H246" s="36">
        <v>1201.9230769230769</v>
      </c>
      <c r="I246" s="36">
        <v>0</v>
      </c>
      <c r="J246" t="s">
        <v>172</v>
      </c>
      <c r="K246" t="s">
        <v>14</v>
      </c>
      <c r="L246">
        <v>1201.9230769230769</v>
      </c>
      <c r="M246" s="36">
        <v>0</v>
      </c>
      <c r="N246" s="36">
        <f>DataTable[[#This Row],[Resource Cost]]+DataTable[[#This Row],[Other Cost]]</f>
        <v>1201.9230769230769</v>
      </c>
      <c r="O246" s="36">
        <v>120.19230769230769</v>
      </c>
      <c r="P246" s="36">
        <v>1201.9230769230769</v>
      </c>
      <c r="Q246" s="36">
        <f>DataTable[[#This Row],[Pct Budget]]*totalBudget</f>
        <v>455000.00000000006</v>
      </c>
      <c r="R246" s="36" t="str">
        <f>IFERROR(VLOOKUP(DataTable[[#This Row],[Financial Category]],tblFinancialCat[],2,FALSE),"")</f>
        <v>OpEx</v>
      </c>
      <c r="S246" s="36">
        <f>IFERROR(DataTable[[#This Row],[Utilized]]/DataTable[[#This Row],[Total Cost]]*DataTable[[#This Row],[Resource Cost]],0)</f>
        <v>120.19230769230769</v>
      </c>
      <c r="T246" s="36">
        <f>IFERROR(DataTable[[#This Row],[Utilized]]/DataTable[[#This Row],[Total Cost]]*DataTable[[#This Row],[Other Cost]],0)</f>
        <v>0</v>
      </c>
      <c r="U246" s="217">
        <v>42278</v>
      </c>
      <c r="V246" s="36" t="str">
        <f>TEXT(DataTable[[#This Row],[Month]],"MMM-YY")</f>
        <v>Oct-15</v>
      </c>
    </row>
    <row r="247" spans="1:22" x14ac:dyDescent="0.25">
      <c r="A247">
        <v>246</v>
      </c>
      <c r="B247" t="s">
        <v>0</v>
      </c>
      <c r="C247">
        <v>7.0000000000000007E-2</v>
      </c>
      <c r="D247" t="s">
        <v>189</v>
      </c>
      <c r="E247" t="s">
        <v>207</v>
      </c>
      <c r="F247" t="s">
        <v>62</v>
      </c>
      <c r="G247" t="s">
        <v>222</v>
      </c>
      <c r="H247" s="36">
        <v>6009.6153846153848</v>
      </c>
      <c r="I247" s="36">
        <v>0</v>
      </c>
      <c r="J247" t="s">
        <v>172</v>
      </c>
      <c r="K247" t="s">
        <v>133</v>
      </c>
      <c r="L247">
        <v>6009.6153846153848</v>
      </c>
      <c r="M247" s="36">
        <v>0</v>
      </c>
      <c r="N247" s="36">
        <f>DataTable[[#This Row],[Resource Cost]]+DataTable[[#This Row],[Other Cost]]</f>
        <v>6009.6153846153848</v>
      </c>
      <c r="O247" s="36">
        <v>600.96153846153845</v>
      </c>
      <c r="P247" s="36">
        <v>6009.6153846153848</v>
      </c>
      <c r="Q247" s="36">
        <f>DataTable[[#This Row],[Pct Budget]]*totalBudget</f>
        <v>455000.00000000006</v>
      </c>
      <c r="R247" s="36" t="str">
        <f>IFERROR(VLOOKUP(DataTable[[#This Row],[Financial Category]],tblFinancialCat[],2,FALSE),"")</f>
        <v>OpEx</v>
      </c>
      <c r="S247" s="36">
        <f>IFERROR(DataTable[[#This Row],[Utilized]]/DataTable[[#This Row],[Total Cost]]*DataTable[[#This Row],[Resource Cost]],0)</f>
        <v>600.96153846153845</v>
      </c>
      <c r="T247" s="36">
        <f>IFERROR(DataTable[[#This Row],[Utilized]]/DataTable[[#This Row],[Total Cost]]*DataTable[[#This Row],[Other Cost]],0)</f>
        <v>0</v>
      </c>
      <c r="U247" s="217">
        <v>42278</v>
      </c>
      <c r="V247" s="36" t="str">
        <f>TEXT(DataTable[[#This Row],[Month]],"MMM-YY")</f>
        <v>Oct-15</v>
      </c>
    </row>
    <row r="248" spans="1:22" x14ac:dyDescent="0.25">
      <c r="A248">
        <v>247</v>
      </c>
      <c r="B248" t="s">
        <v>0</v>
      </c>
      <c r="C248">
        <v>7.0000000000000007E-2</v>
      </c>
      <c r="D248" t="s">
        <v>189</v>
      </c>
      <c r="E248" t="s">
        <v>206</v>
      </c>
      <c r="F248" t="s">
        <v>62</v>
      </c>
      <c r="G248" t="s">
        <v>222</v>
      </c>
      <c r="H248" s="36">
        <v>6009.6153846153848</v>
      </c>
      <c r="I248" s="36">
        <v>0</v>
      </c>
      <c r="J248" t="s">
        <v>172</v>
      </c>
      <c r="K248" t="s">
        <v>133</v>
      </c>
      <c r="L248">
        <v>6009.6153846153848</v>
      </c>
      <c r="M248" s="36">
        <v>0</v>
      </c>
      <c r="N248" s="36">
        <f>DataTable[[#This Row],[Resource Cost]]+DataTable[[#This Row],[Other Cost]]</f>
        <v>6009.6153846153848</v>
      </c>
      <c r="O248" s="36">
        <v>600.96153846153845</v>
      </c>
      <c r="P248" s="36">
        <v>6009.6153846153848</v>
      </c>
      <c r="Q248" s="36">
        <f>DataTable[[#This Row],[Pct Budget]]*totalBudget</f>
        <v>455000.00000000006</v>
      </c>
      <c r="R248" s="36" t="str">
        <f>IFERROR(VLOOKUP(DataTable[[#This Row],[Financial Category]],tblFinancialCat[],2,FALSE),"")</f>
        <v>OpEx</v>
      </c>
      <c r="S248" s="36">
        <f>IFERROR(DataTable[[#This Row],[Utilized]]/DataTable[[#This Row],[Total Cost]]*DataTable[[#This Row],[Resource Cost]],0)</f>
        <v>600.96153846153845</v>
      </c>
      <c r="T248" s="36">
        <f>IFERROR(DataTable[[#This Row],[Utilized]]/DataTable[[#This Row],[Total Cost]]*DataTable[[#This Row],[Other Cost]],0)</f>
        <v>0</v>
      </c>
      <c r="U248" s="217">
        <v>42278</v>
      </c>
      <c r="V248" s="36" t="str">
        <f>TEXT(DataTable[[#This Row],[Month]],"MMM-YY")</f>
        <v>Oct-15</v>
      </c>
    </row>
    <row r="249" spans="1:22" x14ac:dyDescent="0.25">
      <c r="A249">
        <v>248</v>
      </c>
      <c r="B249" t="s">
        <v>0</v>
      </c>
      <c r="C249">
        <v>7.0000000000000007E-2</v>
      </c>
      <c r="D249" t="s">
        <v>120</v>
      </c>
      <c r="E249" t="s">
        <v>151</v>
      </c>
      <c r="F249" t="s">
        <v>63</v>
      </c>
      <c r="G249" t="s">
        <v>222</v>
      </c>
      <c r="H249" s="36">
        <v>8413.461538461539</v>
      </c>
      <c r="I249" s="36">
        <v>0</v>
      </c>
      <c r="J249" t="s">
        <v>172</v>
      </c>
      <c r="K249" t="s">
        <v>121</v>
      </c>
      <c r="L249">
        <v>8413.461538461539</v>
      </c>
      <c r="M249" s="36">
        <v>0</v>
      </c>
      <c r="N249" s="36">
        <f>DataTable[[#This Row],[Resource Cost]]+DataTable[[#This Row],[Other Cost]]</f>
        <v>8413.461538461539</v>
      </c>
      <c r="O249" s="36">
        <v>4206.7307692307695</v>
      </c>
      <c r="P249" s="36">
        <v>8413.461538461539</v>
      </c>
      <c r="Q249" s="36">
        <f>DataTable[[#This Row],[Pct Budget]]*totalBudget</f>
        <v>455000.00000000006</v>
      </c>
      <c r="R249" s="36" t="str">
        <f>IFERROR(VLOOKUP(DataTable[[#This Row],[Financial Category]],tblFinancialCat[],2,FALSE),"")</f>
        <v>OpEx</v>
      </c>
      <c r="S249" s="36">
        <f>IFERROR(DataTable[[#This Row],[Utilized]]/DataTable[[#This Row],[Total Cost]]*DataTable[[#This Row],[Resource Cost]],0)</f>
        <v>4206.7307692307695</v>
      </c>
      <c r="T249" s="36">
        <f>IFERROR(DataTable[[#This Row],[Utilized]]/DataTable[[#This Row],[Total Cost]]*DataTable[[#This Row],[Other Cost]],0)</f>
        <v>0</v>
      </c>
      <c r="U249" s="217">
        <v>42309</v>
      </c>
      <c r="V249" s="36" t="str">
        <f>TEXT(DataTable[[#This Row],[Month]],"MMM-YY")</f>
        <v>Nov-15</v>
      </c>
    </row>
    <row r="250" spans="1:22" x14ac:dyDescent="0.25">
      <c r="A250">
        <v>249</v>
      </c>
      <c r="B250" t="s">
        <v>0</v>
      </c>
      <c r="C250">
        <v>7.0000000000000007E-2</v>
      </c>
      <c r="D250" t="s">
        <v>120</v>
      </c>
      <c r="E250" t="s">
        <v>206</v>
      </c>
      <c r="F250" t="s">
        <v>63</v>
      </c>
      <c r="G250" t="s">
        <v>222</v>
      </c>
      <c r="H250" s="36">
        <v>8413.461538461539</v>
      </c>
      <c r="I250" s="36">
        <v>0</v>
      </c>
      <c r="J250" t="s">
        <v>172</v>
      </c>
      <c r="K250" t="s">
        <v>121</v>
      </c>
      <c r="L250">
        <v>8413.461538461539</v>
      </c>
      <c r="M250" s="36">
        <v>0</v>
      </c>
      <c r="N250" s="36">
        <f>DataTable[[#This Row],[Resource Cost]]+DataTable[[#This Row],[Other Cost]]</f>
        <v>8413.461538461539</v>
      </c>
      <c r="O250" s="36">
        <v>4206.7307692307695</v>
      </c>
      <c r="P250" s="36">
        <v>8413.461538461539</v>
      </c>
      <c r="Q250" s="36">
        <f>DataTable[[#This Row],[Pct Budget]]*totalBudget</f>
        <v>455000.00000000006</v>
      </c>
      <c r="R250" s="36" t="str">
        <f>IFERROR(VLOOKUP(DataTable[[#This Row],[Financial Category]],tblFinancialCat[],2,FALSE),"")</f>
        <v>OpEx</v>
      </c>
      <c r="S250" s="36">
        <f>IFERROR(DataTable[[#This Row],[Utilized]]/DataTable[[#This Row],[Total Cost]]*DataTable[[#This Row],[Resource Cost]],0)</f>
        <v>4206.7307692307695</v>
      </c>
      <c r="T250" s="36">
        <f>IFERROR(DataTable[[#This Row],[Utilized]]/DataTable[[#This Row],[Total Cost]]*DataTable[[#This Row],[Other Cost]],0)</f>
        <v>0</v>
      </c>
      <c r="U250" s="217">
        <v>42309</v>
      </c>
      <c r="V250" s="36" t="str">
        <f>TEXT(DataTable[[#This Row],[Month]],"MMM-YY")</f>
        <v>Nov-15</v>
      </c>
    </row>
    <row r="251" spans="1:22" x14ac:dyDescent="0.25">
      <c r="A251">
        <v>250</v>
      </c>
      <c r="B251" t="s">
        <v>0</v>
      </c>
      <c r="C251">
        <v>7.0000000000000007E-2</v>
      </c>
      <c r="D251" t="s">
        <v>120</v>
      </c>
      <c r="E251" t="s">
        <v>208</v>
      </c>
      <c r="F251" t="s">
        <v>63</v>
      </c>
      <c r="G251" t="s">
        <v>222</v>
      </c>
      <c r="H251" s="36">
        <v>8413.461538461539</v>
      </c>
      <c r="I251" s="36">
        <v>0</v>
      </c>
      <c r="J251" t="s">
        <v>172</v>
      </c>
      <c r="K251" t="s">
        <v>121</v>
      </c>
      <c r="L251">
        <v>8413.461538461539</v>
      </c>
      <c r="M251" s="36">
        <v>0</v>
      </c>
      <c r="N251" s="36">
        <f>DataTable[[#This Row],[Resource Cost]]+DataTable[[#This Row],[Other Cost]]</f>
        <v>8413.461538461539</v>
      </c>
      <c r="O251" s="36">
        <v>4206.7307692307695</v>
      </c>
      <c r="P251" s="36">
        <v>8413.461538461539</v>
      </c>
      <c r="Q251" s="36">
        <f>DataTable[[#This Row],[Pct Budget]]*totalBudget</f>
        <v>455000.00000000006</v>
      </c>
      <c r="R251" s="36" t="str">
        <f>IFERROR(VLOOKUP(DataTable[[#This Row],[Financial Category]],tblFinancialCat[],2,FALSE),"")</f>
        <v>OpEx</v>
      </c>
      <c r="S251" s="36">
        <f>IFERROR(DataTable[[#This Row],[Utilized]]/DataTable[[#This Row],[Total Cost]]*DataTable[[#This Row],[Resource Cost]],0)</f>
        <v>4206.7307692307695</v>
      </c>
      <c r="T251" s="36">
        <f>IFERROR(DataTable[[#This Row],[Utilized]]/DataTable[[#This Row],[Total Cost]]*DataTable[[#This Row],[Other Cost]],0)</f>
        <v>0</v>
      </c>
      <c r="U251" s="217">
        <v>42309</v>
      </c>
      <c r="V251" s="36" t="str">
        <f>TEXT(DataTable[[#This Row],[Month]],"MMM-YY")</f>
        <v>Nov-15</v>
      </c>
    </row>
    <row r="252" spans="1:22" x14ac:dyDescent="0.25">
      <c r="A252">
        <v>251</v>
      </c>
      <c r="B252" t="s">
        <v>0</v>
      </c>
      <c r="C252">
        <v>7.0000000000000007E-2</v>
      </c>
      <c r="D252" t="s">
        <v>180</v>
      </c>
      <c r="E252" t="s">
        <v>206</v>
      </c>
      <c r="F252" t="s">
        <v>64</v>
      </c>
      <c r="G252" t="s">
        <v>179</v>
      </c>
      <c r="H252" s="36">
        <v>4507.2115384615381</v>
      </c>
      <c r="I252" s="36">
        <v>4507.2115384615381</v>
      </c>
      <c r="J252" t="s">
        <v>172</v>
      </c>
      <c r="K252" t="s">
        <v>133</v>
      </c>
      <c r="L252">
        <v>9014.4230769230762</v>
      </c>
      <c r="M252" s="36">
        <v>0</v>
      </c>
      <c r="N252" s="36">
        <f>DataTable[[#This Row],[Resource Cost]]+DataTable[[#This Row],[Other Cost]]</f>
        <v>9014.4230769230762</v>
      </c>
      <c r="O252" s="36">
        <v>0</v>
      </c>
      <c r="P252" s="36">
        <v>9014.4230769230762</v>
      </c>
      <c r="Q252" s="36">
        <f>DataTable[[#This Row],[Pct Budget]]*totalBudget</f>
        <v>455000.00000000006</v>
      </c>
      <c r="R252" s="36" t="str">
        <f>IFERROR(VLOOKUP(DataTable[[#This Row],[Financial Category]],tblFinancialCat[],2,FALSE),"")</f>
        <v>OpEx</v>
      </c>
      <c r="S252" s="36">
        <f>IFERROR(DataTable[[#This Row],[Utilized]]/DataTable[[#This Row],[Total Cost]]*DataTable[[#This Row],[Resource Cost]],0)</f>
        <v>0</v>
      </c>
      <c r="T252" s="36">
        <f>IFERROR(DataTable[[#This Row],[Utilized]]/DataTable[[#This Row],[Total Cost]]*DataTable[[#This Row],[Other Cost]],0)</f>
        <v>0</v>
      </c>
      <c r="U252" s="217">
        <v>1</v>
      </c>
      <c r="V252" s="36" t="str">
        <f>TEXT(DataTable[[#This Row],[Month]],"MMM-YY")</f>
        <v>Jan-00</v>
      </c>
    </row>
    <row r="253" spans="1:22" x14ac:dyDescent="0.25">
      <c r="A253">
        <v>252</v>
      </c>
      <c r="B253" t="s">
        <v>0</v>
      </c>
      <c r="C253">
        <v>7.0000000000000007E-2</v>
      </c>
      <c r="D253" t="s">
        <v>180</v>
      </c>
      <c r="E253" t="s">
        <v>179</v>
      </c>
      <c r="F253" t="s">
        <v>64</v>
      </c>
      <c r="G253" t="s">
        <v>179</v>
      </c>
      <c r="H253" s="36">
        <v>4507.2115384615381</v>
      </c>
      <c r="I253" s="36">
        <v>4507.2115384615381</v>
      </c>
      <c r="J253" t="s">
        <v>172</v>
      </c>
      <c r="K253" t="s">
        <v>133</v>
      </c>
      <c r="L253">
        <v>9014.4230769230762</v>
      </c>
      <c r="M253" s="36">
        <v>0</v>
      </c>
      <c r="N253" s="36">
        <f>DataTable[[#This Row],[Resource Cost]]+DataTable[[#This Row],[Other Cost]]</f>
        <v>9014.4230769230762</v>
      </c>
      <c r="O253" s="36">
        <v>0</v>
      </c>
      <c r="P253" s="36">
        <v>9014.4230769230762</v>
      </c>
      <c r="Q253" s="36">
        <f>DataTable[[#This Row],[Pct Budget]]*totalBudget</f>
        <v>455000.00000000006</v>
      </c>
      <c r="R253" s="36" t="str">
        <f>IFERROR(VLOOKUP(DataTable[[#This Row],[Financial Category]],tblFinancialCat[],2,FALSE),"")</f>
        <v>OpEx</v>
      </c>
      <c r="S253" s="36">
        <f>IFERROR(DataTable[[#This Row],[Utilized]]/DataTable[[#This Row],[Total Cost]]*DataTable[[#This Row],[Resource Cost]],0)</f>
        <v>0</v>
      </c>
      <c r="T253" s="36">
        <f>IFERROR(DataTable[[#This Row],[Utilized]]/DataTable[[#This Row],[Total Cost]]*DataTable[[#This Row],[Other Cost]],0)</f>
        <v>0</v>
      </c>
      <c r="U253" s="217">
        <v>1</v>
      </c>
      <c r="V253" s="36" t="str">
        <f>TEXT(DataTable[[#This Row],[Month]],"MMM-YY")</f>
        <v>Jan-00</v>
      </c>
    </row>
    <row r="254" spans="1:22" x14ac:dyDescent="0.25">
      <c r="A254">
        <v>253</v>
      </c>
      <c r="B254" t="s">
        <v>29</v>
      </c>
      <c r="C254">
        <v>0.02</v>
      </c>
      <c r="D254" t="s">
        <v>203</v>
      </c>
      <c r="E254" t="s">
        <v>178</v>
      </c>
      <c r="F254" t="s">
        <v>64</v>
      </c>
      <c r="G254" t="s">
        <v>222</v>
      </c>
      <c r="H254" s="36">
        <v>42500</v>
      </c>
      <c r="I254" s="36">
        <v>0</v>
      </c>
      <c r="J254" t="s">
        <v>172</v>
      </c>
      <c r="K254" t="s">
        <v>123</v>
      </c>
      <c r="L254">
        <v>42500</v>
      </c>
      <c r="M254" s="36">
        <v>0</v>
      </c>
      <c r="N254" s="36">
        <f>DataTable[[#This Row],[Resource Cost]]+DataTable[[#This Row],[Other Cost]]</f>
        <v>42500</v>
      </c>
      <c r="O254" s="36">
        <v>42500</v>
      </c>
      <c r="P254" s="36">
        <v>42500</v>
      </c>
      <c r="Q254" s="36">
        <f>DataTable[[#This Row],[Pct Budget]]*totalBudget</f>
        <v>130000</v>
      </c>
      <c r="R254" s="36" t="str">
        <f>IFERROR(VLOOKUP(DataTable[[#This Row],[Financial Category]],tblFinancialCat[],2,FALSE),"")</f>
        <v>OpEx</v>
      </c>
      <c r="S254" s="36">
        <f>IFERROR(DataTable[[#This Row],[Utilized]]/DataTable[[#This Row],[Total Cost]]*DataTable[[#This Row],[Resource Cost]],0)</f>
        <v>42500</v>
      </c>
      <c r="T254" s="36">
        <f>IFERROR(DataTable[[#This Row],[Utilized]]/DataTable[[#This Row],[Total Cost]]*DataTable[[#This Row],[Other Cost]],0)</f>
        <v>0</v>
      </c>
      <c r="U254" s="217">
        <v>42339</v>
      </c>
      <c r="V254" s="36" t="str">
        <f>TEXT(DataTable[[#This Row],[Month]],"MMM-YY")</f>
        <v>Dec-15</v>
      </c>
    </row>
    <row r="255" spans="1:22" x14ac:dyDescent="0.25">
      <c r="A255">
        <v>254</v>
      </c>
      <c r="B255" t="s">
        <v>29</v>
      </c>
      <c r="C255">
        <v>0.02</v>
      </c>
      <c r="D255" t="s">
        <v>203</v>
      </c>
      <c r="E255" t="s">
        <v>204</v>
      </c>
      <c r="F255" t="s">
        <v>64</v>
      </c>
      <c r="G255" t="s">
        <v>222</v>
      </c>
      <c r="H255" s="36">
        <v>42500</v>
      </c>
      <c r="I255" s="36">
        <v>0</v>
      </c>
      <c r="J255" t="s">
        <v>172</v>
      </c>
      <c r="K255" t="s">
        <v>123</v>
      </c>
      <c r="L255">
        <v>42500</v>
      </c>
      <c r="M255" s="36">
        <v>0</v>
      </c>
      <c r="N255" s="36">
        <f>DataTable[[#This Row],[Resource Cost]]+DataTable[[#This Row],[Other Cost]]</f>
        <v>42500</v>
      </c>
      <c r="O255" s="36">
        <v>42500</v>
      </c>
      <c r="P255" s="36">
        <v>42500</v>
      </c>
      <c r="Q255" s="36">
        <f>DataTable[[#This Row],[Pct Budget]]*totalBudget</f>
        <v>130000</v>
      </c>
      <c r="R255" s="36" t="str">
        <f>IFERROR(VLOOKUP(DataTable[[#This Row],[Financial Category]],tblFinancialCat[],2,FALSE),"")</f>
        <v>OpEx</v>
      </c>
      <c r="S255" s="36">
        <f>IFERROR(DataTable[[#This Row],[Utilized]]/DataTable[[#This Row],[Total Cost]]*DataTable[[#This Row],[Resource Cost]],0)</f>
        <v>42500</v>
      </c>
      <c r="T255" s="36">
        <f>IFERROR(DataTable[[#This Row],[Utilized]]/DataTable[[#This Row],[Total Cost]]*DataTable[[#This Row],[Other Cost]],0)</f>
        <v>0</v>
      </c>
      <c r="U255" s="217">
        <v>42339</v>
      </c>
      <c r="V255" s="36" t="str">
        <f>TEXT(DataTable[[#This Row],[Month]],"MMM-YY")</f>
        <v>Dec-15</v>
      </c>
    </row>
    <row r="256" spans="1:22" x14ac:dyDescent="0.25">
      <c r="A256">
        <v>255</v>
      </c>
      <c r="B256" t="s">
        <v>29</v>
      </c>
      <c r="C256">
        <v>0.02</v>
      </c>
      <c r="D256" t="s">
        <v>203</v>
      </c>
      <c r="E256" t="s">
        <v>178</v>
      </c>
      <c r="F256" t="s">
        <v>64</v>
      </c>
      <c r="G256" t="s">
        <v>222</v>
      </c>
      <c r="H256" s="36">
        <v>19230.76923076923</v>
      </c>
      <c r="I256" s="36">
        <v>0</v>
      </c>
      <c r="J256" t="s">
        <v>172</v>
      </c>
      <c r="K256" t="s">
        <v>44</v>
      </c>
      <c r="L256">
        <v>19230.76923076923</v>
      </c>
      <c r="M256" s="36">
        <v>0</v>
      </c>
      <c r="N256" s="36">
        <f>DataTable[[#This Row],[Resource Cost]]+DataTable[[#This Row],[Other Cost]]</f>
        <v>19230.76923076923</v>
      </c>
      <c r="O256" s="36">
        <v>19230.76923076923</v>
      </c>
      <c r="P256" s="36">
        <v>19230.76923076923</v>
      </c>
      <c r="Q256" s="36">
        <f>DataTable[[#This Row],[Pct Budget]]*totalBudget</f>
        <v>130000</v>
      </c>
      <c r="R256" s="36" t="str">
        <f>IFERROR(VLOOKUP(DataTable[[#This Row],[Financial Category]],tblFinancialCat[],2,FALSE),"")</f>
        <v>OpEx</v>
      </c>
      <c r="S256" s="36">
        <f>IFERROR(DataTable[[#This Row],[Utilized]]/DataTable[[#This Row],[Total Cost]]*DataTable[[#This Row],[Resource Cost]],0)</f>
        <v>19230.76923076923</v>
      </c>
      <c r="T256" s="36">
        <f>IFERROR(DataTable[[#This Row],[Utilized]]/DataTable[[#This Row],[Total Cost]]*DataTable[[#This Row],[Other Cost]],0)</f>
        <v>0</v>
      </c>
      <c r="U256" s="217">
        <v>42339</v>
      </c>
      <c r="V256" s="36" t="str">
        <f>TEXT(DataTable[[#This Row],[Month]],"MMM-YY")</f>
        <v>Dec-15</v>
      </c>
    </row>
    <row r="257" spans="1:22" x14ac:dyDescent="0.25">
      <c r="A257">
        <v>256</v>
      </c>
      <c r="B257" t="s">
        <v>29</v>
      </c>
      <c r="C257">
        <v>0.02</v>
      </c>
      <c r="D257" t="s">
        <v>203</v>
      </c>
      <c r="E257" t="s">
        <v>204</v>
      </c>
      <c r="F257" t="s">
        <v>64</v>
      </c>
      <c r="G257" t="s">
        <v>222</v>
      </c>
      <c r="H257" s="36">
        <v>19230.76923076923</v>
      </c>
      <c r="I257" s="36">
        <v>0</v>
      </c>
      <c r="J257" t="s">
        <v>172</v>
      </c>
      <c r="K257" t="s">
        <v>44</v>
      </c>
      <c r="L257">
        <v>19230.76923076923</v>
      </c>
      <c r="M257" s="36">
        <v>0</v>
      </c>
      <c r="N257" s="36">
        <f>DataTable[[#This Row],[Resource Cost]]+DataTable[[#This Row],[Other Cost]]</f>
        <v>19230.76923076923</v>
      </c>
      <c r="O257" s="36">
        <v>19230.76923076923</v>
      </c>
      <c r="P257" s="36">
        <v>19230.76923076923</v>
      </c>
      <c r="Q257" s="36">
        <f>DataTable[[#This Row],[Pct Budget]]*totalBudget</f>
        <v>130000</v>
      </c>
      <c r="R257" s="36" t="str">
        <f>IFERROR(VLOOKUP(DataTable[[#This Row],[Financial Category]],tblFinancialCat[],2,FALSE),"")</f>
        <v>OpEx</v>
      </c>
      <c r="S257" s="36">
        <f>IFERROR(DataTable[[#This Row],[Utilized]]/DataTable[[#This Row],[Total Cost]]*DataTable[[#This Row],[Resource Cost]],0)</f>
        <v>19230.76923076923</v>
      </c>
      <c r="T257" s="36">
        <f>IFERROR(DataTable[[#This Row],[Utilized]]/DataTable[[#This Row],[Total Cost]]*DataTable[[#This Row],[Other Cost]],0)</f>
        <v>0</v>
      </c>
      <c r="U257" s="217">
        <v>42339</v>
      </c>
      <c r="V257" s="36" t="str">
        <f>TEXT(DataTable[[#This Row],[Month]],"MMM-YY")</f>
        <v>Dec-15</v>
      </c>
    </row>
    <row r="258" spans="1:22" x14ac:dyDescent="0.25">
      <c r="A258">
        <v>257</v>
      </c>
      <c r="B258" t="s">
        <v>29</v>
      </c>
      <c r="C258">
        <v>0.02</v>
      </c>
      <c r="D258" t="s">
        <v>181</v>
      </c>
      <c r="E258" t="s">
        <v>200</v>
      </c>
      <c r="F258" t="s">
        <v>63</v>
      </c>
      <c r="G258" t="s">
        <v>222</v>
      </c>
      <c r="H258" s="36">
        <v>300.48076923076923</v>
      </c>
      <c r="I258" s="36">
        <v>0</v>
      </c>
      <c r="J258" t="s">
        <v>172</v>
      </c>
      <c r="K258" t="s">
        <v>14</v>
      </c>
      <c r="L258">
        <v>300.48076923076923</v>
      </c>
      <c r="M258" s="36">
        <v>0</v>
      </c>
      <c r="N258" s="36">
        <f>DataTable[[#This Row],[Resource Cost]]+DataTable[[#This Row],[Other Cost]]</f>
        <v>300.48076923076923</v>
      </c>
      <c r="O258" s="36">
        <v>300.48076923076923</v>
      </c>
      <c r="P258" s="36">
        <v>300.48076923076923</v>
      </c>
      <c r="Q258" s="36">
        <f>DataTable[[#This Row],[Pct Budget]]*totalBudget</f>
        <v>130000</v>
      </c>
      <c r="R258" s="36" t="str">
        <f>IFERROR(VLOOKUP(DataTable[[#This Row],[Financial Category]],tblFinancialCat[],2,FALSE),"")</f>
        <v>OpEx</v>
      </c>
      <c r="S258" s="36">
        <f>IFERROR(DataTable[[#This Row],[Utilized]]/DataTable[[#This Row],[Total Cost]]*DataTable[[#This Row],[Resource Cost]],0)</f>
        <v>300.48076923076923</v>
      </c>
      <c r="T258" s="36">
        <f>IFERROR(DataTable[[#This Row],[Utilized]]/DataTable[[#This Row],[Total Cost]]*DataTable[[#This Row],[Other Cost]],0)</f>
        <v>0</v>
      </c>
      <c r="U258" s="217">
        <v>42309</v>
      </c>
      <c r="V258" s="36" t="str">
        <f>TEXT(DataTable[[#This Row],[Month]],"MMM-YY")</f>
        <v>Nov-15</v>
      </c>
    </row>
    <row r="259" spans="1:22" x14ac:dyDescent="0.25">
      <c r="A259">
        <v>258</v>
      </c>
      <c r="B259" t="s">
        <v>29</v>
      </c>
      <c r="C259">
        <v>0.02</v>
      </c>
      <c r="D259" t="s">
        <v>181</v>
      </c>
      <c r="E259" t="s">
        <v>204</v>
      </c>
      <c r="F259" t="s">
        <v>63</v>
      </c>
      <c r="G259" t="s">
        <v>222</v>
      </c>
      <c r="H259" s="36">
        <v>300.48076923076923</v>
      </c>
      <c r="I259" s="36">
        <v>0</v>
      </c>
      <c r="J259" t="s">
        <v>172</v>
      </c>
      <c r="K259" t="s">
        <v>14</v>
      </c>
      <c r="L259">
        <v>300.48076923076923</v>
      </c>
      <c r="M259" s="36">
        <v>0</v>
      </c>
      <c r="N259" s="36">
        <f>DataTable[[#This Row],[Resource Cost]]+DataTable[[#This Row],[Other Cost]]</f>
        <v>300.48076923076923</v>
      </c>
      <c r="O259" s="36">
        <v>300.48076923076923</v>
      </c>
      <c r="P259" s="36">
        <v>300.48076923076923</v>
      </c>
      <c r="Q259" s="36">
        <f>DataTable[[#This Row],[Pct Budget]]*totalBudget</f>
        <v>130000</v>
      </c>
      <c r="R259" s="36" t="str">
        <f>IFERROR(VLOOKUP(DataTable[[#This Row],[Financial Category]],tblFinancialCat[],2,FALSE),"")</f>
        <v>OpEx</v>
      </c>
      <c r="S259" s="36">
        <f>IFERROR(DataTable[[#This Row],[Utilized]]/DataTable[[#This Row],[Total Cost]]*DataTable[[#This Row],[Resource Cost]],0)</f>
        <v>300.48076923076923</v>
      </c>
      <c r="T259" s="36">
        <f>IFERROR(DataTable[[#This Row],[Utilized]]/DataTable[[#This Row],[Total Cost]]*DataTable[[#This Row],[Other Cost]],0)</f>
        <v>0</v>
      </c>
      <c r="U259" s="217">
        <v>42309</v>
      </c>
      <c r="V259" s="36" t="str">
        <f>TEXT(DataTable[[#This Row],[Month]],"MMM-YY")</f>
        <v>Nov-15</v>
      </c>
    </row>
    <row r="260" spans="1:22" x14ac:dyDescent="0.25">
      <c r="A260">
        <v>259</v>
      </c>
      <c r="B260" t="s">
        <v>29</v>
      </c>
      <c r="C260">
        <v>0.02</v>
      </c>
      <c r="D260" t="s">
        <v>181</v>
      </c>
      <c r="E260" t="s">
        <v>193</v>
      </c>
      <c r="F260" t="s">
        <v>63</v>
      </c>
      <c r="G260" t="s">
        <v>222</v>
      </c>
      <c r="H260" s="36">
        <v>300.48076923076923</v>
      </c>
      <c r="I260" s="36">
        <v>0</v>
      </c>
      <c r="J260" t="s">
        <v>172</v>
      </c>
      <c r="K260" t="s">
        <v>14</v>
      </c>
      <c r="L260">
        <v>300.48076923076923</v>
      </c>
      <c r="M260" s="36">
        <v>0</v>
      </c>
      <c r="N260" s="36">
        <f>DataTable[[#This Row],[Resource Cost]]+DataTable[[#This Row],[Other Cost]]</f>
        <v>300.48076923076923</v>
      </c>
      <c r="O260" s="36">
        <v>300.48076923076923</v>
      </c>
      <c r="P260" s="36">
        <v>300.48076923076923</v>
      </c>
      <c r="Q260" s="36">
        <f>DataTable[[#This Row],[Pct Budget]]*totalBudget</f>
        <v>130000</v>
      </c>
      <c r="R260" s="36" t="str">
        <f>IFERROR(VLOOKUP(DataTable[[#This Row],[Financial Category]],tblFinancialCat[],2,FALSE),"")</f>
        <v>OpEx</v>
      </c>
      <c r="S260" s="36">
        <f>IFERROR(DataTable[[#This Row],[Utilized]]/DataTable[[#This Row],[Total Cost]]*DataTable[[#This Row],[Resource Cost]],0)</f>
        <v>300.48076923076923</v>
      </c>
      <c r="T260" s="36">
        <f>IFERROR(DataTable[[#This Row],[Utilized]]/DataTable[[#This Row],[Total Cost]]*DataTable[[#This Row],[Other Cost]],0)</f>
        <v>0</v>
      </c>
      <c r="U260" s="217">
        <v>42309</v>
      </c>
      <c r="V260" s="36" t="str">
        <f>TEXT(DataTable[[#This Row],[Month]],"MMM-YY")</f>
        <v>Nov-15</v>
      </c>
    </row>
    <row r="261" spans="1:22" x14ac:dyDescent="0.25">
      <c r="A261">
        <v>260</v>
      </c>
      <c r="B261" t="s">
        <v>29</v>
      </c>
      <c r="C261">
        <v>0.02</v>
      </c>
      <c r="D261" t="s">
        <v>181</v>
      </c>
      <c r="E261" t="s">
        <v>192</v>
      </c>
      <c r="F261" t="s">
        <v>63</v>
      </c>
      <c r="G261" t="s">
        <v>222</v>
      </c>
      <c r="H261" s="36">
        <v>300.48076923076923</v>
      </c>
      <c r="I261" s="36">
        <v>0</v>
      </c>
      <c r="J261" t="s">
        <v>172</v>
      </c>
      <c r="K261" t="s">
        <v>14</v>
      </c>
      <c r="L261">
        <v>300.48076923076923</v>
      </c>
      <c r="M261" s="36">
        <v>0</v>
      </c>
      <c r="N261" s="36">
        <f>DataTable[[#This Row],[Resource Cost]]+DataTable[[#This Row],[Other Cost]]</f>
        <v>300.48076923076923</v>
      </c>
      <c r="O261" s="36">
        <v>300.48076923076923</v>
      </c>
      <c r="P261" s="36">
        <v>300.48076923076923</v>
      </c>
      <c r="Q261" s="36">
        <f>DataTable[[#This Row],[Pct Budget]]*totalBudget</f>
        <v>130000</v>
      </c>
      <c r="R261" s="36" t="str">
        <f>IFERROR(VLOOKUP(DataTable[[#This Row],[Financial Category]],tblFinancialCat[],2,FALSE),"")</f>
        <v>OpEx</v>
      </c>
      <c r="S261" s="36">
        <f>IFERROR(DataTable[[#This Row],[Utilized]]/DataTable[[#This Row],[Total Cost]]*DataTable[[#This Row],[Resource Cost]],0)</f>
        <v>300.48076923076923</v>
      </c>
      <c r="T261" s="36">
        <f>IFERROR(DataTable[[#This Row],[Utilized]]/DataTable[[#This Row],[Total Cost]]*DataTable[[#This Row],[Other Cost]],0)</f>
        <v>0</v>
      </c>
      <c r="U261" s="217">
        <v>42309</v>
      </c>
      <c r="V261" s="36" t="str">
        <f>TEXT(DataTable[[#This Row],[Month]],"MMM-YY")</f>
        <v>Nov-15</v>
      </c>
    </row>
    <row r="262" spans="1:22" x14ac:dyDescent="0.25">
      <c r="A262">
        <v>261</v>
      </c>
      <c r="B262" t="s">
        <v>29</v>
      </c>
      <c r="C262">
        <v>0.02</v>
      </c>
      <c r="D262" t="s">
        <v>181</v>
      </c>
      <c r="E262" t="s">
        <v>200</v>
      </c>
      <c r="F262" t="s">
        <v>63</v>
      </c>
      <c r="G262" t="s">
        <v>222</v>
      </c>
      <c r="H262" s="36">
        <v>600.96153846153845</v>
      </c>
      <c r="I262" s="36">
        <v>0</v>
      </c>
      <c r="J262" t="s">
        <v>172</v>
      </c>
      <c r="K262" t="s">
        <v>133</v>
      </c>
      <c r="L262">
        <v>600.96153846153845</v>
      </c>
      <c r="M262" s="36">
        <v>0</v>
      </c>
      <c r="N262" s="36">
        <f>DataTable[[#This Row],[Resource Cost]]+DataTable[[#This Row],[Other Cost]]</f>
        <v>600.96153846153845</v>
      </c>
      <c r="O262" s="36">
        <v>600.96153846153845</v>
      </c>
      <c r="P262" s="36">
        <v>600.96153846153845</v>
      </c>
      <c r="Q262" s="36">
        <f>DataTable[[#This Row],[Pct Budget]]*totalBudget</f>
        <v>130000</v>
      </c>
      <c r="R262" s="36" t="str">
        <f>IFERROR(VLOOKUP(DataTable[[#This Row],[Financial Category]],tblFinancialCat[],2,FALSE),"")</f>
        <v>OpEx</v>
      </c>
      <c r="S262" s="36">
        <f>IFERROR(DataTable[[#This Row],[Utilized]]/DataTable[[#This Row],[Total Cost]]*DataTable[[#This Row],[Resource Cost]],0)</f>
        <v>600.96153846153845</v>
      </c>
      <c r="T262" s="36">
        <f>IFERROR(DataTable[[#This Row],[Utilized]]/DataTable[[#This Row],[Total Cost]]*DataTable[[#This Row],[Other Cost]],0)</f>
        <v>0</v>
      </c>
      <c r="U262" s="217">
        <v>42309</v>
      </c>
      <c r="V262" s="36" t="str">
        <f>TEXT(DataTable[[#This Row],[Month]],"MMM-YY")</f>
        <v>Nov-15</v>
      </c>
    </row>
    <row r="263" spans="1:22" x14ac:dyDescent="0.25">
      <c r="A263">
        <v>262</v>
      </c>
      <c r="B263" t="s">
        <v>29</v>
      </c>
      <c r="C263">
        <v>0.02</v>
      </c>
      <c r="D263" t="s">
        <v>181</v>
      </c>
      <c r="E263" t="s">
        <v>204</v>
      </c>
      <c r="F263" t="s">
        <v>63</v>
      </c>
      <c r="G263" t="s">
        <v>222</v>
      </c>
      <c r="H263" s="36">
        <v>600.96153846153845</v>
      </c>
      <c r="I263" s="36">
        <v>0</v>
      </c>
      <c r="J263" t="s">
        <v>172</v>
      </c>
      <c r="K263" t="s">
        <v>133</v>
      </c>
      <c r="L263">
        <v>600.96153846153845</v>
      </c>
      <c r="M263" s="36">
        <v>0</v>
      </c>
      <c r="N263" s="36">
        <f>DataTable[[#This Row],[Resource Cost]]+DataTable[[#This Row],[Other Cost]]</f>
        <v>600.96153846153845</v>
      </c>
      <c r="O263" s="36">
        <v>600.96153846153845</v>
      </c>
      <c r="P263" s="36">
        <v>600.96153846153845</v>
      </c>
      <c r="Q263" s="36">
        <f>DataTable[[#This Row],[Pct Budget]]*totalBudget</f>
        <v>130000</v>
      </c>
      <c r="R263" s="36" t="str">
        <f>IFERROR(VLOOKUP(DataTable[[#This Row],[Financial Category]],tblFinancialCat[],2,FALSE),"")</f>
        <v>OpEx</v>
      </c>
      <c r="S263" s="36">
        <f>IFERROR(DataTable[[#This Row],[Utilized]]/DataTable[[#This Row],[Total Cost]]*DataTable[[#This Row],[Resource Cost]],0)</f>
        <v>600.96153846153845</v>
      </c>
      <c r="T263" s="36">
        <f>IFERROR(DataTable[[#This Row],[Utilized]]/DataTable[[#This Row],[Total Cost]]*DataTable[[#This Row],[Other Cost]],0)</f>
        <v>0</v>
      </c>
      <c r="U263" s="217">
        <v>42309</v>
      </c>
      <c r="V263" s="36" t="str">
        <f>TEXT(DataTable[[#This Row],[Month]],"MMM-YY")</f>
        <v>Nov-15</v>
      </c>
    </row>
    <row r="264" spans="1:22" x14ac:dyDescent="0.25">
      <c r="A264">
        <v>263</v>
      </c>
      <c r="B264" t="s">
        <v>29</v>
      </c>
      <c r="C264">
        <v>0.02</v>
      </c>
      <c r="D264" t="s">
        <v>181</v>
      </c>
      <c r="E264" t="s">
        <v>193</v>
      </c>
      <c r="F264" t="s">
        <v>63</v>
      </c>
      <c r="G264" t="s">
        <v>222</v>
      </c>
      <c r="H264" s="36">
        <v>600.96153846153845</v>
      </c>
      <c r="I264" s="36">
        <v>0</v>
      </c>
      <c r="J264" t="s">
        <v>172</v>
      </c>
      <c r="K264" t="s">
        <v>133</v>
      </c>
      <c r="L264">
        <v>600.96153846153845</v>
      </c>
      <c r="M264" s="36">
        <v>0</v>
      </c>
      <c r="N264" s="36">
        <f>DataTable[[#This Row],[Resource Cost]]+DataTable[[#This Row],[Other Cost]]</f>
        <v>600.96153846153845</v>
      </c>
      <c r="O264" s="36">
        <v>600.96153846153845</v>
      </c>
      <c r="P264" s="36">
        <v>600.96153846153845</v>
      </c>
      <c r="Q264" s="36">
        <f>DataTable[[#This Row],[Pct Budget]]*totalBudget</f>
        <v>130000</v>
      </c>
      <c r="R264" s="36" t="str">
        <f>IFERROR(VLOOKUP(DataTable[[#This Row],[Financial Category]],tblFinancialCat[],2,FALSE),"")</f>
        <v>OpEx</v>
      </c>
      <c r="S264" s="36">
        <f>IFERROR(DataTable[[#This Row],[Utilized]]/DataTable[[#This Row],[Total Cost]]*DataTable[[#This Row],[Resource Cost]],0)</f>
        <v>600.96153846153845</v>
      </c>
      <c r="T264" s="36">
        <f>IFERROR(DataTable[[#This Row],[Utilized]]/DataTable[[#This Row],[Total Cost]]*DataTable[[#This Row],[Other Cost]],0)</f>
        <v>0</v>
      </c>
      <c r="U264" s="217">
        <v>42309</v>
      </c>
      <c r="V264" s="36" t="str">
        <f>TEXT(DataTable[[#This Row],[Month]],"MMM-YY")</f>
        <v>Nov-15</v>
      </c>
    </row>
    <row r="265" spans="1:22" x14ac:dyDescent="0.25">
      <c r="A265">
        <v>264</v>
      </c>
      <c r="B265" t="s">
        <v>29</v>
      </c>
      <c r="C265">
        <v>0.02</v>
      </c>
      <c r="D265" t="s">
        <v>181</v>
      </c>
      <c r="E265" t="s">
        <v>192</v>
      </c>
      <c r="F265" t="s">
        <v>63</v>
      </c>
      <c r="G265" t="s">
        <v>222</v>
      </c>
      <c r="H265" s="36">
        <v>600.96153846153845</v>
      </c>
      <c r="I265" s="36">
        <v>0</v>
      </c>
      <c r="J265" t="s">
        <v>172</v>
      </c>
      <c r="K265" t="s">
        <v>133</v>
      </c>
      <c r="L265">
        <v>600.96153846153845</v>
      </c>
      <c r="M265" s="36">
        <v>0</v>
      </c>
      <c r="N265" s="36">
        <f>DataTable[[#This Row],[Resource Cost]]+DataTable[[#This Row],[Other Cost]]</f>
        <v>600.96153846153845</v>
      </c>
      <c r="O265" s="36">
        <v>600.96153846153845</v>
      </c>
      <c r="P265" s="36">
        <v>600.96153846153845</v>
      </c>
      <c r="Q265" s="36">
        <f>DataTable[[#This Row],[Pct Budget]]*totalBudget</f>
        <v>130000</v>
      </c>
      <c r="R265" s="36" t="str">
        <f>IFERROR(VLOOKUP(DataTable[[#This Row],[Financial Category]],tblFinancialCat[],2,FALSE),"")</f>
        <v>OpEx</v>
      </c>
      <c r="S265" s="36">
        <f>IFERROR(DataTable[[#This Row],[Utilized]]/DataTable[[#This Row],[Total Cost]]*DataTable[[#This Row],[Resource Cost]],0)</f>
        <v>600.96153846153845</v>
      </c>
      <c r="T265" s="36">
        <f>IFERROR(DataTable[[#This Row],[Utilized]]/DataTable[[#This Row],[Total Cost]]*DataTable[[#This Row],[Other Cost]],0)</f>
        <v>0</v>
      </c>
      <c r="U265" s="217">
        <v>42309</v>
      </c>
      <c r="V265" s="36" t="str">
        <f>TEXT(DataTable[[#This Row],[Month]],"MMM-YY")</f>
        <v>Nov-15</v>
      </c>
    </row>
    <row r="266" spans="1:22" x14ac:dyDescent="0.25">
      <c r="A266">
        <v>265</v>
      </c>
      <c r="B266" t="s">
        <v>29</v>
      </c>
      <c r="C266">
        <v>0.02</v>
      </c>
      <c r="D266" t="s">
        <v>181</v>
      </c>
      <c r="E266" t="s">
        <v>200</v>
      </c>
      <c r="F266" t="s">
        <v>63</v>
      </c>
      <c r="G266" t="s">
        <v>222</v>
      </c>
      <c r="H266" s="36">
        <v>7500</v>
      </c>
      <c r="I266" s="36">
        <v>0</v>
      </c>
      <c r="J266" t="s">
        <v>172</v>
      </c>
      <c r="K266" t="s">
        <v>149</v>
      </c>
      <c r="L266">
        <v>7500</v>
      </c>
      <c r="M266" s="36">
        <v>0</v>
      </c>
      <c r="N266" s="36">
        <f>DataTable[[#This Row],[Resource Cost]]+DataTable[[#This Row],[Other Cost]]</f>
        <v>7500</v>
      </c>
      <c r="O266" s="36">
        <v>7500</v>
      </c>
      <c r="P266" s="36">
        <v>7500</v>
      </c>
      <c r="Q266" s="36">
        <f>DataTable[[#This Row],[Pct Budget]]*totalBudget</f>
        <v>130000</v>
      </c>
      <c r="R266" s="36" t="str">
        <f>IFERROR(VLOOKUP(DataTable[[#This Row],[Financial Category]],tblFinancialCat[],2,FALSE),"")</f>
        <v>OpEx</v>
      </c>
      <c r="S266" s="36">
        <f>IFERROR(DataTable[[#This Row],[Utilized]]/DataTable[[#This Row],[Total Cost]]*DataTable[[#This Row],[Resource Cost]],0)</f>
        <v>7500</v>
      </c>
      <c r="T266" s="36">
        <f>IFERROR(DataTable[[#This Row],[Utilized]]/DataTable[[#This Row],[Total Cost]]*DataTable[[#This Row],[Other Cost]],0)</f>
        <v>0</v>
      </c>
      <c r="U266" s="217">
        <v>42309</v>
      </c>
      <c r="V266" s="36" t="str">
        <f>TEXT(DataTable[[#This Row],[Month]],"MMM-YY")</f>
        <v>Nov-15</v>
      </c>
    </row>
    <row r="267" spans="1:22" x14ac:dyDescent="0.25">
      <c r="A267">
        <v>266</v>
      </c>
      <c r="B267" t="s">
        <v>29</v>
      </c>
      <c r="C267">
        <v>0.02</v>
      </c>
      <c r="D267" t="s">
        <v>181</v>
      </c>
      <c r="E267" t="s">
        <v>204</v>
      </c>
      <c r="F267" t="s">
        <v>63</v>
      </c>
      <c r="G267" t="s">
        <v>222</v>
      </c>
      <c r="H267" s="36">
        <v>7500</v>
      </c>
      <c r="I267" s="36">
        <v>0</v>
      </c>
      <c r="J267" t="s">
        <v>172</v>
      </c>
      <c r="K267" t="s">
        <v>149</v>
      </c>
      <c r="L267">
        <v>7500</v>
      </c>
      <c r="M267" s="36">
        <v>0</v>
      </c>
      <c r="N267" s="36">
        <f>DataTable[[#This Row],[Resource Cost]]+DataTable[[#This Row],[Other Cost]]</f>
        <v>7500</v>
      </c>
      <c r="O267" s="36">
        <v>7500</v>
      </c>
      <c r="P267" s="36">
        <v>7500</v>
      </c>
      <c r="Q267" s="36">
        <f>DataTable[[#This Row],[Pct Budget]]*totalBudget</f>
        <v>130000</v>
      </c>
      <c r="R267" s="36" t="str">
        <f>IFERROR(VLOOKUP(DataTable[[#This Row],[Financial Category]],tblFinancialCat[],2,FALSE),"")</f>
        <v>OpEx</v>
      </c>
      <c r="S267" s="36">
        <f>IFERROR(DataTable[[#This Row],[Utilized]]/DataTable[[#This Row],[Total Cost]]*DataTable[[#This Row],[Resource Cost]],0)</f>
        <v>7500</v>
      </c>
      <c r="T267" s="36">
        <f>IFERROR(DataTable[[#This Row],[Utilized]]/DataTable[[#This Row],[Total Cost]]*DataTable[[#This Row],[Other Cost]],0)</f>
        <v>0</v>
      </c>
      <c r="U267" s="217">
        <v>42309</v>
      </c>
      <c r="V267" s="36" t="str">
        <f>TEXT(DataTable[[#This Row],[Month]],"MMM-YY")</f>
        <v>Nov-15</v>
      </c>
    </row>
    <row r="268" spans="1:22" x14ac:dyDescent="0.25">
      <c r="A268">
        <v>267</v>
      </c>
      <c r="B268" t="s">
        <v>29</v>
      </c>
      <c r="C268">
        <v>0.02</v>
      </c>
      <c r="D268" t="s">
        <v>181</v>
      </c>
      <c r="E268" t="s">
        <v>193</v>
      </c>
      <c r="F268" t="s">
        <v>63</v>
      </c>
      <c r="G268" t="s">
        <v>222</v>
      </c>
      <c r="H268" s="36">
        <v>7500</v>
      </c>
      <c r="I268" s="36">
        <v>0</v>
      </c>
      <c r="J268" t="s">
        <v>172</v>
      </c>
      <c r="K268" t="s">
        <v>149</v>
      </c>
      <c r="L268">
        <v>7500</v>
      </c>
      <c r="M268" s="36">
        <v>0</v>
      </c>
      <c r="N268" s="36">
        <f>DataTable[[#This Row],[Resource Cost]]+DataTable[[#This Row],[Other Cost]]</f>
        <v>7500</v>
      </c>
      <c r="O268" s="36">
        <v>7500</v>
      </c>
      <c r="P268" s="36">
        <v>7500</v>
      </c>
      <c r="Q268" s="36">
        <f>DataTable[[#This Row],[Pct Budget]]*totalBudget</f>
        <v>130000</v>
      </c>
      <c r="R268" s="36" t="str">
        <f>IFERROR(VLOOKUP(DataTable[[#This Row],[Financial Category]],tblFinancialCat[],2,FALSE),"")</f>
        <v>OpEx</v>
      </c>
      <c r="S268" s="36">
        <f>IFERROR(DataTable[[#This Row],[Utilized]]/DataTable[[#This Row],[Total Cost]]*DataTable[[#This Row],[Resource Cost]],0)</f>
        <v>7500</v>
      </c>
      <c r="T268" s="36">
        <f>IFERROR(DataTable[[#This Row],[Utilized]]/DataTable[[#This Row],[Total Cost]]*DataTable[[#This Row],[Other Cost]],0)</f>
        <v>0</v>
      </c>
      <c r="U268" s="217">
        <v>42309</v>
      </c>
      <c r="V268" s="36" t="str">
        <f>TEXT(DataTable[[#This Row],[Month]],"MMM-YY")</f>
        <v>Nov-15</v>
      </c>
    </row>
    <row r="269" spans="1:22" x14ac:dyDescent="0.25">
      <c r="A269">
        <v>268</v>
      </c>
      <c r="B269" t="s">
        <v>29</v>
      </c>
      <c r="C269">
        <v>0.02</v>
      </c>
      <c r="D269" t="s">
        <v>181</v>
      </c>
      <c r="E269" t="s">
        <v>192</v>
      </c>
      <c r="F269" t="s">
        <v>63</v>
      </c>
      <c r="G269" t="s">
        <v>222</v>
      </c>
      <c r="H269" s="36">
        <v>7500</v>
      </c>
      <c r="I269" s="36">
        <v>0</v>
      </c>
      <c r="J269" t="s">
        <v>172</v>
      </c>
      <c r="K269" t="s">
        <v>149</v>
      </c>
      <c r="L269">
        <v>7500</v>
      </c>
      <c r="M269" s="36">
        <v>0</v>
      </c>
      <c r="N269" s="36">
        <f>DataTable[[#This Row],[Resource Cost]]+DataTable[[#This Row],[Other Cost]]</f>
        <v>7500</v>
      </c>
      <c r="O269" s="36">
        <v>7500</v>
      </c>
      <c r="P269" s="36">
        <v>7500</v>
      </c>
      <c r="Q269" s="36">
        <f>DataTable[[#This Row],[Pct Budget]]*totalBudget</f>
        <v>130000</v>
      </c>
      <c r="R269" s="36" t="str">
        <f>IFERROR(VLOOKUP(DataTable[[#This Row],[Financial Category]],tblFinancialCat[],2,FALSE),"")</f>
        <v>OpEx</v>
      </c>
      <c r="S269" s="36">
        <f>IFERROR(DataTable[[#This Row],[Utilized]]/DataTable[[#This Row],[Total Cost]]*DataTable[[#This Row],[Resource Cost]],0)</f>
        <v>7500</v>
      </c>
      <c r="T269" s="36">
        <f>IFERROR(DataTable[[#This Row],[Utilized]]/DataTable[[#This Row],[Total Cost]]*DataTable[[#This Row],[Other Cost]],0)</f>
        <v>0</v>
      </c>
      <c r="U269" s="217">
        <v>42309</v>
      </c>
      <c r="V269" s="36" t="str">
        <f>TEXT(DataTable[[#This Row],[Month]],"MMM-YY")</f>
        <v>Nov-15</v>
      </c>
    </row>
    <row r="270" spans="1:22" x14ac:dyDescent="0.25">
      <c r="A270">
        <v>269</v>
      </c>
      <c r="B270" t="s">
        <v>29</v>
      </c>
      <c r="C270">
        <v>0.02</v>
      </c>
      <c r="D270" t="s">
        <v>181</v>
      </c>
      <c r="E270" t="s">
        <v>193</v>
      </c>
      <c r="F270" t="s">
        <v>63</v>
      </c>
      <c r="G270" t="s">
        <v>222</v>
      </c>
      <c r="H270" s="36">
        <v>1201.9230769230769</v>
      </c>
      <c r="I270" s="36">
        <v>0</v>
      </c>
      <c r="J270" t="s">
        <v>26</v>
      </c>
      <c r="K270" t="s">
        <v>14</v>
      </c>
      <c r="L270">
        <v>1201.9230769230769</v>
      </c>
      <c r="M270" s="36">
        <v>0</v>
      </c>
      <c r="N270" s="36">
        <f>DataTable[[#This Row],[Resource Cost]]+DataTable[[#This Row],[Other Cost]]</f>
        <v>1201.9230769230769</v>
      </c>
      <c r="O270" s="36">
        <v>1201.9230769230769</v>
      </c>
      <c r="P270" s="36">
        <v>1201.9230769230769</v>
      </c>
      <c r="Q270" s="36">
        <f>DataTable[[#This Row],[Pct Budget]]*totalBudget</f>
        <v>130000</v>
      </c>
      <c r="R270" s="36" t="str">
        <f>IFERROR(VLOOKUP(DataTable[[#This Row],[Financial Category]],tblFinancialCat[],2,FALSE),"")</f>
        <v>OpEx</v>
      </c>
      <c r="S270" s="36">
        <f>IFERROR(DataTable[[#This Row],[Utilized]]/DataTable[[#This Row],[Total Cost]]*DataTable[[#This Row],[Resource Cost]],0)</f>
        <v>1201.9230769230769</v>
      </c>
      <c r="T270" s="36">
        <f>IFERROR(DataTable[[#This Row],[Utilized]]/DataTable[[#This Row],[Total Cost]]*DataTable[[#This Row],[Other Cost]],0)</f>
        <v>0</v>
      </c>
      <c r="U270" s="217">
        <v>42309</v>
      </c>
      <c r="V270" s="36" t="str">
        <f>TEXT(DataTable[[#This Row],[Month]],"MMM-YY")</f>
        <v>Nov-15</v>
      </c>
    </row>
    <row r="271" spans="1:22" x14ac:dyDescent="0.25">
      <c r="A271">
        <v>270</v>
      </c>
      <c r="B271" t="s">
        <v>29</v>
      </c>
      <c r="C271">
        <v>0.02</v>
      </c>
      <c r="D271" t="s">
        <v>181</v>
      </c>
      <c r="E271" t="s">
        <v>193</v>
      </c>
      <c r="F271" t="s">
        <v>63</v>
      </c>
      <c r="G271" t="s">
        <v>222</v>
      </c>
      <c r="H271" s="36">
        <v>20000</v>
      </c>
      <c r="I271" s="36">
        <v>0</v>
      </c>
      <c r="J271" t="s">
        <v>26</v>
      </c>
      <c r="K271" t="s">
        <v>149</v>
      </c>
      <c r="L271">
        <v>20000</v>
      </c>
      <c r="M271" s="36">
        <v>0</v>
      </c>
      <c r="N271" s="36">
        <f>DataTable[[#This Row],[Resource Cost]]+DataTable[[#This Row],[Other Cost]]</f>
        <v>20000</v>
      </c>
      <c r="O271" s="36">
        <v>20000</v>
      </c>
      <c r="P271" s="36">
        <v>20000</v>
      </c>
      <c r="Q271" s="36">
        <f>DataTable[[#This Row],[Pct Budget]]*totalBudget</f>
        <v>130000</v>
      </c>
      <c r="R271" s="36" t="str">
        <f>IFERROR(VLOOKUP(DataTable[[#This Row],[Financial Category]],tblFinancialCat[],2,FALSE),"")</f>
        <v>OpEx</v>
      </c>
      <c r="S271" s="36">
        <f>IFERROR(DataTable[[#This Row],[Utilized]]/DataTable[[#This Row],[Total Cost]]*DataTable[[#This Row],[Resource Cost]],0)</f>
        <v>20000</v>
      </c>
      <c r="T271" s="36">
        <f>IFERROR(DataTable[[#This Row],[Utilized]]/DataTable[[#This Row],[Total Cost]]*DataTable[[#This Row],[Other Cost]],0)</f>
        <v>0</v>
      </c>
      <c r="U271" s="217">
        <v>42309</v>
      </c>
      <c r="V271" s="36" t="str">
        <f>TEXT(DataTable[[#This Row],[Month]],"MMM-YY")</f>
        <v>Nov-15</v>
      </c>
    </row>
    <row r="272" spans="1:22" x14ac:dyDescent="0.25">
      <c r="A272">
        <v>271</v>
      </c>
      <c r="B272" t="s">
        <v>168</v>
      </c>
      <c r="C272">
        <v>0.01</v>
      </c>
      <c r="D272" t="s">
        <v>184</v>
      </c>
      <c r="E272" t="s">
        <v>210</v>
      </c>
      <c r="F272" t="s">
        <v>63</v>
      </c>
      <c r="G272" t="s">
        <v>41</v>
      </c>
      <c r="H272" s="36">
        <v>817.30769230769226</v>
      </c>
      <c r="I272" s="36">
        <v>817.30769230769226</v>
      </c>
      <c r="J272" t="s">
        <v>26</v>
      </c>
      <c r="K272" t="s">
        <v>126</v>
      </c>
      <c r="L272">
        <v>1634.6153846153845</v>
      </c>
      <c r="M272" s="36">
        <v>0</v>
      </c>
      <c r="N272" s="36">
        <f>DataTable[[#This Row],[Resource Cost]]+DataTable[[#This Row],[Other Cost]]</f>
        <v>1634.6153846153845</v>
      </c>
      <c r="O272" s="36">
        <v>817.30769230769226</v>
      </c>
      <c r="P272" s="36">
        <v>1634.6153846153845</v>
      </c>
      <c r="Q272" s="36">
        <f>DataTable[[#This Row],[Pct Budget]]*totalBudget</f>
        <v>65000</v>
      </c>
      <c r="R272" s="36" t="str">
        <f>IFERROR(VLOOKUP(DataTable[[#This Row],[Financial Category]],tblFinancialCat[],2,FALSE),"")</f>
        <v>OpEx</v>
      </c>
      <c r="S272" s="36">
        <f>IFERROR(DataTable[[#This Row],[Utilized]]/DataTable[[#This Row],[Total Cost]]*DataTable[[#This Row],[Resource Cost]],0)</f>
        <v>817.30769230769226</v>
      </c>
      <c r="T272" s="36">
        <f>IFERROR(DataTable[[#This Row],[Utilized]]/DataTable[[#This Row],[Total Cost]]*DataTable[[#This Row],[Other Cost]],0)</f>
        <v>0</v>
      </c>
      <c r="U272" s="217">
        <v>42278</v>
      </c>
      <c r="V272" s="36" t="str">
        <f>TEXT(DataTable[[#This Row],[Month]],"MMM-YY")</f>
        <v>Oct-15</v>
      </c>
    </row>
    <row r="273" spans="1:22" x14ac:dyDescent="0.25">
      <c r="A273">
        <v>272</v>
      </c>
      <c r="B273" t="s">
        <v>168</v>
      </c>
      <c r="C273">
        <v>0.01</v>
      </c>
      <c r="D273" t="s">
        <v>184</v>
      </c>
      <c r="E273" t="s">
        <v>209</v>
      </c>
      <c r="F273" t="s">
        <v>63</v>
      </c>
      <c r="G273" t="s">
        <v>41</v>
      </c>
      <c r="H273" s="36">
        <v>817.30769230769226</v>
      </c>
      <c r="I273" s="36">
        <v>817.30769230769226</v>
      </c>
      <c r="J273" t="s">
        <v>26</v>
      </c>
      <c r="K273" t="s">
        <v>126</v>
      </c>
      <c r="L273">
        <v>1634.6153846153845</v>
      </c>
      <c r="M273" s="36">
        <v>0</v>
      </c>
      <c r="N273" s="36">
        <f>DataTable[[#This Row],[Resource Cost]]+DataTable[[#This Row],[Other Cost]]</f>
        <v>1634.6153846153845</v>
      </c>
      <c r="O273" s="36">
        <v>817.30769230769226</v>
      </c>
      <c r="P273" s="36">
        <v>1634.6153846153845</v>
      </c>
      <c r="Q273" s="36">
        <f>DataTable[[#This Row],[Pct Budget]]*totalBudget</f>
        <v>65000</v>
      </c>
      <c r="R273" s="36" t="str">
        <f>IFERROR(VLOOKUP(DataTable[[#This Row],[Financial Category]],tblFinancialCat[],2,FALSE),"")</f>
        <v>OpEx</v>
      </c>
      <c r="S273" s="36">
        <f>IFERROR(DataTable[[#This Row],[Utilized]]/DataTable[[#This Row],[Total Cost]]*DataTable[[#This Row],[Resource Cost]],0)</f>
        <v>817.30769230769226</v>
      </c>
      <c r="T273" s="36">
        <f>IFERROR(DataTable[[#This Row],[Utilized]]/DataTable[[#This Row],[Total Cost]]*DataTable[[#This Row],[Other Cost]],0)</f>
        <v>0</v>
      </c>
      <c r="U273" s="217">
        <v>42278</v>
      </c>
      <c r="V273" s="36" t="str">
        <f>TEXT(DataTable[[#This Row],[Month]],"MMM-YY")</f>
        <v>Oct-15</v>
      </c>
    </row>
    <row r="274" spans="1:22" x14ac:dyDescent="0.25">
      <c r="A274">
        <v>273</v>
      </c>
      <c r="B274" t="s">
        <v>168</v>
      </c>
      <c r="C274">
        <v>0.01</v>
      </c>
      <c r="D274" t="s">
        <v>184</v>
      </c>
      <c r="E274" t="s">
        <v>210</v>
      </c>
      <c r="F274" t="s">
        <v>63</v>
      </c>
      <c r="G274" t="s">
        <v>41</v>
      </c>
      <c r="H274" s="36">
        <v>480.76923076923083</v>
      </c>
      <c r="I274" s="36">
        <v>480.76923076923083</v>
      </c>
      <c r="J274" t="s">
        <v>26</v>
      </c>
      <c r="K274" t="s">
        <v>44</v>
      </c>
      <c r="L274">
        <v>961.53846153846166</v>
      </c>
      <c r="M274" s="36">
        <v>0</v>
      </c>
      <c r="N274" s="36">
        <f>DataTable[[#This Row],[Resource Cost]]+DataTable[[#This Row],[Other Cost]]</f>
        <v>961.53846153846166</v>
      </c>
      <c r="O274" s="36">
        <v>480.76923076923083</v>
      </c>
      <c r="P274" s="36">
        <v>961.53846153846166</v>
      </c>
      <c r="Q274" s="36">
        <f>DataTable[[#This Row],[Pct Budget]]*totalBudget</f>
        <v>65000</v>
      </c>
      <c r="R274" s="36" t="str">
        <f>IFERROR(VLOOKUP(DataTable[[#This Row],[Financial Category]],tblFinancialCat[],2,FALSE),"")</f>
        <v>OpEx</v>
      </c>
      <c r="S274" s="36">
        <f>IFERROR(DataTable[[#This Row],[Utilized]]/DataTable[[#This Row],[Total Cost]]*DataTable[[#This Row],[Resource Cost]],0)</f>
        <v>480.76923076923083</v>
      </c>
      <c r="T274" s="36">
        <f>IFERROR(DataTable[[#This Row],[Utilized]]/DataTable[[#This Row],[Total Cost]]*DataTable[[#This Row],[Other Cost]],0)</f>
        <v>0</v>
      </c>
      <c r="U274" s="217">
        <v>42278</v>
      </c>
      <c r="V274" s="36" t="str">
        <f>TEXT(DataTable[[#This Row],[Month]],"MMM-YY")</f>
        <v>Oct-15</v>
      </c>
    </row>
    <row r="275" spans="1:22" x14ac:dyDescent="0.25">
      <c r="A275">
        <v>274</v>
      </c>
      <c r="B275" t="s">
        <v>168</v>
      </c>
      <c r="C275">
        <v>0.01</v>
      </c>
      <c r="D275" t="s">
        <v>184</v>
      </c>
      <c r="E275" t="s">
        <v>209</v>
      </c>
      <c r="F275" t="s">
        <v>63</v>
      </c>
      <c r="G275" t="s">
        <v>41</v>
      </c>
      <c r="H275" s="36">
        <v>480.76923076923083</v>
      </c>
      <c r="I275" s="36">
        <v>480.76923076923083</v>
      </c>
      <c r="J275" t="s">
        <v>26</v>
      </c>
      <c r="K275" t="s">
        <v>44</v>
      </c>
      <c r="L275">
        <v>961.53846153846166</v>
      </c>
      <c r="M275" s="36">
        <v>0</v>
      </c>
      <c r="N275" s="36">
        <f>DataTable[[#This Row],[Resource Cost]]+DataTable[[#This Row],[Other Cost]]</f>
        <v>961.53846153846166</v>
      </c>
      <c r="O275" s="36">
        <v>480.76923076923083</v>
      </c>
      <c r="P275" s="36">
        <v>961.53846153846166</v>
      </c>
      <c r="Q275" s="36">
        <f>DataTable[[#This Row],[Pct Budget]]*totalBudget</f>
        <v>65000</v>
      </c>
      <c r="R275" s="36" t="str">
        <f>IFERROR(VLOOKUP(DataTable[[#This Row],[Financial Category]],tblFinancialCat[],2,FALSE),"")</f>
        <v>OpEx</v>
      </c>
      <c r="S275" s="36">
        <f>IFERROR(DataTable[[#This Row],[Utilized]]/DataTable[[#This Row],[Total Cost]]*DataTable[[#This Row],[Resource Cost]],0)</f>
        <v>480.76923076923083</v>
      </c>
      <c r="T275" s="36">
        <f>IFERROR(DataTable[[#This Row],[Utilized]]/DataTable[[#This Row],[Total Cost]]*DataTable[[#This Row],[Other Cost]],0)</f>
        <v>0</v>
      </c>
      <c r="U275" s="217">
        <v>42278</v>
      </c>
      <c r="V275" s="36" t="str">
        <f>TEXT(DataTable[[#This Row],[Month]],"MMM-YY")</f>
        <v>Oct-15</v>
      </c>
    </row>
    <row r="276" spans="1:22" x14ac:dyDescent="0.25">
      <c r="A276">
        <v>275</v>
      </c>
      <c r="B276" t="s">
        <v>168</v>
      </c>
      <c r="C276">
        <v>0.01</v>
      </c>
      <c r="D276" t="s">
        <v>184</v>
      </c>
      <c r="E276" t="s">
        <v>210</v>
      </c>
      <c r="F276" t="s">
        <v>63</v>
      </c>
      <c r="G276" t="s">
        <v>41</v>
      </c>
      <c r="H276" s="36">
        <v>5000</v>
      </c>
      <c r="I276" s="36">
        <v>5000</v>
      </c>
      <c r="J276" t="s">
        <v>26</v>
      </c>
      <c r="K276" t="s">
        <v>149</v>
      </c>
      <c r="L276">
        <v>10000</v>
      </c>
      <c r="M276" s="36">
        <v>0</v>
      </c>
      <c r="N276" s="36">
        <f>DataTable[[#This Row],[Resource Cost]]+DataTable[[#This Row],[Other Cost]]</f>
        <v>10000</v>
      </c>
      <c r="O276" s="36">
        <v>5000</v>
      </c>
      <c r="P276" s="36">
        <v>10000</v>
      </c>
      <c r="Q276" s="36">
        <f>DataTable[[#This Row],[Pct Budget]]*totalBudget</f>
        <v>65000</v>
      </c>
      <c r="R276" s="36" t="str">
        <f>IFERROR(VLOOKUP(DataTable[[#This Row],[Financial Category]],tblFinancialCat[],2,FALSE),"")</f>
        <v>OpEx</v>
      </c>
      <c r="S276" s="36">
        <f>IFERROR(DataTable[[#This Row],[Utilized]]/DataTable[[#This Row],[Total Cost]]*DataTable[[#This Row],[Resource Cost]],0)</f>
        <v>5000</v>
      </c>
      <c r="T276" s="36">
        <f>IFERROR(DataTable[[#This Row],[Utilized]]/DataTable[[#This Row],[Total Cost]]*DataTable[[#This Row],[Other Cost]],0)</f>
        <v>0</v>
      </c>
      <c r="U276" s="217">
        <v>42278</v>
      </c>
      <c r="V276" s="36" t="str">
        <f>TEXT(DataTable[[#This Row],[Month]],"MMM-YY")</f>
        <v>Oct-15</v>
      </c>
    </row>
    <row r="277" spans="1:22" x14ac:dyDescent="0.25">
      <c r="A277">
        <v>276</v>
      </c>
      <c r="B277" t="s">
        <v>168</v>
      </c>
      <c r="C277">
        <v>0.01</v>
      </c>
      <c r="D277" t="s">
        <v>184</v>
      </c>
      <c r="E277" t="s">
        <v>209</v>
      </c>
      <c r="F277" t="s">
        <v>63</v>
      </c>
      <c r="G277" t="s">
        <v>41</v>
      </c>
      <c r="H277" s="36">
        <v>5000</v>
      </c>
      <c r="I277" s="36">
        <v>5000</v>
      </c>
      <c r="J277" t="s">
        <v>26</v>
      </c>
      <c r="K277" t="s">
        <v>149</v>
      </c>
      <c r="L277">
        <v>10000</v>
      </c>
      <c r="M277" s="36">
        <v>0</v>
      </c>
      <c r="N277" s="36">
        <f>DataTable[[#This Row],[Resource Cost]]+DataTable[[#This Row],[Other Cost]]</f>
        <v>10000</v>
      </c>
      <c r="O277" s="36">
        <v>5000</v>
      </c>
      <c r="P277" s="36">
        <v>10000</v>
      </c>
      <c r="Q277" s="36">
        <f>DataTable[[#This Row],[Pct Budget]]*totalBudget</f>
        <v>65000</v>
      </c>
      <c r="R277" s="36" t="str">
        <f>IFERROR(VLOOKUP(DataTable[[#This Row],[Financial Category]],tblFinancialCat[],2,FALSE),"")</f>
        <v>OpEx</v>
      </c>
      <c r="S277" s="36">
        <f>IFERROR(DataTable[[#This Row],[Utilized]]/DataTable[[#This Row],[Total Cost]]*DataTable[[#This Row],[Resource Cost]],0)</f>
        <v>5000</v>
      </c>
      <c r="T277" s="36">
        <f>IFERROR(DataTable[[#This Row],[Utilized]]/DataTable[[#This Row],[Total Cost]]*DataTable[[#This Row],[Other Cost]],0)</f>
        <v>0</v>
      </c>
      <c r="U277" s="217">
        <v>42278</v>
      </c>
      <c r="V277" s="36" t="str">
        <f>TEXT(DataTable[[#This Row],[Month]],"MMM-YY")</f>
        <v>Oct-15</v>
      </c>
    </row>
    <row r="278" spans="1:22" x14ac:dyDescent="0.25">
      <c r="A278">
        <v>277</v>
      </c>
      <c r="B278" t="s">
        <v>168</v>
      </c>
      <c r="C278">
        <v>0.01</v>
      </c>
      <c r="D278" t="s">
        <v>189</v>
      </c>
      <c r="E278" t="s">
        <v>210</v>
      </c>
      <c r="F278" t="s">
        <v>63</v>
      </c>
      <c r="G278" t="s">
        <v>41</v>
      </c>
      <c r="H278" s="36">
        <v>7550</v>
      </c>
      <c r="I278" s="36">
        <v>7550</v>
      </c>
      <c r="J278" t="s">
        <v>11</v>
      </c>
      <c r="K278" t="s">
        <v>145</v>
      </c>
      <c r="L278">
        <v>2600</v>
      </c>
      <c r="M278" s="36">
        <v>12500</v>
      </c>
      <c r="N278" s="36">
        <f>DataTable[[#This Row],[Resource Cost]]+DataTable[[#This Row],[Other Cost]]</f>
        <v>15100</v>
      </c>
      <c r="O278" s="36">
        <v>15100</v>
      </c>
      <c r="P278" s="36">
        <v>15100</v>
      </c>
      <c r="Q278" s="36">
        <f>DataTable[[#This Row],[Pct Budget]]*totalBudget</f>
        <v>65000</v>
      </c>
      <c r="R278" s="36" t="str">
        <f>IFERROR(VLOOKUP(DataTable[[#This Row],[Financial Category]],tblFinancialCat[],2,FALSE),"")</f>
        <v>OpEx</v>
      </c>
      <c r="S278" s="36">
        <f>IFERROR(DataTable[[#This Row],[Utilized]]/DataTable[[#This Row],[Total Cost]]*DataTable[[#This Row],[Resource Cost]],0)</f>
        <v>2600</v>
      </c>
      <c r="T278" s="36">
        <f>IFERROR(DataTable[[#This Row],[Utilized]]/DataTable[[#This Row],[Total Cost]]*DataTable[[#This Row],[Other Cost]],0)</f>
        <v>12500</v>
      </c>
      <c r="U278" s="217">
        <v>42278</v>
      </c>
      <c r="V278" s="36" t="str">
        <f>TEXT(DataTable[[#This Row],[Month]],"MMM-YY")</f>
        <v>Oct-15</v>
      </c>
    </row>
    <row r="279" spans="1:22" x14ac:dyDescent="0.25">
      <c r="A279">
        <v>278</v>
      </c>
      <c r="B279" t="s">
        <v>168</v>
      </c>
      <c r="C279">
        <v>0.01</v>
      </c>
      <c r="D279" t="s">
        <v>189</v>
      </c>
      <c r="E279" t="s">
        <v>209</v>
      </c>
      <c r="F279" t="s">
        <v>63</v>
      </c>
      <c r="G279" t="s">
        <v>41</v>
      </c>
      <c r="H279" s="36">
        <v>7550</v>
      </c>
      <c r="I279" s="36">
        <v>7550</v>
      </c>
      <c r="J279" t="s">
        <v>11</v>
      </c>
      <c r="K279" t="s">
        <v>145</v>
      </c>
      <c r="L279">
        <v>2600</v>
      </c>
      <c r="M279" s="36">
        <v>12500</v>
      </c>
      <c r="N279" s="36">
        <f>DataTable[[#This Row],[Resource Cost]]+DataTable[[#This Row],[Other Cost]]</f>
        <v>15100</v>
      </c>
      <c r="O279" s="36">
        <v>15100</v>
      </c>
      <c r="P279" s="36">
        <v>15100</v>
      </c>
      <c r="Q279" s="36">
        <f>DataTable[[#This Row],[Pct Budget]]*totalBudget</f>
        <v>65000</v>
      </c>
      <c r="R279" s="36" t="str">
        <f>IFERROR(VLOOKUP(DataTable[[#This Row],[Financial Category]],tblFinancialCat[],2,FALSE),"")</f>
        <v>OpEx</v>
      </c>
      <c r="S279" s="36">
        <f>IFERROR(DataTable[[#This Row],[Utilized]]/DataTable[[#This Row],[Total Cost]]*DataTable[[#This Row],[Resource Cost]],0)</f>
        <v>2600</v>
      </c>
      <c r="T279" s="36">
        <f>IFERROR(DataTable[[#This Row],[Utilized]]/DataTable[[#This Row],[Total Cost]]*DataTable[[#This Row],[Other Cost]],0)</f>
        <v>12500</v>
      </c>
      <c r="U279" s="217">
        <v>42278</v>
      </c>
      <c r="V279" s="36" t="str">
        <f>TEXT(DataTable[[#This Row],[Month]],"MMM-YY")</f>
        <v>Oct-15</v>
      </c>
    </row>
    <row r="280" spans="1:22" x14ac:dyDescent="0.25">
      <c r="A280">
        <v>279</v>
      </c>
      <c r="B280" t="s">
        <v>167</v>
      </c>
      <c r="C280">
        <v>0.08</v>
      </c>
      <c r="D280" t="s">
        <v>181</v>
      </c>
      <c r="F280" t="s">
        <v>63</v>
      </c>
      <c r="G280" t="s">
        <v>41</v>
      </c>
      <c r="H280" s="36">
        <v>87211.538461538468</v>
      </c>
      <c r="I280" s="36">
        <v>21802.88461538461</v>
      </c>
      <c r="J280" t="s">
        <v>26</v>
      </c>
      <c r="K280" t="s">
        <v>125</v>
      </c>
      <c r="L280">
        <v>9014.4230769230762</v>
      </c>
      <c r="M280" s="36">
        <v>100000</v>
      </c>
      <c r="N280" s="36">
        <f>DataTable[[#This Row],[Resource Cost]]+DataTable[[#This Row],[Other Cost]]</f>
        <v>109014.42307692308</v>
      </c>
      <c r="O280" s="36">
        <v>54507.211538461539</v>
      </c>
      <c r="P280" s="36">
        <v>109014.42307692308</v>
      </c>
      <c r="Q280" s="36">
        <f>DataTable[[#This Row],[Pct Budget]]*totalBudget</f>
        <v>520000</v>
      </c>
      <c r="R280" s="36" t="str">
        <f>IFERROR(VLOOKUP(DataTable[[#This Row],[Financial Category]],tblFinancialCat[],2,FALSE),"")</f>
        <v>OpEx</v>
      </c>
      <c r="S280" s="36">
        <f>IFERROR(DataTable[[#This Row],[Utilized]]/DataTable[[#This Row],[Total Cost]]*DataTable[[#This Row],[Resource Cost]],0)</f>
        <v>4507.2115384615381</v>
      </c>
      <c r="T280" s="36">
        <f>IFERROR(DataTable[[#This Row],[Utilized]]/DataTable[[#This Row],[Total Cost]]*DataTable[[#This Row],[Other Cost]],0)</f>
        <v>50000</v>
      </c>
      <c r="U280" s="217">
        <v>42186</v>
      </c>
      <c r="V280" s="36" t="str">
        <f>TEXT(DataTable[[#This Row],[Month]],"MMM-YY")</f>
        <v>Jul-15</v>
      </c>
    </row>
    <row r="281" spans="1:22" x14ac:dyDescent="0.25">
      <c r="A281">
        <v>280</v>
      </c>
      <c r="B281" t="s">
        <v>167</v>
      </c>
      <c r="C281">
        <v>0.08</v>
      </c>
      <c r="D281" t="s">
        <v>181</v>
      </c>
      <c r="F281" t="s">
        <v>63</v>
      </c>
      <c r="G281" t="s">
        <v>41</v>
      </c>
      <c r="H281" s="36">
        <v>63461.538461538468</v>
      </c>
      <c r="I281" s="36">
        <v>15865.384615384612</v>
      </c>
      <c r="J281" t="s">
        <v>26</v>
      </c>
      <c r="K281" t="s">
        <v>127</v>
      </c>
      <c r="L281">
        <v>16826.923076923078</v>
      </c>
      <c r="M281" s="36">
        <v>62500</v>
      </c>
      <c r="N281" s="36">
        <f>DataTable[[#This Row],[Resource Cost]]+DataTable[[#This Row],[Other Cost]]</f>
        <v>79326.923076923078</v>
      </c>
      <c r="O281" s="36">
        <v>59495.192307692312</v>
      </c>
      <c r="P281" s="36">
        <v>79326.923076923078</v>
      </c>
      <c r="Q281" s="36">
        <f>DataTable[[#This Row],[Pct Budget]]*totalBudget</f>
        <v>520000</v>
      </c>
      <c r="R281" s="36" t="str">
        <f>IFERROR(VLOOKUP(DataTable[[#This Row],[Financial Category]],tblFinancialCat[],2,FALSE),"")</f>
        <v>OpEx</v>
      </c>
      <c r="S281" s="36">
        <f>IFERROR(DataTable[[#This Row],[Utilized]]/DataTable[[#This Row],[Total Cost]]*DataTable[[#This Row],[Resource Cost]],0)</f>
        <v>12620.192307692309</v>
      </c>
      <c r="T281" s="36">
        <f>IFERROR(DataTable[[#This Row],[Utilized]]/DataTable[[#This Row],[Total Cost]]*DataTable[[#This Row],[Other Cost]],0)</f>
        <v>46875</v>
      </c>
      <c r="U281" s="217">
        <v>42156</v>
      </c>
      <c r="V281" s="36" t="str">
        <f>TEXT(DataTable[[#This Row],[Month]],"MMM-YY")</f>
        <v>Jun-15</v>
      </c>
    </row>
    <row r="282" spans="1:22" x14ac:dyDescent="0.25">
      <c r="A282">
        <v>281</v>
      </c>
      <c r="B282" t="s">
        <v>167</v>
      </c>
      <c r="C282">
        <v>0.08</v>
      </c>
      <c r="D282" t="s">
        <v>181</v>
      </c>
      <c r="F282" t="s">
        <v>63</v>
      </c>
      <c r="G282" t="s">
        <v>41</v>
      </c>
      <c r="H282" s="36">
        <v>35769.230769230773</v>
      </c>
      <c r="I282" s="36">
        <v>8942.3076923076896</v>
      </c>
      <c r="J282" t="s">
        <v>26</v>
      </c>
      <c r="K282" t="s">
        <v>127</v>
      </c>
      <c r="L282">
        <v>7211.5384615384619</v>
      </c>
      <c r="M282" s="36">
        <v>37500</v>
      </c>
      <c r="N282" s="36">
        <f>DataTable[[#This Row],[Resource Cost]]+DataTable[[#This Row],[Other Cost]]</f>
        <v>44711.538461538461</v>
      </c>
      <c r="O282" s="36">
        <v>11177.884615384615</v>
      </c>
      <c r="P282" s="36">
        <v>44711.538461538461</v>
      </c>
      <c r="Q282" s="36">
        <f>DataTable[[#This Row],[Pct Budget]]*totalBudget</f>
        <v>520000</v>
      </c>
      <c r="R282" s="36" t="str">
        <f>IFERROR(VLOOKUP(DataTable[[#This Row],[Financial Category]],tblFinancialCat[],2,FALSE),"")</f>
        <v>OpEx</v>
      </c>
      <c r="S282" s="36">
        <f>IFERROR(DataTable[[#This Row],[Utilized]]/DataTable[[#This Row],[Total Cost]]*DataTable[[#This Row],[Resource Cost]],0)</f>
        <v>1802.8846153846155</v>
      </c>
      <c r="T282" s="36">
        <f>IFERROR(DataTable[[#This Row],[Utilized]]/DataTable[[#This Row],[Total Cost]]*DataTable[[#This Row],[Other Cost]],0)</f>
        <v>9375</v>
      </c>
      <c r="U282" s="217">
        <v>42095</v>
      </c>
      <c r="V282" s="36" t="str">
        <f>TEXT(DataTable[[#This Row],[Month]],"MMM-YY")</f>
        <v>Apr-15</v>
      </c>
    </row>
    <row r="283" spans="1:22" x14ac:dyDescent="0.25">
      <c r="A283">
        <v>282</v>
      </c>
      <c r="B283" t="s">
        <v>167</v>
      </c>
      <c r="C283">
        <v>0.08</v>
      </c>
      <c r="D283" t="s">
        <v>181</v>
      </c>
      <c r="F283" t="s">
        <v>63</v>
      </c>
      <c r="G283" t="s">
        <v>41</v>
      </c>
      <c r="H283" s="36">
        <v>34326.923076923078</v>
      </c>
      <c r="I283" s="36">
        <v>8581.7307692307677</v>
      </c>
      <c r="J283" t="s">
        <v>26</v>
      </c>
      <c r="K283" t="s">
        <v>14</v>
      </c>
      <c r="L283">
        <v>5408.6538461538466</v>
      </c>
      <c r="M283" s="36">
        <v>37500</v>
      </c>
      <c r="N283" s="36">
        <f>DataTable[[#This Row],[Resource Cost]]+DataTable[[#This Row],[Other Cost]]</f>
        <v>42908.653846153844</v>
      </c>
      <c r="O283" s="36">
        <v>10727.163461538461</v>
      </c>
      <c r="P283" s="36">
        <v>42908.653846153844</v>
      </c>
      <c r="Q283" s="36">
        <f>DataTable[[#This Row],[Pct Budget]]*totalBudget</f>
        <v>520000</v>
      </c>
      <c r="R283" s="36" t="str">
        <f>IFERROR(VLOOKUP(DataTable[[#This Row],[Financial Category]],tblFinancialCat[],2,FALSE),"")</f>
        <v>OpEx</v>
      </c>
      <c r="S283" s="36">
        <f>IFERROR(DataTable[[#This Row],[Utilized]]/DataTable[[#This Row],[Total Cost]]*DataTable[[#This Row],[Resource Cost]],0)</f>
        <v>1352.1634615384617</v>
      </c>
      <c r="T283" s="36">
        <f>IFERROR(DataTable[[#This Row],[Utilized]]/DataTable[[#This Row],[Total Cost]]*DataTable[[#This Row],[Other Cost]],0)</f>
        <v>9375</v>
      </c>
      <c r="U283" s="217">
        <v>42095</v>
      </c>
      <c r="V283" s="36" t="str">
        <f>TEXT(DataTable[[#This Row],[Month]],"MMM-YY")</f>
        <v>Apr-15</v>
      </c>
    </row>
    <row r="284" spans="1:22" x14ac:dyDescent="0.25">
      <c r="A284">
        <v>283</v>
      </c>
      <c r="B284" t="s">
        <v>167</v>
      </c>
      <c r="C284">
        <v>0.08</v>
      </c>
      <c r="D284" t="s">
        <v>181</v>
      </c>
      <c r="F284" t="s">
        <v>63</v>
      </c>
      <c r="G284" t="s">
        <v>41</v>
      </c>
      <c r="H284" s="36">
        <v>59615.384615384617</v>
      </c>
      <c r="I284" s="36">
        <v>14903.846153846151</v>
      </c>
      <c r="J284" t="s">
        <v>26</v>
      </c>
      <c r="K284" t="s">
        <v>125</v>
      </c>
      <c r="L284">
        <v>12019.23076923077</v>
      </c>
      <c r="M284" s="36">
        <v>62500</v>
      </c>
      <c r="N284" s="36">
        <f>DataTable[[#This Row],[Resource Cost]]+DataTable[[#This Row],[Other Cost]]</f>
        <v>74519.230769230766</v>
      </c>
      <c r="O284" s="36">
        <v>48437.5</v>
      </c>
      <c r="P284" s="36">
        <v>74519.230769230766</v>
      </c>
      <c r="Q284" s="36">
        <f>DataTable[[#This Row],[Pct Budget]]*totalBudget</f>
        <v>520000</v>
      </c>
      <c r="R284" s="36" t="str">
        <f>IFERROR(VLOOKUP(DataTable[[#This Row],[Financial Category]],tblFinancialCat[],2,FALSE),"")</f>
        <v>OpEx</v>
      </c>
      <c r="S284" s="36">
        <f>IFERROR(DataTable[[#This Row],[Utilized]]/DataTable[[#This Row],[Total Cost]]*DataTable[[#This Row],[Resource Cost]],0)</f>
        <v>7812.5</v>
      </c>
      <c r="T284" s="36">
        <f>IFERROR(DataTable[[#This Row],[Utilized]]/DataTable[[#This Row],[Total Cost]]*DataTable[[#This Row],[Other Cost]],0)</f>
        <v>40625</v>
      </c>
      <c r="U284" s="217">
        <v>42217</v>
      </c>
      <c r="V284" s="36" t="str">
        <f>TEXT(DataTable[[#This Row],[Month]],"MMM-YY")</f>
        <v>Aug-15</v>
      </c>
    </row>
    <row r="285" spans="1:22" x14ac:dyDescent="0.25">
      <c r="A285">
        <v>284</v>
      </c>
      <c r="B285" t="s">
        <v>167</v>
      </c>
      <c r="C285">
        <v>0.08</v>
      </c>
      <c r="D285" t="s">
        <v>181</v>
      </c>
      <c r="F285" t="s">
        <v>63</v>
      </c>
      <c r="G285" t="s">
        <v>41</v>
      </c>
      <c r="H285" s="36">
        <v>59615.384615384617</v>
      </c>
      <c r="I285" s="36">
        <v>14903.846153846151</v>
      </c>
      <c r="J285" t="s">
        <v>26</v>
      </c>
      <c r="K285" t="s">
        <v>127</v>
      </c>
      <c r="L285">
        <v>12019.23076923077</v>
      </c>
      <c r="M285" s="36">
        <v>62500</v>
      </c>
      <c r="N285" s="36">
        <f>DataTable[[#This Row],[Resource Cost]]+DataTable[[#This Row],[Other Cost]]</f>
        <v>74519.230769230766</v>
      </c>
      <c r="O285" s="36">
        <v>48437.5</v>
      </c>
      <c r="P285" s="36">
        <v>74519.230769230766</v>
      </c>
      <c r="Q285" s="36">
        <f>DataTable[[#This Row],[Pct Budget]]*totalBudget</f>
        <v>520000</v>
      </c>
      <c r="R285" s="36" t="str">
        <f>IFERROR(VLOOKUP(DataTable[[#This Row],[Financial Category]],tblFinancialCat[],2,FALSE),"")</f>
        <v>OpEx</v>
      </c>
      <c r="S285" s="36">
        <f>IFERROR(DataTable[[#This Row],[Utilized]]/DataTable[[#This Row],[Total Cost]]*DataTable[[#This Row],[Resource Cost]],0)</f>
        <v>7812.5</v>
      </c>
      <c r="T285" s="36">
        <f>IFERROR(DataTable[[#This Row],[Utilized]]/DataTable[[#This Row],[Total Cost]]*DataTable[[#This Row],[Other Cost]],0)</f>
        <v>40625</v>
      </c>
      <c r="U285" s="217">
        <v>42217</v>
      </c>
      <c r="V285" s="36" t="str">
        <f>TEXT(DataTable[[#This Row],[Month]],"MMM-YY")</f>
        <v>Aug-15</v>
      </c>
    </row>
  </sheetData>
  <conditionalFormatting sqref="B1:O1">
    <cfRule type="expression" dxfId="23" priority="5">
      <formula>CELL("Protect",B1)=1</formula>
    </cfRule>
  </conditionalFormatting>
  <pageMargins left="0.7" right="0.7" top="0.75" bottom="0.75" header="0.3" footer="0.3"/>
  <drawing r:id="rId17"/>
  <tableParts count="2">
    <tablePart r:id="rId18"/>
    <tablePart r:id="rId1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Dropdown!$C$2:$C$20</xm:f>
          </x14:formula1>
          <xm:sqref>D1</xm:sqref>
        </x14:dataValidation>
      </x14:dataValidations>
    </ext>
    <ext xmlns:x14="http://schemas.microsoft.com/office/spreadsheetml/2009/9/main" uri="{A8765BA9-456A-4dab-B4F3-ACF838C121DE}">
      <x14:slicerList>
        <x14:slicer r:id="rId20"/>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Guide</vt:lpstr>
      <vt:lpstr>Report</vt:lpstr>
      <vt:lpstr>Profile Report</vt:lpstr>
      <vt:lpstr>Entry</vt:lpstr>
      <vt:lpstr>Projects</vt:lpstr>
      <vt:lpstr>Resources</vt:lpstr>
      <vt:lpstr>Dropdown</vt:lpstr>
      <vt:lpstr>Profile</vt:lpstr>
      <vt:lpstr>Release Notes</vt:lpstr>
      <vt:lpstr>Calculations</vt:lpstr>
      <vt:lpstr>BudgetPercentage</vt:lpstr>
      <vt:lpstr>eMessage</vt:lpstr>
      <vt:lpstr>eMessageP</vt:lpstr>
      <vt:lpstr>eMonth</vt:lpstr>
      <vt:lpstr>eMonthP</vt:lpstr>
      <vt:lpstr>EntryDirect</vt:lpstr>
      <vt:lpstr>EntryMain</vt:lpstr>
      <vt:lpstr>EntryOtherCost</vt:lpstr>
      <vt:lpstr>EntryPct</vt:lpstr>
      <vt:lpstr>EntryPName</vt:lpstr>
      <vt:lpstr>EntryRes</vt:lpstr>
      <vt:lpstr>EntryTag</vt:lpstr>
      <vt:lpstr>ERStart</vt:lpstr>
      <vt:lpstr>eYear</vt:lpstr>
      <vt:lpstr>eYearP</vt:lpstr>
      <vt:lpstr>ifProject</vt:lpstr>
      <vt:lpstr>IRStart</vt:lpstr>
      <vt:lpstr>noProjectMsg</vt:lpstr>
      <vt:lpstr>proDirect</vt:lpstr>
      <vt:lpstr>projectRow</vt:lpstr>
      <vt:lpstr>proRES</vt:lpstr>
      <vt:lpstr>sMonth</vt:lpstr>
      <vt:lpstr>sMonthP</vt:lpstr>
      <vt:lpstr>sYear</vt:lpstr>
      <vt:lpstr>sYearP</vt:lpstr>
      <vt:lpstr>tBudget</vt:lpstr>
      <vt:lpstr>tCost</vt:lpstr>
      <vt:lpstr>totalBudget</vt:lpstr>
      <vt:lpstr>totalYearHours</vt:lpstr>
      <vt:lpstr>tUtilized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tgold</dc:creator>
  <cp:lastModifiedBy>tgold</cp:lastModifiedBy>
  <dcterms:created xsi:type="dcterms:W3CDTF">2015-03-15T22:28:44Z</dcterms:created>
  <dcterms:modified xsi:type="dcterms:W3CDTF">2015-08-05T08:21:26Z</dcterms:modified>
</cp:coreProperties>
</file>